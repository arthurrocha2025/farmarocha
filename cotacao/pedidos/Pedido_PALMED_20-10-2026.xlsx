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Setor CASTANHAL" sheetId="2" state="visible" r:id="rId4"/>
    <sheet name="Setor MAB" sheetId="3" state="visible" r:id="rId5"/>
  </sheets>
  <definedNames>
    <definedName function="false" hidden="false" localSheetId="1" name="_xlnm.Print_Titles" vbProcedure="false">'Setor CASTANHAL'!$8:$8</definedName>
    <definedName function="false" hidden="true" localSheetId="1" name="_xlnm._FilterDatabase" vbProcedure="false">'Setor CASTANHAL'!$A$8:$K$72</definedName>
    <definedName function="false" hidden="false" localSheetId="2" name="_xlnm.Print_Titles" vbProcedure="false">'Setor MAB'!$8:$8</definedName>
    <definedName function="false" hidden="true" localSheetId="2" name="_xlnm._FilterDatabase" vbProcedure="false">'Setor MAB'!$A$8:$K$57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<sst xmlns="http://schemas.openxmlformats.org/spreadsheetml/2006/main" count="636" uniqueCount="507">
  <si>
    <t xml:space="preserve">PEDIDO PALMED — 20/10/2026 — DROGARIAS ROCHA</t>
  </si>
  <si>
    <t xml:space="preserve">Prazo de pagamento solicitado: MÍNIMO 45 DIAS — preferência até 90 DIAS (ex.: 45/60/75/90 dd ou 90 dd direto)</t>
  </si>
  <si>
    <t xml:space="preserve">Setor logístico</t>
  </si>
  <si>
    <t xml:space="preserve">Itens</t>
  </si>
  <si>
    <t xml:space="preserve">Caixas</t>
  </si>
  <si>
    <t xml:space="preserve">Valor</t>
  </si>
  <si>
    <t xml:space="preserve">CASTANHAL</t>
  </si>
  <si>
    <t xml:space="preserve">MAB</t>
  </si>
  <si>
    <t xml:space="preserve">TOTAL PALMED</t>
  </si>
  <si>
    <t xml:space="preserve">Mesmo distribuidor, dois setores logísticos: cada aba é um pedido/faturamento separado.</t>
  </si>
  <si>
    <t xml:space="preserve">PEDIDO DE COMPRA — PALMED — setor CASTANHAL</t>
  </si>
  <si>
    <t xml:space="preserve">Cliente:</t>
  </si>
  <si>
    <t xml:space="preserve">DROGARIAS ROCHA</t>
  </si>
  <si>
    <t xml:space="preserve">Data:</t>
  </si>
  <si>
    <t xml:space="preserve">20/10/2026</t>
  </si>
  <si>
    <t xml:space="preserve">Distribuidor:</t>
  </si>
  <si>
    <t xml:space="preserve">PALMED — setor CASTANHAL</t>
  </si>
  <si>
    <t xml:space="preserve">Condição de preço:</t>
  </si>
  <si>
    <t xml:space="preserve">Feirão Online Compre+ 25 anos — oferta válida 20/10 (respeitada QTD MÁX)</t>
  </si>
  <si>
    <t xml:space="preserve">PRAZO:</t>
  </si>
  <si>
    <t xml:space="preserve">Item</t>
  </si>
  <si>
    <t xml:space="preserve">Cód. distribuidor</t>
  </si>
  <si>
    <t xml:space="preserve">EAN</t>
  </si>
  <si>
    <t xml:space="preserve">Produto (descrição do distribuidor)</t>
  </si>
  <si>
    <t xml:space="preserve">Produto (nosso cadastro)</t>
  </si>
  <si>
    <t xml:space="preserve">Fabricante</t>
  </si>
  <si>
    <t xml:space="preserve">Qtd (cx)</t>
  </si>
  <si>
    <t xml:space="preserve">Preço unit. (cx)</t>
  </si>
  <si>
    <t xml:space="preserve">Total</t>
  </si>
  <si>
    <t xml:space="preserve">Cód. interno</t>
  </si>
  <si>
    <t xml:space="preserve">Obs.</t>
  </si>
  <si>
    <t xml:space="preserve">7896004817477</t>
  </si>
  <si>
    <t xml:space="preserve">A SAUDE DA MULHER SOL 150ML (SALICIL+ASS</t>
  </si>
  <si>
    <t xml:space="preserve">A SAUDE DA MULHER SUS FR 150ML</t>
  </si>
  <si>
    <t xml:space="preserve">EMS MARCAS</t>
  </si>
  <si>
    <t xml:space="preserve">356341</t>
  </si>
  <si>
    <t xml:space="preserve">7896004712048</t>
  </si>
  <si>
    <t xml:space="preserve">TRIANC. ACETONIDA ORABASE 1MG/G POM 10G</t>
  </si>
  <si>
    <t xml:space="preserve">ACETONIDA DE TRIANCINOLONA 1MG POM BG 10G</t>
  </si>
  <si>
    <t xml:space="preserve">EMS GENERICO</t>
  </si>
  <si>
    <t xml:space="preserve">961</t>
  </si>
  <si>
    <t xml:space="preserve">7896004723020</t>
  </si>
  <si>
    <t xml:space="preserve">ACIDO TRANEXAMICO 250MG 12CP (GEN)</t>
  </si>
  <si>
    <t xml:space="preserve">ACIDO TRANEXAMICO 250MG CX 1BL X 12 COMP</t>
  </si>
  <si>
    <t xml:space="preserve">17981</t>
  </si>
  <si>
    <t xml:space="preserve">7897732609259</t>
  </si>
  <si>
    <t xml:space="preserve">AGUALEMA SOBRAL 200ML (TINTURA DE JALAPA</t>
  </si>
  <si>
    <t xml:space="preserve">AGUALEMA JALAPA 200ML</t>
  </si>
  <si>
    <t xml:space="preserve">SOBRAL</t>
  </si>
  <si>
    <t xml:space="preserve">3273</t>
  </si>
  <si>
    <t xml:space="preserve">7896004704593</t>
  </si>
  <si>
    <t xml:space="preserve">*AMOXICILINA BD 400MG/5ML 100ML SUSP+SER</t>
  </si>
  <si>
    <t xml:space="preserve">AMOXICILINA 400MG SUS FR 100ML</t>
  </si>
  <si>
    <t xml:space="preserve">32521</t>
  </si>
  <si>
    <t xml:space="preserve">7894916341301</t>
  </si>
  <si>
    <t xml:space="preserve">*AMOX+CLAV.POT. 875/125MG 20CP REV GEN</t>
  </si>
  <si>
    <t xml:space="preserve">AMOXICILINA+CLAVULANATO 875+125MG CX 20 COMP REV</t>
  </si>
  <si>
    <t xml:space="preserve">LEGRAND GENERICOS</t>
  </si>
  <si>
    <t xml:space="preserve">109441</t>
  </si>
  <si>
    <t xml:space="preserve">7894916146074</t>
  </si>
  <si>
    <t xml:space="preserve">ATORVASTATINA CALCICA 40MG 30CP REV (GEN</t>
  </si>
  <si>
    <t xml:space="preserve">ATORVASTATINA 40MG CX 3BL X 10 COMP REV</t>
  </si>
  <si>
    <t xml:space="preserve">43681</t>
  </si>
  <si>
    <t xml:space="preserve">7898216360123</t>
  </si>
  <si>
    <t xml:space="preserve">*AZITROPHAR 500MG 3CP (AZITROMICINA)</t>
  </si>
  <si>
    <t xml:space="preserve">AZITROPHAR 500MG CX 3 COM REV</t>
  </si>
  <si>
    <t xml:space="preserve">PHARLAB</t>
  </si>
  <si>
    <t xml:space="preserve">48221</t>
  </si>
  <si>
    <t xml:space="preserve">7896004753218</t>
  </si>
  <si>
    <t xml:space="preserve">BENZIFLEX LIS 125+5MG 15CP REV (LISINA+C</t>
  </si>
  <si>
    <t xml:space="preserve">BENZIFLEX LIS 125+5MG CX 15 COMP REV</t>
  </si>
  <si>
    <t xml:space="preserve">134881</t>
  </si>
  <si>
    <t xml:space="preserve">7896004720609</t>
  </si>
  <si>
    <t xml:space="preserve">BISURAN 4MG/5ML XPE INF 120ML (BROMEXIN </t>
  </si>
  <si>
    <t xml:space="preserve">BISURAN 4MG/5ML XPE FR 120ML INF</t>
  </si>
  <si>
    <t xml:space="preserve">129701</t>
  </si>
  <si>
    <t xml:space="preserve">7896004758268</t>
  </si>
  <si>
    <t xml:space="preserve">BUDESONIDA 32MCG SOL NASAL SPRAY 120ACIO</t>
  </si>
  <si>
    <t xml:space="preserve">BUDESONIDA 32MCG FR X 120ML</t>
  </si>
  <si>
    <t xml:space="preserve">68701</t>
  </si>
  <si>
    <t xml:space="preserve">7896004731322</t>
  </si>
  <si>
    <t xml:space="preserve">CARVEDILOL 25MG 30CP (GEN)</t>
  </si>
  <si>
    <t xml:space="preserve">CARVEDILOL 25MG 2BL X 15 COMP</t>
  </si>
  <si>
    <t xml:space="preserve">84021</t>
  </si>
  <si>
    <t xml:space="preserve">7896004774220</t>
  </si>
  <si>
    <t xml:space="preserve">CENEVIT 1G 10CP EFERV LARANJA ZERO AÇ.</t>
  </si>
  <si>
    <t xml:space="preserve">CENEVIT 1G 10CP EFERV LARANJA ZERO AC.</t>
  </si>
  <si>
    <t xml:space="preserve">LEGRAND</t>
  </si>
  <si>
    <t xml:space="preserve">565021</t>
  </si>
  <si>
    <t xml:space="preserve">7893454100647</t>
  </si>
  <si>
    <t xml:space="preserve">CETOBETA POM 30G (CETOCONAZOL+BETAMETAS</t>
  </si>
  <si>
    <t xml:space="preserve">CETOBETA 20+0,64+2,5MG/G POM BG 30G</t>
  </si>
  <si>
    <t xml:space="preserve">CELLERA FARMA</t>
  </si>
  <si>
    <t xml:space="preserve">1301</t>
  </si>
  <si>
    <t xml:space="preserve">7899095239340</t>
  </si>
  <si>
    <t xml:space="preserve">CISTEIL GRAN 200MG 16ENV 5G (ACETILCISTE</t>
  </si>
  <si>
    <t xml:space="preserve">CISTEIL 200MG CX 16 ENV X 5G</t>
  </si>
  <si>
    <t xml:space="preserve">GEOLAB</t>
  </si>
  <si>
    <t xml:space="preserve">8341</t>
  </si>
  <si>
    <t xml:space="preserve">7898216360437</t>
  </si>
  <si>
    <t xml:space="preserve">*CLARITROMICINA 500MG 10CP REV (GEN)</t>
  </si>
  <si>
    <t xml:space="preserve">CLARITROMICINA 500MG CX 10 COMP REV</t>
  </si>
  <si>
    <t xml:space="preserve">108921</t>
  </si>
  <si>
    <t xml:space="preserve">7898060131146</t>
  </si>
  <si>
    <t xml:space="preserve">BROMEXINA XPE PED 4MG/5ML 120ML (GEN)</t>
  </si>
  <si>
    <t xml:space="preserve">CLORIDRATO DE BROMEXINA 0,8MG XPE FR 120ML+CM</t>
  </si>
  <si>
    <t xml:space="preserve">GLOBO</t>
  </si>
  <si>
    <t xml:space="preserve">129741</t>
  </si>
  <si>
    <t xml:space="preserve">7898060139920</t>
  </si>
  <si>
    <t xml:space="preserve">CICLOBENZAPRINA 5MG 30CP REV (GEN)</t>
  </si>
  <si>
    <t xml:space="preserve">CLORIDRATO DE CICLOBENZAPRINA 5MG CX 30 COMP REV</t>
  </si>
  <si>
    <t xml:space="preserve">134621</t>
  </si>
  <si>
    <t xml:space="preserve">7896004718453</t>
  </si>
  <si>
    <t xml:space="preserve">CLOTRIMAZOL CREM DERM 10MG/G 20G (GEN)</t>
  </si>
  <si>
    <t xml:space="preserve">CLOTRIMAZOL 10MG CREM BG 20G</t>
  </si>
  <si>
    <t xml:space="preserve">361</t>
  </si>
  <si>
    <t xml:space="preserve">7896004711423</t>
  </si>
  <si>
    <t xml:space="preserve">CLOTRIMAZOL CREM VAG 10MG/G 35G 6APLI (G</t>
  </si>
  <si>
    <t xml:space="preserve">CLOTRIMAZOL 10MG CREM VAG BG 35G+6APLIC</t>
  </si>
  <si>
    <t xml:space="preserve">189241</t>
  </si>
  <si>
    <t xml:space="preserve">7898593053465</t>
  </si>
  <si>
    <t xml:space="preserve">COENZIMA Q10 50MG 60CAPS CAIXA (SUPLEMEN</t>
  </si>
  <si>
    <t xml:space="preserve">COENZIMA Q-10 50MG CX C/60 CAPS</t>
  </si>
  <si>
    <t xml:space="preserve">MIX NUTRI</t>
  </si>
  <si>
    <t xml:space="preserve">657411</t>
  </si>
  <si>
    <t xml:space="preserve">7893454100654</t>
  </si>
  <si>
    <t xml:space="preserve">DERMOSALIC SOL TOP 30ML (BETAMETASONA</t>
  </si>
  <si>
    <t xml:space="preserve">DERMOSALIC SOL TOP FR 30ML</t>
  </si>
  <si>
    <t xml:space="preserve">17621</t>
  </si>
  <si>
    <t xml:space="preserve">7896004726014</t>
  </si>
  <si>
    <t xml:space="preserve">DICLOAIR AEROSOL 11,6MG/G 85ML (DICLOFEN</t>
  </si>
  <si>
    <t xml:space="preserve">DICLOAIR 11,6 FR 60G</t>
  </si>
  <si>
    <t xml:space="preserve">LEGRAND OTC</t>
  </si>
  <si>
    <t xml:space="preserve">211341</t>
  </si>
  <si>
    <t xml:space="preserve">7894916145114</t>
  </si>
  <si>
    <t xml:space="preserve">DOMPERIDONA 10MG 30CP (GEN)</t>
  </si>
  <si>
    <t xml:space="preserve">DOMPERIDONA 10MG CX 2BL X 15 COMP</t>
  </si>
  <si>
    <t xml:space="preserve">229241</t>
  </si>
  <si>
    <t xml:space="preserve">7896004702322</t>
  </si>
  <si>
    <t xml:space="preserve">ENDCOFF 12PAST MEL E LIMAO (DIFE+AMO+SOD</t>
  </si>
  <si>
    <t xml:space="preserve">ENDCOFF CARTELAPAST SB MEL/LIMAO (CAR</t>
  </si>
  <si>
    <t xml:space="preserve">114721</t>
  </si>
  <si>
    <t xml:space="preserve">7896004711034</t>
  </si>
  <si>
    <t xml:space="preserve">ESPIRONOLACTONA 50MG 30CP (GEN)</t>
  </si>
  <si>
    <t xml:space="preserve">ESPIRONOLACTONA 50MG CX 30 COMP</t>
  </si>
  <si>
    <t xml:space="preserve">237021</t>
  </si>
  <si>
    <t xml:space="preserve">7896004812168</t>
  </si>
  <si>
    <t xml:space="preserve">EXPEC XPE 120ML S/AC (OXOM+GUAI+IODE+BEN</t>
  </si>
  <si>
    <t xml:space="preserve">EXPEC XPE FR 120ML</t>
  </si>
  <si>
    <t xml:space="preserve">303461</t>
  </si>
  <si>
    <t xml:space="preserve">QTD LIMITADA (ESTOQUE/Q.MÁX)</t>
  </si>
  <si>
    <t xml:space="preserve">7895296353014</t>
  </si>
  <si>
    <t xml:space="preserve">FUCSIA FEM 3MG+0,03MG 21CP REV (DROSPI</t>
  </si>
  <si>
    <t xml:space="preserve">FUCSIA FEM 3+0,03MG 1BL X 21 COMP REV</t>
  </si>
  <si>
    <t xml:space="preserve">NOVA QUIMICA</t>
  </si>
  <si>
    <t xml:space="preserve">239441</t>
  </si>
  <si>
    <t xml:space="preserve">7896004770185</t>
  </si>
  <si>
    <t xml:space="preserve">GEROVITAL 30CAPS MOLE (PANAX GINSENG+ASS</t>
  </si>
  <si>
    <t xml:space="preserve">GEROVITAL  30 CAPSULAS MOLE</t>
  </si>
  <si>
    <t xml:space="preserve">303521</t>
  </si>
  <si>
    <t xml:space="preserve">7894164009480</t>
  </si>
  <si>
    <t xml:space="preserve">HIDRALI PO 28,97G 4ENV UVA</t>
  </si>
  <si>
    <t xml:space="preserve">HIDRALI 45 PO ENVELOPE CX C/ 4</t>
  </si>
  <si>
    <t xml:space="preserve">AIRELA</t>
  </si>
  <si>
    <t xml:space="preserve">1633</t>
  </si>
  <si>
    <t xml:space="preserve">7894164005406</t>
  </si>
  <si>
    <t xml:space="preserve">HIDRALI SOL ORAL 500ML UVA ROXA</t>
  </si>
  <si>
    <t xml:space="preserve">HIDRALI 500ML UVA ROXA AIRELA</t>
  </si>
  <si>
    <t xml:space="preserve">531501</t>
  </si>
  <si>
    <t xml:space="preserve">7894164009473</t>
  </si>
  <si>
    <t xml:space="preserve">HIDRALI PO 28,29G 4ENV GUARANA</t>
  </si>
  <si>
    <t xml:space="preserve">HIDRALI PO 28,29G  ENVELOPE CX COM 4 (GUARANÁ)</t>
  </si>
  <si>
    <t xml:space="preserve">604151</t>
  </si>
  <si>
    <t xml:space="preserve">7894164009466</t>
  </si>
  <si>
    <t xml:space="preserve">HIDRALI PO 28,29G 4ENV LARANJA</t>
  </si>
  <si>
    <t xml:space="preserve">HIDRALI PO 28,29G 4ENV LARANJA SOL</t>
  </si>
  <si>
    <t xml:space="preserve">602561</t>
  </si>
  <si>
    <t xml:space="preserve">7894164009510</t>
  </si>
  <si>
    <t xml:space="preserve">HIDRALI  PO SOL 28,29G 4EN NATURAL SOL</t>
  </si>
  <si>
    <t xml:space="preserve">HIDRALI PO NATURAL  UND</t>
  </si>
  <si>
    <t xml:space="preserve">604091</t>
  </si>
  <si>
    <t xml:space="preserve">7894164005413</t>
  </si>
  <si>
    <t xml:space="preserve">HIDRALI SOL ORAL 500ML GUARANA</t>
  </si>
  <si>
    <t xml:space="preserve">HIDRALI SABOR GUARANA 500MLFR</t>
  </si>
  <si>
    <t xml:space="preserve">634181</t>
  </si>
  <si>
    <t xml:space="preserve">7896004756721</t>
  </si>
  <si>
    <t xml:space="preserve">INALAJET 32MCG SUS SPRAY NASAL 8,5ML (BU</t>
  </si>
  <si>
    <t xml:space="preserve">INALAJET 32MCG SUS SPR NAS</t>
  </si>
  <si>
    <t xml:space="preserve">LEGRAND PHARMA</t>
  </si>
  <si>
    <t xml:space="preserve">68741</t>
  </si>
  <si>
    <t xml:space="preserve">7896472502745</t>
  </si>
  <si>
    <t xml:space="preserve">KELTRINA 5% PLUS 50MG/ML 60ML LOCAO CREM</t>
  </si>
  <si>
    <t xml:space="preserve">KELTRINA PLUS 5% LOCAO 60ML</t>
  </si>
  <si>
    <t xml:space="preserve">MULTILAB</t>
  </si>
  <si>
    <t xml:space="preserve">403121</t>
  </si>
  <si>
    <t xml:space="preserve">7896004768465</t>
  </si>
  <si>
    <t xml:space="preserve">LACTULIV 667MG/ML 120ML AMEIXA (LACTULOS</t>
  </si>
  <si>
    <t xml:space="preserve">549281</t>
  </si>
  <si>
    <t xml:space="preserve">7894164010301</t>
  </si>
  <si>
    <t xml:space="preserve">LORATADINA XPE 1MG/ML 100ML</t>
  </si>
  <si>
    <t xml:space="preserve">LORATADINA 1MG/ML 100ML XPE UN</t>
  </si>
  <si>
    <t xml:space="preserve">616271</t>
  </si>
  <si>
    <t xml:space="preserve">7894164005727</t>
  </si>
  <si>
    <t xml:space="preserve">MAGMILK TRAD 80MG/ML 100ML(HIDROXIDO DE</t>
  </si>
  <si>
    <t xml:space="preserve">MAGMILK TRADICIONAL 80MG/ML 100ML(ARL)</t>
  </si>
  <si>
    <t xml:space="preserve">542681</t>
  </si>
  <si>
    <t xml:space="preserve">7894164008551</t>
  </si>
  <si>
    <t xml:space="preserve">MELATONINA  GTS 20ML SABOR MARACUJA</t>
  </si>
  <si>
    <t xml:space="preserve">MELATONINA 210MCG 20ML GTS</t>
  </si>
  <si>
    <t xml:space="preserve">3573</t>
  </si>
  <si>
    <t xml:space="preserve">7898216366583</t>
  </si>
  <si>
    <t xml:space="preserve">MELOXICAM 15MG 10CP (GEN)</t>
  </si>
  <si>
    <t xml:space="preserve">MELOXICAM 15MG CX 10 COMP</t>
  </si>
  <si>
    <t xml:space="preserve">339301</t>
  </si>
  <si>
    <t xml:space="preserve">7896004703480</t>
  </si>
  <si>
    <t xml:space="preserve">METILDOPA 250MG 30CP REV (GEN)</t>
  </si>
  <si>
    <t xml:space="preserve">METILDOPA 250MG CX 30 COMP REV</t>
  </si>
  <si>
    <t xml:space="preserve">701</t>
  </si>
  <si>
    <t xml:space="preserve">7894164011483</t>
  </si>
  <si>
    <t xml:space="preserve">MERTICURE SPRAY 10MG/ML 45ML (CLOREXIDI</t>
  </si>
  <si>
    <t xml:space="preserve">METIOCURE 10MG 45ML SPRAY</t>
  </si>
  <si>
    <t xml:space="preserve">639011</t>
  </si>
  <si>
    <t xml:space="preserve">7899095202306</t>
  </si>
  <si>
    <t xml:space="preserve">*METRONIDAZOL GEL VAG 100MG/G 50G 10APLI</t>
  </si>
  <si>
    <t xml:space="preserve">METRONIDAZOL 100MG GEL BG 50G+10APLIC</t>
  </si>
  <si>
    <t xml:space="preserve">347021</t>
  </si>
  <si>
    <t xml:space="preserve">7896004714578</t>
  </si>
  <si>
    <t xml:space="preserve">NARIDRIN 12 HORAS 30ML (NAFAZOLINA+MEPIR</t>
  </si>
  <si>
    <t xml:space="preserve">NARIDRIN 12HS FR 30ML</t>
  </si>
  <si>
    <t xml:space="preserve">161381</t>
  </si>
  <si>
    <t xml:space="preserve">7896004803456</t>
  </si>
  <si>
    <t xml:space="preserve">NARIDRIN 12 HORAS 15ML (NAFAZOLINA+MEPIR</t>
  </si>
  <si>
    <t xml:space="preserve">NARIDRIN SOL FR 15ML ADU</t>
  </si>
  <si>
    <t xml:space="preserve">161341</t>
  </si>
  <si>
    <t xml:space="preserve">7896004711195</t>
  </si>
  <si>
    <t xml:space="preserve">NISTATINA+OXIDO DE ZINCO 60G (GEN)</t>
  </si>
  <si>
    <t xml:space="preserve">NISTATINA+OXIDO DE ZINCO 100MUI+200MG POM BG 60G</t>
  </si>
  <si>
    <t xml:space="preserve">363641</t>
  </si>
  <si>
    <t xml:space="preserve">7896004750354</t>
  </si>
  <si>
    <t xml:space="preserve">OLMESARTANA+HIDROCLOR 40/25MG 30CP (GE</t>
  </si>
  <si>
    <t xml:space="preserve">OLMESART.+HCTZ 40+25MG CX 3BL X 10 COMP REV</t>
  </si>
  <si>
    <t xml:space="preserve">491681</t>
  </si>
  <si>
    <t xml:space="preserve">7891317121235</t>
  </si>
  <si>
    <t xml:space="preserve">OLMESARTANA MEDOXOMILA 40MG 30CP (GEN)</t>
  </si>
  <si>
    <t xml:space="preserve">OLMESARTANA  MEDOXOMILA 40MG CX 30 COMP REV</t>
  </si>
  <si>
    <t xml:space="preserve">EUROFARMA</t>
  </si>
  <si>
    <t xml:space="preserve">375501</t>
  </si>
  <si>
    <t xml:space="preserve">7899095202832</t>
  </si>
  <si>
    <t xml:space="preserve">OLMESARTANA 20MG 30CP REV (GEN)</t>
  </si>
  <si>
    <t xml:space="preserve">OLMESARTANA 20MG CX 30 COMP REV</t>
  </si>
  <si>
    <t xml:space="preserve">661101</t>
  </si>
  <si>
    <t xml:space="preserve">7899095202818</t>
  </si>
  <si>
    <t xml:space="preserve">OLMESARTANA 40MG 30CP REV (GEN)</t>
  </si>
  <si>
    <t xml:space="preserve">OLMESARTANA 40MG CX 30 COMP REV</t>
  </si>
  <si>
    <t xml:space="preserve">661111</t>
  </si>
  <si>
    <t xml:space="preserve">7898216362189</t>
  </si>
  <si>
    <t xml:space="preserve">PIROXICAM 20MG 10CAPS (GEN)</t>
  </si>
  <si>
    <t xml:space="preserve">PIROXICAM 20MG CX 10 CAP</t>
  </si>
  <si>
    <t xml:space="preserve">404881</t>
  </si>
  <si>
    <t xml:space="preserve">7894916325899</t>
  </si>
  <si>
    <t xml:space="preserve">REPOFLOR 250MG 06 SACHES (SACCHAROMYCES</t>
  </si>
  <si>
    <t xml:space="preserve">REPOFLOR 250/250MG CX 6 SACHES</t>
  </si>
  <si>
    <t xml:space="preserve">666461</t>
  </si>
  <si>
    <t xml:space="preserve">7896004769943</t>
  </si>
  <si>
    <t xml:space="preserve">REPOFLOR 250MG 5BI10SACHES ABACAXI (SACC</t>
  </si>
  <si>
    <t xml:space="preserve">REPOFLOR 250MG CX 10 SACHES</t>
  </si>
  <si>
    <t xml:space="preserve">624511</t>
  </si>
  <si>
    <t xml:space="preserve">7896004703954</t>
  </si>
  <si>
    <t xml:space="preserve">REPOPIL 0,035+2MG 21CP REV (CIPROT+ETINI</t>
  </si>
  <si>
    <t xml:space="preserve">REPOPIL 35 2+0,035MG CX 21 COMP REV</t>
  </si>
  <si>
    <t xml:space="preserve">4701</t>
  </si>
  <si>
    <t xml:space="preserve">7899620911857</t>
  </si>
  <si>
    <t xml:space="preserve">SECNIDAZOL 1000MG 2CP (GEN)</t>
  </si>
  <si>
    <t xml:space="preserve">SECNIDAZOL 1000MG CX 2 COMP</t>
  </si>
  <si>
    <t xml:space="preserve">431481</t>
  </si>
  <si>
    <t xml:space="preserve">7898060138220</t>
  </si>
  <si>
    <t xml:space="preserve">SECNIMAX 1000MG 2CP (SECNIDAZOL)</t>
  </si>
  <si>
    <t xml:space="preserve">SECNIMAX 1000MG CX 2 COMP</t>
  </si>
  <si>
    <t xml:space="preserve">432121</t>
  </si>
  <si>
    <t xml:space="preserve">7894916325677</t>
  </si>
  <si>
    <t xml:space="preserve">SUAVICID CREM 10G (HIDROQU+TRETI+ACETONI</t>
  </si>
  <si>
    <t xml:space="preserve">SUAVICID CREME 10G</t>
  </si>
  <si>
    <t xml:space="preserve">624521</t>
  </si>
  <si>
    <t xml:space="preserve">7896004726694</t>
  </si>
  <si>
    <t xml:space="preserve">SUAVICID CREM 15G (HIDROQU+TRETI+ACETONI</t>
  </si>
  <si>
    <t xml:space="preserve">SUAVICID CREME BG 15G</t>
  </si>
  <si>
    <t xml:space="preserve">468821</t>
  </si>
  <si>
    <t xml:space="preserve">7894916149662</t>
  </si>
  <si>
    <t xml:space="preserve">TADALAFILA 5MG 30CP REV (GEN)</t>
  </si>
  <si>
    <t xml:space="preserve">TADALAFILA 5MG CX 30 COMP REV</t>
  </si>
  <si>
    <t xml:space="preserve">456921</t>
  </si>
  <si>
    <t xml:space="preserve">7899095232655</t>
  </si>
  <si>
    <t xml:space="preserve">TIOCONAZOL+TINIDAZOL CREM VAG 35G+7APLIC</t>
  </si>
  <si>
    <t xml:space="preserve">TIOCONAZOL+TINIDAZOL 20+30MG CREME VAG 35G+7APLIC</t>
  </si>
  <si>
    <t xml:space="preserve">463701</t>
  </si>
  <si>
    <t xml:space="preserve">7894916145541</t>
  </si>
  <si>
    <t xml:space="preserve">*TOBRAMICINA SOL OFTAL 3MG/ML 5ML (GEN)</t>
  </si>
  <si>
    <t xml:space="preserve">TOBRAMICINA 3MG SOL OFT FR 5ML</t>
  </si>
  <si>
    <t xml:space="preserve">464681</t>
  </si>
  <si>
    <t xml:space="preserve">7894164007127</t>
  </si>
  <si>
    <t xml:space="preserve">VITAXON C IMUNO TRIPLA ACAO 30CP REV</t>
  </si>
  <si>
    <t xml:space="preserve">VITAXON C TRIPLA ACAO IMUNO C/30 CPR.</t>
  </si>
  <si>
    <t xml:space="preserve">4053</t>
  </si>
  <si>
    <t xml:space="preserve">TOTAL</t>
  </si>
  <si>
    <t xml:space="preserve">Observações:</t>
  </si>
  <si>
    <t xml:space="preserve">• Prazo de pagamento solicitado: MÍNIMO 45 DIAS — preferência até 90 DIAS (ex.: 45/60/75/90 dd ou 90 dd direto)</t>
  </si>
  <si>
    <t xml:space="preserve">• Quantidades em CAIXAS fechadas (não comprar fração).</t>
  </si>
  <si>
    <t xml:space="preserve">• Preços conforme oferta vigente em 20/10/2026. Favor confirmar preço, prazo e disponibilidade antes do faturamento.</t>
  </si>
  <si>
    <t xml:space="preserve">• Itens sem estoque total: faturar o disponível e informar o saldo.</t>
  </si>
  <si>
    <t xml:space="preserve">PEDIDO DE COMPRA — PALMED — setor MAB</t>
  </si>
  <si>
    <t xml:space="preserve">PALMED — setor MAB</t>
  </si>
  <si>
    <t xml:space="preserve">7894164008735</t>
  </si>
  <si>
    <t xml:space="preserve">ABIDOR GTS 200MG/ML 15ML TUTTI-FRUT (PAR</t>
  </si>
  <si>
    <t xml:space="preserve">ABIDOR GTS 200MG/ML 15ML TUTTI-FRUTTI</t>
  </si>
  <si>
    <t xml:space="preserve">563221</t>
  </si>
  <si>
    <t xml:space="preserve">7899095201354</t>
  </si>
  <si>
    <t xml:space="preserve">ALBEL 400MG 3CP MAST (ALBENDAZOL)</t>
  </si>
  <si>
    <t xml:space="preserve">ALBEL 400MG CX 03 COMP.</t>
  </si>
  <si>
    <t xml:space="preserve">573221</t>
  </si>
  <si>
    <t xml:space="preserve">7896004719597</t>
  </si>
  <si>
    <t xml:space="preserve">*AMOX+CLAV.POT. 875/125MG 14CP REV (GEN)</t>
  </si>
  <si>
    <t xml:space="preserve">AMOXICILINA+CLAV POTASSIO 875+125MG CX 14 COMP REV</t>
  </si>
  <si>
    <t xml:space="preserve">109341</t>
  </si>
  <si>
    <t xml:space="preserve">7899620910584</t>
  </si>
  <si>
    <t xml:space="preserve">APETISINA BC UVA 240ML (VITAMINAS A+C+M</t>
  </si>
  <si>
    <t xml:space="preserve">APETISINA BC 240ML UVA</t>
  </si>
  <si>
    <t xml:space="preserve">547741</t>
  </si>
  <si>
    <t xml:space="preserve">7896004705781</t>
  </si>
  <si>
    <t xml:space="preserve">ATENOLOL 25MG 30CP (GEN)</t>
  </si>
  <si>
    <t xml:space="preserve">ATENOLOL 25MG CX 30 COMP</t>
  </si>
  <si>
    <t xml:space="preserve">39481</t>
  </si>
  <si>
    <t xml:space="preserve">7898216365708</t>
  </si>
  <si>
    <t xml:space="preserve">*AZITROMICINA DI-HIDRATADA 500MG 5CP REV</t>
  </si>
  <si>
    <t xml:space="preserve">AZITROMICINA DI-HIDRATADA 500MG CX 5 COMP REV</t>
  </si>
  <si>
    <t xml:space="preserve">47221</t>
  </si>
  <si>
    <t xml:space="preserve">7898216364510</t>
  </si>
  <si>
    <t xml:space="preserve">*AZITROPHAR 200MG/5ML 600MG PO SUSP+SER</t>
  </si>
  <si>
    <t xml:space="preserve">AZITROPHAR 600MG PO SUS OR FR 15ML + SER DOS 5ML</t>
  </si>
  <si>
    <t xml:space="preserve">47701</t>
  </si>
  <si>
    <t xml:space="preserve">7899095204430</t>
  </si>
  <si>
    <t xml:space="preserve">*BETOGENTA POM 30G (BETAMET+GENTAMICINA)</t>
  </si>
  <si>
    <t xml:space="preserve">BETOGENTA 0,5+1,0MG POM BG 30G</t>
  </si>
  <si>
    <t xml:space="preserve">449241</t>
  </si>
  <si>
    <t xml:space="preserve">7891317017002</t>
  </si>
  <si>
    <t xml:space="preserve">CILOSTAZOL 50MG 30CP (GEN)</t>
  </si>
  <si>
    <t xml:space="preserve">CILOSTAZOL 50MG CX 30 COMP</t>
  </si>
  <si>
    <t xml:space="preserve">619051</t>
  </si>
  <si>
    <t xml:space="preserve">7899095202412</t>
  </si>
  <si>
    <t xml:space="preserve">#CLONAZEPAM (B1) GTS 2,5MG/ML 20ML (GEN)</t>
  </si>
  <si>
    <t xml:space="preserve">CLONAZEPAM 2,5M/ML SOL OR FR GOT 20ML</t>
  </si>
  <si>
    <t xml:space="preserve">112501</t>
  </si>
  <si>
    <t xml:space="preserve">7898060131504</t>
  </si>
  <si>
    <t xml:space="preserve">BROMEXINA AD 120ML 8MG/5ML (GEN)</t>
  </si>
  <si>
    <t xml:space="preserve">CLORIDRATO DE BROMEXINA 1,6MG XPE FR 120ML+CM</t>
  </si>
  <si>
    <t xml:space="preserve">129761</t>
  </si>
  <si>
    <t xml:space="preserve">7898060139951</t>
  </si>
  <si>
    <t xml:space="preserve">CICLOBENZAPRINA 10MG 30CP REV (GEN)</t>
  </si>
  <si>
    <t xml:space="preserve">CLORIDRATO DE CICLOBENZAPRINA 10MG CX 30 COMP REV</t>
  </si>
  <si>
    <t xml:space="preserve">134601</t>
  </si>
  <si>
    <t xml:space="preserve">7898216362431</t>
  </si>
  <si>
    <t xml:space="preserve">PROPRANOLOL 40MG 30CP (GEN)</t>
  </si>
  <si>
    <t xml:space="preserve">CLORIDRATO DE PROPANOLOL 40MG CX 30 COMP</t>
  </si>
  <si>
    <t xml:space="preserve">171281</t>
  </si>
  <si>
    <t xml:space="preserve">7899095242098</t>
  </si>
  <si>
    <t xml:space="preserve">#SERTRALINA (C1) 100MG 30CP REV (GEN)</t>
  </si>
  <si>
    <t xml:space="preserve">CLORIDRATO DE SERTRALINA 100MG CX 30 COMP REV</t>
  </si>
  <si>
    <t xml:space="preserve">174781</t>
  </si>
  <si>
    <t xml:space="preserve">7896004772301</t>
  </si>
  <si>
    <t xml:space="preserve">COMPLEXO B 100CP REV (POLIVITA+POLIMINER</t>
  </si>
  <si>
    <t xml:space="preserve">COMPLEXO B FR 100 COMP REV</t>
  </si>
  <si>
    <t xml:space="preserve">360061</t>
  </si>
  <si>
    <t xml:space="preserve">7893454100661</t>
  </si>
  <si>
    <t xml:space="preserve">DERMOSALIC POM 30G (BETAMETASONA+ACIDO S</t>
  </si>
  <si>
    <t xml:space="preserve">DERMOSALIC 30G POM BG</t>
  </si>
  <si>
    <t xml:space="preserve">821</t>
  </si>
  <si>
    <t xml:space="preserve">7898216367016</t>
  </si>
  <si>
    <t xml:space="preserve">LEVOCETIRIZINA 5MG 10CP REV (GEN)</t>
  </si>
  <si>
    <t xml:space="preserve">DICLORIDRATO DE LEVOCETIRIZINA</t>
  </si>
  <si>
    <t xml:space="preserve">214</t>
  </si>
  <si>
    <t xml:space="preserve">7894916147118</t>
  </si>
  <si>
    <t xml:space="preserve">DROSPERINONA+ETINIL. 3+0,03MG 21CP REV</t>
  </si>
  <si>
    <t xml:space="preserve">DROSPIRENONA+ETINILESTRADIOL 3+0,03MG CX 21 COMP REV</t>
  </si>
  <si>
    <t xml:space="preserve">240161</t>
  </si>
  <si>
    <t xml:space="preserve">7896004708942</t>
  </si>
  <si>
    <t xml:space="preserve">ESPIRONOLACTONA 25MG 30CP (GEN)</t>
  </si>
  <si>
    <t xml:space="preserve">ESPIRONOLACTONA 25MG CX 30 COMP</t>
  </si>
  <si>
    <t xml:space="preserve">236961</t>
  </si>
  <si>
    <t xml:space="preserve">7891317431358</t>
  </si>
  <si>
    <t xml:space="preserve">801</t>
  </si>
  <si>
    <t xml:space="preserve">7899095200531</t>
  </si>
  <si>
    <t xml:space="preserve">FLUCANIL 150MG 2CAPS (FLUCONAZOL)</t>
  </si>
  <si>
    <t xml:space="preserve">FLUCANIL 150MG CX 2 CAP</t>
  </si>
  <si>
    <t xml:space="preserve">250721</t>
  </si>
  <si>
    <t xml:space="preserve">7896004726700</t>
  </si>
  <si>
    <t xml:space="preserve">FOLIFOLIN 5MG 30CP (ACIDO FOLICO)</t>
  </si>
  <si>
    <t xml:space="preserve">FOLIFOLIN 5MG CX 30 COMP</t>
  </si>
  <si>
    <t xml:space="preserve">16301</t>
  </si>
  <si>
    <t xml:space="preserve">7894164007219</t>
  </si>
  <si>
    <t xml:space="preserve">GUACOFLUS XPE 80MG/ML 100ML (MIKANIA GLO</t>
  </si>
  <si>
    <t xml:space="preserve">GUACOFLUS XAROPE 100ML</t>
  </si>
  <si>
    <t xml:space="preserve">AIRELA INDUSTRIA FARMACEUTICA</t>
  </si>
  <si>
    <t xml:space="preserve">570021</t>
  </si>
  <si>
    <t xml:space="preserve">7899095238299</t>
  </si>
  <si>
    <t xml:space="preserve">LATANOPROSTA SOL OFTAL 0,05MG/ML 2,5ML</t>
  </si>
  <si>
    <t xml:space="preserve">LATANOPROSTA 0,05MG/ML SOL OFT X 2,5ML</t>
  </si>
  <si>
    <t xml:space="preserve">314121</t>
  </si>
  <si>
    <t xml:space="preserve">7898060132075</t>
  </si>
  <si>
    <t xml:space="preserve">DEXCLORFENIRAMINA+BETAMET XPE 120ML (GEN</t>
  </si>
  <si>
    <t xml:space="preserve">MAL DEXCLORFENIRAMINA+BETAMETASONA 0,4+0,05MG XPE FR 120ML+CM</t>
  </si>
  <si>
    <t xml:space="preserve">56761</t>
  </si>
  <si>
    <t xml:space="preserve">7899470807362</t>
  </si>
  <si>
    <t xml:space="preserve">MAXALGINA 1G 10CP (DIPIRONA MONOIDRATADA</t>
  </si>
  <si>
    <t xml:space="preserve">MAXALGINA 1 G COM CT BL AL PLAS PVC/PVDC TRANS X 10</t>
  </si>
  <si>
    <t xml:space="preserve">NATULAB LABORATORIO</t>
  </si>
  <si>
    <t xml:space="preserve">519081</t>
  </si>
  <si>
    <t xml:space="preserve">7899898601269</t>
  </si>
  <si>
    <t xml:space="preserve">NATUCLER 60FLAC 10ML ABACAXI (METIONINA+</t>
  </si>
  <si>
    <t xml:space="preserve">NATUCLER ABACAXI 10ML</t>
  </si>
  <si>
    <t xml:space="preserve">579221</t>
  </si>
  <si>
    <t xml:space="preserve">7896004815077</t>
  </si>
  <si>
    <t xml:space="preserve">NATUS GERIN 50CAPS GEL (PANAX GINSENG+PO</t>
  </si>
  <si>
    <t xml:space="preserve">NATUS GERIN CAP GEL MOLE CT BL AL PLAS TRANS X 50</t>
  </si>
  <si>
    <t xml:space="preserve">359461</t>
  </si>
  <si>
    <t xml:space="preserve">7899095202146</t>
  </si>
  <si>
    <t xml:space="preserve">NISTATINA CREM VAG 25000UI/G 60G 14APLIC</t>
  </si>
  <si>
    <t xml:space="preserve">NISTATINA 25MUI CREME VAG BG 60G+14APLIC</t>
  </si>
  <si>
    <t xml:space="preserve">363041</t>
  </si>
  <si>
    <t xml:space="preserve">7899620910485</t>
  </si>
  <si>
    <t xml:space="preserve">NOVOPRAZOL 20MG 56CAPS (OMEPRAZOL)</t>
  </si>
  <si>
    <t xml:space="preserve">NOVOPRAZOL 20MG FR 56 CAP GEL DURA</t>
  </si>
  <si>
    <t xml:space="preserve">235821</t>
  </si>
  <si>
    <t xml:space="preserve">7896004750644</t>
  </si>
  <si>
    <t xml:space="preserve">OLMESARTANA+ANLOD.20/5MG 30CP REV (GEN)</t>
  </si>
  <si>
    <t xml:space="preserve">OLMESARTANA+ANLOD. 20+5MG CX 30 COMP REV</t>
  </si>
  <si>
    <t xml:space="preserve">54141</t>
  </si>
  <si>
    <t xml:space="preserve">7899620912144</t>
  </si>
  <si>
    <t xml:space="preserve">PREDNISONA 20MG 20CP (GEN)</t>
  </si>
  <si>
    <t xml:space="preserve">PREDNISONA 20MG CX 20 COMP</t>
  </si>
  <si>
    <t xml:space="preserve">483381</t>
  </si>
  <si>
    <t xml:space="preserve">7896004773339</t>
  </si>
  <si>
    <t xml:space="preserve">#PREGABALINA (C1) 75MG 30CAPS (GEN)</t>
  </si>
  <si>
    <t xml:space="preserve">PREGABALINA 75MG CX 30 CAP</t>
  </si>
  <si>
    <t xml:space="preserve">510541</t>
  </si>
  <si>
    <t xml:space="preserve">7893454300115</t>
  </si>
  <si>
    <t xml:space="preserve">ACERATUM 100MG/ML SOL OTOL 10ML (CARBAMI</t>
  </si>
  <si>
    <t xml:space="preserve">PV ACERATUM SOL FR 10ML</t>
  </si>
  <si>
    <t xml:space="preserve">403321</t>
  </si>
  <si>
    <t xml:space="preserve">7896004720838</t>
  </si>
  <si>
    <t xml:space="preserve">REPOFLOR 200MG 6CAPS (SACCHAROMYCES BOUL</t>
  </si>
  <si>
    <t xml:space="preserve">REPOFLOR 200MG FR 6 CAP</t>
  </si>
  <si>
    <t xml:space="preserve">315361</t>
  </si>
  <si>
    <t xml:space="preserve">7894916325882</t>
  </si>
  <si>
    <t xml:space="preserve">REPOFLOR 250MG 06CAPS DURA(SACCHAROMYCES</t>
  </si>
  <si>
    <t xml:space="preserve">REPOFLOR 250/250MG FR CAP</t>
  </si>
  <si>
    <t xml:space="preserve">662471</t>
  </si>
  <si>
    <t xml:space="preserve">7899095221284</t>
  </si>
  <si>
    <t xml:space="preserve">RESFRILIV 50ENV 5G SABOR HORTELA+GENGIBR</t>
  </si>
  <si>
    <t xml:space="preserve">RESFRILIV 400+4+4MG CX 50 ENV SB HORTELA/GENGIBRE</t>
  </si>
  <si>
    <t xml:space="preserve">146101</t>
  </si>
  <si>
    <t xml:space="preserve">7898133134784</t>
  </si>
  <si>
    <t xml:space="preserve">*RIFOTRAT SPRAY 10MG/ML 20ML (RIFAMICINA</t>
  </si>
  <si>
    <t xml:space="preserve">RIFOTRAT 10 MG/ML SOL TOP SPRAY CT FR PLAS AMB X 20 ML</t>
  </si>
  <si>
    <t xml:space="preserve">418201</t>
  </si>
  <si>
    <t xml:space="preserve">7896004729640</t>
  </si>
  <si>
    <t xml:space="preserve">ROSUVASTATINA CALCICA 10MG 30CP REV (GEN</t>
  </si>
  <si>
    <t xml:space="preserve">ROSUVASTATINA CALCICA 10MG CX 3BL X 10 COMP REV</t>
  </si>
  <si>
    <t xml:space="preserve">427761</t>
  </si>
  <si>
    <t xml:space="preserve">7899898601788</t>
  </si>
  <si>
    <t xml:space="preserve">SEAKALM MELATONINA SOL ORAL 15ML</t>
  </si>
  <si>
    <t xml:space="preserve">SEAKALM MELATONINA 0,21MG 15ML GTS</t>
  </si>
  <si>
    <t xml:space="preserve">636781</t>
  </si>
  <si>
    <t xml:space="preserve">7898060132730</t>
  </si>
  <si>
    <t xml:space="preserve">SINTAFLAT 40MG 20CP (SIMETICONA)</t>
  </si>
  <si>
    <t xml:space="preserve">SINTAFLAT (N.S.) 40MG CX 20 COMP</t>
  </si>
  <si>
    <t xml:space="preserve">219981</t>
  </si>
  <si>
    <t xml:space="preserve">7899620911079</t>
  </si>
  <si>
    <t xml:space="preserve">SINVASTATINA 40MG 30CP REV (GEN)</t>
  </si>
  <si>
    <t xml:space="preserve">SINVASTATINA 40MG CX 30 COMP REV</t>
  </si>
  <si>
    <t xml:space="preserve">436201</t>
  </si>
  <si>
    <t xml:space="preserve">7894164005802</t>
  </si>
  <si>
    <t xml:space="preserve">SULFERMAX GTS 30ML (SULFATO FERROSO)</t>
  </si>
  <si>
    <t xml:space="preserve">612291</t>
  </si>
  <si>
    <t xml:space="preserve">7893454100715</t>
  </si>
  <si>
    <t xml:space="preserve">TIADOL POM 50MG/G 20G (TIABENDAZOL)</t>
  </si>
  <si>
    <t xml:space="preserve">TIADOL 50MG/G POM DERM BG 20G</t>
  </si>
  <si>
    <t xml:space="preserve">461941</t>
  </si>
  <si>
    <t xml:space="preserve">7899095201378</t>
  </si>
  <si>
    <t xml:space="preserve">TRAXONOL 100MG 15CAPS (ITRACONAZOL)</t>
  </si>
  <si>
    <t xml:space="preserve">TRAXONOL 100MG CX 15 CAP</t>
  </si>
  <si>
    <t xml:space="preserve">306961</t>
  </si>
  <si>
    <t xml:space="preserve">7899095200296</t>
  </si>
  <si>
    <t xml:space="preserve">TRAXONOL 100MG 4CAPS (ITRACONAZOL</t>
  </si>
  <si>
    <t xml:space="preserve">TRAXONOL 100MG CX 4 CAP</t>
  </si>
  <si>
    <t xml:space="preserve">306941</t>
  </si>
  <si>
    <t xml:space="preserve">7898593050488</t>
  </si>
  <si>
    <t xml:space="preserve">VITAMINA B12 60CAPS (SUPLEMENTO VITAMIN</t>
  </si>
  <si>
    <t xml:space="preserve">VITAMINA B-12 100% IDR C/60 CAFR</t>
  </si>
  <si>
    <t xml:space="preserve">PADRAO</t>
  </si>
  <si>
    <t xml:space="preserve">562761</t>
  </si>
  <si>
    <t xml:space="preserve">7894164001132</t>
  </si>
  <si>
    <t xml:space="preserve">VITAXON C 1G 10CP EFERV LARANJA (ACIDO A</t>
  </si>
  <si>
    <t xml:space="preserve">VITAXON C 1G EFERV LARANJA CX C 10 EFER</t>
  </si>
  <si>
    <t xml:space="preserve">532021</t>
  </si>
  <si>
    <t xml:space="preserve">7899470802961</t>
  </si>
  <si>
    <t xml:space="preserve">XAROPE DE GUACO 100ML MEL MENTOL S/ACUCA</t>
  </si>
  <si>
    <t xml:space="preserve">XAROPE DE GUACO 120ML</t>
  </si>
  <si>
    <t xml:space="preserve">555181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</si>
</sst>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R$ &quot;#,##0.00"/>
    <numFmt numFmtId="16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COUNT('Setor CASTANHAL'!A9:A72)</f>
        <v>64</v>
      </c>
      <c r="C5" s="4" t="n">
        <f aca="false">'Setor CASTANHAL'!G73</f>
        <v>628</v>
      </c>
      <c r="D5" s="5" t="n">
        <f aca="false">'Setor CASTANHAL'!I73</f>
        <v>6095.62</v>
      </c>
    </row>
    <row r="6" customFormat="false" ht="15" hidden="false" customHeight="false" outlineLevel="0" collapsed="false">
      <c r="A6" s="4" t="s">
        <v>7</v>
      </c>
      <c r="B6" s="4" t="n">
        <f aca="false">COUNT('Setor MAB'!A9:A57)</f>
        <v>49</v>
      </c>
      <c r="C6" s="4" t="n">
        <f aca="false">'Setor MAB'!G58</f>
        <v>416</v>
      </c>
      <c r="D6" s="5" t="n">
        <f aca="false">'Setor MAB'!I58</f>
        <v>3633.2</v>
      </c>
    </row>
    <row r="7" customFormat="false" ht="15" hidden="false" customHeight="false" outlineLevel="0" collapsed="false">
      <c r="A7" s="6" t="s">
        <v>8</v>
      </c>
      <c r="B7" s="6" t="n">
        <f aca="false">SUM(B5:B6)</f>
        <v>113</v>
      </c>
      <c r="C7" s="6" t="n">
        <f aca="false">SUM(C5:C6)</f>
        <v>1044</v>
      </c>
      <c r="D7" s="7" t="n">
        <f aca="false">SUM(D5:D6)</f>
        <v>9728.82</v>
      </c>
    </row>
    <row r="9" customFormat="false" ht="15" hidden="false" customHeight="false" outlineLevel="0" collapsed="false">
      <c r="A9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9" t="s">
        <v>11</v>
      </c>
      <c r="C2" s="10" t="s">
        <v>12</v>
      </c>
    </row>
    <row r="3" customFormat="false" ht="15" hidden="false" customHeight="false" outlineLevel="0" collapsed="false">
      <c r="A3" s="9" t="s">
        <v>13</v>
      </c>
      <c r="C3" s="10" t="s">
        <v>14</v>
      </c>
    </row>
    <row r="4" customFormat="false" ht="15" hidden="false" customHeight="false" outlineLevel="0" collapsed="false">
      <c r="A4" s="9" t="s">
        <v>15</v>
      </c>
      <c r="C4" s="10" t="s">
        <v>16</v>
      </c>
    </row>
    <row r="5" customFormat="false" ht="15" hidden="false" customHeight="false" outlineLevel="0" collapsed="false">
      <c r="A5" s="9" t="s">
        <v>17</v>
      </c>
      <c r="C5" s="10" t="s">
        <v>18</v>
      </c>
    </row>
    <row r="6" customFormat="false" ht="15" hidden="false" customHeight="false" outlineLevel="0" collapsed="false">
      <c r="A6" s="9" t="s">
        <v>19</v>
      </c>
      <c r="C6" s="11" t="s">
        <v>1</v>
      </c>
    </row>
    <row r="8" customFormat="false" ht="30" hidden="false" customHeight="true" outlineLevel="0" collapsed="false">
      <c r="A8" s="12" t="s">
        <v>20</v>
      </c>
      <c r="B8" s="12" t="s">
        <v>21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2" t="s">
        <v>27</v>
      </c>
      <c r="I8" s="12" t="s">
        <v>28</v>
      </c>
      <c r="J8" s="12" t="s">
        <v>29</v>
      </c>
      <c r="K8" s="12" t="s">
        <v>30</v>
      </c>
    </row>
    <row r="9" customFormat="false" ht="15" hidden="false" customHeight="false" outlineLevel="0" collapsed="false">
      <c r="A9" s="13" t="n">
        <v>1</v>
      </c>
      <c r="B9" s="13" t="n">
        <v>20638</v>
      </c>
      <c r="C9" s="14" t="s">
        <v>31</v>
      </c>
      <c r="D9" s="13" t="s">
        <v>32</v>
      </c>
      <c r="E9" s="13" t="s">
        <v>33</v>
      </c>
      <c r="F9" s="13" t="s">
        <v>34</v>
      </c>
      <c r="G9" s="4" t="n">
        <v>2</v>
      </c>
      <c r="H9" s="5" t="n">
        <v>14.79</v>
      </c>
      <c r="I9" s="5" t="n">
        <f aca="false">G9*H9</f>
        <v>29.58</v>
      </c>
      <c r="J9" s="13" t="s">
        <v>35</v>
      </c>
      <c r="K9" s="13"/>
    </row>
    <row r="10" customFormat="false" ht="15" hidden="false" customHeight="false" outlineLevel="0" collapsed="false">
      <c r="A10" s="13" t="n">
        <v>2</v>
      </c>
      <c r="B10" s="13" t="n">
        <v>4866</v>
      </c>
      <c r="C10" s="14" t="s">
        <v>36</v>
      </c>
      <c r="D10" s="13" t="s">
        <v>37</v>
      </c>
      <c r="E10" s="13" t="s">
        <v>38</v>
      </c>
      <c r="F10" s="13" t="s">
        <v>39</v>
      </c>
      <c r="G10" s="4" t="n">
        <v>14</v>
      </c>
      <c r="H10" s="5" t="n">
        <v>4.25</v>
      </c>
      <c r="I10" s="5" t="n">
        <f aca="false">G10*H10</f>
        <v>59.5</v>
      </c>
      <c r="J10" s="13" t="s">
        <v>40</v>
      </c>
      <c r="K10" s="13"/>
    </row>
    <row r="11" customFormat="false" ht="15" hidden="false" customHeight="false" outlineLevel="0" collapsed="false">
      <c r="A11" s="13" t="n">
        <v>3</v>
      </c>
      <c r="B11" s="13" t="n">
        <v>9787</v>
      </c>
      <c r="C11" s="14" t="s">
        <v>41</v>
      </c>
      <c r="D11" s="13" t="s">
        <v>42</v>
      </c>
      <c r="E11" s="13" t="s">
        <v>43</v>
      </c>
      <c r="F11" s="13" t="s">
        <v>39</v>
      </c>
      <c r="G11" s="4" t="n">
        <v>18</v>
      </c>
      <c r="H11" s="5" t="n">
        <v>39.99</v>
      </c>
      <c r="I11" s="5" t="n">
        <f aca="false">G11*H11</f>
        <v>719.82</v>
      </c>
      <c r="J11" s="13" t="s">
        <v>44</v>
      </c>
      <c r="K11" s="13"/>
    </row>
    <row r="12" customFormat="false" ht="15" hidden="false" customHeight="false" outlineLevel="0" collapsed="false">
      <c r="A12" s="13" t="n">
        <v>4</v>
      </c>
      <c r="B12" s="13" t="n">
        <v>1172</v>
      </c>
      <c r="C12" s="14" t="s">
        <v>45</v>
      </c>
      <c r="D12" s="13" t="s">
        <v>46</v>
      </c>
      <c r="E12" s="13" t="s">
        <v>47</v>
      </c>
      <c r="F12" s="13" t="s">
        <v>48</v>
      </c>
      <c r="G12" s="4" t="n">
        <v>1</v>
      </c>
      <c r="H12" s="5" t="n">
        <v>14.99</v>
      </c>
      <c r="I12" s="5" t="n">
        <f aca="false">G12*H12</f>
        <v>14.99</v>
      </c>
      <c r="J12" s="13" t="s">
        <v>49</v>
      </c>
      <c r="K12" s="13"/>
    </row>
    <row r="13" customFormat="false" ht="15" hidden="false" customHeight="false" outlineLevel="0" collapsed="false">
      <c r="A13" s="13" t="n">
        <v>5</v>
      </c>
      <c r="B13" s="13" t="n">
        <v>4754</v>
      </c>
      <c r="C13" s="14" t="s">
        <v>50</v>
      </c>
      <c r="D13" s="13" t="s">
        <v>51</v>
      </c>
      <c r="E13" s="13" t="s">
        <v>52</v>
      </c>
      <c r="F13" s="13" t="s">
        <v>39</v>
      </c>
      <c r="G13" s="4" t="n">
        <v>1</v>
      </c>
      <c r="H13" s="5" t="n">
        <v>19.99</v>
      </c>
      <c r="I13" s="5" t="n">
        <f aca="false">G13*H13</f>
        <v>19.99</v>
      </c>
      <c r="J13" s="13" t="s">
        <v>53</v>
      </c>
      <c r="K13" s="13"/>
    </row>
    <row r="14" customFormat="false" ht="15" hidden="false" customHeight="false" outlineLevel="0" collapsed="false">
      <c r="A14" s="13" t="n">
        <v>6</v>
      </c>
      <c r="B14" s="13" t="n">
        <v>18245</v>
      </c>
      <c r="C14" s="14" t="s">
        <v>54</v>
      </c>
      <c r="D14" s="13" t="s">
        <v>55</v>
      </c>
      <c r="E14" s="13" t="s">
        <v>56</v>
      </c>
      <c r="F14" s="13" t="s">
        <v>57</v>
      </c>
      <c r="G14" s="4" t="n">
        <v>2</v>
      </c>
      <c r="H14" s="5" t="n">
        <v>41.35</v>
      </c>
      <c r="I14" s="5" t="n">
        <f aca="false">G14*H14</f>
        <v>82.7</v>
      </c>
      <c r="J14" s="13" t="s">
        <v>58</v>
      </c>
      <c r="K14" s="13"/>
    </row>
    <row r="15" customFormat="false" ht="15" hidden="false" customHeight="false" outlineLevel="0" collapsed="false">
      <c r="A15" s="13" t="n">
        <v>7</v>
      </c>
      <c r="B15" s="13" t="n">
        <v>17313</v>
      </c>
      <c r="C15" s="14" t="s">
        <v>59</v>
      </c>
      <c r="D15" s="13" t="s">
        <v>60</v>
      </c>
      <c r="E15" s="13" t="s">
        <v>61</v>
      </c>
      <c r="F15" s="13" t="s">
        <v>57</v>
      </c>
      <c r="G15" s="4" t="n">
        <v>5</v>
      </c>
      <c r="H15" s="5" t="n">
        <v>13.99</v>
      </c>
      <c r="I15" s="5" t="n">
        <f aca="false">G15*H15</f>
        <v>69.95</v>
      </c>
      <c r="J15" s="13" t="s">
        <v>62</v>
      </c>
      <c r="K15" s="13"/>
    </row>
    <row r="16" customFormat="false" ht="15" hidden="false" customHeight="false" outlineLevel="0" collapsed="false">
      <c r="A16" s="13" t="n">
        <v>8</v>
      </c>
      <c r="B16" s="13" t="n">
        <v>12784</v>
      </c>
      <c r="C16" s="14" t="s">
        <v>63</v>
      </c>
      <c r="D16" s="13" t="s">
        <v>64</v>
      </c>
      <c r="E16" s="13" t="s">
        <v>65</v>
      </c>
      <c r="F16" s="13" t="s">
        <v>66</v>
      </c>
      <c r="G16" s="4" t="n">
        <v>11</v>
      </c>
      <c r="H16" s="5" t="n">
        <v>3.77</v>
      </c>
      <c r="I16" s="5" t="n">
        <f aca="false">G16*H16</f>
        <v>41.47</v>
      </c>
      <c r="J16" s="13" t="s">
        <v>67</v>
      </c>
      <c r="K16" s="13"/>
    </row>
    <row r="17" customFormat="false" ht="15" hidden="false" customHeight="false" outlineLevel="0" collapsed="false">
      <c r="A17" s="13" t="n">
        <v>9</v>
      </c>
      <c r="B17" s="13" t="n">
        <v>20656</v>
      </c>
      <c r="C17" s="14" t="s">
        <v>68</v>
      </c>
      <c r="D17" s="13" t="s">
        <v>69</v>
      </c>
      <c r="E17" s="13" t="s">
        <v>70</v>
      </c>
      <c r="F17" s="13" t="s">
        <v>34</v>
      </c>
      <c r="G17" s="4" t="n">
        <v>7</v>
      </c>
      <c r="H17" s="5" t="n">
        <v>16.49</v>
      </c>
      <c r="I17" s="5" t="n">
        <f aca="false">G17*H17</f>
        <v>115.43</v>
      </c>
      <c r="J17" s="13" t="s">
        <v>71</v>
      </c>
      <c r="K17" s="13"/>
    </row>
    <row r="18" customFormat="false" ht="15" hidden="false" customHeight="false" outlineLevel="0" collapsed="false">
      <c r="A18" s="13" t="n">
        <v>10</v>
      </c>
      <c r="B18" s="13" t="n">
        <v>20660</v>
      </c>
      <c r="C18" s="14" t="s">
        <v>72</v>
      </c>
      <c r="D18" s="13" t="s">
        <v>73</v>
      </c>
      <c r="E18" s="13" t="s">
        <v>74</v>
      </c>
      <c r="F18" s="13" t="s">
        <v>34</v>
      </c>
      <c r="G18" s="4" t="n">
        <v>1</v>
      </c>
      <c r="H18" s="5" t="n">
        <v>7.49</v>
      </c>
      <c r="I18" s="5" t="n">
        <f aca="false">G18*H18</f>
        <v>7.49</v>
      </c>
      <c r="J18" s="13" t="s">
        <v>75</v>
      </c>
      <c r="K18" s="13"/>
    </row>
    <row r="19" customFormat="false" ht="15" hidden="false" customHeight="false" outlineLevel="0" collapsed="false">
      <c r="A19" s="13" t="n">
        <v>11</v>
      </c>
      <c r="B19" s="13" t="n">
        <v>16325</v>
      </c>
      <c r="C19" s="14" t="s">
        <v>76</v>
      </c>
      <c r="D19" s="13" t="s">
        <v>77</v>
      </c>
      <c r="E19" s="13" t="s">
        <v>78</v>
      </c>
      <c r="F19" s="13" t="s">
        <v>39</v>
      </c>
      <c r="G19" s="4" t="n">
        <v>4</v>
      </c>
      <c r="H19" s="5" t="n">
        <v>15.49</v>
      </c>
      <c r="I19" s="5" t="n">
        <f aca="false">G19*H19</f>
        <v>61.96</v>
      </c>
      <c r="J19" s="13" t="s">
        <v>79</v>
      </c>
      <c r="K19" s="13"/>
    </row>
    <row r="20" customFormat="false" ht="15" hidden="false" customHeight="false" outlineLevel="0" collapsed="false">
      <c r="A20" s="13" t="n">
        <v>12</v>
      </c>
      <c r="B20" s="13" t="n">
        <v>19547</v>
      </c>
      <c r="C20" s="14" t="s">
        <v>80</v>
      </c>
      <c r="D20" s="13" t="s">
        <v>81</v>
      </c>
      <c r="E20" s="13" t="s">
        <v>82</v>
      </c>
      <c r="F20" s="13" t="s">
        <v>39</v>
      </c>
      <c r="G20" s="4" t="n">
        <v>4</v>
      </c>
      <c r="H20" s="5" t="n">
        <v>7.99</v>
      </c>
      <c r="I20" s="5" t="n">
        <f aca="false">G20*H20</f>
        <v>31.96</v>
      </c>
      <c r="J20" s="13" t="s">
        <v>83</v>
      </c>
      <c r="K20" s="13"/>
    </row>
    <row r="21" customFormat="false" ht="15" hidden="false" customHeight="false" outlineLevel="0" collapsed="false">
      <c r="A21" s="13" t="n">
        <v>13</v>
      </c>
      <c r="B21" s="13" t="n">
        <v>18835</v>
      </c>
      <c r="C21" s="14" t="s">
        <v>84</v>
      </c>
      <c r="D21" s="13" t="s">
        <v>85</v>
      </c>
      <c r="E21" s="13" t="s">
        <v>86</v>
      </c>
      <c r="F21" s="13" t="s">
        <v>87</v>
      </c>
      <c r="G21" s="4" t="n">
        <v>5</v>
      </c>
      <c r="H21" s="5" t="n">
        <v>3.95</v>
      </c>
      <c r="I21" s="5" t="n">
        <f aca="false">G21*H21</f>
        <v>19.75</v>
      </c>
      <c r="J21" s="13" t="s">
        <v>88</v>
      </c>
      <c r="K21" s="13"/>
    </row>
    <row r="22" customFormat="false" ht="15" hidden="false" customHeight="false" outlineLevel="0" collapsed="false">
      <c r="A22" s="13" t="n">
        <v>14</v>
      </c>
      <c r="B22" s="13" t="n">
        <v>464</v>
      </c>
      <c r="C22" s="14" t="s">
        <v>89</v>
      </c>
      <c r="D22" s="13" t="s">
        <v>90</v>
      </c>
      <c r="E22" s="13" t="s">
        <v>91</v>
      </c>
      <c r="F22" s="13" t="s">
        <v>92</v>
      </c>
      <c r="G22" s="4" t="n">
        <v>12</v>
      </c>
      <c r="H22" s="5" t="n">
        <v>7.79</v>
      </c>
      <c r="I22" s="5" t="n">
        <f aca="false">G22*H22</f>
        <v>93.48</v>
      </c>
      <c r="J22" s="13" t="s">
        <v>93</v>
      </c>
      <c r="K22" s="13"/>
    </row>
    <row r="23" customFormat="false" ht="15" hidden="false" customHeight="false" outlineLevel="0" collapsed="false">
      <c r="A23" s="13" t="n">
        <v>15</v>
      </c>
      <c r="B23" s="13" t="n">
        <v>11800</v>
      </c>
      <c r="C23" s="14" t="s">
        <v>94</v>
      </c>
      <c r="D23" s="13" t="s">
        <v>95</v>
      </c>
      <c r="E23" s="13" t="s">
        <v>96</v>
      </c>
      <c r="F23" s="13" t="s">
        <v>97</v>
      </c>
      <c r="G23" s="4" t="n">
        <v>2</v>
      </c>
      <c r="H23" s="5" t="n">
        <v>13.59</v>
      </c>
      <c r="I23" s="5" t="n">
        <f aca="false">G23*H23</f>
        <v>27.18</v>
      </c>
      <c r="J23" s="13" t="s">
        <v>98</v>
      </c>
      <c r="K23" s="13"/>
    </row>
    <row r="24" customFormat="false" ht="15" hidden="false" customHeight="false" outlineLevel="0" collapsed="false">
      <c r="A24" s="13" t="n">
        <v>16</v>
      </c>
      <c r="B24" s="13" t="n">
        <v>20941</v>
      </c>
      <c r="C24" s="14" t="s">
        <v>99</v>
      </c>
      <c r="D24" s="13" t="s">
        <v>100</v>
      </c>
      <c r="E24" s="13" t="s">
        <v>101</v>
      </c>
      <c r="F24" s="13" t="s">
        <v>66</v>
      </c>
      <c r="G24" s="4" t="n">
        <v>2</v>
      </c>
      <c r="H24" s="5" t="n">
        <v>30.89</v>
      </c>
      <c r="I24" s="5" t="n">
        <f aca="false">G24*H24</f>
        <v>61.78</v>
      </c>
      <c r="J24" s="13" t="s">
        <v>102</v>
      </c>
      <c r="K24" s="13"/>
    </row>
    <row r="25" customFormat="false" ht="15" hidden="false" customHeight="false" outlineLevel="0" collapsed="false">
      <c r="A25" s="13" t="n">
        <v>17</v>
      </c>
      <c r="B25" s="13" t="n">
        <v>3543</v>
      </c>
      <c r="C25" s="14" t="s">
        <v>103</v>
      </c>
      <c r="D25" s="13" t="s">
        <v>104</v>
      </c>
      <c r="E25" s="13" t="s">
        <v>105</v>
      </c>
      <c r="F25" s="13" t="s">
        <v>106</v>
      </c>
      <c r="G25" s="4" t="n">
        <v>1</v>
      </c>
      <c r="H25" s="5" t="n">
        <v>6.49</v>
      </c>
      <c r="I25" s="5" t="n">
        <f aca="false">G25*H25</f>
        <v>6.49</v>
      </c>
      <c r="J25" s="13" t="s">
        <v>107</v>
      </c>
      <c r="K25" s="13"/>
    </row>
    <row r="26" customFormat="false" ht="15" hidden="false" customHeight="false" outlineLevel="0" collapsed="false">
      <c r="A26" s="13" t="n">
        <v>18</v>
      </c>
      <c r="B26" s="13" t="n">
        <v>23267</v>
      </c>
      <c r="C26" s="14" t="s">
        <v>108</v>
      </c>
      <c r="D26" s="13" t="s">
        <v>109</v>
      </c>
      <c r="E26" s="13" t="s">
        <v>110</v>
      </c>
      <c r="F26" s="13" t="s">
        <v>106</v>
      </c>
      <c r="G26" s="4" t="n">
        <v>1</v>
      </c>
      <c r="H26" s="5" t="n">
        <v>2.89</v>
      </c>
      <c r="I26" s="5" t="n">
        <f aca="false">G26*H26</f>
        <v>2.89</v>
      </c>
      <c r="J26" s="13" t="s">
        <v>111</v>
      </c>
      <c r="K26" s="13"/>
    </row>
    <row r="27" customFormat="false" ht="15" hidden="false" customHeight="false" outlineLevel="0" collapsed="false">
      <c r="A27" s="13" t="n">
        <v>19</v>
      </c>
      <c r="B27" s="13" t="n">
        <v>19570</v>
      </c>
      <c r="C27" s="14" t="s">
        <v>112</v>
      </c>
      <c r="D27" s="13" t="s">
        <v>113</v>
      </c>
      <c r="E27" s="13" t="s">
        <v>114</v>
      </c>
      <c r="F27" s="13" t="s">
        <v>39</v>
      </c>
      <c r="G27" s="4" t="n">
        <v>3</v>
      </c>
      <c r="H27" s="5" t="n">
        <v>7.59</v>
      </c>
      <c r="I27" s="5" t="n">
        <f aca="false">G27*H27</f>
        <v>22.77</v>
      </c>
      <c r="J27" s="13" t="s">
        <v>115</v>
      </c>
      <c r="K27" s="13"/>
    </row>
    <row r="28" customFormat="false" ht="15" hidden="false" customHeight="false" outlineLevel="0" collapsed="false">
      <c r="A28" s="13" t="n">
        <v>20</v>
      </c>
      <c r="B28" s="13" t="n">
        <v>24878</v>
      </c>
      <c r="C28" s="14" t="s">
        <v>116</v>
      </c>
      <c r="D28" s="13" t="s">
        <v>117</v>
      </c>
      <c r="E28" s="13" t="s">
        <v>118</v>
      </c>
      <c r="F28" s="13" t="s">
        <v>39</v>
      </c>
      <c r="G28" s="4" t="n">
        <v>10</v>
      </c>
      <c r="H28" s="5" t="n">
        <v>20.89</v>
      </c>
      <c r="I28" s="5" t="n">
        <f aca="false">G28*H28</f>
        <v>208.9</v>
      </c>
      <c r="J28" s="13" t="s">
        <v>119</v>
      </c>
      <c r="K28" s="13"/>
    </row>
    <row r="29" customFormat="false" ht="15" hidden="false" customHeight="false" outlineLevel="0" collapsed="false">
      <c r="A29" s="13" t="n">
        <v>21</v>
      </c>
      <c r="B29" s="13" t="n">
        <v>23892</v>
      </c>
      <c r="C29" s="14" t="s">
        <v>120</v>
      </c>
      <c r="D29" s="13" t="s">
        <v>121</v>
      </c>
      <c r="E29" s="13" t="s">
        <v>122</v>
      </c>
      <c r="F29" s="13" t="s">
        <v>123</v>
      </c>
      <c r="G29" s="4" t="n">
        <v>2</v>
      </c>
      <c r="H29" s="5" t="n">
        <v>36.85</v>
      </c>
      <c r="I29" s="5" t="n">
        <f aca="false">G29*H29</f>
        <v>73.7</v>
      </c>
      <c r="J29" s="13" t="s">
        <v>124</v>
      </c>
      <c r="K29" s="13"/>
    </row>
    <row r="30" customFormat="false" ht="15" hidden="false" customHeight="false" outlineLevel="0" collapsed="false">
      <c r="A30" s="13" t="n">
        <v>22</v>
      </c>
      <c r="B30" s="13" t="n">
        <v>12535</v>
      </c>
      <c r="C30" s="14" t="s">
        <v>125</v>
      </c>
      <c r="D30" s="13" t="s">
        <v>126</v>
      </c>
      <c r="E30" s="13" t="s">
        <v>127</v>
      </c>
      <c r="F30" s="13" t="s">
        <v>92</v>
      </c>
      <c r="G30" s="4" t="n">
        <v>12</v>
      </c>
      <c r="H30" s="5" t="n">
        <v>12.12</v>
      </c>
      <c r="I30" s="5" t="n">
        <f aca="false">G30*H30</f>
        <v>145.44</v>
      </c>
      <c r="J30" s="13" t="s">
        <v>128</v>
      </c>
      <c r="K30" s="13"/>
    </row>
    <row r="31" customFormat="false" ht="15" hidden="false" customHeight="false" outlineLevel="0" collapsed="false">
      <c r="A31" s="13" t="n">
        <v>23</v>
      </c>
      <c r="B31" s="13" t="n">
        <v>17268</v>
      </c>
      <c r="C31" s="14" t="s">
        <v>129</v>
      </c>
      <c r="D31" s="13" t="s">
        <v>130</v>
      </c>
      <c r="E31" s="13" t="s">
        <v>131</v>
      </c>
      <c r="F31" s="13" t="s">
        <v>132</v>
      </c>
      <c r="G31" s="4" t="n">
        <v>7</v>
      </c>
      <c r="H31" s="5" t="n">
        <v>16.45</v>
      </c>
      <c r="I31" s="5" t="n">
        <f aca="false">G31*H31</f>
        <v>115.15</v>
      </c>
      <c r="J31" s="13" t="s">
        <v>133</v>
      </c>
      <c r="K31" s="13"/>
    </row>
    <row r="32" customFormat="false" ht="15" hidden="false" customHeight="false" outlineLevel="0" collapsed="false">
      <c r="A32" s="13" t="n">
        <v>24</v>
      </c>
      <c r="B32" s="13" t="n">
        <v>17346</v>
      </c>
      <c r="C32" s="14" t="s">
        <v>134</v>
      </c>
      <c r="D32" s="13" t="s">
        <v>135</v>
      </c>
      <c r="E32" s="13" t="s">
        <v>136</v>
      </c>
      <c r="F32" s="13" t="s">
        <v>57</v>
      </c>
      <c r="G32" s="4" t="n">
        <v>1</v>
      </c>
      <c r="H32" s="5" t="n">
        <v>3.79</v>
      </c>
      <c r="I32" s="5" t="n">
        <f aca="false">G32*H32</f>
        <v>3.79</v>
      </c>
      <c r="J32" s="13" t="s">
        <v>137</v>
      </c>
      <c r="K32" s="13"/>
    </row>
    <row r="33" customFormat="false" ht="15" hidden="false" customHeight="false" outlineLevel="0" collapsed="false">
      <c r="A33" s="13" t="n">
        <v>25</v>
      </c>
      <c r="B33" s="13" t="n">
        <v>20815</v>
      </c>
      <c r="C33" s="14" t="s">
        <v>138</v>
      </c>
      <c r="D33" s="13" t="s">
        <v>139</v>
      </c>
      <c r="E33" s="13" t="s">
        <v>140</v>
      </c>
      <c r="F33" s="13" t="s">
        <v>34</v>
      </c>
      <c r="G33" s="4" t="n">
        <v>2</v>
      </c>
      <c r="H33" s="5" t="n">
        <v>12.49</v>
      </c>
      <c r="I33" s="5" t="n">
        <f aca="false">G33*H33</f>
        <v>24.98</v>
      </c>
      <c r="J33" s="13" t="s">
        <v>141</v>
      </c>
      <c r="K33" s="13"/>
    </row>
    <row r="34" customFormat="false" ht="15" hidden="false" customHeight="false" outlineLevel="0" collapsed="false">
      <c r="A34" s="13" t="n">
        <v>26</v>
      </c>
      <c r="B34" s="13" t="n">
        <v>4821</v>
      </c>
      <c r="C34" s="14" t="s">
        <v>142</v>
      </c>
      <c r="D34" s="13" t="s">
        <v>143</v>
      </c>
      <c r="E34" s="13" t="s">
        <v>144</v>
      </c>
      <c r="F34" s="13" t="s">
        <v>39</v>
      </c>
      <c r="G34" s="4" t="n">
        <v>5</v>
      </c>
      <c r="H34" s="5" t="n">
        <v>15.45</v>
      </c>
      <c r="I34" s="5" t="n">
        <f aca="false">G34*H34</f>
        <v>77.25</v>
      </c>
      <c r="J34" s="13" t="s">
        <v>145</v>
      </c>
      <c r="K34" s="13"/>
    </row>
    <row r="35" customFormat="false" ht="15" hidden="false" customHeight="false" outlineLevel="0" collapsed="false">
      <c r="A35" s="13" t="n">
        <v>27</v>
      </c>
      <c r="B35" s="13" t="n">
        <v>12208</v>
      </c>
      <c r="C35" s="14" t="s">
        <v>146</v>
      </c>
      <c r="D35" s="13" t="s">
        <v>147</v>
      </c>
      <c r="E35" s="13" t="s">
        <v>148</v>
      </c>
      <c r="F35" s="13" t="s">
        <v>132</v>
      </c>
      <c r="G35" s="4" t="n">
        <v>15</v>
      </c>
      <c r="H35" s="5" t="n">
        <v>20.99</v>
      </c>
      <c r="I35" s="5" t="n">
        <f aca="false">G35*H35</f>
        <v>314.85</v>
      </c>
      <c r="J35" s="13" t="s">
        <v>149</v>
      </c>
      <c r="K35" s="13" t="s">
        <v>150</v>
      </c>
    </row>
    <row r="36" customFormat="false" ht="15" hidden="false" customHeight="false" outlineLevel="0" collapsed="false">
      <c r="A36" s="13" t="n">
        <v>28</v>
      </c>
      <c r="B36" s="13" t="n">
        <v>12564</v>
      </c>
      <c r="C36" s="14" t="s">
        <v>151</v>
      </c>
      <c r="D36" s="13" t="s">
        <v>152</v>
      </c>
      <c r="E36" s="13" t="s">
        <v>153</v>
      </c>
      <c r="F36" s="13" t="s">
        <v>154</v>
      </c>
      <c r="G36" s="4" t="n">
        <v>1</v>
      </c>
      <c r="H36" s="5" t="n">
        <v>9.79</v>
      </c>
      <c r="I36" s="5" t="n">
        <f aca="false">G36*H36</f>
        <v>9.79</v>
      </c>
      <c r="J36" s="13" t="s">
        <v>155</v>
      </c>
      <c r="K36" s="13"/>
    </row>
    <row r="37" customFormat="false" ht="15" hidden="false" customHeight="false" outlineLevel="0" collapsed="false">
      <c r="A37" s="13" t="n">
        <v>29</v>
      </c>
      <c r="B37" s="13" t="n">
        <v>20838</v>
      </c>
      <c r="C37" s="14" t="s">
        <v>156</v>
      </c>
      <c r="D37" s="13" t="s">
        <v>157</v>
      </c>
      <c r="E37" s="13" t="s">
        <v>158</v>
      </c>
      <c r="F37" s="13" t="s">
        <v>34</v>
      </c>
      <c r="G37" s="4" t="n">
        <v>3</v>
      </c>
      <c r="H37" s="5" t="n">
        <v>36.99</v>
      </c>
      <c r="I37" s="5" t="n">
        <f aca="false">G37*H37</f>
        <v>110.97</v>
      </c>
      <c r="J37" s="13" t="s">
        <v>159</v>
      </c>
      <c r="K37" s="13"/>
    </row>
    <row r="38" customFormat="false" ht="15" hidden="false" customHeight="false" outlineLevel="0" collapsed="false">
      <c r="A38" s="13" t="n">
        <v>30</v>
      </c>
      <c r="B38" s="13" t="n">
        <v>23310</v>
      </c>
      <c r="C38" s="14" t="s">
        <v>160</v>
      </c>
      <c r="D38" s="13" t="s">
        <v>161</v>
      </c>
      <c r="E38" s="13" t="s">
        <v>162</v>
      </c>
      <c r="F38" s="13" t="s">
        <v>163</v>
      </c>
      <c r="G38" s="4" t="n">
        <v>2</v>
      </c>
      <c r="H38" s="5" t="n">
        <v>8.6</v>
      </c>
      <c r="I38" s="5" t="n">
        <f aca="false">G38*H38</f>
        <v>17.2</v>
      </c>
      <c r="J38" s="13" t="s">
        <v>164</v>
      </c>
      <c r="K38" s="13"/>
    </row>
    <row r="39" customFormat="false" ht="15" hidden="false" customHeight="false" outlineLevel="0" collapsed="false">
      <c r="A39" s="13" t="n">
        <v>31</v>
      </c>
      <c r="B39" s="13" t="n">
        <v>18771</v>
      </c>
      <c r="C39" s="14" t="s">
        <v>165</v>
      </c>
      <c r="D39" s="13" t="s">
        <v>166</v>
      </c>
      <c r="E39" s="13" t="s">
        <v>167</v>
      </c>
      <c r="F39" s="13" t="s">
        <v>163</v>
      </c>
      <c r="G39" s="4" t="n">
        <v>2</v>
      </c>
      <c r="H39" s="5" t="n">
        <v>8.05</v>
      </c>
      <c r="I39" s="5" t="n">
        <f aca="false">G39*H39</f>
        <v>16.1</v>
      </c>
      <c r="J39" s="13" t="s">
        <v>168</v>
      </c>
      <c r="K39" s="13"/>
    </row>
    <row r="40" customFormat="false" ht="15" hidden="false" customHeight="false" outlineLevel="0" collapsed="false">
      <c r="A40" s="13" t="n">
        <v>32</v>
      </c>
      <c r="B40" s="13" t="n">
        <v>23160</v>
      </c>
      <c r="C40" s="14" t="s">
        <v>169</v>
      </c>
      <c r="D40" s="13" t="s">
        <v>170</v>
      </c>
      <c r="E40" s="13" t="s">
        <v>171</v>
      </c>
      <c r="F40" s="13" t="s">
        <v>163</v>
      </c>
      <c r="G40" s="4" t="n">
        <v>12</v>
      </c>
      <c r="H40" s="5" t="n">
        <v>8.6</v>
      </c>
      <c r="I40" s="5" t="n">
        <f aca="false">G40*H40</f>
        <v>103.2</v>
      </c>
      <c r="J40" s="13" t="s">
        <v>172</v>
      </c>
      <c r="K40" s="13"/>
    </row>
    <row r="41" customFormat="false" ht="15" hidden="false" customHeight="false" outlineLevel="0" collapsed="false">
      <c r="A41" s="13" t="n">
        <v>33</v>
      </c>
      <c r="B41" s="13" t="n">
        <v>23139</v>
      </c>
      <c r="C41" s="14" t="s">
        <v>173</v>
      </c>
      <c r="D41" s="13" t="s">
        <v>174</v>
      </c>
      <c r="E41" s="13" t="s">
        <v>175</v>
      </c>
      <c r="F41" s="13" t="s">
        <v>163</v>
      </c>
      <c r="G41" s="4" t="n">
        <v>7</v>
      </c>
      <c r="H41" s="5" t="n">
        <v>8.6</v>
      </c>
      <c r="I41" s="5" t="n">
        <f aca="false">G41*H41</f>
        <v>60.2</v>
      </c>
      <c r="J41" s="13" t="s">
        <v>176</v>
      </c>
      <c r="K41" s="13"/>
    </row>
    <row r="42" customFormat="false" ht="15" hidden="false" customHeight="false" outlineLevel="0" collapsed="false">
      <c r="A42" s="13" t="n">
        <v>34</v>
      </c>
      <c r="B42" s="13" t="n">
        <v>23123</v>
      </c>
      <c r="C42" s="14" t="s">
        <v>177</v>
      </c>
      <c r="D42" s="13" t="s">
        <v>178</v>
      </c>
      <c r="E42" s="13" t="s">
        <v>179</v>
      </c>
      <c r="F42" s="13" t="s">
        <v>163</v>
      </c>
      <c r="G42" s="4" t="n">
        <v>2</v>
      </c>
      <c r="H42" s="5" t="n">
        <v>8.6</v>
      </c>
      <c r="I42" s="5" t="n">
        <f aca="false">G42*H42</f>
        <v>17.2</v>
      </c>
      <c r="J42" s="13" t="s">
        <v>180</v>
      </c>
      <c r="K42" s="13"/>
    </row>
    <row r="43" customFormat="false" ht="15" hidden="false" customHeight="false" outlineLevel="0" collapsed="false">
      <c r="A43" s="13" t="n">
        <v>35</v>
      </c>
      <c r="B43" s="13" t="n">
        <v>18766</v>
      </c>
      <c r="C43" s="14" t="s">
        <v>181</v>
      </c>
      <c r="D43" s="13" t="s">
        <v>182</v>
      </c>
      <c r="E43" s="13" t="s">
        <v>183</v>
      </c>
      <c r="F43" s="13" t="s">
        <v>163</v>
      </c>
      <c r="G43" s="4" t="n">
        <v>4</v>
      </c>
      <c r="H43" s="5" t="n">
        <v>8.05</v>
      </c>
      <c r="I43" s="5" t="n">
        <f aca="false">G43*H43</f>
        <v>32.2</v>
      </c>
      <c r="J43" s="13" t="s">
        <v>184</v>
      </c>
      <c r="K43" s="13"/>
    </row>
    <row r="44" customFormat="false" ht="15" hidden="false" customHeight="false" outlineLevel="0" collapsed="false">
      <c r="A44" s="13" t="n">
        <v>36</v>
      </c>
      <c r="B44" s="13" t="n">
        <v>17198</v>
      </c>
      <c r="C44" s="14" t="s">
        <v>185</v>
      </c>
      <c r="D44" s="13" t="s">
        <v>186</v>
      </c>
      <c r="E44" s="13" t="s">
        <v>187</v>
      </c>
      <c r="F44" s="13" t="s">
        <v>188</v>
      </c>
      <c r="G44" s="4" t="n">
        <v>6</v>
      </c>
      <c r="H44" s="5" t="n">
        <v>18.65</v>
      </c>
      <c r="I44" s="5" t="n">
        <f aca="false">G44*H44</f>
        <v>111.9</v>
      </c>
      <c r="J44" s="13" t="s">
        <v>189</v>
      </c>
      <c r="K44" s="13"/>
    </row>
    <row r="45" customFormat="false" ht="15" hidden="false" customHeight="false" outlineLevel="0" collapsed="false">
      <c r="A45" s="13" t="n">
        <v>37</v>
      </c>
      <c r="B45" s="13" t="n">
        <v>588</v>
      </c>
      <c r="C45" s="14" t="s">
        <v>190</v>
      </c>
      <c r="D45" s="13" t="s">
        <v>191</v>
      </c>
      <c r="E45" s="13" t="s">
        <v>192</v>
      </c>
      <c r="F45" s="13" t="s">
        <v>193</v>
      </c>
      <c r="G45" s="4" t="n">
        <v>28</v>
      </c>
      <c r="H45" s="5" t="n">
        <v>9.99</v>
      </c>
      <c r="I45" s="5" t="n">
        <f aca="false">G45*H45</f>
        <v>279.72</v>
      </c>
      <c r="J45" s="13" t="s">
        <v>194</v>
      </c>
      <c r="K45" s="13"/>
    </row>
    <row r="46" customFormat="false" ht="15" hidden="false" customHeight="false" outlineLevel="0" collapsed="false">
      <c r="A46" s="13" t="n">
        <v>38</v>
      </c>
      <c r="B46" s="13" t="n">
        <v>18050</v>
      </c>
      <c r="C46" s="14" t="s">
        <v>195</v>
      </c>
      <c r="D46" s="13" t="s">
        <v>196</v>
      </c>
      <c r="E46" s="13" t="s">
        <v>196</v>
      </c>
      <c r="F46" s="13" t="s">
        <v>193</v>
      </c>
      <c r="G46" s="4" t="n">
        <v>12</v>
      </c>
      <c r="H46" s="5" t="n">
        <v>12.85</v>
      </c>
      <c r="I46" s="5" t="n">
        <f aca="false">G46*H46</f>
        <v>154.2</v>
      </c>
      <c r="J46" s="13" t="s">
        <v>197</v>
      </c>
      <c r="K46" s="13"/>
    </row>
    <row r="47" customFormat="false" ht="15" hidden="false" customHeight="false" outlineLevel="0" collapsed="false">
      <c r="A47" s="13" t="n">
        <v>39</v>
      </c>
      <c r="B47" s="13" t="n">
        <v>23932</v>
      </c>
      <c r="C47" s="14" t="s">
        <v>198</v>
      </c>
      <c r="D47" s="13" t="s">
        <v>199</v>
      </c>
      <c r="E47" s="13" t="s">
        <v>200</v>
      </c>
      <c r="F47" s="13" t="s">
        <v>163</v>
      </c>
      <c r="G47" s="4" t="n">
        <v>2</v>
      </c>
      <c r="H47" s="5" t="n">
        <v>5.6</v>
      </c>
      <c r="I47" s="5" t="n">
        <f aca="false">G47*H47</f>
        <v>11.2</v>
      </c>
      <c r="J47" s="13" t="s">
        <v>201</v>
      </c>
      <c r="K47" s="13"/>
    </row>
    <row r="48" customFormat="false" ht="15" hidden="false" customHeight="false" outlineLevel="0" collapsed="false">
      <c r="A48" s="13" t="n">
        <v>40</v>
      </c>
      <c r="B48" s="13" t="n">
        <v>18568</v>
      </c>
      <c r="C48" s="14" t="s">
        <v>202</v>
      </c>
      <c r="D48" s="13" t="s">
        <v>203</v>
      </c>
      <c r="E48" s="13" t="s">
        <v>204</v>
      </c>
      <c r="F48" s="13" t="s">
        <v>163</v>
      </c>
      <c r="G48" s="4" t="n">
        <v>29</v>
      </c>
      <c r="H48" s="5" t="n">
        <v>4.55</v>
      </c>
      <c r="I48" s="5" t="n">
        <f aca="false">G48*H48</f>
        <v>131.95</v>
      </c>
      <c r="J48" s="13" t="s">
        <v>205</v>
      </c>
      <c r="K48" s="13"/>
    </row>
    <row r="49" customFormat="false" ht="15" hidden="false" customHeight="false" outlineLevel="0" collapsed="false">
      <c r="A49" s="13" t="n">
        <v>41</v>
      </c>
      <c r="B49" s="13" t="n">
        <v>22616</v>
      </c>
      <c r="C49" s="14" t="s">
        <v>206</v>
      </c>
      <c r="D49" s="13" t="s">
        <v>207</v>
      </c>
      <c r="E49" s="13" t="s">
        <v>208</v>
      </c>
      <c r="F49" s="13" t="s">
        <v>163</v>
      </c>
      <c r="G49" s="4" t="n">
        <v>5</v>
      </c>
      <c r="H49" s="5" t="n">
        <v>10.25</v>
      </c>
      <c r="I49" s="5" t="n">
        <f aca="false">G49*H49</f>
        <v>51.25</v>
      </c>
      <c r="J49" s="13" t="s">
        <v>209</v>
      </c>
      <c r="K49" s="13"/>
    </row>
    <row r="50" customFormat="false" ht="15" hidden="false" customHeight="false" outlineLevel="0" collapsed="false">
      <c r="A50" s="13" t="n">
        <v>42</v>
      </c>
      <c r="B50" s="13" t="n">
        <v>19374</v>
      </c>
      <c r="C50" s="14" t="s">
        <v>210</v>
      </c>
      <c r="D50" s="13" t="s">
        <v>211</v>
      </c>
      <c r="E50" s="13" t="s">
        <v>212</v>
      </c>
      <c r="F50" s="13" t="s">
        <v>66</v>
      </c>
      <c r="G50" s="4" t="n">
        <v>9</v>
      </c>
      <c r="H50" s="5" t="n">
        <v>2.07</v>
      </c>
      <c r="I50" s="5" t="n">
        <f aca="false">G50*H50</f>
        <v>18.63</v>
      </c>
      <c r="J50" s="13" t="s">
        <v>213</v>
      </c>
      <c r="K50" s="13"/>
    </row>
    <row r="51" customFormat="false" ht="15" hidden="false" customHeight="false" outlineLevel="0" collapsed="false">
      <c r="A51" s="13" t="n">
        <v>43</v>
      </c>
      <c r="B51" s="13" t="n">
        <v>5085</v>
      </c>
      <c r="C51" s="14" t="s">
        <v>214</v>
      </c>
      <c r="D51" s="13" t="s">
        <v>215</v>
      </c>
      <c r="E51" s="13" t="s">
        <v>216</v>
      </c>
      <c r="F51" s="13" t="s">
        <v>39</v>
      </c>
      <c r="G51" s="4" t="n">
        <v>5</v>
      </c>
      <c r="H51" s="5" t="n">
        <v>22.45</v>
      </c>
      <c r="I51" s="5" t="n">
        <f aca="false">G51*H51</f>
        <v>112.25</v>
      </c>
      <c r="J51" s="13" t="s">
        <v>217</v>
      </c>
      <c r="K51" s="13"/>
    </row>
    <row r="52" customFormat="false" ht="15" hidden="false" customHeight="false" outlineLevel="0" collapsed="false">
      <c r="A52" s="13" t="n">
        <v>44</v>
      </c>
      <c r="B52" s="13" t="n">
        <v>25626</v>
      </c>
      <c r="C52" s="14" t="s">
        <v>218</v>
      </c>
      <c r="D52" s="13" t="s">
        <v>219</v>
      </c>
      <c r="E52" s="13" t="s">
        <v>220</v>
      </c>
      <c r="F52" s="13" t="s">
        <v>163</v>
      </c>
      <c r="G52" s="4" t="n">
        <v>1</v>
      </c>
      <c r="H52" s="5" t="n">
        <v>7.95</v>
      </c>
      <c r="I52" s="5" t="n">
        <f aca="false">G52*H52</f>
        <v>7.95</v>
      </c>
      <c r="J52" s="13" t="s">
        <v>221</v>
      </c>
      <c r="K52" s="13"/>
    </row>
    <row r="53" customFormat="false" ht="15" hidden="false" customHeight="false" outlineLevel="0" collapsed="false">
      <c r="A53" s="13" t="n">
        <v>45</v>
      </c>
      <c r="B53" s="13" t="n">
        <v>5947</v>
      </c>
      <c r="C53" s="14" t="s">
        <v>222</v>
      </c>
      <c r="D53" s="13" t="s">
        <v>223</v>
      </c>
      <c r="E53" s="13" t="s">
        <v>224</v>
      </c>
      <c r="F53" s="13" t="s">
        <v>97</v>
      </c>
      <c r="G53" s="4" t="n">
        <v>7</v>
      </c>
      <c r="H53" s="5" t="n">
        <v>10.35</v>
      </c>
      <c r="I53" s="5" t="n">
        <f aca="false">G53*H53</f>
        <v>72.45</v>
      </c>
      <c r="J53" s="13" t="s">
        <v>225</v>
      </c>
      <c r="K53" s="13"/>
    </row>
    <row r="54" customFormat="false" ht="15" hidden="false" customHeight="false" outlineLevel="0" collapsed="false">
      <c r="A54" s="13" t="n">
        <v>46</v>
      </c>
      <c r="B54" s="13" t="n">
        <v>20888</v>
      </c>
      <c r="C54" s="14" t="s">
        <v>226</v>
      </c>
      <c r="D54" s="13" t="s">
        <v>227</v>
      </c>
      <c r="E54" s="13" t="s">
        <v>228</v>
      </c>
      <c r="F54" s="13" t="s">
        <v>34</v>
      </c>
      <c r="G54" s="4" t="n">
        <v>12</v>
      </c>
      <c r="H54" s="5" t="n">
        <v>8.65</v>
      </c>
      <c r="I54" s="5" t="n">
        <f aca="false">G54*H54</f>
        <v>103.8</v>
      </c>
      <c r="J54" s="13" t="s">
        <v>229</v>
      </c>
      <c r="K54" s="13"/>
    </row>
    <row r="55" customFormat="false" ht="15" hidden="false" customHeight="false" outlineLevel="0" collapsed="false">
      <c r="A55" s="13" t="n">
        <v>47</v>
      </c>
      <c r="B55" s="13" t="n">
        <v>20890</v>
      </c>
      <c r="C55" s="14" t="s">
        <v>230</v>
      </c>
      <c r="D55" s="13" t="s">
        <v>231</v>
      </c>
      <c r="E55" s="13" t="s">
        <v>232</v>
      </c>
      <c r="F55" s="13" t="s">
        <v>34</v>
      </c>
      <c r="G55" s="4" t="n">
        <v>5</v>
      </c>
      <c r="H55" s="5" t="n">
        <v>5.39</v>
      </c>
      <c r="I55" s="5" t="n">
        <f aca="false">G55*H55</f>
        <v>26.95</v>
      </c>
      <c r="J55" s="13" t="s">
        <v>233</v>
      </c>
      <c r="K55" s="13"/>
    </row>
    <row r="56" customFormat="false" ht="15" hidden="false" customHeight="false" outlineLevel="0" collapsed="false">
      <c r="A56" s="13" t="n">
        <v>48</v>
      </c>
      <c r="B56" s="13" t="n">
        <v>4845</v>
      </c>
      <c r="C56" s="14" t="s">
        <v>234</v>
      </c>
      <c r="D56" s="13" t="s">
        <v>235</v>
      </c>
      <c r="E56" s="13" t="s">
        <v>236</v>
      </c>
      <c r="F56" s="13" t="s">
        <v>39</v>
      </c>
      <c r="G56" s="4" t="n">
        <v>37</v>
      </c>
      <c r="H56" s="5" t="n">
        <v>12.19</v>
      </c>
      <c r="I56" s="5" t="n">
        <f aca="false">G56*H56</f>
        <v>451.03</v>
      </c>
      <c r="J56" s="13" t="s">
        <v>237</v>
      </c>
      <c r="K56" s="13"/>
    </row>
    <row r="57" customFormat="false" ht="15" hidden="false" customHeight="false" outlineLevel="0" collapsed="false">
      <c r="A57" s="13" t="n">
        <v>49</v>
      </c>
      <c r="B57" s="13" t="n">
        <v>22120</v>
      </c>
      <c r="C57" s="14" t="s">
        <v>238</v>
      </c>
      <c r="D57" s="13" t="s">
        <v>239</v>
      </c>
      <c r="E57" s="13" t="s">
        <v>240</v>
      </c>
      <c r="F57" s="13" t="s">
        <v>39</v>
      </c>
      <c r="G57" s="4" t="n">
        <v>2</v>
      </c>
      <c r="H57" s="5" t="n">
        <v>25.75</v>
      </c>
      <c r="I57" s="5" t="n">
        <f aca="false">G57*H57</f>
        <v>51.5</v>
      </c>
      <c r="J57" s="13" t="s">
        <v>241</v>
      </c>
      <c r="K57" s="13"/>
    </row>
    <row r="58" customFormat="false" ht="15" hidden="false" customHeight="false" outlineLevel="0" collapsed="false">
      <c r="A58" s="13" t="n">
        <v>50</v>
      </c>
      <c r="B58" s="13" t="n">
        <v>18997</v>
      </c>
      <c r="C58" s="14" t="s">
        <v>242</v>
      </c>
      <c r="D58" s="13" t="s">
        <v>243</v>
      </c>
      <c r="E58" s="13" t="s">
        <v>244</v>
      </c>
      <c r="F58" s="13" t="s">
        <v>245</v>
      </c>
      <c r="G58" s="4" t="n">
        <v>5</v>
      </c>
      <c r="H58" s="5" t="n">
        <v>25.59</v>
      </c>
      <c r="I58" s="5" t="n">
        <f aca="false">G58*H58</f>
        <v>127.95</v>
      </c>
      <c r="J58" s="13" t="s">
        <v>246</v>
      </c>
      <c r="K58" s="13"/>
    </row>
    <row r="59" customFormat="false" ht="15" hidden="false" customHeight="false" outlineLevel="0" collapsed="false">
      <c r="A59" s="13" t="n">
        <v>51</v>
      </c>
      <c r="B59" s="13" t="n">
        <v>26439</v>
      </c>
      <c r="C59" s="14" t="s">
        <v>247</v>
      </c>
      <c r="D59" s="13" t="s">
        <v>248</v>
      </c>
      <c r="E59" s="13" t="s">
        <v>249</v>
      </c>
      <c r="F59" s="13" t="s">
        <v>97</v>
      </c>
      <c r="G59" s="4" t="n">
        <v>13</v>
      </c>
      <c r="H59" s="5" t="n">
        <v>14.9</v>
      </c>
      <c r="I59" s="5" t="n">
        <f aca="false">G59*H59</f>
        <v>193.7</v>
      </c>
      <c r="J59" s="13" t="s">
        <v>250</v>
      </c>
      <c r="K59" s="13"/>
    </row>
    <row r="60" customFormat="false" ht="15" hidden="false" customHeight="false" outlineLevel="0" collapsed="false">
      <c r="A60" s="13" t="n">
        <v>52</v>
      </c>
      <c r="B60" s="13" t="n">
        <v>26459</v>
      </c>
      <c r="C60" s="14" t="s">
        <v>251</v>
      </c>
      <c r="D60" s="13" t="s">
        <v>252</v>
      </c>
      <c r="E60" s="13" t="s">
        <v>253</v>
      </c>
      <c r="F60" s="13" t="s">
        <v>97</v>
      </c>
      <c r="G60" s="4" t="n">
        <v>15</v>
      </c>
      <c r="H60" s="5" t="n">
        <v>18.85</v>
      </c>
      <c r="I60" s="5" t="n">
        <f aca="false">G60*H60</f>
        <v>282.75</v>
      </c>
      <c r="J60" s="13" t="s">
        <v>254</v>
      </c>
      <c r="K60" s="13"/>
    </row>
    <row r="61" customFormat="false" ht="15" hidden="false" customHeight="false" outlineLevel="0" collapsed="false">
      <c r="A61" s="13" t="n">
        <v>53</v>
      </c>
      <c r="B61" s="13" t="n">
        <v>18585</v>
      </c>
      <c r="C61" s="14" t="s">
        <v>255</v>
      </c>
      <c r="D61" s="13" t="s">
        <v>256</v>
      </c>
      <c r="E61" s="13" t="s">
        <v>257</v>
      </c>
      <c r="F61" s="13" t="s">
        <v>66</v>
      </c>
      <c r="G61" s="4" t="n">
        <v>14</v>
      </c>
      <c r="H61" s="5" t="n">
        <v>4.25</v>
      </c>
      <c r="I61" s="5" t="n">
        <f aca="false">G61*H61</f>
        <v>59.5</v>
      </c>
      <c r="J61" s="13" t="s">
        <v>258</v>
      </c>
      <c r="K61" s="13"/>
    </row>
    <row r="62" customFormat="false" ht="15" hidden="false" customHeight="false" outlineLevel="0" collapsed="false">
      <c r="A62" s="13" t="n">
        <v>54</v>
      </c>
      <c r="B62" s="13" t="n">
        <v>26122</v>
      </c>
      <c r="C62" s="14" t="s">
        <v>259</v>
      </c>
      <c r="D62" s="13" t="s">
        <v>260</v>
      </c>
      <c r="E62" s="13" t="s">
        <v>261</v>
      </c>
      <c r="F62" s="13" t="s">
        <v>132</v>
      </c>
      <c r="G62" s="4" t="n">
        <v>1</v>
      </c>
      <c r="H62" s="5" t="n">
        <v>18.2</v>
      </c>
      <c r="I62" s="5" t="n">
        <f aca="false">G62*H62</f>
        <v>18.2</v>
      </c>
      <c r="J62" s="13" t="s">
        <v>262</v>
      </c>
      <c r="K62" s="13"/>
    </row>
    <row r="63" customFormat="false" ht="15" hidden="false" customHeight="false" outlineLevel="0" collapsed="false">
      <c r="A63" s="13" t="n">
        <v>55</v>
      </c>
      <c r="B63" s="13" t="n">
        <v>23273</v>
      </c>
      <c r="C63" s="14" t="s">
        <v>263</v>
      </c>
      <c r="D63" s="13" t="s">
        <v>264</v>
      </c>
      <c r="E63" s="13" t="s">
        <v>265</v>
      </c>
      <c r="F63" s="13" t="s">
        <v>132</v>
      </c>
      <c r="G63" s="4" t="n">
        <v>2</v>
      </c>
      <c r="H63" s="5" t="n">
        <v>23.95</v>
      </c>
      <c r="I63" s="5" t="n">
        <f aca="false">G63*H63</f>
        <v>47.9</v>
      </c>
      <c r="J63" s="13" t="s">
        <v>266</v>
      </c>
      <c r="K63" s="13"/>
    </row>
    <row r="64" customFormat="false" ht="15" hidden="false" customHeight="false" outlineLevel="0" collapsed="false">
      <c r="A64" s="13" t="n">
        <v>56</v>
      </c>
      <c r="B64" s="13" t="n">
        <v>17233</v>
      </c>
      <c r="C64" s="14" t="s">
        <v>267</v>
      </c>
      <c r="D64" s="13" t="s">
        <v>268</v>
      </c>
      <c r="E64" s="13" t="s">
        <v>269</v>
      </c>
      <c r="F64" s="13" t="s">
        <v>188</v>
      </c>
      <c r="G64" s="4" t="n">
        <v>2</v>
      </c>
      <c r="H64" s="5" t="n">
        <v>8.99</v>
      </c>
      <c r="I64" s="5" t="n">
        <f aca="false">G64*H64</f>
        <v>17.98</v>
      </c>
      <c r="J64" s="13" t="s">
        <v>270</v>
      </c>
      <c r="K64" s="13"/>
    </row>
    <row r="65" customFormat="false" ht="15" hidden="false" customHeight="false" outlineLevel="0" collapsed="false">
      <c r="A65" s="13" t="n">
        <v>57</v>
      </c>
      <c r="B65" s="13" t="n">
        <v>14155</v>
      </c>
      <c r="C65" s="14" t="s">
        <v>271</v>
      </c>
      <c r="D65" s="13" t="s">
        <v>272</v>
      </c>
      <c r="E65" s="13" t="s">
        <v>273</v>
      </c>
      <c r="F65" s="13" t="s">
        <v>106</v>
      </c>
      <c r="G65" s="4" t="n">
        <v>86</v>
      </c>
      <c r="H65" s="5" t="n">
        <v>2.49</v>
      </c>
      <c r="I65" s="5" t="n">
        <f aca="false">G65*H65</f>
        <v>214.14</v>
      </c>
      <c r="J65" s="13" t="s">
        <v>274</v>
      </c>
      <c r="K65" s="13"/>
    </row>
    <row r="66" customFormat="false" ht="15" hidden="false" customHeight="false" outlineLevel="0" collapsed="false">
      <c r="A66" s="13" t="n">
        <v>58</v>
      </c>
      <c r="B66" s="13" t="n">
        <v>1385</v>
      </c>
      <c r="C66" s="14" t="s">
        <v>275</v>
      </c>
      <c r="D66" s="13" t="s">
        <v>276</v>
      </c>
      <c r="E66" s="13" t="s">
        <v>277</v>
      </c>
      <c r="F66" s="13" t="s">
        <v>106</v>
      </c>
      <c r="G66" s="4" t="n">
        <v>100</v>
      </c>
      <c r="H66" s="5" t="n">
        <v>2.49</v>
      </c>
      <c r="I66" s="5" t="n">
        <f aca="false">G66*H66</f>
        <v>249</v>
      </c>
      <c r="J66" s="13" t="s">
        <v>278</v>
      </c>
      <c r="K66" s="13" t="s">
        <v>150</v>
      </c>
    </row>
    <row r="67" customFormat="false" ht="15" hidden="false" customHeight="false" outlineLevel="0" collapsed="false">
      <c r="A67" s="13" t="n">
        <v>59</v>
      </c>
      <c r="B67" s="13" t="n">
        <v>25344</v>
      </c>
      <c r="C67" s="14" t="s">
        <v>279</v>
      </c>
      <c r="D67" s="13" t="s">
        <v>280</v>
      </c>
      <c r="E67" s="13" t="s">
        <v>281</v>
      </c>
      <c r="F67" s="13" t="s">
        <v>188</v>
      </c>
      <c r="G67" s="4" t="n">
        <v>4</v>
      </c>
      <c r="H67" s="5" t="n">
        <v>45.85</v>
      </c>
      <c r="I67" s="5" t="n">
        <f aca="false">G67*H67</f>
        <v>183.4</v>
      </c>
      <c r="J67" s="13" t="s">
        <v>282</v>
      </c>
      <c r="K67" s="13"/>
    </row>
    <row r="68" customFormat="false" ht="15" hidden="false" customHeight="false" outlineLevel="0" collapsed="false">
      <c r="A68" s="13" t="n">
        <v>60</v>
      </c>
      <c r="B68" s="13" t="n">
        <v>17240</v>
      </c>
      <c r="C68" s="14" t="s">
        <v>283</v>
      </c>
      <c r="D68" s="13" t="s">
        <v>284</v>
      </c>
      <c r="E68" s="13" t="s">
        <v>285</v>
      </c>
      <c r="F68" s="13" t="s">
        <v>188</v>
      </c>
      <c r="G68" s="4" t="n">
        <v>1</v>
      </c>
      <c r="H68" s="5" t="n">
        <v>57.35</v>
      </c>
      <c r="I68" s="5" t="n">
        <f aca="false">G68*H68</f>
        <v>57.35</v>
      </c>
      <c r="J68" s="13" t="s">
        <v>286</v>
      </c>
      <c r="K68" s="13"/>
    </row>
    <row r="69" customFormat="false" ht="15" hidden="false" customHeight="false" outlineLevel="0" collapsed="false">
      <c r="A69" s="13" t="n">
        <v>61</v>
      </c>
      <c r="B69" s="13" t="n">
        <v>17401</v>
      </c>
      <c r="C69" s="14" t="s">
        <v>287</v>
      </c>
      <c r="D69" s="13" t="s">
        <v>288</v>
      </c>
      <c r="E69" s="13" t="s">
        <v>289</v>
      </c>
      <c r="F69" s="13" t="s">
        <v>57</v>
      </c>
      <c r="G69" s="4" t="n">
        <v>28</v>
      </c>
      <c r="H69" s="5" t="n">
        <v>3.49</v>
      </c>
      <c r="I69" s="5" t="n">
        <f aca="false">G69*H69</f>
        <v>97.72</v>
      </c>
      <c r="J69" s="13" t="s">
        <v>290</v>
      </c>
      <c r="K69" s="13"/>
    </row>
    <row r="70" customFormat="false" ht="15" hidden="false" customHeight="false" outlineLevel="0" collapsed="false">
      <c r="A70" s="13" t="n">
        <v>62</v>
      </c>
      <c r="B70" s="13" t="n">
        <v>5944</v>
      </c>
      <c r="C70" s="14" t="s">
        <v>291</v>
      </c>
      <c r="D70" s="13" t="s">
        <v>292</v>
      </c>
      <c r="E70" s="13" t="s">
        <v>293</v>
      </c>
      <c r="F70" s="13" t="s">
        <v>97</v>
      </c>
      <c r="G70" s="4" t="n">
        <v>1</v>
      </c>
      <c r="H70" s="5" t="n">
        <v>18.85</v>
      </c>
      <c r="I70" s="5" t="n">
        <f aca="false">G70*H70</f>
        <v>18.85</v>
      </c>
      <c r="J70" s="13" t="s">
        <v>294</v>
      </c>
      <c r="K70" s="13"/>
    </row>
    <row r="71" customFormat="false" ht="15" hidden="false" customHeight="false" outlineLevel="0" collapsed="false">
      <c r="A71" s="13" t="n">
        <v>63</v>
      </c>
      <c r="B71" s="13" t="n">
        <v>19134</v>
      </c>
      <c r="C71" s="14" t="s">
        <v>295</v>
      </c>
      <c r="D71" s="13" t="s">
        <v>296</v>
      </c>
      <c r="E71" s="13" t="s">
        <v>297</v>
      </c>
      <c r="F71" s="13" t="s">
        <v>57</v>
      </c>
      <c r="G71" s="4" t="n">
        <v>8</v>
      </c>
      <c r="H71" s="5" t="n">
        <v>6.35</v>
      </c>
      <c r="I71" s="5" t="n">
        <f aca="false">G71*H71</f>
        <v>50.8</v>
      </c>
      <c r="J71" s="13" t="s">
        <v>298</v>
      </c>
      <c r="K71" s="13"/>
    </row>
    <row r="72" customFormat="false" ht="15" hidden="false" customHeight="false" outlineLevel="0" collapsed="false">
      <c r="A72" s="13" t="n">
        <v>64</v>
      </c>
      <c r="B72" s="13" t="n">
        <v>18557</v>
      </c>
      <c r="C72" s="14" t="s">
        <v>299</v>
      </c>
      <c r="D72" s="13" t="s">
        <v>300</v>
      </c>
      <c r="E72" s="13" t="s">
        <v>301</v>
      </c>
      <c r="F72" s="13" t="s">
        <v>163</v>
      </c>
      <c r="G72" s="4" t="n">
        <v>5</v>
      </c>
      <c r="H72" s="5" t="n">
        <v>14.3</v>
      </c>
      <c r="I72" s="5" t="n">
        <f aca="false">G72*H72</f>
        <v>71.5</v>
      </c>
      <c r="J72" s="13" t="s">
        <v>302</v>
      </c>
      <c r="K72" s="13"/>
    </row>
    <row r="73" customFormat="false" ht="15" hidden="false" customHeight="false" outlineLevel="0" collapsed="false">
      <c r="A73" s="15"/>
      <c r="B73" s="15"/>
      <c r="C73" s="15"/>
      <c r="D73" s="16" t="s">
        <v>303</v>
      </c>
      <c r="E73" s="15"/>
      <c r="F73" s="16" t="str">
        <f aca="false">COUNT(A9:A72)&amp;" itens"</f>
        <v>64 itens</v>
      </c>
      <c r="G73" s="17" t="n">
        <f aca="false">SUM(G9:G72)</f>
        <v>628</v>
      </c>
      <c r="H73" s="15"/>
      <c r="I73" s="18" t="n">
        <f aca="false">SUM(I9:I72)</f>
        <v>6095.62</v>
      </c>
      <c r="J73" s="15"/>
      <c r="K73" s="15"/>
    </row>
    <row r="75" customFormat="false" ht="15" hidden="false" customHeight="false" outlineLevel="0" collapsed="false">
      <c r="A75" s="9" t="s">
        <v>304</v>
      </c>
    </row>
    <row r="76" customFormat="false" ht="15" hidden="false" customHeight="false" outlineLevel="0" collapsed="false">
      <c r="A76" s="10" t="s">
        <v>305</v>
      </c>
    </row>
    <row r="77" customFormat="false" ht="15" hidden="false" customHeight="false" outlineLevel="0" collapsed="false">
      <c r="A77" s="10" t="s">
        <v>306</v>
      </c>
    </row>
    <row r="78" customFormat="false" ht="15" hidden="false" customHeight="false" outlineLevel="0" collapsed="false">
      <c r="A78" s="10" t="s">
        <v>307</v>
      </c>
    </row>
    <row r="79" customFormat="false" ht="15" hidden="false" customHeight="false" outlineLevel="0" collapsed="false">
      <c r="A79" s="10" t="s">
        <v>308</v>
      </c>
    </row>
  </sheetData>
  <autoFilter ref="A8:K7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9" t="s">
        <v>11</v>
      </c>
      <c r="C2" s="10" t="s">
        <v>12</v>
      </c>
    </row>
    <row r="3" customFormat="false" ht="15" hidden="false" customHeight="false" outlineLevel="0" collapsed="false">
      <c r="A3" s="9" t="s">
        <v>13</v>
      </c>
      <c r="C3" s="10" t="s">
        <v>14</v>
      </c>
    </row>
    <row r="4" customFormat="false" ht="15" hidden="false" customHeight="false" outlineLevel="0" collapsed="false">
      <c r="A4" s="9" t="s">
        <v>15</v>
      </c>
      <c r="C4" s="10" t="s">
        <v>310</v>
      </c>
    </row>
    <row r="5" customFormat="false" ht="15" hidden="false" customHeight="false" outlineLevel="0" collapsed="false">
      <c r="A5" s="9" t="s">
        <v>17</v>
      </c>
      <c r="C5" s="10" t="s">
        <v>18</v>
      </c>
    </row>
    <row r="6" customFormat="false" ht="15" hidden="false" customHeight="false" outlineLevel="0" collapsed="false">
      <c r="A6" s="9" t="s">
        <v>19</v>
      </c>
      <c r="C6" s="11" t="s">
        <v>1</v>
      </c>
    </row>
    <row r="8" customFormat="false" ht="30" hidden="false" customHeight="true" outlineLevel="0" collapsed="false">
      <c r="A8" s="12" t="s">
        <v>20</v>
      </c>
      <c r="B8" s="12" t="s">
        <v>21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2" t="s">
        <v>27</v>
      </c>
      <c r="I8" s="12" t="s">
        <v>28</v>
      </c>
      <c r="J8" s="12" t="s">
        <v>29</v>
      </c>
      <c r="K8" s="12" t="s">
        <v>30</v>
      </c>
    </row>
    <row r="9" customFormat="false" ht="15" hidden="false" customHeight="false" outlineLevel="0" collapsed="false">
      <c r="A9" s="13" t="n">
        <v>1</v>
      </c>
      <c r="B9" s="13" t="n">
        <v>16877</v>
      </c>
      <c r="C9" s="14" t="s">
        <v>311</v>
      </c>
      <c r="D9" s="13" t="s">
        <v>312</v>
      </c>
      <c r="E9" s="13" t="s">
        <v>313</v>
      </c>
      <c r="F9" s="13" t="s">
        <v>163</v>
      </c>
      <c r="G9" s="4" t="n">
        <v>14</v>
      </c>
      <c r="H9" s="5" t="n">
        <v>2.39</v>
      </c>
      <c r="I9" s="5" t="n">
        <f aca="false">G9*H9</f>
        <v>33.46</v>
      </c>
      <c r="J9" s="13" t="s">
        <v>314</v>
      </c>
      <c r="K9" s="13"/>
    </row>
    <row r="10" customFormat="false" ht="15" hidden="false" customHeight="false" outlineLevel="0" collapsed="false">
      <c r="A10" s="13" t="n">
        <v>2</v>
      </c>
      <c r="B10" s="13" t="n">
        <v>21522</v>
      </c>
      <c r="C10" s="14" t="s">
        <v>315</v>
      </c>
      <c r="D10" s="13" t="s">
        <v>316</v>
      </c>
      <c r="E10" s="13" t="s">
        <v>317</v>
      </c>
      <c r="F10" s="13" t="s">
        <v>97</v>
      </c>
      <c r="G10" s="4" t="n">
        <v>1</v>
      </c>
      <c r="H10" s="5" t="n">
        <v>3.65</v>
      </c>
      <c r="I10" s="5" t="n">
        <f aca="false">G10*H10</f>
        <v>3.65</v>
      </c>
      <c r="J10" s="13" t="s">
        <v>318</v>
      </c>
      <c r="K10" s="13"/>
    </row>
    <row r="11" customFormat="false" ht="15" hidden="false" customHeight="false" outlineLevel="0" collapsed="false">
      <c r="A11" s="13" t="n">
        <v>3</v>
      </c>
      <c r="B11" s="13" t="n">
        <v>4755</v>
      </c>
      <c r="C11" s="14" t="s">
        <v>319</v>
      </c>
      <c r="D11" s="13" t="s">
        <v>320</v>
      </c>
      <c r="E11" s="13" t="s">
        <v>321</v>
      </c>
      <c r="F11" s="13" t="s">
        <v>39</v>
      </c>
      <c r="G11" s="4" t="n">
        <v>4</v>
      </c>
      <c r="H11" s="5" t="n">
        <v>41.75</v>
      </c>
      <c r="I11" s="5" t="n">
        <f aca="false">G11*H11</f>
        <v>167</v>
      </c>
      <c r="J11" s="13" t="s">
        <v>322</v>
      </c>
      <c r="K11" s="13"/>
    </row>
    <row r="12" customFormat="false" ht="15" hidden="false" customHeight="false" outlineLevel="0" collapsed="false">
      <c r="A12" s="13" t="n">
        <v>4</v>
      </c>
      <c r="B12" s="13" t="n">
        <v>12015</v>
      </c>
      <c r="C12" s="14" t="s">
        <v>323</v>
      </c>
      <c r="D12" s="13" t="s">
        <v>324</v>
      </c>
      <c r="E12" s="13" t="s">
        <v>325</v>
      </c>
      <c r="F12" s="13" t="s">
        <v>106</v>
      </c>
      <c r="G12" s="4" t="n">
        <v>1</v>
      </c>
      <c r="H12" s="5" t="n">
        <v>5.29</v>
      </c>
      <c r="I12" s="5" t="n">
        <f aca="false">G12*H12</f>
        <v>5.29</v>
      </c>
      <c r="J12" s="13" t="s">
        <v>326</v>
      </c>
      <c r="K12" s="13"/>
    </row>
    <row r="13" customFormat="false" ht="15" hidden="false" customHeight="false" outlineLevel="0" collapsed="false">
      <c r="A13" s="13" t="n">
        <v>5</v>
      </c>
      <c r="B13" s="13" t="n">
        <v>12391</v>
      </c>
      <c r="C13" s="14" t="s">
        <v>327</v>
      </c>
      <c r="D13" s="13" t="s">
        <v>328</v>
      </c>
      <c r="E13" s="13" t="s">
        <v>329</v>
      </c>
      <c r="F13" s="13" t="s">
        <v>39</v>
      </c>
      <c r="G13" s="4" t="n">
        <v>4</v>
      </c>
      <c r="H13" s="5" t="n">
        <v>2.25</v>
      </c>
      <c r="I13" s="5" t="n">
        <f aca="false">G13*H13</f>
        <v>9</v>
      </c>
      <c r="J13" s="13" t="s">
        <v>330</v>
      </c>
      <c r="K13" s="13"/>
    </row>
    <row r="14" customFormat="false" ht="15" hidden="false" customHeight="false" outlineLevel="0" collapsed="false">
      <c r="A14" s="13" t="n">
        <v>6</v>
      </c>
      <c r="B14" s="13" t="n">
        <v>17923</v>
      </c>
      <c r="C14" s="14" t="s">
        <v>331</v>
      </c>
      <c r="D14" s="13" t="s">
        <v>332</v>
      </c>
      <c r="E14" s="13" t="s">
        <v>333</v>
      </c>
      <c r="F14" s="13" t="s">
        <v>66</v>
      </c>
      <c r="G14" s="4" t="n">
        <v>15</v>
      </c>
      <c r="H14" s="5" t="n">
        <v>5.79</v>
      </c>
      <c r="I14" s="5" t="n">
        <f aca="false">G14*H14</f>
        <v>86.85</v>
      </c>
      <c r="J14" s="13" t="s">
        <v>334</v>
      </c>
      <c r="K14" s="13"/>
    </row>
    <row r="15" customFormat="false" ht="15" hidden="false" customHeight="false" outlineLevel="0" collapsed="false">
      <c r="A15" s="13" t="n">
        <v>7</v>
      </c>
      <c r="B15" s="13" t="n">
        <v>6310</v>
      </c>
      <c r="C15" s="14" t="s">
        <v>335</v>
      </c>
      <c r="D15" s="13" t="s">
        <v>336</v>
      </c>
      <c r="E15" s="13" t="s">
        <v>337</v>
      </c>
      <c r="F15" s="13" t="s">
        <v>66</v>
      </c>
      <c r="G15" s="4" t="n">
        <v>3</v>
      </c>
      <c r="H15" s="5" t="n">
        <v>13.92</v>
      </c>
      <c r="I15" s="5" t="n">
        <f aca="false">G15*H15</f>
        <v>41.76</v>
      </c>
      <c r="J15" s="13" t="s">
        <v>338</v>
      </c>
      <c r="K15" s="13"/>
    </row>
    <row r="16" customFormat="false" ht="15" hidden="false" customHeight="false" outlineLevel="0" collapsed="false">
      <c r="A16" s="13" t="n">
        <v>8</v>
      </c>
      <c r="B16" s="13" t="n">
        <v>5935</v>
      </c>
      <c r="C16" s="14" t="s">
        <v>339</v>
      </c>
      <c r="D16" s="13" t="s">
        <v>340</v>
      </c>
      <c r="E16" s="13" t="s">
        <v>341</v>
      </c>
      <c r="F16" s="13" t="s">
        <v>97</v>
      </c>
      <c r="G16" s="4" t="n">
        <v>3</v>
      </c>
      <c r="H16" s="5" t="n">
        <v>7.8</v>
      </c>
      <c r="I16" s="5" t="n">
        <f aca="false">G16*H16</f>
        <v>23.4</v>
      </c>
      <c r="J16" s="13" t="s">
        <v>342</v>
      </c>
      <c r="K16" s="13"/>
    </row>
    <row r="17" customFormat="false" ht="15" hidden="false" customHeight="false" outlineLevel="0" collapsed="false">
      <c r="A17" s="13" t="n">
        <v>9</v>
      </c>
      <c r="B17" s="13" t="n">
        <v>24760</v>
      </c>
      <c r="C17" s="14" t="s">
        <v>343</v>
      </c>
      <c r="D17" s="13" t="s">
        <v>344</v>
      </c>
      <c r="E17" s="13" t="s">
        <v>345</v>
      </c>
      <c r="F17" s="13" t="s">
        <v>245</v>
      </c>
      <c r="G17" s="4" t="n">
        <v>5</v>
      </c>
      <c r="H17" s="5" t="n">
        <v>9.99</v>
      </c>
      <c r="I17" s="5" t="n">
        <f aca="false">G17*H17</f>
        <v>49.95</v>
      </c>
      <c r="J17" s="13" t="s">
        <v>346</v>
      </c>
      <c r="K17" s="13"/>
    </row>
    <row r="18" customFormat="false" ht="15" hidden="false" customHeight="false" outlineLevel="0" collapsed="false">
      <c r="A18" s="13" t="n">
        <v>10</v>
      </c>
      <c r="B18" s="13" t="n">
        <v>15305</v>
      </c>
      <c r="C18" s="14" t="s">
        <v>347</v>
      </c>
      <c r="D18" s="13" t="s">
        <v>348</v>
      </c>
      <c r="E18" s="13" t="s">
        <v>349</v>
      </c>
      <c r="F18" s="13" t="s">
        <v>97</v>
      </c>
      <c r="G18" s="4" t="n">
        <v>2</v>
      </c>
      <c r="H18" s="5" t="n">
        <v>4.8</v>
      </c>
      <c r="I18" s="5" t="n">
        <f aca="false">G18*H18</f>
        <v>9.6</v>
      </c>
      <c r="J18" s="13" t="s">
        <v>350</v>
      </c>
      <c r="K18" s="13"/>
    </row>
    <row r="19" customFormat="false" ht="15" hidden="false" customHeight="false" outlineLevel="0" collapsed="false">
      <c r="A19" s="13" t="n">
        <v>11</v>
      </c>
      <c r="B19" s="13" t="n">
        <v>10560</v>
      </c>
      <c r="C19" s="14" t="s">
        <v>351</v>
      </c>
      <c r="D19" s="13" t="s">
        <v>352</v>
      </c>
      <c r="E19" s="13" t="s">
        <v>353</v>
      </c>
      <c r="F19" s="13" t="s">
        <v>106</v>
      </c>
      <c r="G19" s="4" t="n">
        <v>2</v>
      </c>
      <c r="H19" s="5" t="n">
        <v>6.49</v>
      </c>
      <c r="I19" s="5" t="n">
        <f aca="false">G19*H19</f>
        <v>12.98</v>
      </c>
      <c r="J19" s="13" t="s">
        <v>354</v>
      </c>
      <c r="K19" s="13"/>
    </row>
    <row r="20" customFormat="false" ht="15" hidden="false" customHeight="false" outlineLevel="0" collapsed="false">
      <c r="A20" s="13" t="n">
        <v>12</v>
      </c>
      <c r="B20" s="13" t="n">
        <v>23394</v>
      </c>
      <c r="C20" s="14" t="s">
        <v>355</v>
      </c>
      <c r="D20" s="13" t="s">
        <v>356</v>
      </c>
      <c r="E20" s="13" t="s">
        <v>357</v>
      </c>
      <c r="F20" s="13" t="s">
        <v>106</v>
      </c>
      <c r="G20" s="4" t="n">
        <v>2</v>
      </c>
      <c r="H20" s="5" t="n">
        <v>4.89</v>
      </c>
      <c r="I20" s="5" t="n">
        <f aca="false">G20*H20</f>
        <v>9.78</v>
      </c>
      <c r="J20" s="13" t="s">
        <v>358</v>
      </c>
      <c r="K20" s="13"/>
    </row>
    <row r="21" customFormat="false" ht="15" hidden="false" customHeight="false" outlineLevel="0" collapsed="false">
      <c r="A21" s="13" t="n">
        <v>13</v>
      </c>
      <c r="B21" s="13" t="n">
        <v>6559</v>
      </c>
      <c r="C21" s="14" t="s">
        <v>359</v>
      </c>
      <c r="D21" s="13" t="s">
        <v>360</v>
      </c>
      <c r="E21" s="13" t="s">
        <v>361</v>
      </c>
      <c r="F21" s="13" t="s">
        <v>66</v>
      </c>
      <c r="G21" s="4" t="n">
        <v>5</v>
      </c>
      <c r="H21" s="5" t="n">
        <v>2.14</v>
      </c>
      <c r="I21" s="5" t="n">
        <f aca="false">G21*H21</f>
        <v>10.7</v>
      </c>
      <c r="J21" s="13" t="s">
        <v>362</v>
      </c>
      <c r="K21" s="13"/>
    </row>
    <row r="22" customFormat="false" ht="15" hidden="false" customHeight="false" outlineLevel="0" collapsed="false">
      <c r="A22" s="13" t="n">
        <v>14</v>
      </c>
      <c r="B22" s="13" t="n">
        <v>14580</v>
      </c>
      <c r="C22" s="14" t="s">
        <v>363</v>
      </c>
      <c r="D22" s="13" t="s">
        <v>364</v>
      </c>
      <c r="E22" s="13" t="s">
        <v>365</v>
      </c>
      <c r="F22" s="13" t="s">
        <v>97</v>
      </c>
      <c r="G22" s="4" t="n">
        <v>1</v>
      </c>
      <c r="H22" s="5" t="n">
        <v>16.05</v>
      </c>
      <c r="I22" s="5" t="n">
        <f aca="false">G22*H22</f>
        <v>16.05</v>
      </c>
      <c r="J22" s="13" t="s">
        <v>366</v>
      </c>
      <c r="K22" s="13"/>
    </row>
    <row r="23" customFormat="false" ht="15" hidden="false" customHeight="false" outlineLevel="0" collapsed="false">
      <c r="A23" s="13" t="n">
        <v>15</v>
      </c>
      <c r="B23" s="13" t="n">
        <v>20741</v>
      </c>
      <c r="C23" s="14" t="s">
        <v>367</v>
      </c>
      <c r="D23" s="13" t="s">
        <v>368</v>
      </c>
      <c r="E23" s="13" t="s">
        <v>369</v>
      </c>
      <c r="F23" s="13" t="s">
        <v>34</v>
      </c>
      <c r="G23" s="4" t="n">
        <v>1</v>
      </c>
      <c r="H23" s="5" t="n">
        <v>22.49</v>
      </c>
      <c r="I23" s="5" t="n">
        <f aca="false">G23*H23</f>
        <v>22.49</v>
      </c>
      <c r="J23" s="13" t="s">
        <v>370</v>
      </c>
      <c r="K23" s="13"/>
    </row>
    <row r="24" customFormat="false" ht="15" hidden="false" customHeight="false" outlineLevel="0" collapsed="false">
      <c r="A24" s="13" t="n">
        <v>16</v>
      </c>
      <c r="B24" s="13" t="n">
        <v>482</v>
      </c>
      <c r="C24" s="14" t="s">
        <v>371</v>
      </c>
      <c r="D24" s="13" t="s">
        <v>372</v>
      </c>
      <c r="E24" s="13" t="s">
        <v>373</v>
      </c>
      <c r="F24" s="13" t="s">
        <v>92</v>
      </c>
      <c r="G24" s="4" t="n">
        <v>28</v>
      </c>
      <c r="H24" s="5" t="n">
        <v>10.37</v>
      </c>
      <c r="I24" s="5" t="n">
        <f aca="false">G24*H24</f>
        <v>290.36</v>
      </c>
      <c r="J24" s="13" t="s">
        <v>374</v>
      </c>
      <c r="K24" s="13"/>
    </row>
    <row r="25" customFormat="false" ht="15" hidden="false" customHeight="false" outlineLevel="0" collapsed="false">
      <c r="A25" s="13" t="n">
        <v>17</v>
      </c>
      <c r="B25" s="13" t="n">
        <v>25273</v>
      </c>
      <c r="C25" s="14" t="s">
        <v>375</v>
      </c>
      <c r="D25" s="13" t="s">
        <v>376</v>
      </c>
      <c r="E25" s="13" t="s">
        <v>377</v>
      </c>
      <c r="F25" s="13" t="s">
        <v>66</v>
      </c>
      <c r="G25" s="4" t="n">
        <v>6</v>
      </c>
      <c r="H25" s="5" t="n">
        <v>7.79</v>
      </c>
      <c r="I25" s="5" t="n">
        <f aca="false">G25*H25</f>
        <v>46.74</v>
      </c>
      <c r="J25" s="13" t="s">
        <v>378</v>
      </c>
      <c r="K25" s="13"/>
    </row>
    <row r="26" customFormat="false" ht="15" hidden="false" customHeight="false" outlineLevel="0" collapsed="false">
      <c r="A26" s="13" t="n">
        <v>18</v>
      </c>
      <c r="B26" s="13" t="n">
        <v>17348</v>
      </c>
      <c r="C26" s="14" t="s">
        <v>379</v>
      </c>
      <c r="D26" s="13" t="s">
        <v>380</v>
      </c>
      <c r="E26" s="13" t="s">
        <v>381</v>
      </c>
      <c r="F26" s="13" t="s">
        <v>57</v>
      </c>
      <c r="G26" s="4" t="n">
        <v>7</v>
      </c>
      <c r="H26" s="5" t="n">
        <v>9.9</v>
      </c>
      <c r="I26" s="5" t="n">
        <f aca="false">G26*H26</f>
        <v>69.3</v>
      </c>
      <c r="J26" s="13" t="s">
        <v>382</v>
      </c>
      <c r="K26" s="13"/>
    </row>
    <row r="27" customFormat="false" ht="15" hidden="false" customHeight="false" outlineLevel="0" collapsed="false">
      <c r="A27" s="13" t="n">
        <v>19</v>
      </c>
      <c r="B27" s="13" t="n">
        <v>4996</v>
      </c>
      <c r="C27" s="14" t="s">
        <v>383</v>
      </c>
      <c r="D27" s="13" t="s">
        <v>384</v>
      </c>
      <c r="E27" s="13" t="s">
        <v>385</v>
      </c>
      <c r="F27" s="13" t="s">
        <v>39</v>
      </c>
      <c r="G27" s="4" t="n">
        <v>2</v>
      </c>
      <c r="H27" s="5" t="n">
        <v>7.65</v>
      </c>
      <c r="I27" s="5" t="n">
        <f aca="false">G27*H27</f>
        <v>15.3</v>
      </c>
      <c r="J27" s="13" t="s">
        <v>386</v>
      </c>
      <c r="K27" s="13"/>
    </row>
    <row r="28" customFormat="false" ht="15" hidden="false" customHeight="false" outlineLevel="0" collapsed="false">
      <c r="A28" s="13" t="n">
        <v>20</v>
      </c>
      <c r="B28" s="13" t="n">
        <v>7239</v>
      </c>
      <c r="C28" s="14" t="s">
        <v>387</v>
      </c>
      <c r="D28" s="13" t="s">
        <v>384</v>
      </c>
      <c r="E28" s="13" t="s">
        <v>385</v>
      </c>
      <c r="F28" s="13" t="s">
        <v>245</v>
      </c>
      <c r="G28" s="4" t="n">
        <v>23</v>
      </c>
      <c r="H28" s="5" t="n">
        <v>7.25</v>
      </c>
      <c r="I28" s="5" t="n">
        <f aca="false">G28*H28</f>
        <v>166.75</v>
      </c>
      <c r="J28" s="13" t="s">
        <v>388</v>
      </c>
      <c r="K28" s="13"/>
    </row>
    <row r="29" customFormat="false" ht="15" hidden="false" customHeight="false" outlineLevel="0" collapsed="false">
      <c r="A29" s="13" t="n">
        <v>21</v>
      </c>
      <c r="B29" s="13" t="n">
        <v>11921</v>
      </c>
      <c r="C29" s="14" t="s">
        <v>389</v>
      </c>
      <c r="D29" s="13" t="s">
        <v>390</v>
      </c>
      <c r="E29" s="13" t="s">
        <v>391</v>
      </c>
      <c r="F29" s="13" t="s">
        <v>97</v>
      </c>
      <c r="G29" s="4" t="n">
        <v>11</v>
      </c>
      <c r="H29" s="5" t="n">
        <v>2.15</v>
      </c>
      <c r="I29" s="5" t="n">
        <f aca="false">G29*H29</f>
        <v>23.65</v>
      </c>
      <c r="J29" s="13" t="s">
        <v>392</v>
      </c>
      <c r="K29" s="13"/>
    </row>
    <row r="30" customFormat="false" ht="15" hidden="false" customHeight="false" outlineLevel="0" collapsed="false">
      <c r="A30" s="13" t="n">
        <v>22</v>
      </c>
      <c r="B30" s="13" t="n">
        <v>20799</v>
      </c>
      <c r="C30" s="14" t="s">
        <v>393</v>
      </c>
      <c r="D30" s="13" t="s">
        <v>394</v>
      </c>
      <c r="E30" s="13" t="s">
        <v>395</v>
      </c>
      <c r="F30" s="13" t="s">
        <v>34</v>
      </c>
      <c r="G30" s="4" t="n">
        <v>8</v>
      </c>
      <c r="H30" s="5" t="n">
        <v>5.99</v>
      </c>
      <c r="I30" s="5" t="n">
        <f aca="false">G30*H30</f>
        <v>47.92</v>
      </c>
      <c r="J30" s="13" t="s">
        <v>396</v>
      </c>
      <c r="K30" s="13"/>
    </row>
    <row r="31" customFormat="false" ht="15" hidden="false" customHeight="false" outlineLevel="0" collapsed="false">
      <c r="A31" s="13" t="n">
        <v>23</v>
      </c>
      <c r="B31" s="13" t="n">
        <v>21053</v>
      </c>
      <c r="C31" s="14" t="s">
        <v>397</v>
      </c>
      <c r="D31" s="13" t="s">
        <v>398</v>
      </c>
      <c r="E31" s="13" t="s">
        <v>399</v>
      </c>
      <c r="F31" s="13" t="s">
        <v>400</v>
      </c>
      <c r="G31" s="4" t="n">
        <v>7</v>
      </c>
      <c r="H31" s="5" t="n">
        <v>5.45</v>
      </c>
      <c r="I31" s="5" t="n">
        <f aca="false">G31*H31</f>
        <v>38.15</v>
      </c>
      <c r="J31" s="13" t="s">
        <v>401</v>
      </c>
      <c r="K31" s="13"/>
    </row>
    <row r="32" customFormat="false" ht="15" hidden="false" customHeight="false" outlineLevel="0" collapsed="false">
      <c r="A32" s="13" t="n">
        <v>24</v>
      </c>
      <c r="B32" s="13" t="n">
        <v>16277</v>
      </c>
      <c r="C32" s="14" t="s">
        <v>402</v>
      </c>
      <c r="D32" s="13" t="s">
        <v>403</v>
      </c>
      <c r="E32" s="13" t="s">
        <v>404</v>
      </c>
      <c r="F32" s="13" t="s">
        <v>97</v>
      </c>
      <c r="G32" s="4" t="n">
        <v>8</v>
      </c>
      <c r="H32" s="5" t="n">
        <v>42.99</v>
      </c>
      <c r="I32" s="5" t="n">
        <f aca="false">G32*H32</f>
        <v>343.92</v>
      </c>
      <c r="J32" s="13" t="s">
        <v>405</v>
      </c>
      <c r="K32" s="13"/>
    </row>
    <row r="33" customFormat="false" ht="15" hidden="false" customHeight="false" outlineLevel="0" collapsed="false">
      <c r="A33" s="13" t="n">
        <v>25</v>
      </c>
      <c r="B33" s="13" t="n">
        <v>5217</v>
      </c>
      <c r="C33" s="14" t="s">
        <v>406</v>
      </c>
      <c r="D33" s="13" t="s">
        <v>407</v>
      </c>
      <c r="E33" s="13" t="s">
        <v>408</v>
      </c>
      <c r="F33" s="13" t="s">
        <v>106</v>
      </c>
      <c r="G33" s="4" t="n">
        <v>6</v>
      </c>
      <c r="H33" s="5" t="n">
        <v>4.59</v>
      </c>
      <c r="I33" s="5" t="n">
        <f aca="false">G33*H33</f>
        <v>27.54</v>
      </c>
      <c r="J33" s="13" t="s">
        <v>409</v>
      </c>
      <c r="K33" s="13"/>
    </row>
    <row r="34" customFormat="false" ht="15" hidden="false" customHeight="false" outlineLevel="0" collapsed="false">
      <c r="A34" s="13" t="n">
        <v>26</v>
      </c>
      <c r="B34" s="13" t="n">
        <v>19792</v>
      </c>
      <c r="C34" s="14" t="s">
        <v>410</v>
      </c>
      <c r="D34" s="13" t="s">
        <v>411</v>
      </c>
      <c r="E34" s="13" t="s">
        <v>412</v>
      </c>
      <c r="F34" s="13" t="s">
        <v>413</v>
      </c>
      <c r="G34" s="4" t="n">
        <v>3</v>
      </c>
      <c r="H34" s="5" t="n">
        <v>4.49</v>
      </c>
      <c r="I34" s="5" t="n">
        <f aca="false">G34*H34</f>
        <v>13.47</v>
      </c>
      <c r="J34" s="13" t="s">
        <v>414</v>
      </c>
      <c r="K34" s="13"/>
    </row>
    <row r="35" customFormat="false" ht="15" hidden="false" customHeight="false" outlineLevel="0" collapsed="false">
      <c r="A35" s="13" t="n">
        <v>27</v>
      </c>
      <c r="B35" s="13" t="n">
        <v>16417</v>
      </c>
      <c r="C35" s="14" t="s">
        <v>415</v>
      </c>
      <c r="D35" s="13" t="s">
        <v>416</v>
      </c>
      <c r="E35" s="13" t="s">
        <v>417</v>
      </c>
      <c r="F35" s="13" t="s">
        <v>413</v>
      </c>
      <c r="G35" s="4" t="n">
        <v>3</v>
      </c>
      <c r="H35" s="5" t="n">
        <v>26.69</v>
      </c>
      <c r="I35" s="5" t="n">
        <f aca="false">G35*H35</f>
        <v>80.07</v>
      </c>
      <c r="J35" s="13" t="s">
        <v>418</v>
      </c>
      <c r="K35" s="13"/>
    </row>
    <row r="36" customFormat="false" ht="15" hidden="false" customHeight="false" outlineLevel="0" collapsed="false">
      <c r="A36" s="13" t="n">
        <v>28</v>
      </c>
      <c r="B36" s="13" t="n">
        <v>18087</v>
      </c>
      <c r="C36" s="14" t="s">
        <v>419</v>
      </c>
      <c r="D36" s="13" t="s">
        <v>420</v>
      </c>
      <c r="E36" s="13" t="s">
        <v>421</v>
      </c>
      <c r="F36" s="13" t="s">
        <v>87</v>
      </c>
      <c r="G36" s="4" t="n">
        <v>3</v>
      </c>
      <c r="H36" s="5" t="n">
        <v>42.89</v>
      </c>
      <c r="I36" s="5" t="n">
        <f aca="false">G36*H36</f>
        <v>128.67</v>
      </c>
      <c r="J36" s="13" t="s">
        <v>422</v>
      </c>
      <c r="K36" s="13"/>
    </row>
    <row r="37" customFormat="false" ht="15" hidden="false" customHeight="false" outlineLevel="0" collapsed="false">
      <c r="A37" s="13" t="n">
        <v>29</v>
      </c>
      <c r="B37" s="13" t="n">
        <v>5949</v>
      </c>
      <c r="C37" s="14" t="s">
        <v>423</v>
      </c>
      <c r="D37" s="13" t="s">
        <v>424</v>
      </c>
      <c r="E37" s="13" t="s">
        <v>425</v>
      </c>
      <c r="F37" s="13" t="s">
        <v>97</v>
      </c>
      <c r="G37" s="4" t="n">
        <v>4</v>
      </c>
      <c r="H37" s="5" t="n">
        <v>12</v>
      </c>
      <c r="I37" s="5" t="n">
        <f aca="false">G37*H37</f>
        <v>48</v>
      </c>
      <c r="J37" s="13" t="s">
        <v>426</v>
      </c>
      <c r="K37" s="13"/>
    </row>
    <row r="38" customFormat="false" ht="15" hidden="false" customHeight="false" outlineLevel="0" collapsed="false">
      <c r="A38" s="13" t="n">
        <v>30</v>
      </c>
      <c r="B38" s="13" t="n">
        <v>12515</v>
      </c>
      <c r="C38" s="14" t="s">
        <v>427</v>
      </c>
      <c r="D38" s="13" t="s">
        <v>428</v>
      </c>
      <c r="E38" s="13" t="s">
        <v>429</v>
      </c>
      <c r="F38" s="13" t="s">
        <v>106</v>
      </c>
      <c r="G38" s="4" t="n">
        <v>3</v>
      </c>
      <c r="H38" s="5" t="n">
        <v>4.39</v>
      </c>
      <c r="I38" s="5" t="n">
        <f aca="false">G38*H38</f>
        <v>13.17</v>
      </c>
      <c r="J38" s="13" t="s">
        <v>430</v>
      </c>
      <c r="K38" s="13"/>
    </row>
    <row r="39" customFormat="false" ht="15" hidden="false" customHeight="false" outlineLevel="0" collapsed="false">
      <c r="A39" s="13" t="n">
        <v>31</v>
      </c>
      <c r="B39" s="13" t="n">
        <v>23214</v>
      </c>
      <c r="C39" s="14" t="s">
        <v>431</v>
      </c>
      <c r="D39" s="13" t="s">
        <v>432</v>
      </c>
      <c r="E39" s="13" t="s">
        <v>433</v>
      </c>
      <c r="F39" s="13" t="s">
        <v>39</v>
      </c>
      <c r="G39" s="4" t="n">
        <v>2</v>
      </c>
      <c r="H39" s="5" t="n">
        <v>26.65</v>
      </c>
      <c r="I39" s="5" t="n">
        <f aca="false">G39*H39</f>
        <v>53.3</v>
      </c>
      <c r="J39" s="13" t="s">
        <v>434</v>
      </c>
      <c r="K39" s="13"/>
    </row>
    <row r="40" customFormat="false" ht="15" hidden="false" customHeight="false" outlineLevel="0" collapsed="false">
      <c r="A40" s="13" t="n">
        <v>32</v>
      </c>
      <c r="B40" s="13" t="n">
        <v>27012</v>
      </c>
      <c r="C40" s="14" t="s">
        <v>435</v>
      </c>
      <c r="D40" s="13" t="s">
        <v>436</v>
      </c>
      <c r="E40" s="13" t="s">
        <v>437</v>
      </c>
      <c r="F40" s="13" t="s">
        <v>106</v>
      </c>
      <c r="G40" s="4" t="n">
        <v>2</v>
      </c>
      <c r="H40" s="5" t="n">
        <v>6.49</v>
      </c>
      <c r="I40" s="5" t="n">
        <f aca="false">G40*H40</f>
        <v>12.98</v>
      </c>
      <c r="J40" s="13" t="s">
        <v>438</v>
      </c>
      <c r="K40" s="13"/>
    </row>
    <row r="41" customFormat="false" ht="15" hidden="false" customHeight="false" outlineLevel="0" collapsed="false">
      <c r="A41" s="13" t="n">
        <v>33</v>
      </c>
      <c r="B41" s="13" t="n">
        <v>20485</v>
      </c>
      <c r="C41" s="14" t="s">
        <v>439</v>
      </c>
      <c r="D41" s="13" t="s">
        <v>440</v>
      </c>
      <c r="E41" s="13" t="s">
        <v>441</v>
      </c>
      <c r="F41" s="13" t="s">
        <v>39</v>
      </c>
      <c r="G41" s="4" t="n">
        <v>1</v>
      </c>
      <c r="H41" s="5" t="n">
        <v>8.79</v>
      </c>
      <c r="I41" s="5" t="n">
        <f aca="false">G41*H41</f>
        <v>8.79</v>
      </c>
      <c r="J41" s="13" t="s">
        <v>442</v>
      </c>
      <c r="K41" s="13"/>
    </row>
    <row r="42" customFormat="false" ht="15" hidden="false" customHeight="false" outlineLevel="0" collapsed="false">
      <c r="A42" s="13" t="n">
        <v>34</v>
      </c>
      <c r="B42" s="13" t="n">
        <v>2570</v>
      </c>
      <c r="C42" s="14" t="s">
        <v>443</v>
      </c>
      <c r="D42" s="13" t="s">
        <v>444</v>
      </c>
      <c r="E42" s="13" t="s">
        <v>445</v>
      </c>
      <c r="F42" s="13" t="s">
        <v>92</v>
      </c>
      <c r="G42" s="4" t="n">
        <v>6</v>
      </c>
      <c r="H42" s="5" t="n">
        <v>10.97</v>
      </c>
      <c r="I42" s="5" t="n">
        <f aca="false">G42*H42</f>
        <v>65.82</v>
      </c>
      <c r="J42" s="13" t="s">
        <v>446</v>
      </c>
      <c r="K42" s="13"/>
    </row>
    <row r="43" customFormat="false" ht="15" hidden="false" customHeight="false" outlineLevel="0" collapsed="false">
      <c r="A43" s="13" t="n">
        <v>35</v>
      </c>
      <c r="B43" s="13" t="n">
        <v>17292</v>
      </c>
      <c r="C43" s="14" t="s">
        <v>447</v>
      </c>
      <c r="D43" s="13" t="s">
        <v>448</v>
      </c>
      <c r="E43" s="13" t="s">
        <v>449</v>
      </c>
      <c r="F43" s="13" t="s">
        <v>132</v>
      </c>
      <c r="G43" s="4" t="n">
        <v>13</v>
      </c>
      <c r="H43" s="5" t="n">
        <v>16.95</v>
      </c>
      <c r="I43" s="5" t="n">
        <f aca="false">G43*H43</f>
        <v>220.35</v>
      </c>
      <c r="J43" s="13" t="s">
        <v>450</v>
      </c>
      <c r="K43" s="13"/>
    </row>
    <row r="44" customFormat="false" ht="15" hidden="false" customHeight="false" outlineLevel="0" collapsed="false">
      <c r="A44" s="13" t="n">
        <v>36</v>
      </c>
      <c r="B44" s="13" t="n">
        <v>26121</v>
      </c>
      <c r="C44" s="14" t="s">
        <v>451</v>
      </c>
      <c r="D44" s="13" t="s">
        <v>452</v>
      </c>
      <c r="E44" s="13" t="s">
        <v>453</v>
      </c>
      <c r="F44" s="13" t="s">
        <v>132</v>
      </c>
      <c r="G44" s="4" t="n">
        <v>1</v>
      </c>
      <c r="H44" s="5" t="n">
        <v>19.45</v>
      </c>
      <c r="I44" s="5" t="n">
        <f aca="false">G44*H44</f>
        <v>19.45</v>
      </c>
      <c r="J44" s="13" t="s">
        <v>454</v>
      </c>
      <c r="K44" s="13"/>
    </row>
    <row r="45" customFormat="false" ht="15" hidden="false" customHeight="false" outlineLevel="0" collapsed="false">
      <c r="A45" s="13" t="n">
        <v>37</v>
      </c>
      <c r="B45" s="13" t="n">
        <v>13069</v>
      </c>
      <c r="C45" s="14" t="s">
        <v>455</v>
      </c>
      <c r="D45" s="13" t="s">
        <v>456</v>
      </c>
      <c r="E45" s="13" t="s">
        <v>457</v>
      </c>
      <c r="F45" s="13" t="s">
        <v>97</v>
      </c>
      <c r="G45" s="4" t="n">
        <v>1</v>
      </c>
      <c r="H45" s="5" t="n">
        <v>43.99</v>
      </c>
      <c r="I45" s="5" t="n">
        <f aca="false">G45*H45</f>
        <v>43.99</v>
      </c>
      <c r="J45" s="13" t="s">
        <v>458</v>
      </c>
      <c r="K45" s="13"/>
    </row>
    <row r="46" customFormat="false" ht="15" hidden="false" customHeight="false" outlineLevel="0" collapsed="false">
      <c r="A46" s="13" t="n">
        <v>38</v>
      </c>
      <c r="B46" s="13" t="n">
        <v>13652</v>
      </c>
      <c r="C46" s="14" t="s">
        <v>459</v>
      </c>
      <c r="D46" s="13" t="s">
        <v>460</v>
      </c>
      <c r="E46" s="13" t="s">
        <v>461</v>
      </c>
      <c r="F46" s="13" t="s">
        <v>413</v>
      </c>
      <c r="G46" s="4" t="n">
        <v>40</v>
      </c>
      <c r="H46" s="5" t="n">
        <v>6.99</v>
      </c>
      <c r="I46" s="5" t="n">
        <f aca="false">G46*H46</f>
        <v>279.6</v>
      </c>
      <c r="J46" s="13" t="s">
        <v>462</v>
      </c>
      <c r="K46" s="13" t="s">
        <v>150</v>
      </c>
    </row>
    <row r="47" customFormat="false" ht="15" hidden="false" customHeight="false" outlineLevel="0" collapsed="false">
      <c r="A47" s="13" t="n">
        <v>39</v>
      </c>
      <c r="B47" s="13" t="n">
        <v>5323</v>
      </c>
      <c r="C47" s="14" t="s">
        <v>463</v>
      </c>
      <c r="D47" s="13" t="s">
        <v>464</v>
      </c>
      <c r="E47" s="13" t="s">
        <v>465</v>
      </c>
      <c r="F47" s="13" t="s">
        <v>39</v>
      </c>
      <c r="G47" s="4" t="n">
        <v>20</v>
      </c>
      <c r="H47" s="5" t="n">
        <v>7.49</v>
      </c>
      <c r="I47" s="5" t="n">
        <f aca="false">G47*H47</f>
        <v>149.8</v>
      </c>
      <c r="J47" s="13" t="s">
        <v>466</v>
      </c>
      <c r="K47" s="13"/>
    </row>
    <row r="48" customFormat="false" ht="15" hidden="false" customHeight="false" outlineLevel="0" collapsed="false">
      <c r="A48" s="13" t="n">
        <v>40</v>
      </c>
      <c r="B48" s="13" t="n">
        <v>22649</v>
      </c>
      <c r="C48" s="14" t="s">
        <v>467</v>
      </c>
      <c r="D48" s="13" t="s">
        <v>468</v>
      </c>
      <c r="E48" s="13" t="s">
        <v>469</v>
      </c>
      <c r="F48" s="13" t="s">
        <v>413</v>
      </c>
      <c r="G48" s="4" t="n">
        <v>6</v>
      </c>
      <c r="H48" s="5" t="n">
        <v>7.89</v>
      </c>
      <c r="I48" s="5" t="n">
        <f aca="false">G48*H48</f>
        <v>47.34</v>
      </c>
      <c r="J48" s="13" t="s">
        <v>470</v>
      </c>
      <c r="K48" s="13"/>
    </row>
    <row r="49" customFormat="false" ht="15" hidden="false" customHeight="false" outlineLevel="0" collapsed="false">
      <c r="A49" s="13" t="n">
        <v>41</v>
      </c>
      <c r="B49" s="13" t="n">
        <v>3767</v>
      </c>
      <c r="C49" s="14" t="s">
        <v>471</v>
      </c>
      <c r="D49" s="13" t="s">
        <v>472</v>
      </c>
      <c r="E49" s="13" t="s">
        <v>473</v>
      </c>
      <c r="F49" s="13" t="s">
        <v>106</v>
      </c>
      <c r="G49" s="4" t="n">
        <v>7</v>
      </c>
      <c r="H49" s="5" t="n">
        <v>2.99</v>
      </c>
      <c r="I49" s="5" t="n">
        <f aca="false">G49*H49</f>
        <v>20.93</v>
      </c>
      <c r="J49" s="13" t="s">
        <v>474</v>
      </c>
      <c r="K49" s="13"/>
    </row>
    <row r="50" customFormat="false" ht="15" hidden="false" customHeight="false" outlineLevel="0" collapsed="false">
      <c r="A50" s="13" t="n">
        <v>42</v>
      </c>
      <c r="B50" s="13" t="n">
        <v>15756</v>
      </c>
      <c r="C50" s="14" t="s">
        <v>475</v>
      </c>
      <c r="D50" s="13" t="s">
        <v>476</v>
      </c>
      <c r="E50" s="13" t="s">
        <v>477</v>
      </c>
      <c r="F50" s="13" t="s">
        <v>106</v>
      </c>
      <c r="G50" s="4" t="n">
        <v>2</v>
      </c>
      <c r="H50" s="5" t="n">
        <v>5.89</v>
      </c>
      <c r="I50" s="5" t="n">
        <f aca="false">G50*H50</f>
        <v>11.78</v>
      </c>
      <c r="J50" s="13" t="s">
        <v>478</v>
      </c>
      <c r="K50" s="13"/>
    </row>
    <row r="51" customFormat="false" ht="15" hidden="false" customHeight="false" outlineLevel="0" collapsed="false">
      <c r="A51" s="13" t="n">
        <v>43</v>
      </c>
      <c r="B51" s="13" t="n">
        <v>18134</v>
      </c>
      <c r="C51" s="14" t="s">
        <v>479</v>
      </c>
      <c r="D51" s="13" t="s">
        <v>480</v>
      </c>
      <c r="E51" s="13" t="s">
        <v>480</v>
      </c>
      <c r="F51" s="13" t="s">
        <v>400</v>
      </c>
      <c r="G51" s="4" t="n">
        <v>14</v>
      </c>
      <c r="H51" s="5" t="n">
        <v>3.15</v>
      </c>
      <c r="I51" s="5" t="n">
        <f aca="false">G51*H51</f>
        <v>44.1</v>
      </c>
      <c r="J51" s="13" t="s">
        <v>481</v>
      </c>
      <c r="K51" s="13"/>
    </row>
    <row r="52" customFormat="false" ht="15" hidden="false" customHeight="false" outlineLevel="0" collapsed="false">
      <c r="A52" s="13" t="n">
        <v>44</v>
      </c>
      <c r="B52" s="13" t="n">
        <v>13061</v>
      </c>
      <c r="C52" s="14" t="s">
        <v>482</v>
      </c>
      <c r="D52" s="13" t="s">
        <v>483</v>
      </c>
      <c r="E52" s="13" t="s">
        <v>484</v>
      </c>
      <c r="F52" s="13" t="s">
        <v>92</v>
      </c>
      <c r="G52" s="4" t="n">
        <v>1</v>
      </c>
      <c r="H52" s="5" t="n">
        <v>13.37</v>
      </c>
      <c r="I52" s="5" t="n">
        <f aca="false">G52*H52</f>
        <v>13.37</v>
      </c>
      <c r="J52" s="13" t="s">
        <v>485</v>
      </c>
      <c r="K52" s="13"/>
    </row>
    <row r="53" customFormat="false" ht="15" hidden="false" customHeight="false" outlineLevel="0" collapsed="false">
      <c r="A53" s="13" t="n">
        <v>45</v>
      </c>
      <c r="B53" s="13" t="n">
        <v>11746</v>
      </c>
      <c r="C53" s="14" t="s">
        <v>486</v>
      </c>
      <c r="D53" s="13" t="s">
        <v>487</v>
      </c>
      <c r="E53" s="13" t="s">
        <v>488</v>
      </c>
      <c r="F53" s="13" t="s">
        <v>97</v>
      </c>
      <c r="G53" s="4" t="n">
        <v>12</v>
      </c>
      <c r="H53" s="5" t="n">
        <v>13.99</v>
      </c>
      <c r="I53" s="5" t="n">
        <f aca="false">G53*H53</f>
        <v>167.88</v>
      </c>
      <c r="J53" s="13" t="s">
        <v>489</v>
      </c>
      <c r="K53" s="13" t="s">
        <v>150</v>
      </c>
    </row>
    <row r="54" customFormat="false" ht="15" hidden="false" customHeight="false" outlineLevel="0" collapsed="false">
      <c r="A54" s="13" t="n">
        <v>46</v>
      </c>
      <c r="B54" s="13" t="n">
        <v>10559</v>
      </c>
      <c r="C54" s="14" t="s">
        <v>490</v>
      </c>
      <c r="D54" s="13" t="s">
        <v>491</v>
      </c>
      <c r="E54" s="13" t="s">
        <v>492</v>
      </c>
      <c r="F54" s="13" t="s">
        <v>97</v>
      </c>
      <c r="G54" s="4" t="n">
        <v>4</v>
      </c>
      <c r="H54" s="5" t="n">
        <v>6.35</v>
      </c>
      <c r="I54" s="5" t="n">
        <f aca="false">G54*H54</f>
        <v>25.4</v>
      </c>
      <c r="J54" s="13" t="s">
        <v>493</v>
      </c>
      <c r="K54" s="13"/>
    </row>
    <row r="55" customFormat="false" ht="15" hidden="false" customHeight="false" outlineLevel="0" collapsed="false">
      <c r="A55" s="13" t="n">
        <v>47</v>
      </c>
      <c r="B55" s="13" t="n">
        <v>15596</v>
      </c>
      <c r="C55" s="14" t="s">
        <v>494</v>
      </c>
      <c r="D55" s="13" t="s">
        <v>495</v>
      </c>
      <c r="E55" s="13" t="s">
        <v>496</v>
      </c>
      <c r="F55" s="13" t="s">
        <v>497</v>
      </c>
      <c r="G55" s="4" t="n">
        <v>14</v>
      </c>
      <c r="H55" s="5" t="n">
        <v>18.55</v>
      </c>
      <c r="I55" s="5" t="n">
        <f aca="false">G55*H55</f>
        <v>259.7</v>
      </c>
      <c r="J55" s="13" t="s">
        <v>498</v>
      </c>
      <c r="K55" s="13"/>
    </row>
    <row r="56" customFormat="false" ht="15" hidden="false" customHeight="false" outlineLevel="0" collapsed="false">
      <c r="A56" s="13" t="n">
        <v>48</v>
      </c>
      <c r="B56" s="13" t="n">
        <v>16882</v>
      </c>
      <c r="C56" s="14" t="s">
        <v>499</v>
      </c>
      <c r="D56" s="13" t="s">
        <v>500</v>
      </c>
      <c r="E56" s="13" t="s">
        <v>501</v>
      </c>
      <c r="F56" s="13" t="s">
        <v>163</v>
      </c>
      <c r="G56" s="4" t="n">
        <v>80</v>
      </c>
      <c r="H56" s="5" t="n">
        <v>3.79</v>
      </c>
      <c r="I56" s="5" t="n">
        <f aca="false">G56*H56</f>
        <v>303.2</v>
      </c>
      <c r="J56" s="13" t="s">
        <v>502</v>
      </c>
      <c r="K56" s="13" t="s">
        <v>150</v>
      </c>
    </row>
    <row r="57" customFormat="false" ht="15" hidden="false" customHeight="false" outlineLevel="0" collapsed="false">
      <c r="A57" s="13" t="n">
        <v>49</v>
      </c>
      <c r="B57" s="13" t="n">
        <v>12352</v>
      </c>
      <c r="C57" s="14" t="s">
        <v>503</v>
      </c>
      <c r="D57" s="13" t="s">
        <v>504</v>
      </c>
      <c r="E57" s="13" t="s">
        <v>505</v>
      </c>
      <c r="F57" s="13" t="s">
        <v>413</v>
      </c>
      <c r="G57" s="4" t="n">
        <v>5</v>
      </c>
      <c r="H57" s="5" t="n">
        <v>6.09</v>
      </c>
      <c r="I57" s="5" t="n">
        <f aca="false">G57*H57</f>
        <v>30.45</v>
      </c>
      <c r="J57" s="13" t="s">
        <v>506</v>
      </c>
      <c r="K57" s="13"/>
    </row>
    <row r="58" customFormat="false" ht="15" hidden="false" customHeight="false" outlineLevel="0" collapsed="false">
      <c r="A58" s="15"/>
      <c r="B58" s="15"/>
      <c r="C58" s="15"/>
      <c r="D58" s="16" t="s">
        <v>303</v>
      </c>
      <c r="E58" s="15"/>
      <c r="F58" s="16" t="str">
        <f aca="false">COUNT(A9:A57)&amp;" itens"</f>
        <v>49 itens</v>
      </c>
      <c r="G58" s="17" t="n">
        <f aca="false">SUM(G9:G57)</f>
        <v>416</v>
      </c>
      <c r="H58" s="15"/>
      <c r="I58" s="18" t="n">
        <f aca="false">SUM(I9:I57)</f>
        <v>3633.2</v>
      </c>
      <c r="J58" s="15"/>
      <c r="K58" s="15"/>
    </row>
    <row r="60" customFormat="false" ht="15" hidden="false" customHeight="false" outlineLevel="0" collapsed="false">
      <c r="A60" s="9" t="s">
        <v>304</v>
      </c>
    </row>
    <row r="61" customFormat="false" ht="15" hidden="false" customHeight="false" outlineLevel="0" collapsed="false">
      <c r="A61" s="10" t="s">
        <v>305</v>
      </c>
    </row>
    <row r="62" customFormat="false" ht="15" hidden="false" customHeight="false" outlineLevel="0" collapsed="false">
      <c r="A62" s="10" t="s">
        <v>306</v>
      </c>
    </row>
    <row r="63" customFormat="false" ht="15" hidden="false" customHeight="false" outlineLevel="0" collapsed="false">
      <c r="A63" s="10" t="s">
        <v>307</v>
      </c>
    </row>
    <row r="64" customFormat="false" ht="15" hidden="false" customHeight="false" outlineLevel="0" collapsed="false">
      <c r="A64" s="10" t="s">
        <v>308</v>
      </c>
    </row>
  </sheetData>
  <autoFilter ref="A8:K5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2026-10-20T18:57:51Z</dcterms:created>
  <dc:creator>openpyxl</dc:creator>
  <dc:description/>
  <dc:language>en-US</dc:language>
  <cp:lastModifiedBy/>
  <dcterms:modified xsi:type="dcterms:W3CDTF">2026-10-20T18:57:51Z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