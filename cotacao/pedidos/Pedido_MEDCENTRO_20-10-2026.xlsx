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" sheetId="1" state="visible" r:id="rId3"/>
  </sheets>
  <definedNames>
    <definedName function="false" hidden="false" localSheetId="0" name="_xlnm.Print_Titles" vbProcedure="false">Pedido!$8:$8</definedName>
    <definedName function="false" hidden="true" localSheetId="0" name="_xlnm._FilterDatabase" vbProcedure="false">Pedido!$A$8:$K$252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<sst xmlns="http://schemas.openxmlformats.org/spreadsheetml/2006/main" count="1269" uniqueCount="1038">
  <si>
    <t xml:space="preserve">PEDIDO DE COMPRA — MEDCENTRO</t>
  </si>
  <si>
    <t xml:space="preserve">Cliente:</t>
  </si>
  <si>
    <t xml:space="preserve">DROGARIAS ROCHA</t>
  </si>
  <si>
    <t xml:space="preserve">Data:</t>
  </si>
  <si>
    <t xml:space="preserve">20/10/2026</t>
  </si>
  <si>
    <t xml:space="preserve">Distribuidor:</t>
  </si>
  <si>
    <t xml:space="preserve">MEDCENTRO</t>
  </si>
  <si>
    <t xml:space="preserve">Condição de preço:</t>
  </si>
  <si>
    <t xml:space="preserve">Promo Redes PA — PRECO_FINAL com desconto adicional de 5% (já aplicado)</t>
  </si>
  <si>
    <t xml:space="preserve">PRAZO:</t>
  </si>
  <si>
    <t xml:space="preserve">Prazo de pagamento solicitado: MÍNIMO 45 DIAS — preferência até 90 DIAS (ex.: 45/60/75/90 dd ou 90 dd direto)</t>
  </si>
  <si>
    <t xml:space="preserve">Item</t>
  </si>
  <si>
    <t xml:space="preserve">Cód. distribuidor</t>
  </si>
  <si>
    <t xml:space="preserve">EAN</t>
  </si>
  <si>
    <t xml:space="preserve">Produto (descrição do distribuidor)</t>
  </si>
  <si>
    <t xml:space="preserve">Produto (nosso cadastro)</t>
  </si>
  <si>
    <t xml:space="preserve">Fabricante</t>
  </si>
  <si>
    <t xml:space="preserve">Qtd (cx)</t>
  </si>
  <si>
    <t xml:space="preserve">Preço unit. (cx)</t>
  </si>
  <si>
    <t xml:space="preserve">Total</t>
  </si>
  <si>
    <t xml:space="preserve">Cód. interno</t>
  </si>
  <si>
    <t xml:space="preserve">Obs.</t>
  </si>
  <si>
    <t xml:space="preserve">7896699032520</t>
  </si>
  <si>
    <t xml:space="preserve">MAMAD TIP 80ML SIL RED FEM 1560-01</t>
  </si>
  <si>
    <t xml:space="preserve">1560-01-F MAM TIP 80ML SIL R F CX C/6 - LOLLY</t>
  </si>
  <si>
    <t xml:space="preserve">LOLLY</t>
  </si>
  <si>
    <t xml:space="preserve">643491</t>
  </si>
  <si>
    <t xml:space="preserve">7896699032537</t>
  </si>
  <si>
    <t xml:space="preserve">MAMAD TIP 80ML SIL RED MAS 1560-01</t>
  </si>
  <si>
    <t xml:space="preserve">1560-01-M MAM TIP 80ML SIL R M LOLLY</t>
  </si>
  <si>
    <t xml:space="preserve">643501</t>
  </si>
  <si>
    <t xml:space="preserve">7896699015479</t>
  </si>
  <si>
    <t xml:space="preserve">MINI MAMAD CLEAN  50ML RS1971-00/1970-01</t>
  </si>
  <si>
    <t xml:space="preserve">1970-01-F MINI MAM CLEAN 50ML F - LOLLY</t>
  </si>
  <si>
    <t xml:space="preserve">643511</t>
  </si>
  <si>
    <t xml:space="preserve">7896699015455</t>
  </si>
  <si>
    <t xml:space="preserve">MINI MAMAD CLEAN 50ML AZ 1971-00/1970-01</t>
  </si>
  <si>
    <t xml:space="preserve">1970-01-M MINI MAM CLEAN 50ML M CX C/6 - LOLLY</t>
  </si>
  <si>
    <t xml:space="preserve">643521</t>
  </si>
  <si>
    <t xml:space="preserve">7896699033244</t>
  </si>
  <si>
    <t xml:space="preserve">CHUP VIVA SIL ORTO T2 F 4915-01</t>
  </si>
  <si>
    <t xml:space="preserve">4915-01-F CH VIVA SIL O T2 F LOLLY</t>
  </si>
  <si>
    <t xml:space="preserve">653461</t>
  </si>
  <si>
    <t xml:space="preserve">7896699032230</t>
  </si>
  <si>
    <t xml:space="preserve">CHUP 100% SIL OT1 F ROSA 6014-01</t>
  </si>
  <si>
    <t xml:space="preserve">6014-01-F CH 100% SILICONE OT1 F LOLLY</t>
  </si>
  <si>
    <t xml:space="preserve">643591</t>
  </si>
  <si>
    <t xml:space="preserve">7896699034456</t>
  </si>
  <si>
    <t xml:space="preserve">COPO ANTIV STAR BICO RS 250ML 7197-00-F</t>
  </si>
  <si>
    <t xml:space="preserve">7197-00-F COPO STAR BICO SIL 250ML F CX/6 - LOLLY</t>
  </si>
  <si>
    <t xml:space="preserve">659151</t>
  </si>
  <si>
    <t xml:space="preserve">7896004713366</t>
  </si>
  <si>
    <t xml:space="preserve">ACETILCISTEINA 40MG AD XPE 120ML (GEN).</t>
  </si>
  <si>
    <t xml:space="preserve">ACETILCISTEINA 40MG XPE FR 120ML ADU</t>
  </si>
  <si>
    <t xml:space="preserve">EMS GENERICO</t>
  </si>
  <si>
    <t xml:space="preserve">10241</t>
  </si>
  <si>
    <t xml:space="preserve">7896004713625</t>
  </si>
  <si>
    <t xml:space="preserve">ALGESTONA+ENAN INJ C/1 AMP GEN.</t>
  </si>
  <si>
    <t xml:space="preserve">ACETONIDO DE ALGESTONA+ENANTATO DE ESTRADIOL 150+10MG INJ AMP X 1ML</t>
  </si>
  <si>
    <t xml:space="preserve">GERMED GENERICOS</t>
  </si>
  <si>
    <t xml:space="preserve">231861</t>
  </si>
  <si>
    <t xml:space="preserve">QTD LIMITADA (ESTOQUE/Q.MÁX)</t>
  </si>
  <si>
    <t xml:space="preserve">7894913002137</t>
  </si>
  <si>
    <t xml:space="preserve">AFTIKE MEL ROSADO SPRAY 30ML</t>
  </si>
  <si>
    <t xml:space="preserve">KRESS</t>
  </si>
  <si>
    <t xml:space="preserve">630541</t>
  </si>
  <si>
    <t xml:space="preserve">7896902210561</t>
  </si>
  <si>
    <t xml:space="preserve">AGUA OXIGENADA CR 20VOL DESCOLOR 90ML</t>
  </si>
  <si>
    <t xml:space="preserve">AGUA OXIG FARMAX 90ML 20V</t>
  </si>
  <si>
    <t xml:space="preserve">FARMAX</t>
  </si>
  <si>
    <t xml:space="preserve">657951</t>
  </si>
  <si>
    <t xml:space="preserve">7898031310587</t>
  </si>
  <si>
    <t xml:space="preserve">AGUA OXIGENADA 10VOL C/ APLICADOR 100ML</t>
  </si>
  <si>
    <t xml:space="preserve">AGUA OXIGENADA ALMOT. 10 VOL. 100ML</t>
  </si>
  <si>
    <t xml:space="preserve">UNIPHAR</t>
  </si>
  <si>
    <t xml:space="preserve">532161</t>
  </si>
  <si>
    <t xml:space="preserve">ISENTO REAJUSTE (+10.8%)</t>
  </si>
  <si>
    <t xml:space="preserve">7896902210530</t>
  </si>
  <si>
    <t xml:space="preserve">AGUA OXIGENADA CR 10VOL DESCOLOR 90ML</t>
  </si>
  <si>
    <t xml:space="preserve">674721</t>
  </si>
  <si>
    <t xml:space="preserve">7896902210905</t>
  </si>
  <si>
    <t xml:space="preserve">SOLUCAO DE AMONIA 100ML</t>
  </si>
  <si>
    <t xml:space="preserve">AGUA OXIGENADA CREMOSA - AMONIA 100ML</t>
  </si>
  <si>
    <t xml:space="preserve">534761</t>
  </si>
  <si>
    <t xml:space="preserve">7898048690900</t>
  </si>
  <si>
    <t xml:space="preserve">AGUARDENTE EM ELIXIR 200ML (ALEMA)</t>
  </si>
  <si>
    <t xml:space="preserve">AGUARDENTE ALEMA JALAPA 200ML</t>
  </si>
  <si>
    <t xml:space="preserve">SOBRAL</t>
  </si>
  <si>
    <t xml:space="preserve">651171</t>
  </si>
  <si>
    <t xml:space="preserve">7899095202436</t>
  </si>
  <si>
    <t xml:space="preserve">ALBENDAZOL 400MG C/05 CPR MAST (GEN)</t>
  </si>
  <si>
    <t xml:space="preserve">ALBENDAZOL 400MG CX 05 COMP</t>
  </si>
  <si>
    <t xml:space="preserve">GEOLAB</t>
  </si>
  <si>
    <t xml:space="preserve">657521</t>
  </si>
  <si>
    <t xml:space="preserve">7898031313465</t>
  </si>
  <si>
    <t xml:space="preserve">ALCOOL ETILICO ANTISSEPTICO 70% 50ML</t>
  </si>
  <si>
    <t xml:space="preserve">ALCOOL 70% 50ML</t>
  </si>
  <si>
    <t xml:space="preserve">542161</t>
  </si>
  <si>
    <t xml:space="preserve">7896004820811</t>
  </si>
  <si>
    <t xml:space="preserve">DESLORATADINA 5MG C/10 CPR (ALERADINA)</t>
  </si>
  <si>
    <t xml:space="preserve">ALERADINA 5MG CX 10 COMP REV</t>
  </si>
  <si>
    <t xml:space="preserve">NOVA QUIMICA</t>
  </si>
  <si>
    <t xml:space="preserve">203301</t>
  </si>
  <si>
    <t xml:space="preserve">7896075707158</t>
  </si>
  <si>
    <t xml:space="preserve">ALICATE P/ CUTICULA C/ ESPATULA LILAS</t>
  </si>
  <si>
    <t xml:space="preserve">ALICATE MERH.CUT.C/ESP.LILAS</t>
  </si>
  <si>
    <t xml:space="preserve">MERHEJE</t>
  </si>
  <si>
    <t xml:space="preserve">667631</t>
  </si>
  <si>
    <t xml:space="preserve">7898179711048</t>
  </si>
  <si>
    <t xml:space="preserve">HIDROX ALUMINIO 100ML (ALUMIMEC)</t>
  </si>
  <si>
    <t xml:space="preserve">ALUMINEC 60MG/ML</t>
  </si>
  <si>
    <t xml:space="preserve">IMEC</t>
  </si>
  <si>
    <t xml:space="preserve">559861</t>
  </si>
  <si>
    <t xml:space="preserve">7899095200456</t>
  </si>
  <si>
    <t xml:space="preserve">AMIODARONA 200MG C/20 CPR (AMIORON)</t>
  </si>
  <si>
    <t xml:space="preserve">AMIORON 200MG CX 20 COMP</t>
  </si>
  <si>
    <t xml:space="preserve">125181</t>
  </si>
  <si>
    <t xml:space="preserve">7896004700458</t>
  </si>
  <si>
    <t xml:space="preserve">AMOXICILINA 250MG/ML SUSP 150ML (GEN)</t>
  </si>
  <si>
    <t xml:space="preserve">AMOXICILINA 250MG SUS FR 150ML</t>
  </si>
  <si>
    <t xml:space="preserve">32821</t>
  </si>
  <si>
    <t xml:space="preserve">7896181900498</t>
  </si>
  <si>
    <t xml:space="preserve">AMOX+CLAV POT 400MG+57MG/5ML 70ML (GEN)</t>
  </si>
  <si>
    <t xml:space="preserve">AMOXICILINA TRIIDRATADA+CLAVULANATO DE POTASSIO 400+57MG/5ML FR 70ML</t>
  </si>
  <si>
    <t xml:space="preserve">ACHE</t>
  </si>
  <si>
    <t xml:space="preserve">109161</t>
  </si>
  <si>
    <t xml:space="preserve">7896181919452</t>
  </si>
  <si>
    <t xml:space="preserve">AMOX+CLAV POT 875MG+125MG C/14 CPR (GEN)</t>
  </si>
  <si>
    <t xml:space="preserve">AMOXICILINA TRIIDRATADA+CLAVULANATO DE POTASSIO 875/125MG FR 14 COMP</t>
  </si>
  <si>
    <t xml:space="preserve">33861</t>
  </si>
  <si>
    <t xml:space="preserve">7894913000805</t>
  </si>
  <si>
    <t xml:space="preserve">ANTIAZIL MENTA 150ML</t>
  </si>
  <si>
    <t xml:space="preserve">664111</t>
  </si>
  <si>
    <t xml:space="preserve">7894913003516</t>
  </si>
  <si>
    <t xml:space="preserve">APETIKIDS BC XPE FRUTAS VERMELHAS 240ML</t>
  </si>
  <si>
    <t xml:space="preserve">642871</t>
  </si>
  <si>
    <t xml:space="preserve">7897595634771</t>
  </si>
  <si>
    <t xml:space="preserve">APIXABANA 2,5MG C/60 CPR REV (GEN)</t>
  </si>
  <si>
    <t xml:space="preserve">APIXABANA 2,5MG CX 60 COMP REV</t>
  </si>
  <si>
    <t xml:space="preserve">SANDOZ</t>
  </si>
  <si>
    <t xml:space="preserve">33203</t>
  </si>
  <si>
    <t xml:space="preserve">7898108642085</t>
  </si>
  <si>
    <t xml:space="preserve">ATADURA CREPE 08CM X 1,8M MICKEY &amp; AMIGO</t>
  </si>
  <si>
    <t xml:space="preserve">ATADURA DE CREPE MICKEY 08CM</t>
  </si>
  <si>
    <t xml:space="preserve">SANFARMA</t>
  </si>
  <si>
    <t xml:space="preserve">661591</t>
  </si>
  <si>
    <t xml:space="preserve">7898108641347</t>
  </si>
  <si>
    <t xml:space="preserve">ATADURA CREPE 12CM X 1,8M</t>
  </si>
  <si>
    <t xml:space="preserve">ATADURA DE CREPE SANF 12CMX1,80M</t>
  </si>
  <si>
    <t xml:space="preserve">661601</t>
  </si>
  <si>
    <t xml:space="preserve">ISENTO REAJUSTE (+5.7%)</t>
  </si>
  <si>
    <t xml:space="preserve">7898060132518</t>
  </si>
  <si>
    <t xml:space="preserve">AZITROMICINA 500MG C/5 CMP (GENERICO)</t>
  </si>
  <si>
    <t xml:space="preserve">AZITROMICINA 500MG CX 5 COMP</t>
  </si>
  <si>
    <t xml:space="preserve">GLOBO</t>
  </si>
  <si>
    <t xml:space="preserve">46141</t>
  </si>
  <si>
    <t xml:space="preserve">7899811100596</t>
  </si>
  <si>
    <t xml:space="preserve">BASILICAO POM BISNAGA 27G BASILIFLAM</t>
  </si>
  <si>
    <t xml:space="preserve">BASILICAO POMADA BISNAGA 27G BASILIFLAM</t>
  </si>
  <si>
    <t xml:space="preserve">655521</t>
  </si>
  <si>
    <t xml:space="preserve">7899095220492</t>
  </si>
  <si>
    <t xml:space="preserve">BEBEX ADE POM 45G (HIPOGLOS).</t>
  </si>
  <si>
    <t xml:space="preserve">BEBEX ADE POM BG 45G</t>
  </si>
  <si>
    <t xml:space="preserve">388501</t>
  </si>
  <si>
    <t xml:space="preserve">7897917001694</t>
  </si>
  <si>
    <t xml:space="preserve">SULFA+TRIM 800+160MG C/10CP BELFACTRIM F</t>
  </si>
  <si>
    <t xml:space="preserve">BELFACTRIM 800+160MG CX 10 COMP</t>
  </si>
  <si>
    <t xml:space="preserve">BELFAR</t>
  </si>
  <si>
    <t xml:space="preserve">470461</t>
  </si>
  <si>
    <t xml:space="preserve">7897917001762</t>
  </si>
  <si>
    <t xml:space="preserve">DICLOFENACO 10MG/G GEL DERM 60G BELFAREN</t>
  </si>
  <si>
    <t xml:space="preserve">BELFAREN 10MG GEL BG 60G</t>
  </si>
  <si>
    <t xml:space="preserve">212581</t>
  </si>
  <si>
    <t xml:space="preserve">7896004810065</t>
  </si>
  <si>
    <t xml:space="preserve">BENECTRIN F C/10 CPR (SULF+TRIMETO)</t>
  </si>
  <si>
    <t xml:space="preserve">BENECTRIN F CX 10 COMP</t>
  </si>
  <si>
    <t xml:space="preserve">LEGRAND PHARMA</t>
  </si>
  <si>
    <t xml:space="preserve">470701</t>
  </si>
  <si>
    <t xml:space="preserve">7899095258051</t>
  </si>
  <si>
    <t xml:space="preserve">ANLODIPINO 10MG C/30 CPR (BESILAPIN)</t>
  </si>
  <si>
    <t xml:space="preserve">BESILAPIN 10MG CX 30 COMP</t>
  </si>
  <si>
    <t xml:space="preserve">50201</t>
  </si>
  <si>
    <t xml:space="preserve">7898031310303</t>
  </si>
  <si>
    <t xml:space="preserve">BICARBONATO DE SODIO 100GR CX</t>
  </si>
  <si>
    <t xml:space="preserve">BICARBONATO DE SODIO 100G</t>
  </si>
  <si>
    <t xml:space="preserve">538061</t>
  </si>
  <si>
    <t xml:space="preserve">7896699011617</t>
  </si>
  <si>
    <t xml:space="preserve">BICO MAMAD SIL BIG REDONDO 0065-01</t>
  </si>
  <si>
    <t xml:space="preserve">BICO MAMAD SIL BIG REDONDO</t>
  </si>
  <si>
    <t xml:space="preserve">610631</t>
  </si>
  <si>
    <t xml:space="preserve">7899095249639</t>
  </si>
  <si>
    <t xml:space="preserve">COLIRIO BIMATOPROSTA 0,3MG/ML 3ML (GEN)</t>
  </si>
  <si>
    <t xml:space="preserve">BIMATOPROSTA 0,3MG/ML FR 3ML</t>
  </si>
  <si>
    <t xml:space="preserve">58381</t>
  </si>
  <si>
    <t xml:space="preserve">7896033295192</t>
  </si>
  <si>
    <t xml:space="preserve">BOMBA MANUAL P/TIRAR LEITE MAMY 629501</t>
  </si>
  <si>
    <t xml:space="preserve">LILLO</t>
  </si>
  <si>
    <t xml:space="preserve">670271</t>
  </si>
  <si>
    <t xml:space="preserve">7896004725420</t>
  </si>
  <si>
    <t xml:space="preserve">BROMETO DE IPRATROPIO SOL/INAL 20ML(GEN)</t>
  </si>
  <si>
    <t xml:space="preserve">BROMETO DE IPRATROPIO SOL INAL FR 20ML</t>
  </si>
  <si>
    <t xml:space="preserve">62441</t>
  </si>
  <si>
    <t xml:space="preserve">7896004758275</t>
  </si>
  <si>
    <t xml:space="preserve">BUDESONIDA 64MCG SPR C/120 ACION (GEN)</t>
  </si>
  <si>
    <t xml:space="preserve">BUDESONIDA 64MCG FR X 120ML</t>
  </si>
  <si>
    <t xml:space="preserve">68721</t>
  </si>
  <si>
    <t xml:space="preserve">7898108640906</t>
  </si>
  <si>
    <t xml:space="preserve">ALGODAO HIDROFILO 25 GR SANCARE (CAIXA)</t>
  </si>
  <si>
    <t xml:space="preserve">CAIXA DE ALGODAO SANCARE 25G</t>
  </si>
  <si>
    <t xml:space="preserve">648301</t>
  </si>
  <si>
    <t xml:space="preserve">ISENTO REAJUSTE (+12.4%)</t>
  </si>
  <si>
    <t xml:space="preserve">7894164005260</t>
  </si>
  <si>
    <t xml:space="preserve">LACTO SALICILADO 200+150MG 5ML (CALOFIM.</t>
  </si>
  <si>
    <t xml:space="preserve">CALOFIM 5ML SOL (AIRELA)</t>
  </si>
  <si>
    <t xml:space="preserve">AIRELA</t>
  </si>
  <si>
    <t xml:space="preserve">596481</t>
  </si>
  <si>
    <t xml:space="preserve">7896033233736</t>
  </si>
  <si>
    <t xml:space="preserve">CANECA APREND C/ALCA 150ML RS 628931</t>
  </si>
  <si>
    <t xml:space="preserve">CANECA LILLO AP S 150ML MENINA</t>
  </si>
  <si>
    <t xml:space="preserve">603521</t>
  </si>
  <si>
    <t xml:space="preserve">7896033233729</t>
  </si>
  <si>
    <t xml:space="preserve">CANECA APREND C/ALCA 150ML AZ 628921</t>
  </si>
  <si>
    <t xml:space="preserve">CANECA LILLO AP S 150ML MENINO</t>
  </si>
  <si>
    <t xml:space="preserve">603531</t>
  </si>
  <si>
    <t xml:space="preserve">7897848500907</t>
  </si>
  <si>
    <t xml:space="preserve">CARBOCISTEINA 20MG XRP INF 100ML (GEN)</t>
  </si>
  <si>
    <t xml:space="preserve">CARBOCISTEINA 20 MG/ML XPE INF 100 ML</t>
  </si>
  <si>
    <t xml:space="preserve">NATIVITA IND</t>
  </si>
  <si>
    <t xml:space="preserve">78101</t>
  </si>
  <si>
    <t xml:space="preserve">7896181915041</t>
  </si>
  <si>
    <t xml:space="preserve">CARVEDILOL 12,5MG C/30 CPR (GENERICO).</t>
  </si>
  <si>
    <t xml:space="preserve">CARVEDILOL 12,5MG COM BLX30</t>
  </si>
  <si>
    <t xml:space="preserve">84621</t>
  </si>
  <si>
    <t xml:space="preserve">7896181915027</t>
  </si>
  <si>
    <t xml:space="preserve">CARVEDILOL 3,125MG C/30 CPR (GENERICO).</t>
  </si>
  <si>
    <t xml:space="preserve">CARVEDILOL 3,125MG COM BLX30</t>
  </si>
  <si>
    <t xml:space="preserve">84581</t>
  </si>
  <si>
    <t xml:space="preserve">7897848500969</t>
  </si>
  <si>
    <t xml:space="preserve">CETOCONAZOL SHAMPOO 100ML (GENERICO)</t>
  </si>
  <si>
    <t xml:space="preserve">CETOCONAZOL 20MG 100ML SHAMPOO</t>
  </si>
  <si>
    <t xml:space="preserve">NATULAB LABORATORIO</t>
  </si>
  <si>
    <t xml:space="preserve">651451</t>
  </si>
  <si>
    <t xml:space="preserve">7896004752525</t>
  </si>
  <si>
    <t xml:space="preserve">CETOPROFENO 150MG C/10 CPR (GEN)</t>
  </si>
  <si>
    <t xml:space="preserve">CETOPROFENO 150MG CX 10 COMP LIB PROL</t>
  </si>
  <si>
    <t xml:space="preserve">95441</t>
  </si>
  <si>
    <t xml:space="preserve">7896699015936</t>
  </si>
  <si>
    <t xml:space="preserve">CHOCALHO TIP/INFANTIL AZUL 7230-01-AZ</t>
  </si>
  <si>
    <t xml:space="preserve">CHOCALHO LOLLY AZUL</t>
  </si>
  <si>
    <t xml:space="preserve">629761</t>
  </si>
  <si>
    <t xml:space="preserve">7896699015950</t>
  </si>
  <si>
    <t xml:space="preserve">CHOCALHO TIP/INFANTIL ROSA 7230-01-RS</t>
  </si>
  <si>
    <t xml:space="preserve">CHOCALHO LOLLY ROSA</t>
  </si>
  <si>
    <t xml:space="preserve">629771</t>
  </si>
  <si>
    <t xml:space="preserve">7896699025829</t>
  </si>
  <si>
    <t xml:space="preserve">CHUP DREAMS CAP SIL ORTO T1 AZUL 5414-01</t>
  </si>
  <si>
    <t xml:space="preserve">CHUPETA DREAMS CAP SIL O T1 M LOLLY</t>
  </si>
  <si>
    <t xml:space="preserve">663421</t>
  </si>
  <si>
    <t xml:space="preserve">7896699017718</t>
  </si>
  <si>
    <t xml:space="preserve">MINI MAMAD TIP 50ML SIL AZ 1971-01</t>
  </si>
  <si>
    <t xml:space="preserve">CHUQUINHA LOLLY COM DESENHO SIL AZ</t>
  </si>
  <si>
    <t xml:space="preserve">539381</t>
  </si>
  <si>
    <t xml:space="preserve">7896181925859</t>
  </si>
  <si>
    <t xml:space="preserve">CILOSTAZOL 100MG C/30 CPR (GENERICO)</t>
  </si>
  <si>
    <t xml:space="preserve">CILOSTAZOL 100MG CX 30 COMP</t>
  </si>
  <si>
    <t xml:space="preserve">99121</t>
  </si>
  <si>
    <t xml:space="preserve">7899620915312</t>
  </si>
  <si>
    <t xml:space="preserve">CIPROFIBRATO 100MG C/30 CPR (GENERICO)</t>
  </si>
  <si>
    <t xml:space="preserve">CIPROFIBRATO 100MG CX 30 COMP</t>
  </si>
  <si>
    <t xml:space="preserve">572681</t>
  </si>
  <si>
    <t xml:space="preserve">7898907313858</t>
  </si>
  <si>
    <t xml:space="preserve">CIPROTERO+ETINIL C/21 (GENERICO) FERANE</t>
  </si>
  <si>
    <t xml:space="preserve">CIPROTERONA+ETINILESTRADIOL 0,035MG CX 21 COMP</t>
  </si>
  <si>
    <t xml:space="preserve">4301</t>
  </si>
  <si>
    <t xml:space="preserve">7896181901327</t>
  </si>
  <si>
    <t xml:space="preserve">CICLOBENZAPRINA 10MG C/15 CPR (GENERICO)</t>
  </si>
  <si>
    <t xml:space="preserve">CLORIDRATO DE CICLOBENZAPRINA 10MG CX 15 COMP</t>
  </si>
  <si>
    <t xml:space="preserve">133221</t>
  </si>
  <si>
    <t xml:space="preserve">7896181901150</t>
  </si>
  <si>
    <t xml:space="preserve">CICLOBENZAPRINA 5MG C/15 CPR (GENERICO)</t>
  </si>
  <si>
    <t xml:space="preserve">CLORIDRATO DE CICLOBENZAPRINA 5MG CX 15 COMP</t>
  </si>
  <si>
    <t xml:space="preserve">133181</t>
  </si>
  <si>
    <t xml:space="preserve">7898216360185</t>
  </si>
  <si>
    <t xml:space="preserve">CIPROFLOXACINO 500MG C/14 (GENERICO).</t>
  </si>
  <si>
    <t xml:space="preserve">CLORIDRATO DE CIPROFLOXACINO 500MG CX 14 COMP REV</t>
  </si>
  <si>
    <t xml:space="preserve">PHARLAB</t>
  </si>
  <si>
    <t xml:space="preserve">135981</t>
  </si>
  <si>
    <t xml:space="preserve">7898060131399</t>
  </si>
  <si>
    <t xml:space="preserve">CIPROFLOXACINO 500MG C/14 COMP GENERICO</t>
  </si>
  <si>
    <t xml:space="preserve">136261</t>
  </si>
  <si>
    <t xml:space="preserve">7899095230309</t>
  </si>
  <si>
    <t xml:space="preserve">COLIRIO CIPRO+DEX 5ML CIPRIXIN DEXA GEN</t>
  </si>
  <si>
    <t xml:space="preserve">CLORIDRATO DE CIPROFOXACINO+DEXAMETASONA 0,35+0,1% SOL OFT FR 5ML</t>
  </si>
  <si>
    <t xml:space="preserve">137521</t>
  </si>
  <si>
    <t xml:space="preserve">7896181925224</t>
  </si>
  <si>
    <t xml:space="preserve">DULOXETINA 30MG C/30 CPS (GEN) (C1)</t>
  </si>
  <si>
    <t xml:space="preserve">CLORIDRATO DE DULOXETINA 30MG CX 30 CAP LIB RET</t>
  </si>
  <si>
    <t xml:space="preserve">144421</t>
  </si>
  <si>
    <t xml:space="preserve">7897848501195</t>
  </si>
  <si>
    <t xml:space="preserve">HIDROXIZINA 2MG SOL 100ML (GEN)</t>
  </si>
  <si>
    <t xml:space="preserve">CLORIDRATO DE HIDROXIZINA 2 MG / ML SOL OR CT FR PLAS AMB X 100 ML + SER DOSAD</t>
  </si>
  <si>
    <t xml:space="preserve">213401</t>
  </si>
  <si>
    <t xml:space="preserve">7898060132600</t>
  </si>
  <si>
    <t xml:space="preserve">LOPERAMIDA 02MG C/12 CMP (GENERICO)</t>
  </si>
  <si>
    <t xml:space="preserve">CLORIDRATO DE LOPERAMIDA 2MG CX 12 COMP</t>
  </si>
  <si>
    <t xml:space="preserve">323981</t>
  </si>
  <si>
    <t xml:space="preserve">7897595620279</t>
  </si>
  <si>
    <t xml:space="preserve">LOPERAMIDA 02MG C/12 CPR (GENERICO)</t>
  </si>
  <si>
    <t xml:space="preserve">152881</t>
  </si>
  <si>
    <t xml:space="preserve">7899551303868</t>
  </si>
  <si>
    <t xml:space="preserve">NEBIVOLOL 5MG C/ 30 CPR (GENERICO)</t>
  </si>
  <si>
    <t xml:space="preserve">CLORIDRATO DE NEBIVOLOL 5MG CX 30 COMP</t>
  </si>
  <si>
    <t xml:space="preserve">BIOLAB GENERICOS</t>
  </si>
  <si>
    <t xml:space="preserve">162601</t>
  </si>
  <si>
    <t xml:space="preserve">7898277713258</t>
  </si>
  <si>
    <t xml:space="preserve">COMPLEXO B C/50 COMPRIMIDOS</t>
  </si>
  <si>
    <t xml:space="preserve">COMPLEXO B C/50 COMP REV (ARTE NATIVA)</t>
  </si>
  <si>
    <t xml:space="preserve">ARTE NATIVA</t>
  </si>
  <si>
    <t xml:space="preserve">602191</t>
  </si>
  <si>
    <t xml:space="preserve">7898108640104</t>
  </si>
  <si>
    <t xml:space="preserve">COMPRESSA DE GAZE 7,5 X 7,5 11FIOS C/10</t>
  </si>
  <si>
    <t xml:space="preserve">COMPRESSA GAZES 11FIOS ESTER 10UN</t>
  </si>
  <si>
    <t xml:space="preserve">648311</t>
  </si>
  <si>
    <t xml:space="preserve">ISENTO REAJUSTE (+7.9%)</t>
  </si>
  <si>
    <t xml:space="preserve">7899095202733</t>
  </si>
  <si>
    <t xml:space="preserve">CETOCONAZOL+BETAMETA CR 30G (CONACORT)</t>
  </si>
  <si>
    <t xml:space="preserve">CONACORT 20MG CREME BG 30G</t>
  </si>
  <si>
    <t xml:space="preserve">94901</t>
  </si>
  <si>
    <t xml:space="preserve">7896444211293</t>
  </si>
  <si>
    <t xml:space="preserve">CONDUTOR DENTAL C/25UND (PASSA FIO) 10</t>
  </si>
  <si>
    <t xml:space="preserve">HILLO</t>
  </si>
  <si>
    <t xml:space="preserve">619171</t>
  </si>
  <si>
    <t xml:space="preserve">7898920041455</t>
  </si>
  <si>
    <t xml:space="preserve">CREATINA 100% PURA 150G</t>
  </si>
  <si>
    <t xml:space="preserve">CREATINE MAX TITANIUM 150G</t>
  </si>
  <si>
    <t xml:space="preserve">MAX TITANIUM</t>
  </si>
  <si>
    <t xml:space="preserve">597721</t>
  </si>
  <si>
    <t xml:space="preserve">7898920041448</t>
  </si>
  <si>
    <t xml:space="preserve">CREATINA 100% PURA 300G</t>
  </si>
  <si>
    <t xml:space="preserve">CREATINE MAX TITANIUM 300G</t>
  </si>
  <si>
    <t xml:space="preserve">618871</t>
  </si>
  <si>
    <t xml:space="preserve">7896544925496</t>
  </si>
  <si>
    <t xml:space="preserve">CURATIVO FLEXIVEL SHOW DA LUNA C/10</t>
  </si>
  <si>
    <t xml:space="preserve">CURATIVO FLEXIVEL SHOW DA LUNA  C/10UN.</t>
  </si>
  <si>
    <t xml:space="preserve">MISSNER</t>
  </si>
  <si>
    <t xml:space="preserve">631611</t>
  </si>
  <si>
    <t xml:space="preserve">7898108642009</t>
  </si>
  <si>
    <t xml:space="preserve">CURATIVO C/ 20 UNIDADES MICKEY E AMIGOS</t>
  </si>
  <si>
    <t xml:space="preserve">CURATIVO MICKEY E AMIGOS 20UN   SANF %DN:2.00</t>
  </si>
  <si>
    <t xml:space="preserve">661581</t>
  </si>
  <si>
    <t xml:space="preserve">ISENTO REAJUSTE (+8.9%)</t>
  </si>
  <si>
    <t xml:space="preserve">7894913003547</t>
  </si>
  <si>
    <t xml:space="preserve">DEFIXA GTS 20ML 1.000 UI MACA VITAMINA D</t>
  </si>
  <si>
    <t xml:space="preserve">642931</t>
  </si>
  <si>
    <t xml:space="preserve">7897917000161</t>
  </si>
  <si>
    <t xml:space="preserve">DELTAMETRINA 0,2MG LOCAO 100ML DELTAPIL</t>
  </si>
  <si>
    <t xml:space="preserve">DELTAPIL 0,20MG LOCAO FR 100ML</t>
  </si>
  <si>
    <t xml:space="preserve">201981</t>
  </si>
  <si>
    <t xml:space="preserve">7897917000178</t>
  </si>
  <si>
    <t xml:space="preserve">DELTAMETRINA 0,2MG SHAMP 100ML DELTAPIL</t>
  </si>
  <si>
    <t xml:space="preserve">DELTAPIL 0,20MG SHAMPOO FR 100ML</t>
  </si>
  <si>
    <t xml:space="preserve">201961</t>
  </si>
  <si>
    <t xml:space="preserve">7896004810225</t>
  </si>
  <si>
    <t xml:space="preserve">DERMOBENE 10MG/G CREME 20G CLOTRIMAZOL</t>
  </si>
  <si>
    <t xml:space="preserve">DERMOBENE CREME BG 20G</t>
  </si>
  <si>
    <t xml:space="preserve">LEGRAND OTC</t>
  </si>
  <si>
    <t xml:space="preserve">189561</t>
  </si>
  <si>
    <t xml:space="preserve">7898582292646</t>
  </si>
  <si>
    <t xml:space="preserve">OLEO DE GIRASSOL DERSOL 200ML</t>
  </si>
  <si>
    <t xml:space="preserve">DERSOL LOCAO OLEOSA 200ML</t>
  </si>
  <si>
    <t xml:space="preserve">BELLAPHYTUS</t>
  </si>
  <si>
    <t xml:space="preserve">573701</t>
  </si>
  <si>
    <t xml:space="preserve">7896902208278</t>
  </si>
  <si>
    <t xml:space="preserve">PO DESCOL CAPILAR SACHE 20G CAMOMILA</t>
  </si>
  <si>
    <t xml:space="preserve">DESCOL FARMAX 20G CAMOMILA P/CABELOS</t>
  </si>
  <si>
    <t xml:space="preserve">649021</t>
  </si>
  <si>
    <t xml:space="preserve">7896658018954</t>
  </si>
  <si>
    <t xml:space="preserve">DESLORATADINA 0,5MG/ML XPE FR 60ML (GEN)</t>
  </si>
  <si>
    <t xml:space="preserve">DESLORATADINA 0,5MG XPE FR 60ML+SER DOS</t>
  </si>
  <si>
    <t xml:space="preserve">202921</t>
  </si>
  <si>
    <t xml:space="preserve">7899095201620</t>
  </si>
  <si>
    <t xml:space="preserve">DESLORATADINA 0,5MG/ML+SERING 60ML (GEN)</t>
  </si>
  <si>
    <t xml:space="preserve">DESLORATADINA 0,5MG/ML FR 60ML</t>
  </si>
  <si>
    <t xml:space="preserve">572461</t>
  </si>
  <si>
    <t xml:space="preserve">7896181922711</t>
  </si>
  <si>
    <t xml:space="preserve">DESLORATADINA 5MG C/10 CPR (GENERICO)</t>
  </si>
  <si>
    <t xml:space="preserve">DESLORATADINA 5MG CX 10 COMP</t>
  </si>
  <si>
    <t xml:space="preserve">202961</t>
  </si>
  <si>
    <t xml:space="preserve">7896658035487</t>
  </si>
  <si>
    <t xml:space="preserve">DESOGESTREL 75MCG C/28 CPR (GEN)</t>
  </si>
  <si>
    <t xml:space="preserve">DESOGESTREL 75MCG CX 28 COMP</t>
  </si>
  <si>
    <t xml:space="preserve">204681</t>
  </si>
  <si>
    <t xml:space="preserve">7896004703565</t>
  </si>
  <si>
    <t xml:space="preserve">DEXAMETASONA ELIXIR 120ML (GEN)</t>
  </si>
  <si>
    <t xml:space="preserve">DEXAMETASONA ELIXIR FR 120ML</t>
  </si>
  <si>
    <t xml:space="preserve">206621</t>
  </si>
  <si>
    <t xml:space="preserve">7897595600851</t>
  </si>
  <si>
    <t xml:space="preserve">LOPERAMIDA 02MG C/12 CPR (DIASEC)</t>
  </si>
  <si>
    <t xml:space="preserve">DIASEC 2MG CX 12 COMP</t>
  </si>
  <si>
    <t xml:space="preserve">153021</t>
  </si>
  <si>
    <t xml:space="preserve">7899095239630</t>
  </si>
  <si>
    <t xml:space="preserve">DICLOF. POTASSICO 50MG C/20 CPR (GEN)</t>
  </si>
  <si>
    <t xml:space="preserve">DICLOFENACO POTASSICO 50MG CX 20 COMP REV</t>
  </si>
  <si>
    <t xml:space="preserve">211501</t>
  </si>
  <si>
    <t xml:space="preserve">7896004757353</t>
  </si>
  <si>
    <t xml:space="preserve">LEVOCETIRIZINA 5MG C/10 CPR REV (GEN)</t>
  </si>
  <si>
    <t xml:space="preserve">DICLOR.LEVOCETIRIZINA 5MG CX 10 COMP REV</t>
  </si>
  <si>
    <t xml:space="preserve">609121</t>
  </si>
  <si>
    <t xml:space="preserve">7899095230224</t>
  </si>
  <si>
    <t xml:space="preserve">DIPIRONA 50MG SOL.100ML (GEN)</t>
  </si>
  <si>
    <t xml:space="preserve">DIPIRONA SODICA 50MG/ML SOL ORAL FR 100ML</t>
  </si>
  <si>
    <t xml:space="preserve">222541</t>
  </si>
  <si>
    <t xml:space="preserve">7896181911036</t>
  </si>
  <si>
    <t xml:space="preserve">DIPIRONA 50MG SUSP 100ML (GEN)</t>
  </si>
  <si>
    <t xml:space="preserve">DIPIRONA SODICA 50MG/ML SOLOR FR 100ML</t>
  </si>
  <si>
    <t xml:space="preserve">223601</t>
  </si>
  <si>
    <t xml:space="preserve">7896658052910</t>
  </si>
  <si>
    <t xml:space="preserve">DISP H 900+100MG 30CPR DIOS+HESP</t>
  </si>
  <si>
    <t xml:space="preserve">16003</t>
  </si>
  <si>
    <t xml:space="preserve">7896658048371</t>
  </si>
  <si>
    <t xml:space="preserve">DROPROPIZINA 1,5MG XPE PED FRX120M (GEN)</t>
  </si>
  <si>
    <t xml:space="preserve">DROPROPIZINA 1,5MG/ML XPE FR 120ML+SER DOS</t>
  </si>
  <si>
    <t xml:space="preserve">630571</t>
  </si>
  <si>
    <t xml:space="preserve">7896181922377</t>
  </si>
  <si>
    <t xml:space="preserve">DROPROPIZINA 3MG XPE AD MEL 120ML (GEN)</t>
  </si>
  <si>
    <t xml:space="preserve">DROPROPIZINA 3MG XPE ADU FR 120ML</t>
  </si>
  <si>
    <t xml:space="preserve">229821</t>
  </si>
  <si>
    <t xml:space="preserve">7896004734392</t>
  </si>
  <si>
    <t xml:space="preserve">DROSP.+ETINIL 3MG+0,03MG C/21 CPR (GEN)</t>
  </si>
  <si>
    <t xml:space="preserve">DROSPIRENONA+ETINILESTRADIOL 3+0,03MG CX 21 COMP REV</t>
  </si>
  <si>
    <t xml:space="preserve">240121</t>
  </si>
  <si>
    <t xml:space="preserve">7897517920876</t>
  </si>
  <si>
    <t xml:space="preserve">ESCOVA DENTAL PRO EXTRA MACIA 2087</t>
  </si>
  <si>
    <t xml:space="preserve">ESCOVA DENT KESS PRO MACIA (2087) 12X01UN</t>
  </si>
  <si>
    <t xml:space="preserve">KESS</t>
  </si>
  <si>
    <t xml:space="preserve">620981</t>
  </si>
  <si>
    <t xml:space="preserve">7897848502291</t>
  </si>
  <si>
    <t xml:space="preserve">ESPINAZE GEL PARA ACNE 20G (ACNE LOSS)</t>
  </si>
  <si>
    <t xml:space="preserve">ESPINAZE 50MG 20G GEL</t>
  </si>
  <si>
    <t xml:space="preserve">644971</t>
  </si>
  <si>
    <t xml:space="preserve">7899095256538</t>
  </si>
  <si>
    <t xml:space="preserve">ESPIRONOLACTONA 50MG C/30 (GENERICO)</t>
  </si>
  <si>
    <t xml:space="preserve">ESPIRONOLACTONA 50MG CX 30 COMP</t>
  </si>
  <si>
    <t xml:space="preserve">236041</t>
  </si>
  <si>
    <t xml:space="preserve">7899470801384</t>
  </si>
  <si>
    <t xml:space="preserve">EXPECTOFLUI CEREJA 120ML (GUAIFENESINA)</t>
  </si>
  <si>
    <t xml:space="preserve">EXPECTOFLUI 13,33MG 120ML XPE CEREJA</t>
  </si>
  <si>
    <t xml:space="preserve">645001</t>
  </si>
  <si>
    <t xml:space="preserve">7896902234093</t>
  </si>
  <si>
    <t xml:space="preserve">IODOPOVIDONA ALMOTOLIA 100ML FARMAIODINE</t>
  </si>
  <si>
    <t xml:space="preserve">FARMAIODINE PVPI 10% 100ML</t>
  </si>
  <si>
    <t xml:space="preserve">613831</t>
  </si>
  <si>
    <t xml:space="preserve">ISENTO REAJUSTE (+8.8%)</t>
  </si>
  <si>
    <t xml:space="preserve">7896444211118</t>
  </si>
  <si>
    <t xml:space="preserve">FIO DENTAL 100M 01</t>
  </si>
  <si>
    <t xml:space="preserve">619201</t>
  </si>
  <si>
    <t xml:space="preserve">7896444212702</t>
  </si>
  <si>
    <t xml:space="preserve">FIO DENTAL HILLO VEGANO HORTELA 50M 828</t>
  </si>
  <si>
    <t xml:space="preserve">672381</t>
  </si>
  <si>
    <t xml:space="preserve">7896444212771</t>
  </si>
  <si>
    <t xml:space="preserve">FIO DENTAL HILLO VEGANO MENTHA 50M</t>
  </si>
  <si>
    <t xml:space="preserve">672371</t>
  </si>
  <si>
    <t xml:space="preserve">7899095202962</t>
  </si>
  <si>
    <t xml:space="preserve">ACIDO FOLICO 5MG C/20 CPR (FOLONIN)</t>
  </si>
  <si>
    <t xml:space="preserve">FOLONIN 5MG CX 20 COMP REV</t>
  </si>
  <si>
    <t xml:space="preserve">16501</t>
  </si>
  <si>
    <t xml:space="preserve">7896181914303</t>
  </si>
  <si>
    <t xml:space="preserve">PREDNISOLONA 120ML (GEN)</t>
  </si>
  <si>
    <t xml:space="preserve">FOSFATO SODICO DE PREDNISOLONA 3MG/ML SOL OR FR 120ML</t>
  </si>
  <si>
    <t xml:space="preserve">256101</t>
  </si>
  <si>
    <t xml:space="preserve">7898014566932</t>
  </si>
  <si>
    <t xml:space="preserve">FOSFOMICINA TROMETAMOL C/1 ENV 8G (GEN)</t>
  </si>
  <si>
    <t xml:space="preserve">FOSFOMICINA TROMETAMOL 5,631 G GRAN SOL OR CT ENV AL/PLAS PES/PE OPC</t>
  </si>
  <si>
    <t xml:space="preserve">PHARMASCIENCE INDUSTRIA FARMACEUTICA</t>
  </si>
  <si>
    <t xml:space="preserve">525381</t>
  </si>
  <si>
    <t xml:space="preserve">7896862960261</t>
  </si>
  <si>
    <t xml:space="preserve">HIDR ALUM+MAG+SIM MENTA 240ML(GASTROGEL)</t>
  </si>
  <si>
    <t xml:space="preserve">GASTROGEL FRESH FRESH SUSP ORAL FR 240ML</t>
  </si>
  <si>
    <t xml:space="preserve">MEDQUIMICA</t>
  </si>
  <si>
    <t xml:space="preserve">578561</t>
  </si>
  <si>
    <t xml:space="preserve">7899620911826</t>
  </si>
  <si>
    <t xml:space="preserve">GLICENIX ADULTO SUP 2,30 (GLICEROL)</t>
  </si>
  <si>
    <t xml:space="preserve">GLICENIX (N.S.) 2,275G CX 6 GLICEROL ADU</t>
  </si>
  <si>
    <t xml:space="preserve">601641</t>
  </si>
  <si>
    <t xml:space="preserve">8902220119574</t>
  </si>
  <si>
    <t xml:space="preserve">GLICLAZIDA 30 MG C/30CPR (GEN)</t>
  </si>
  <si>
    <t xml:space="preserve">GLICLAZIDA 30MG CX 30 COMP LIB PROL</t>
  </si>
  <si>
    <t xml:space="preserve">TORRENT DO BRASIL</t>
  </si>
  <si>
    <t xml:space="preserve">265001</t>
  </si>
  <si>
    <t xml:space="preserve">7896004752730</t>
  </si>
  <si>
    <t xml:space="preserve">GLICLAZIDA 60MG C/30 CPR LIB PROL (GEN)</t>
  </si>
  <si>
    <t xml:space="preserve">GLICLAZIDA 60MG 2BL X 15 COMP LIB PROL</t>
  </si>
  <si>
    <t xml:space="preserve">265081</t>
  </si>
  <si>
    <t xml:space="preserve">7896004748214</t>
  </si>
  <si>
    <t xml:space="preserve">QUETIAPINA 25MG C/30 CPR (GEN) (C1)</t>
  </si>
  <si>
    <t xml:space="preserve">HEMIFUMARATO DE QUETIAPINA 25MG CX 30 COMP REV</t>
  </si>
  <si>
    <t xml:space="preserve">278781</t>
  </si>
  <si>
    <t xml:space="preserve">7894164009503</t>
  </si>
  <si>
    <t xml:space="preserve">SORO REHID. COCO 4 X2 8,98G (HIDRALI)</t>
  </si>
  <si>
    <t xml:space="preserve">HIDRALI PO 28,97G 4ENV COCO SOL</t>
  </si>
  <si>
    <t xml:space="preserve">602571</t>
  </si>
  <si>
    <t xml:space="preserve">7898133139239</t>
  </si>
  <si>
    <t xml:space="preserve">SORO REHID UVA 500ML (HIDRALYTE)</t>
  </si>
  <si>
    <t xml:space="preserve">HIDRALYTE (2,05 + 0,98 + 22,75 + 2,16) MG/ML SOL OR FR PLAS X 500 ML (SABOR UVA)</t>
  </si>
  <si>
    <t xml:space="preserve">103401</t>
  </si>
  <si>
    <t xml:space="preserve">7898133139246</t>
  </si>
  <si>
    <t xml:space="preserve">SORO REHID. GUARANA 500ML (HIDRALYTE)</t>
  </si>
  <si>
    <t xml:space="preserve">HIDRALYTE SABOR GUARANA</t>
  </si>
  <si>
    <t xml:space="preserve">103441</t>
  </si>
  <si>
    <t xml:space="preserve">7896004719283</t>
  </si>
  <si>
    <t xml:space="preserve">HIDROCORTISONA 10MG POM 30G (GEN)</t>
  </si>
  <si>
    <t xml:space="preserve">HIDROCORTISONA 10MG POM BG 30G</t>
  </si>
  <si>
    <t xml:space="preserve">291461</t>
  </si>
  <si>
    <t xml:space="preserve">7899941202849</t>
  </si>
  <si>
    <t xml:space="preserve">HORUS POTE CITRUS 150G</t>
  </si>
  <si>
    <t xml:space="preserve">HORUS MAX TITANIUM CITRUS POTE 150G</t>
  </si>
  <si>
    <t xml:space="preserve">597591</t>
  </si>
  <si>
    <t xml:space="preserve">7899941202269</t>
  </si>
  <si>
    <t xml:space="preserve">HORUS POTE FRUTAS VERMELHAS 150G</t>
  </si>
  <si>
    <t xml:space="preserve">HORUS MAX TITANIUM FRUTAS VERMELHAS POTE 150G</t>
  </si>
  <si>
    <t xml:space="preserve">646171</t>
  </si>
  <si>
    <t xml:space="preserve">7896004752488</t>
  </si>
  <si>
    <t xml:space="preserve">IBANDRONATO SODIO 150MG C/1 CPR (GEN)</t>
  </si>
  <si>
    <t xml:space="preserve">IBANDRONATO SODIO MONO 150MG CX 1 COMP</t>
  </si>
  <si>
    <t xml:space="preserve">294641</t>
  </si>
  <si>
    <t xml:space="preserve">7898031314257</t>
  </si>
  <si>
    <t xml:space="preserve">IODOPOVIDONA PVP-I 10% 100ML</t>
  </si>
  <si>
    <t xml:space="preserve">IODOPOLIVIDONA PVPI 10% 100ML</t>
  </si>
  <si>
    <t xml:space="preserve">533241</t>
  </si>
  <si>
    <t xml:space="preserve">7898687735918</t>
  </si>
  <si>
    <t xml:space="preserve">NITAZOXANIDA 20MG SUS ORAL 100ML (IROSE)</t>
  </si>
  <si>
    <t xml:space="preserve">IROSE  NITAZOXANIDA 20MG/ML PO SUS OR FR 100ML+SER DOS</t>
  </si>
  <si>
    <t xml:space="preserve">ALTHAIA</t>
  </si>
  <si>
    <t xml:space="preserve">630321</t>
  </si>
  <si>
    <t xml:space="preserve">7898687735901</t>
  </si>
  <si>
    <t xml:space="preserve">NITAZOXANIDA 20MG SUS ORAL 45ML (IROSE)</t>
  </si>
  <si>
    <t xml:space="preserve">IROSE  NITAZOXANIDA 20MG/ML PO SUS OR FR 45ML+SER DOS</t>
  </si>
  <si>
    <t xml:space="preserve">630311</t>
  </si>
  <si>
    <t xml:space="preserve">7899620913202</t>
  </si>
  <si>
    <t xml:space="preserve">KALOSTOP SOLUCAO C/ 10ML</t>
  </si>
  <si>
    <t xml:space="preserve">KALOSTOP (N.S.) 0,20+0,15ML/ML SOL FR 10ML</t>
  </si>
  <si>
    <t xml:space="preserve">14103</t>
  </si>
  <si>
    <t xml:space="preserve">7898179711314</t>
  </si>
  <si>
    <t xml:space="preserve">LEITE DE MAGNESIA 100ML (GASTRIMEC)</t>
  </si>
  <si>
    <t xml:space="preserve">LEITE DE MAGNESIA GASTRIMEC 100ML TRADIC</t>
  </si>
  <si>
    <t xml:space="preserve">651461</t>
  </si>
  <si>
    <t xml:space="preserve">7896112408642</t>
  </si>
  <si>
    <t xml:space="preserve">LEVANLODIPINO 2,5MG C/30 CPR (GEN)</t>
  </si>
  <si>
    <t xml:space="preserve">LEVANLODIPINO 2,5MG CX 30 COMP</t>
  </si>
  <si>
    <t xml:space="preserve">673711</t>
  </si>
  <si>
    <t xml:space="preserve">7893454100555</t>
  </si>
  <si>
    <t xml:space="preserve">LIDOCAINA POMADA 5% 25GR (LIDIAL)</t>
  </si>
  <si>
    <t xml:space="preserve">LIDIAL 50MG/G POM BG 25G</t>
  </si>
  <si>
    <t xml:space="preserve">CELLERA FARMA</t>
  </si>
  <si>
    <t xml:space="preserve">151761</t>
  </si>
  <si>
    <t xml:space="preserve">7896004722467</t>
  </si>
  <si>
    <t xml:space="preserve">LIDOCAINA 50MG POM 25G (GEN)</t>
  </si>
  <si>
    <t xml:space="preserve">LIDOCAINA 50MG POM DERM BG 25G</t>
  </si>
  <si>
    <t xml:space="preserve">321381</t>
  </si>
  <si>
    <t xml:space="preserve">7894164005543</t>
  </si>
  <si>
    <t xml:space="preserve">SULF. SOD 175MG LIMONADA PURGATIVA 200ML</t>
  </si>
  <si>
    <t xml:space="preserve">LIMONADA PURGATIVA 175MG 200ML SUS</t>
  </si>
  <si>
    <t xml:space="preserve">584741</t>
  </si>
  <si>
    <t xml:space="preserve">7896699031547</t>
  </si>
  <si>
    <t xml:space="preserve">CHUP 100% SIL RT1 F ROSA 6111-01</t>
  </si>
  <si>
    <t xml:space="preserve">LOLLY CHUP 100% SIL RT 1 F 6111-01-F</t>
  </si>
  <si>
    <t xml:space="preserve">630951</t>
  </si>
  <si>
    <t xml:space="preserve">7896699029575</t>
  </si>
  <si>
    <t xml:space="preserve">CHUP CLEAN/JOY SIL ORTO T2 ROSA 5115-01</t>
  </si>
  <si>
    <t xml:space="preserve">LOLLY CHUP CL SIL O T2 BL 5115-01-ROSA</t>
  </si>
  <si>
    <t xml:space="preserve">629951</t>
  </si>
  <si>
    <t xml:space="preserve">7896699025423</t>
  </si>
  <si>
    <t xml:space="preserve">MAMAD CLEAN 250ML SIL AZ SQ 2670-00</t>
  </si>
  <si>
    <t xml:space="preserve">LOLLY MAM CLEAN 250ML R 2660-01-AZUL</t>
  </si>
  <si>
    <t xml:space="preserve">629811</t>
  </si>
  <si>
    <t xml:space="preserve">7896699025447</t>
  </si>
  <si>
    <t xml:space="preserve">MAMAD CLEAN 250ML SIL SQ 2670-00-RS</t>
  </si>
  <si>
    <t xml:space="preserve">LOLLY MAM CLEAN 250ML SIL R 2660-01ROSA</t>
  </si>
  <si>
    <t xml:space="preserve">629821</t>
  </si>
  <si>
    <t xml:space="preserve">7899095202917</t>
  </si>
  <si>
    <t xml:space="preserve">LORATADINA 10MG C/12 CPR (GENERICO).</t>
  </si>
  <si>
    <t xml:space="preserve">LORATADINA 10MG CX 12 COMP</t>
  </si>
  <si>
    <t xml:space="preserve">605741</t>
  </si>
  <si>
    <t xml:space="preserve">7899095236639</t>
  </si>
  <si>
    <t xml:space="preserve">LOSARTANA POTASSICA 50MG C/30CPR (GEN).</t>
  </si>
  <si>
    <t xml:space="preserve">LOSARTANA POTASSICA 50MG CX 30 COMP REV</t>
  </si>
  <si>
    <t xml:space="preserve">325701</t>
  </si>
  <si>
    <t xml:space="preserve">7897595625106</t>
  </si>
  <si>
    <t xml:space="preserve">LOSARTANA+HIDRO 50MG+12,5MG C/30CPR(GEN)</t>
  </si>
  <si>
    <t xml:space="preserve">LOSARTANA POTASSICA+HIDROCLOROTIAZIDA 50+12,5MG CX 30 COMP REV</t>
  </si>
  <si>
    <t xml:space="preserve">286741</t>
  </si>
  <si>
    <t xml:space="preserve">7896004700540</t>
  </si>
  <si>
    <t xml:space="preserve">ENALAPRIL 20MG C/30 CPR (GEN)</t>
  </si>
  <si>
    <t xml:space="preserve">MALEATO DE ENALAPRIL 20MG CX 30 COMP</t>
  </si>
  <si>
    <t xml:space="preserve">334021</t>
  </si>
  <si>
    <t xml:space="preserve">7897917005180</t>
  </si>
  <si>
    <t xml:space="preserve">ENALAPRIL 5MG C/30 CPR (GENERICO)</t>
  </si>
  <si>
    <t xml:space="preserve">MALEATO DE ENALAPRIL 5MG CX 30 COMP</t>
  </si>
  <si>
    <t xml:space="preserve">334801</t>
  </si>
  <si>
    <t xml:space="preserve">7896033221030</t>
  </si>
  <si>
    <t xml:space="preserve">MAMAD FIONA MINI SIL 50ML AZUL 641820</t>
  </si>
  <si>
    <t xml:space="preserve">FIONA</t>
  </si>
  <si>
    <t xml:space="preserve">38003</t>
  </si>
  <si>
    <t xml:space="preserve">7896033221047</t>
  </si>
  <si>
    <t xml:space="preserve">MAMAD MINI SIL 50ML ROSA 821630/641830</t>
  </si>
  <si>
    <t xml:space="preserve">37903</t>
  </si>
  <si>
    <t xml:space="preserve">7898283815182</t>
  </si>
  <si>
    <t xml:space="preserve">MASCARA DESC TRIPLA C/ ELAST C/50 BRANCA</t>
  </si>
  <si>
    <t xml:space="preserve">MASCARA TRIPLA C/ELASTI BRANCA 50UN CART</t>
  </si>
  <si>
    <t xml:space="preserve">PADRAO</t>
  </si>
  <si>
    <t xml:space="preserve">555821</t>
  </si>
  <si>
    <t xml:space="preserve">7898920041318</t>
  </si>
  <si>
    <t xml:space="preserve">MASS TITANIUM BAUNILHA 3KG (SACO)</t>
  </si>
  <si>
    <t xml:space="preserve">MASS TITANIUM 17500 BAUNILHA 3KG</t>
  </si>
  <si>
    <t xml:space="preserve">673371</t>
  </si>
  <si>
    <t xml:space="preserve">7899095232532</t>
  </si>
  <si>
    <t xml:space="preserve">METRON+NISTAT CR VAG 50G C/10 APLIC GEN</t>
  </si>
  <si>
    <t xml:space="preserve">METRONIDAZOL+NISTATINA 100MG+20MUI CREME VAG BG 50G+10 APLIC</t>
  </si>
  <si>
    <t xml:space="preserve">363141</t>
  </si>
  <si>
    <t xml:space="preserve">7896112401315</t>
  </si>
  <si>
    <t xml:space="preserve">MONO ISOSSORBIDA 20MG C/30 CPR (GENERIC)</t>
  </si>
  <si>
    <t xml:space="preserve">MONONITRATO DE ISOSSORBIDA 20MG CX 30 COMP</t>
  </si>
  <si>
    <t xml:space="preserve">351181</t>
  </si>
  <si>
    <t xml:space="preserve">7896699036405</t>
  </si>
  <si>
    <t xml:space="preserve">MORDEDOR CHAVE SOFT ROSA 7039-01</t>
  </si>
  <si>
    <t xml:space="preserve">674671</t>
  </si>
  <si>
    <t xml:space="preserve">7896699025263</t>
  </si>
  <si>
    <t xml:space="preserve">MORDEDOR PEIXE AZUL 7042-01</t>
  </si>
  <si>
    <t xml:space="preserve">MORDEDOR PEIXE M - LOLLY</t>
  </si>
  <si>
    <t xml:space="preserve">659981</t>
  </si>
  <si>
    <t xml:space="preserve">7898601060393</t>
  </si>
  <si>
    <t xml:space="preserve">MUNHEQUEIRA AJUSTAVEL - PRETO KSN010</t>
  </si>
  <si>
    <t xml:space="preserve">MUNHEQUEIRA AJUSTAVEL PRETO REF. KSN010</t>
  </si>
  <si>
    <t xml:space="preserve">KESTAL</t>
  </si>
  <si>
    <t xml:space="preserve">583041</t>
  </si>
  <si>
    <t xml:space="preserve">7894164005215</t>
  </si>
  <si>
    <t xml:space="preserve">CLORETO SOD 0,9MG SOL 50ML SPR NASONEW</t>
  </si>
  <si>
    <t xml:space="preserve">NASONEW VALVULA SPRAY 50ML SOL</t>
  </si>
  <si>
    <t xml:space="preserve">558341</t>
  </si>
  <si>
    <t xml:space="preserve">7898639690982</t>
  </si>
  <si>
    <t xml:space="preserve">INALADOR / NEBULIZADOR NEBCOMDC2 COMPACT</t>
  </si>
  <si>
    <t xml:space="preserve">NEBULIZADOR MODELO COMPACT DC2 G-TECH</t>
  </si>
  <si>
    <t xml:space="preserve">G-TECH</t>
  </si>
  <si>
    <t xml:space="preserve">627171</t>
  </si>
  <si>
    <t xml:space="preserve">7896862910747</t>
  </si>
  <si>
    <t xml:space="preserve">NIFEDIPINO 20MG C/30 (NIFEDIPRESS)LB RET</t>
  </si>
  <si>
    <t xml:space="preserve">NIFEDIPRESS 20MG CX 30 COMP RETARD</t>
  </si>
  <si>
    <t xml:space="preserve">360361</t>
  </si>
  <si>
    <t xml:space="preserve">7894913003691</t>
  </si>
  <si>
    <t xml:space="preserve">NINNAR MELATONINA 120CPR MARACUJA</t>
  </si>
  <si>
    <t xml:space="preserve">643061</t>
  </si>
  <si>
    <t xml:space="preserve">7894913003189</t>
  </si>
  <si>
    <t xml:space="preserve">NINNAR MELATONINA MARACUJA 30ML</t>
  </si>
  <si>
    <t xml:space="preserve">643071</t>
  </si>
  <si>
    <t xml:space="preserve">7896902211254</t>
  </si>
  <si>
    <t xml:space="preserve">OLEO CORPORAL SEMENTE DE UVA 100ML</t>
  </si>
  <si>
    <t xml:space="preserve">OLEO CAP/CORP FARMAX 100ML UVA</t>
  </si>
  <si>
    <t xml:space="preserve">598331</t>
  </si>
  <si>
    <t xml:space="preserve">7897732609907</t>
  </si>
  <si>
    <t xml:space="preserve">OLEO DE GIRASSOL AGE 100ML</t>
  </si>
  <si>
    <t xml:space="preserve">OLEO DE GIRASSOL 100ML</t>
  </si>
  <si>
    <t xml:space="preserve">5063</t>
  </si>
  <si>
    <t xml:space="preserve">7897732609914</t>
  </si>
  <si>
    <t xml:space="preserve">OLEO DE GIRASSOL AGE 200ML</t>
  </si>
  <si>
    <t xml:space="preserve">OLEO DE GIRASSOL AGE 200ML   THEO %DN:0.00</t>
  </si>
  <si>
    <t xml:space="preserve">THEODORO F SOBRAL   CIA</t>
  </si>
  <si>
    <t xml:space="preserve">661631</t>
  </si>
  <si>
    <t xml:space="preserve">7896004791111</t>
  </si>
  <si>
    <t xml:space="preserve">OLMESARTANA MEDOXOMILA 40MG 30CPR (GEN)</t>
  </si>
  <si>
    <t xml:space="preserve">OLMESARTANA MEDOXOMILA 40MG 30 CP</t>
  </si>
  <si>
    <t xml:space="preserve">4933</t>
  </si>
  <si>
    <t xml:space="preserve">7894913001611</t>
  </si>
  <si>
    <t xml:space="preserve">OMEGATIVE 1000MG 3 6 9 C/60 CAPS GEL</t>
  </si>
  <si>
    <t xml:space="preserve">OMEGATIV 1000MG 3 6 9 C/60 CAPS GEL</t>
  </si>
  <si>
    <t xml:space="preserve">643031</t>
  </si>
  <si>
    <t xml:space="preserve">7894913004049</t>
  </si>
  <si>
    <t xml:space="preserve">OMEGATIVE A-Z 1000MG C/30 CAPS GEL</t>
  </si>
  <si>
    <t xml:space="preserve">OMEGATIV A-Z 1000MG C/30 CAPS GEL</t>
  </si>
  <si>
    <t xml:space="preserve">643041</t>
  </si>
  <si>
    <t xml:space="preserve">7896004709178</t>
  </si>
  <si>
    <t xml:space="preserve">ONCILEG CREME 1+2,5+0,25MG+100UI 30G</t>
  </si>
  <si>
    <t xml:space="preserve">ONCILEG 1/2,5/0,25MG+100MUI CREME BG 30G</t>
  </si>
  <si>
    <t xml:space="preserve">469461</t>
  </si>
  <si>
    <t xml:space="preserve">7896181900351</t>
  </si>
  <si>
    <t xml:space="preserve">ESCITALOPRAM 10MG C/30 CPR GENERICO (C1)</t>
  </si>
  <si>
    <t xml:space="preserve">OXALATO DE ESCITALOPRAM 10MG CX 30 COMP</t>
  </si>
  <si>
    <t xml:space="preserve">383621</t>
  </si>
  <si>
    <t xml:space="preserve">7896181927297</t>
  </si>
  <si>
    <t xml:space="preserve">ESCITALOPRAM 10MG C/60 CPR GENERICO(C1).</t>
  </si>
  <si>
    <t xml:space="preserve">OXALATO DE ESCITALOPRAM 10MG CX 60 COMP</t>
  </si>
  <si>
    <t xml:space="preserve">381701</t>
  </si>
  <si>
    <t xml:space="preserve">7898639690999</t>
  </si>
  <si>
    <t xml:space="preserve">OXIMETRO DE DEDO LED OXILED1</t>
  </si>
  <si>
    <t xml:space="preserve">653701</t>
  </si>
  <si>
    <t xml:space="preserve">7896181918691</t>
  </si>
  <si>
    <t xml:space="preserve">PANTOPRAZOL HID 40MG C/28 CP (GEN)</t>
  </si>
  <si>
    <t xml:space="preserve">PANTOPRAZOL 40MG CX 28 COMP</t>
  </si>
  <si>
    <t xml:space="preserve">390421</t>
  </si>
  <si>
    <t xml:space="preserve">7899470805740</t>
  </si>
  <si>
    <t xml:space="preserve">PASTA D AGUA + OXIDO ZINCO 80G</t>
  </si>
  <si>
    <t xml:space="preserve">PASTA DAGUA NATULAB 80G</t>
  </si>
  <si>
    <t xml:space="preserve">591051</t>
  </si>
  <si>
    <t xml:space="preserve">7898936661012</t>
  </si>
  <si>
    <t xml:space="preserve">PENTE FINO DE ACO INOX (DR PENTINHO)</t>
  </si>
  <si>
    <t xml:space="preserve">PENTE DE ACO - DR PENTINHO</t>
  </si>
  <si>
    <t xml:space="preserve">DR PENTINHO</t>
  </si>
  <si>
    <t xml:space="preserve">602671</t>
  </si>
  <si>
    <t xml:space="preserve">7898100243112</t>
  </si>
  <si>
    <t xml:space="preserve">PHITOSS 7MG/ML XPE 100ML (HEDERA HELIX).</t>
  </si>
  <si>
    <t xml:space="preserve">PHITOSS 7MG/ML XPE FR 100ML PET</t>
  </si>
  <si>
    <t xml:space="preserve">BRASTERAPICA</t>
  </si>
  <si>
    <t xml:space="preserve">274781</t>
  </si>
  <si>
    <t xml:space="preserve">7896075709053</t>
  </si>
  <si>
    <t xml:space="preserve">PINCA DEPILATORIA BASIC C/2</t>
  </si>
  <si>
    <t xml:space="preserve">PINCA MERHEJE BASIC INOX RETA</t>
  </si>
  <si>
    <t xml:space="preserve">630021</t>
  </si>
  <si>
    <t xml:space="preserve">7896902206540</t>
  </si>
  <si>
    <t xml:space="preserve">PO DESCOL DOURA PELOS SUNLESS SACHE 20G</t>
  </si>
  <si>
    <t xml:space="preserve">672411</t>
  </si>
  <si>
    <t xml:space="preserve">7898133131066</t>
  </si>
  <si>
    <t xml:space="preserve">DEXCLORFENIRAMINA SUSP 100ML (POLARADEX)</t>
  </si>
  <si>
    <t xml:space="preserve">POLARADEX 0,4 MG/ML SOL OR CT FR PLAS AMB X 100 ML + COP MED</t>
  </si>
  <si>
    <t xml:space="preserve">331681</t>
  </si>
  <si>
    <t xml:space="preserve">7898569765514</t>
  </si>
  <si>
    <t xml:space="preserve">PREDNISOLONA 40MG C/07 CPR (GEN)</t>
  </si>
  <si>
    <t xml:space="preserve">PREDNISOLONA 40MG CX 7 COMP</t>
  </si>
  <si>
    <t xml:space="preserve">408041</t>
  </si>
  <si>
    <t xml:space="preserve">7896181924173</t>
  </si>
  <si>
    <t xml:space="preserve">PREDNISONA 20MG C/10 (GENERICO)</t>
  </si>
  <si>
    <t xml:space="preserve">PREDNISONA 20MG CX 10 COMP</t>
  </si>
  <si>
    <t xml:space="preserve">408881</t>
  </si>
  <si>
    <t xml:space="preserve">7899620912151</t>
  </si>
  <si>
    <t xml:space="preserve">PREDNISONA 20MG C/10 CPR (GENERICO)</t>
  </si>
  <si>
    <t xml:space="preserve">480781</t>
  </si>
  <si>
    <t xml:space="preserve">7896699030670</t>
  </si>
  <si>
    <t xml:space="preserve">PRENDEDOR DE CHUP CLEAN 7070-01-F</t>
  </si>
  <si>
    <t xml:space="preserve">PREND CHUPETA LOLLY ROSA</t>
  </si>
  <si>
    <t xml:space="preserve">629791</t>
  </si>
  <si>
    <t xml:space="preserve">7898079005261</t>
  </si>
  <si>
    <t xml:space="preserve">PRES. PRUDENCE SUTRA AROMA HORTELA C/03</t>
  </si>
  <si>
    <t xml:space="preserve">PRES PRUDENCE SUTRA AROMA HORTELA C/03</t>
  </si>
  <si>
    <t xml:space="preserve">PRUDENCE</t>
  </si>
  <si>
    <t xml:space="preserve">657311</t>
  </si>
  <si>
    <t xml:space="preserve">7898556850254</t>
  </si>
  <si>
    <t xml:space="preserve">PRES. RILEX HOT C/3</t>
  </si>
  <si>
    <t xml:space="preserve">PRES RILEX HOT 3UN</t>
  </si>
  <si>
    <t xml:space="preserve">RILEX</t>
  </si>
  <si>
    <t xml:space="preserve">550201</t>
  </si>
  <si>
    <t xml:space="preserve">7896007200504</t>
  </si>
  <si>
    <t xml:space="preserve">PRES. BLOWTEX ELITE C/3</t>
  </si>
  <si>
    <t xml:space="preserve">PRESERV BLOWTEX ELITE C/3UN (BLO)</t>
  </si>
  <si>
    <t xml:space="preserve">BLOWTEX</t>
  </si>
  <si>
    <t xml:space="preserve">569121</t>
  </si>
  <si>
    <t xml:space="preserve">7896007202003</t>
  </si>
  <si>
    <t xml:space="preserve">PRES. BLOWTEX LUBRIFICADO PAGUE 6 LEVE 9</t>
  </si>
  <si>
    <t xml:space="preserve">PRESERV BLOWTEX LUBRIFICADO L9P6</t>
  </si>
  <si>
    <t xml:space="preserve">641761</t>
  </si>
  <si>
    <t xml:space="preserve">7896007200344</t>
  </si>
  <si>
    <t xml:space="preserve">PRES. BLOWTEX AROM. MENTA C/03</t>
  </si>
  <si>
    <t xml:space="preserve">PRESERV BLOWTEX MENTA C/3UN (BLO)</t>
  </si>
  <si>
    <t xml:space="preserve">BLONDOR</t>
  </si>
  <si>
    <t xml:space="preserve">579341</t>
  </si>
  <si>
    <t xml:space="preserve">7896007200306</t>
  </si>
  <si>
    <t xml:space="preserve">PRES. BLOWTEX AROM. MORANGO C/03</t>
  </si>
  <si>
    <t xml:space="preserve">PRESERV BLOWTEX MORANGO C/3UN (BLO)</t>
  </si>
  <si>
    <t xml:space="preserve">579301</t>
  </si>
  <si>
    <t xml:space="preserve">7896007201129</t>
  </si>
  <si>
    <t xml:space="preserve">PRES. BLOWTEX ORGAZMAX C/3</t>
  </si>
  <si>
    <t xml:space="preserve">PRESERV BLOWTEX ORGAZMAX RETARD 3UN</t>
  </si>
  <si>
    <t xml:space="preserve">641771</t>
  </si>
  <si>
    <t xml:space="preserve">7896007202720</t>
  </si>
  <si>
    <t xml:space="preserve">PRES. BLOWTEX SENSITIVE EXTRA FINA C/03</t>
  </si>
  <si>
    <t xml:space="preserve">PRESERV BLOWTEX SENS EXTRA FINO 3UN</t>
  </si>
  <si>
    <t xml:space="preserve">632781</t>
  </si>
  <si>
    <t xml:space="preserve">7896007201662</t>
  </si>
  <si>
    <t xml:space="preserve">PRES. BLOWTEX SKYN SEXY CHERRY C/03</t>
  </si>
  <si>
    <t xml:space="preserve">PRESERV BLOWTEX SKYN SEXY CHERY 3UN</t>
  </si>
  <si>
    <t xml:space="preserve">579441</t>
  </si>
  <si>
    <t xml:space="preserve">7896007201297</t>
  </si>
  <si>
    <t xml:space="preserve">PRES. BLOWTEX SKYN TEXTURIZADO C/03</t>
  </si>
  <si>
    <t xml:space="preserve">PRESERV BLOWTEX SKYN TEXTURIZADO 3UN</t>
  </si>
  <si>
    <t xml:space="preserve">641781</t>
  </si>
  <si>
    <t xml:space="preserve">7896007200313</t>
  </si>
  <si>
    <t xml:space="preserve">PRES. BLOWTEX LUBRIFICADO TRAD C/03</t>
  </si>
  <si>
    <t xml:space="preserve">PRESERV. BLOWTEX LUB.12X3</t>
  </si>
  <si>
    <t xml:space="preserve">585221</t>
  </si>
  <si>
    <t xml:space="preserve">7898079000310</t>
  </si>
  <si>
    <t xml:space="preserve">PRES. PRUDENCE AROM HORTELA C/03</t>
  </si>
  <si>
    <t xml:space="preserve">PRESERV. PRUDENCE HORTELA 12X3</t>
  </si>
  <si>
    <t xml:space="preserve">585301</t>
  </si>
  <si>
    <t xml:space="preserve">7898079000495</t>
  </si>
  <si>
    <t xml:space="preserve">PRES. PRUDENCE AROM MELANCIA C/03</t>
  </si>
  <si>
    <t xml:space="preserve">PRESERV. PRUDENCE MELANCIA 12X3</t>
  </si>
  <si>
    <t xml:space="preserve">585341</t>
  </si>
  <si>
    <t xml:space="preserve">7898556850452</t>
  </si>
  <si>
    <t xml:space="preserve">PRES. RILEX LEITE CONDENSADO C/3</t>
  </si>
  <si>
    <t xml:space="preserve">PRESERVATIVO RILEX LEITE CONDENSADO 3UN</t>
  </si>
  <si>
    <t xml:space="preserve">584461</t>
  </si>
  <si>
    <t xml:space="preserve">7898903991487</t>
  </si>
  <si>
    <t xml:space="preserve">PRES. RILEX LUBRIFICADO C/3</t>
  </si>
  <si>
    <t xml:space="preserve">PRESERVATIVO RILEX LUBRIFICADO C/3</t>
  </si>
  <si>
    <t xml:space="preserve">532801</t>
  </si>
  <si>
    <t xml:space="preserve">7898903991579</t>
  </si>
  <si>
    <t xml:space="preserve">PRES. RILEX MELANCIA C/3</t>
  </si>
  <si>
    <t xml:space="preserve">PRESERVATIVO RILEX MELANCIA C/3</t>
  </si>
  <si>
    <t xml:space="preserve">532901</t>
  </si>
  <si>
    <t xml:space="preserve">7898556850179</t>
  </si>
  <si>
    <t xml:space="preserve">PRES. RILEX RETARDANTE C/3</t>
  </si>
  <si>
    <t xml:space="preserve">PRESERVATIVO RILEX RETARDANTE C/3</t>
  </si>
  <si>
    <t xml:space="preserve">533021</t>
  </si>
  <si>
    <t xml:space="preserve">7898556850193</t>
  </si>
  <si>
    <t xml:space="preserve">PRES. RILEX SENSITIVE C/3</t>
  </si>
  <si>
    <t xml:space="preserve">PRESERVATIVO RILEX SENSITIVE C/3</t>
  </si>
  <si>
    <t xml:space="preserve">532781</t>
  </si>
  <si>
    <t xml:space="preserve">7898079005292</t>
  </si>
  <si>
    <t xml:space="preserve">PRES. PRUDENCE SUTRA SENSITIVE C/03</t>
  </si>
  <si>
    <t xml:space="preserve">PRESERVATIVO SUTRA SENSITIVE 3</t>
  </si>
  <si>
    <t xml:space="preserve">SUTRA</t>
  </si>
  <si>
    <t xml:space="preserve">668141</t>
  </si>
  <si>
    <t xml:space="preserve">7896004712413</t>
  </si>
  <si>
    <t xml:space="preserve">CLOBETASOL 0,5MG CREME 30G (GEN)</t>
  </si>
  <si>
    <t xml:space="preserve">PROPIONATO DE CLOBETASOL 0,5MG CREME BG 30G</t>
  </si>
  <si>
    <t xml:space="preserve">414441</t>
  </si>
  <si>
    <t xml:space="preserve">7894913004230</t>
  </si>
  <si>
    <t xml:space="preserve">FLEXIUM C/30 STICKS 10G OPTIMSM LARANJA</t>
  </si>
  <si>
    <t xml:space="preserve">PV - FLEXIUM C/30 STICKS 10G OPTIMSM LARANJA</t>
  </si>
  <si>
    <t xml:space="preserve">643131</t>
  </si>
  <si>
    <t xml:space="preserve">7899095203204</t>
  </si>
  <si>
    <t xml:space="preserve">DEXAMETASONA CREME 10G (CETADEX)</t>
  </si>
  <si>
    <t xml:space="preserve">PV CETADEX 1MG CREME DERM BG 10G</t>
  </si>
  <si>
    <t xml:space="preserve">5841</t>
  </si>
  <si>
    <t xml:space="preserve">7896181906582</t>
  </si>
  <si>
    <t xml:space="preserve">FUROSEMIDA 40MG C/30 CPR (GENERICO)</t>
  </si>
  <si>
    <t xml:space="preserve">PVV - FUROSEMIDA 40MG CX 30 COMP</t>
  </si>
  <si>
    <t xml:space="preserve">259181</t>
  </si>
  <si>
    <t xml:space="preserve">7898944774803</t>
  </si>
  <si>
    <t xml:space="preserve">SUPER WHEY REFIL 900G BAUNILHA</t>
  </si>
  <si>
    <t xml:space="preserve">REFIL SUPER WHEY MAX TITANIUM BAUNILHA 900G</t>
  </si>
  <si>
    <t xml:space="preserve">597511</t>
  </si>
  <si>
    <t xml:space="preserve">7894913001789</t>
  </si>
  <si>
    <t xml:space="preserve">REFLORINTE C/30 SACHE</t>
  </si>
  <si>
    <t xml:space="preserve">REFLORINTE UNITARIO</t>
  </si>
  <si>
    <t xml:space="preserve">609461</t>
  </si>
  <si>
    <t xml:space="preserve">7896902208469</t>
  </si>
  <si>
    <t xml:space="preserve">REMOV. DE ESMALTE AROMATIZADO 100ML UVA</t>
  </si>
  <si>
    <t xml:space="preserve">REMOV ESM FARMAX 100ML S/ACET UVA</t>
  </si>
  <si>
    <t xml:space="preserve">598301</t>
  </si>
  <si>
    <t xml:space="preserve">7896902207127</t>
  </si>
  <si>
    <t xml:space="preserve">REPELENTE ADULTO SPRAY MOSKITOFF 100ML</t>
  </si>
  <si>
    <t xml:space="preserve">REPELENTE FARMAX MOSKITOFF 100ML - SPRAY</t>
  </si>
  <si>
    <t xml:space="preserve">2183</t>
  </si>
  <si>
    <t xml:space="preserve">7896902211896</t>
  </si>
  <si>
    <t xml:space="preserve">REPELENTE ADULTO FRASCO MOSKITOFF 100ML</t>
  </si>
  <si>
    <t xml:space="preserve">REPELENTE LOCAO MOSKITOFF 100ML</t>
  </si>
  <si>
    <t xml:space="preserve">679801</t>
  </si>
  <si>
    <t xml:space="preserve">618341054462</t>
  </si>
  <si>
    <t xml:space="preserve">ROSA SELVAGEM DESODORANTE ANTIT. 85G</t>
  </si>
  <si>
    <t xml:space="preserve">ROSA SELVAGEM DESODORANTE ANTIT. 85ML</t>
  </si>
  <si>
    <t xml:space="preserve">ROSA SELVAGEM</t>
  </si>
  <si>
    <t xml:space="preserve">644131</t>
  </si>
  <si>
    <t xml:space="preserve">7896658051616</t>
  </si>
  <si>
    <t xml:space="preserve">ROSUVASTATINA 40MG C/30 CPR (GEN)</t>
  </si>
  <si>
    <t xml:space="preserve">666531</t>
  </si>
  <si>
    <t xml:space="preserve">7896181920502</t>
  </si>
  <si>
    <t xml:space="preserve">ROSUVASTATINA 10MG C/30 CPR (GEN)</t>
  </si>
  <si>
    <t xml:space="preserve">ROSUVASTATINA CALCICA 10MG CX 30 COMP</t>
  </si>
  <si>
    <t xml:space="preserve">425681</t>
  </si>
  <si>
    <t xml:space="preserve">7896181920540</t>
  </si>
  <si>
    <t xml:space="preserve">ROSUVASTATINA 20MG C/30 CPR (GEN)</t>
  </si>
  <si>
    <t xml:space="preserve">ROSUVASTATINA CALCICA 20MG CX 30 COMP</t>
  </si>
  <si>
    <t xml:space="preserve">425701</t>
  </si>
  <si>
    <t xml:space="preserve">8902220109551</t>
  </si>
  <si>
    <t xml:space="preserve">ROSUVASTATINA CAL 20MG C/30 CPR (GEN)</t>
  </si>
  <si>
    <t xml:space="preserve">ROSUVASTATINA CALCICA 20MG CX 30 COMP REV</t>
  </si>
  <si>
    <t xml:space="preserve">425941</t>
  </si>
  <si>
    <t xml:space="preserve">7898216366088</t>
  </si>
  <si>
    <t xml:space="preserve">ROSUVASTATINA 5MG C/30 CPR (GEN)</t>
  </si>
  <si>
    <t xml:space="preserve">ROSUVASTATINA CALCICA 5MG CX 30 COMP REV</t>
  </si>
  <si>
    <t xml:space="preserve">667251</t>
  </si>
  <si>
    <t xml:space="preserve">7898031311324</t>
  </si>
  <si>
    <t xml:space="preserve">SAL AMARGO 30GR</t>
  </si>
  <si>
    <t xml:space="preserve">SAL AMARGO 30G</t>
  </si>
  <si>
    <t xml:space="preserve">531721</t>
  </si>
  <si>
    <t xml:space="preserve">7898133136047</t>
  </si>
  <si>
    <t xml:space="preserve">SEAKALM 260MG C/20 CPR REV</t>
  </si>
  <si>
    <t xml:space="preserve">SEAKALM 260MG MARACUJA NATULAB CAIXA 20 COMPRIMIDOS REVESTIDOS</t>
  </si>
  <si>
    <t xml:space="preserve">542121</t>
  </si>
  <si>
    <t xml:space="preserve">7899470807652</t>
  </si>
  <si>
    <t xml:space="preserve">SEAKALM 600MG C/20 CPR REV</t>
  </si>
  <si>
    <t xml:space="preserve">SEAKALM 600MG 20CP REV</t>
  </si>
  <si>
    <t xml:space="preserve">578701</t>
  </si>
  <si>
    <t xml:space="preserve">7896033234214</t>
  </si>
  <si>
    <t xml:space="preserve">SERINGA DE LIMPEZA NASAL C/2 UND COLORID</t>
  </si>
  <si>
    <t xml:space="preserve">44303</t>
  </si>
  <si>
    <t xml:space="preserve">7896699036382</t>
  </si>
  <si>
    <t xml:space="preserve">SERINGA LAVAGEM NASAL ROSA 7176-01-F</t>
  </si>
  <si>
    <t xml:space="preserve">671051</t>
  </si>
  <si>
    <t xml:space="preserve">7898706400148</t>
  </si>
  <si>
    <t xml:space="preserve">SERINGA P/ LAVAGEM NASAL 10ML HELLO/PRIN</t>
  </si>
  <si>
    <t xml:space="preserve">SERINGA P/ LAVAGEM NASAL 10ML HELO KITTY</t>
  </si>
  <si>
    <t xml:space="preserve">MUNILA</t>
  </si>
  <si>
    <t xml:space="preserve">671151</t>
  </si>
  <si>
    <t xml:space="preserve">7898706400155</t>
  </si>
  <si>
    <t xml:space="preserve">SERINGA P/ LAVAGEM NASAL 10ML PRINCIPE</t>
  </si>
  <si>
    <t xml:space="preserve">SERINGA P/ LAVAGEM NASAL 10ML PATATI PAT</t>
  </si>
  <si>
    <t xml:space="preserve">671161</t>
  </si>
  <si>
    <t xml:space="preserve">7898706400643</t>
  </si>
  <si>
    <t xml:space="preserve">SERINGA P/ LAVAGEM NASAL 20 ML</t>
  </si>
  <si>
    <t xml:space="preserve">VISION</t>
  </si>
  <si>
    <t xml:space="preserve">21603</t>
  </si>
  <si>
    <t xml:space="preserve">7896033234108</t>
  </si>
  <si>
    <t xml:space="preserve">SERINGA P/ LAVAGEM NASAL C/2 637801</t>
  </si>
  <si>
    <t xml:space="preserve">44203</t>
  </si>
  <si>
    <t xml:space="preserve">7898706401930</t>
  </si>
  <si>
    <t xml:space="preserve">SERINGA P/LAVAGEM NASAL LALA JACARE 10ML</t>
  </si>
  <si>
    <t xml:space="preserve">685901</t>
  </si>
  <si>
    <t xml:space="preserve">7894164005611</t>
  </si>
  <si>
    <t xml:space="preserve">HIDROX ALUM 37MG+MAG 40MG 100ML SILUSGEL</t>
  </si>
  <si>
    <t xml:space="preserve">SILUSGEL SUS 100ML</t>
  </si>
  <si>
    <t xml:space="preserve">538261</t>
  </si>
  <si>
    <t xml:space="preserve">7896181928676</t>
  </si>
  <si>
    <t xml:space="preserve">SIMETICONA 125MG C/10 CAPS GEL</t>
  </si>
  <si>
    <t xml:space="preserve">SIMETICONA (N.S.) 125MG CX 10 CAP</t>
  </si>
  <si>
    <t xml:space="preserve">657211</t>
  </si>
  <si>
    <t xml:space="preserve">7896181918851</t>
  </si>
  <si>
    <t xml:space="preserve">SIMETICONA GTS 75MG FRX 15ML</t>
  </si>
  <si>
    <t xml:space="preserve">SIMETICONA (N.S.) 75MG/ML FR 15ML</t>
  </si>
  <si>
    <t xml:space="preserve">640431</t>
  </si>
  <si>
    <t xml:space="preserve">7898060138091</t>
  </si>
  <si>
    <t xml:space="preserve">SINVASTATINA 40MG C/30 (SINVASMAX)</t>
  </si>
  <si>
    <t xml:space="preserve">SINVASMAX 40MG CX 30 COMP REV</t>
  </si>
  <si>
    <t xml:space="preserve">438221</t>
  </si>
  <si>
    <t xml:space="preserve">7896112406693</t>
  </si>
  <si>
    <t xml:space="preserve">SUCCINATO METOPROLOL 50MG C/30 CPR GEN</t>
  </si>
  <si>
    <t xml:space="preserve">SUCCINATO DE METOPROLOL 50MG CX 30 COMP</t>
  </si>
  <si>
    <t xml:space="preserve">667241</t>
  </si>
  <si>
    <t xml:space="preserve">7896658053504</t>
  </si>
  <si>
    <t xml:space="preserve">BIOSINTETICA</t>
  </si>
  <si>
    <t xml:space="preserve">16703</t>
  </si>
  <si>
    <t xml:space="preserve">7896004703732</t>
  </si>
  <si>
    <t xml:space="preserve">SULFA+TRIMETOPRIMA SUS 100ML (GEN)</t>
  </si>
  <si>
    <t xml:space="preserve">SULFAMETOXAZOL+TRIMETOPRIMA SUS FR 100ML</t>
  </si>
  <si>
    <t xml:space="preserve">470061</t>
  </si>
  <si>
    <t xml:space="preserve">7894164005741</t>
  </si>
  <si>
    <t xml:space="preserve">SULF. FERROSO 40MG C/40 CPR (SULFERMAX)</t>
  </si>
  <si>
    <t xml:space="preserve">SULFERMAX 40MG C/40 CPR</t>
  </si>
  <si>
    <t xml:space="preserve">639001</t>
  </si>
  <si>
    <t xml:space="preserve">7908371200155</t>
  </si>
  <si>
    <t xml:space="preserve">COLONIA TUR. DA MONICA 100ML LAVANDA.</t>
  </si>
  <si>
    <t xml:space="preserve">T. MONICA AGUINHA CL 100ML BONS TEMP LAVA</t>
  </si>
  <si>
    <t xml:space="preserve">PAIXAO</t>
  </si>
  <si>
    <t xml:space="preserve">585961</t>
  </si>
  <si>
    <t xml:space="preserve">7908371200223</t>
  </si>
  <si>
    <t xml:space="preserve">TALCO VEG. TUR. DA MONICA 200G CH. BEBE</t>
  </si>
  <si>
    <t xml:space="preserve">T. MONICA TALCO VEGE 200G CHEIR MEU BEBE</t>
  </si>
  <si>
    <t xml:space="preserve">LANGE COSMETICOS</t>
  </si>
  <si>
    <t xml:space="preserve">586061</t>
  </si>
  <si>
    <t xml:space="preserve">7899095257825</t>
  </si>
  <si>
    <t xml:space="preserve">TADALAFILA 20MG C/2 CPR (GENERICO)</t>
  </si>
  <si>
    <t xml:space="preserve">TADALAFILA 20MG CX 2 COMP REV</t>
  </si>
  <si>
    <t xml:space="preserve">457101</t>
  </si>
  <si>
    <t xml:space="preserve">7896004749648</t>
  </si>
  <si>
    <t xml:space="preserve">TADALAFILA 20MG C/4 CPR (GEN)</t>
  </si>
  <si>
    <t xml:space="preserve">TADALAFILA C/4 COMP REV.</t>
  </si>
  <si>
    <t xml:space="preserve">456901</t>
  </si>
  <si>
    <t xml:space="preserve">7899095230255</t>
  </si>
  <si>
    <t xml:space="preserve">COLIRIO TART DE BRIMONIDINA 2MG 5ML GENE</t>
  </si>
  <si>
    <t xml:space="preserve">TARTARATO DE BRIMONIDINA 2MG/ML SOL OFT FR 5ML</t>
  </si>
  <si>
    <t xml:space="preserve">458361</t>
  </si>
  <si>
    <t xml:space="preserve">7896181906612</t>
  </si>
  <si>
    <t xml:space="preserve">TARTARATO METOPROLOL 100MG C/30 CPR(GEN.</t>
  </si>
  <si>
    <t xml:space="preserve">TARTARATO DE METOPROLOL 100MG CX 30 COMP</t>
  </si>
  <si>
    <t xml:space="preserve">458701</t>
  </si>
  <si>
    <t xml:space="preserve">7898301056955</t>
  </si>
  <si>
    <t xml:space="preserve">TERM CLINICO DIGITAL MOD TH150 AZUL</t>
  </si>
  <si>
    <t xml:space="preserve">TERMOMETRO CLIN. DIG. AZUL G-TECH</t>
  </si>
  <si>
    <t xml:space="preserve">GTECH</t>
  </si>
  <si>
    <t xml:space="preserve">601291</t>
  </si>
  <si>
    <t xml:space="preserve">7898506470761</t>
  </si>
  <si>
    <t xml:space="preserve">TERMOMETRO CLINICO DIGITAL BRANCO HC070</t>
  </si>
  <si>
    <t xml:space="preserve">TERMOMETRO CLIN. DIG. BRANCO MULTILASER</t>
  </si>
  <si>
    <t xml:space="preserve">MULTILASER</t>
  </si>
  <si>
    <t xml:space="preserve">670111</t>
  </si>
  <si>
    <t xml:space="preserve">7898639694324</t>
  </si>
  <si>
    <t xml:space="preserve">TERMOMETRO DIGITAL CORES SORT TH1027</t>
  </si>
  <si>
    <t xml:space="preserve">TERMOMETRO DIGITAL CORES SORTIDAS M24</t>
  </si>
  <si>
    <t xml:space="preserve">651041</t>
  </si>
  <si>
    <t xml:space="preserve">7899470808338</t>
  </si>
  <si>
    <t xml:space="preserve">PARACETAMOL 200MG GOTAS 15ML TILEMAXY</t>
  </si>
  <si>
    <t xml:space="preserve">TILEMAXY 200MG 15ML GTS</t>
  </si>
  <si>
    <t xml:space="preserve">1963</t>
  </si>
  <si>
    <t xml:space="preserve">7899095230095</t>
  </si>
  <si>
    <t xml:space="preserve">TINIDAZOL+MICON 45GR C/7 APLIC GENERICO.</t>
  </si>
  <si>
    <t xml:space="preserve">TINIDAZOL+NITRATO DE MICONAZOL 30+20MG CREME VAG BG 45G+7APLIC</t>
  </si>
  <si>
    <t xml:space="preserve">367061</t>
  </si>
  <si>
    <t xml:space="preserve">7896181927587</t>
  </si>
  <si>
    <t xml:space="preserve">VALSARTANA 160MG C/30 CPR (GEN)</t>
  </si>
  <si>
    <t xml:space="preserve">VALSARTANA 160MG CX 30 COMP</t>
  </si>
  <si>
    <t xml:space="preserve">475141</t>
  </si>
  <si>
    <t xml:space="preserve">7896181922834</t>
  </si>
  <si>
    <t xml:space="preserve">VALSARTANA+HIDROC 160+12,5MG C/30 (GEN)</t>
  </si>
  <si>
    <t xml:space="preserve">VALSARTANA+HIDROCLOROTIAZIDA 160 MG + 12,5 MG COM REV CT BL AL/AL X 30</t>
  </si>
  <si>
    <t xml:space="preserve">ACHE LABORATORIOS FARMACEUTICOS</t>
  </si>
  <si>
    <t xml:space="preserve">477781</t>
  </si>
  <si>
    <t xml:space="preserve">7896181922872</t>
  </si>
  <si>
    <t xml:space="preserve">VALSARTANA+HIDROC 160+25MG C/30 (GEN)</t>
  </si>
  <si>
    <t xml:space="preserve">VALSARTANA+HIDROCLOROTIAZIDA 160 MG + 25 MG COM REV CT BL AL/AL X 30</t>
  </si>
  <si>
    <t xml:space="preserve">477801</t>
  </si>
  <si>
    <t xml:space="preserve">7896181922797</t>
  </si>
  <si>
    <t xml:space="preserve">VALSARTANA+HIDROC 80+12,5MG C/30 (GEN)</t>
  </si>
  <si>
    <t xml:space="preserve">VALSARTANA+HIDROCLOROTIAZIDA 80 MG + 12,5 MG COM REV CT BL AL/AL X 30</t>
  </si>
  <si>
    <t xml:space="preserve">477761</t>
  </si>
  <si>
    <t xml:space="preserve">7898031311034</t>
  </si>
  <si>
    <t xml:space="preserve">VIOLETA GENCIANA 30ML</t>
  </si>
  <si>
    <t xml:space="preserve">VIOLETA GENCIANA 30ML UNIPHAR</t>
  </si>
  <si>
    <t xml:space="preserve">531981</t>
  </si>
  <si>
    <t xml:space="preserve">7898569765194</t>
  </si>
  <si>
    <t xml:space="preserve">VITAMINA D 50.000UI C/08 CPS</t>
  </si>
  <si>
    <t xml:space="preserve">VITAMINA D3 50000UI BL 8 CAP</t>
  </si>
  <si>
    <t xml:space="preserve">193261</t>
  </si>
  <si>
    <t xml:space="preserve">7899898602068</t>
  </si>
  <si>
    <t xml:space="preserve">VITAMINA C 500MG C/20 CMP (VITER C)</t>
  </si>
  <si>
    <t xml:space="preserve">VITER C 500 MG COM CT ENV AL/AL X 20</t>
  </si>
  <si>
    <t xml:space="preserve">15561</t>
  </si>
  <si>
    <t xml:space="preserve">7899898601597</t>
  </si>
  <si>
    <t xml:space="preserve">VITAMINA C TRIP 1G C/10 CPR EF.(VITER C)</t>
  </si>
  <si>
    <t xml:space="preserve">VITER C TRIPLA ACAO 10CP EFERV LARANJA</t>
  </si>
  <si>
    <t xml:space="preserve">568901</t>
  </si>
  <si>
    <t xml:space="preserve">7896902231313</t>
  </si>
  <si>
    <t xml:space="preserve">AGUA BORICADA 3% 100ML</t>
  </si>
  <si>
    <t xml:space="preserve">ÁGUA BORICADA 30MG/ML</t>
  </si>
  <si>
    <t xml:space="preserve">547321</t>
  </si>
  <si>
    <t xml:space="preserve">TOTAL</t>
  </si>
  <si>
    <t xml:space="preserve">Observações:</t>
  </si>
  <si>
    <t xml:space="preserve">• Prazo de pagamento solicitado: MÍNIMO 45 DIAS — preferência até 90 DIAS (ex.: 45/60/75/90 dd ou 90 dd direto)</t>
  </si>
  <si>
    <t xml:space="preserve">• Quantidades em CAIXAS fechadas (não comprar fração).</t>
  </si>
  <si>
    <t xml:space="preserve">• Preços conforme oferta vigente em 20/10/2026. Favor confirmar preço, prazo e disponibilidade antes do faturamento.</t>
  </si>
  <si>
    <t xml:space="preserve">• Itens sem estoque total: faturar o disponível e informar o saldo.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</si>
</sst>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&quot;R$ &quot;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s">
        <v>2</v>
      </c>
    </row>
    <row r="3" customFormat="false" ht="15" hidden="false" customHeight="false" outlineLevel="0" collapsed="false">
      <c r="A3" s="2" t="s">
        <v>3</v>
      </c>
      <c r="C3" s="3" t="s">
        <v>4</v>
      </c>
    </row>
    <row r="4" customFormat="false" ht="15" hidden="false" customHeight="false" outlineLevel="0" collapsed="false">
      <c r="A4" s="2" t="s">
        <v>5</v>
      </c>
      <c r="C4" s="3" t="s">
        <v>6</v>
      </c>
    </row>
    <row r="5" customFormat="false" ht="15" hidden="false" customHeight="false" outlineLevel="0" collapsed="false">
      <c r="A5" s="2" t="s">
        <v>7</v>
      </c>
      <c r="C5" s="3" t="s">
        <v>8</v>
      </c>
    </row>
    <row r="6" customFormat="false" ht="15" hidden="false" customHeight="false" outlineLevel="0" collapsed="false">
      <c r="A6" s="2" t="s">
        <v>9</v>
      </c>
      <c r="C6" s="4" t="s">
        <v>10</v>
      </c>
    </row>
    <row r="8" customFormat="false" ht="30" hidden="false" customHeight="true" outlineLevel="0" collapsed="false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20</v>
      </c>
      <c r="K8" s="5" t="s">
        <v>21</v>
      </c>
    </row>
    <row r="9" customFormat="false" ht="15" hidden="false" customHeight="false" outlineLevel="0" collapsed="false">
      <c r="A9" s="6" t="n">
        <v>1</v>
      </c>
      <c r="B9" s="6" t="n">
        <v>4224</v>
      </c>
      <c r="C9" s="7" t="s">
        <v>22</v>
      </c>
      <c r="D9" s="6" t="s">
        <v>23</v>
      </c>
      <c r="E9" s="6" t="s">
        <v>24</v>
      </c>
      <c r="F9" s="6" t="s">
        <v>25</v>
      </c>
      <c r="G9" s="8" t="n">
        <v>1</v>
      </c>
      <c r="H9" s="9" t="n">
        <v>12.3215</v>
      </c>
      <c r="I9" s="9" t="n">
        <f aca="false">G9*H9</f>
        <v>12.3215</v>
      </c>
      <c r="J9" s="6" t="s">
        <v>26</v>
      </c>
      <c r="K9" s="6"/>
    </row>
    <row r="10" customFormat="false" ht="15" hidden="false" customHeight="false" outlineLevel="0" collapsed="false">
      <c r="A10" s="6" t="n">
        <v>2</v>
      </c>
      <c r="B10" s="6" t="n">
        <v>4225</v>
      </c>
      <c r="C10" s="7" t="s">
        <v>27</v>
      </c>
      <c r="D10" s="6" t="s">
        <v>28</v>
      </c>
      <c r="E10" s="6" t="s">
        <v>29</v>
      </c>
      <c r="F10" s="6" t="s">
        <v>25</v>
      </c>
      <c r="G10" s="8" t="n">
        <v>1</v>
      </c>
      <c r="H10" s="9" t="n">
        <v>12.3215</v>
      </c>
      <c r="I10" s="9" t="n">
        <f aca="false">G10*H10</f>
        <v>12.3215</v>
      </c>
      <c r="J10" s="6" t="s">
        <v>30</v>
      </c>
      <c r="K10" s="6"/>
    </row>
    <row r="11" customFormat="false" ht="15" hidden="false" customHeight="false" outlineLevel="0" collapsed="false">
      <c r="A11" s="6" t="n">
        <v>3</v>
      </c>
      <c r="B11" s="6" t="n">
        <v>4462</v>
      </c>
      <c r="C11" s="7" t="s">
        <v>31</v>
      </c>
      <c r="D11" s="6" t="s">
        <v>32</v>
      </c>
      <c r="E11" s="6" t="s">
        <v>33</v>
      </c>
      <c r="F11" s="6" t="s">
        <v>25</v>
      </c>
      <c r="G11" s="8" t="n">
        <v>11</v>
      </c>
      <c r="H11" s="9" t="n">
        <v>9.12</v>
      </c>
      <c r="I11" s="9" t="n">
        <f aca="false">G11*H11</f>
        <v>100.32</v>
      </c>
      <c r="J11" s="6" t="s">
        <v>34</v>
      </c>
      <c r="K11" s="6"/>
    </row>
    <row r="12" customFormat="false" ht="15" hidden="false" customHeight="false" outlineLevel="0" collapsed="false">
      <c r="A12" s="6" t="n">
        <v>4</v>
      </c>
      <c r="B12" s="6" t="n">
        <v>4463</v>
      </c>
      <c r="C12" s="7" t="s">
        <v>35</v>
      </c>
      <c r="D12" s="6" t="s">
        <v>36</v>
      </c>
      <c r="E12" s="6" t="s">
        <v>37</v>
      </c>
      <c r="F12" s="6" t="s">
        <v>25</v>
      </c>
      <c r="G12" s="8" t="n">
        <v>6</v>
      </c>
      <c r="H12" s="9" t="n">
        <v>9.12</v>
      </c>
      <c r="I12" s="9" t="n">
        <f aca="false">G12*H12</f>
        <v>54.72</v>
      </c>
      <c r="J12" s="6" t="s">
        <v>38</v>
      </c>
      <c r="K12" s="6"/>
    </row>
    <row r="13" customFormat="false" ht="15" hidden="false" customHeight="false" outlineLevel="0" collapsed="false">
      <c r="A13" s="6" t="n">
        <v>5</v>
      </c>
      <c r="B13" s="6" t="n">
        <v>1504</v>
      </c>
      <c r="C13" s="7" t="s">
        <v>39</v>
      </c>
      <c r="D13" s="6" t="s">
        <v>40</v>
      </c>
      <c r="E13" s="6" t="s">
        <v>41</v>
      </c>
      <c r="F13" s="6" t="s">
        <v>25</v>
      </c>
      <c r="G13" s="8" t="n">
        <v>1</v>
      </c>
      <c r="H13" s="9" t="n">
        <v>8.8065</v>
      </c>
      <c r="I13" s="9" t="n">
        <f aca="false">G13*H13</f>
        <v>8.8065</v>
      </c>
      <c r="J13" s="6" t="s">
        <v>42</v>
      </c>
      <c r="K13" s="6"/>
    </row>
    <row r="14" customFormat="false" ht="15" hidden="false" customHeight="false" outlineLevel="0" collapsed="false">
      <c r="A14" s="6" t="n">
        <v>6</v>
      </c>
      <c r="B14" s="6" t="n">
        <v>1254</v>
      </c>
      <c r="C14" s="7" t="s">
        <v>43</v>
      </c>
      <c r="D14" s="6" t="s">
        <v>44</v>
      </c>
      <c r="E14" s="6" t="s">
        <v>45</v>
      </c>
      <c r="F14" s="6" t="s">
        <v>25</v>
      </c>
      <c r="G14" s="8" t="n">
        <v>2</v>
      </c>
      <c r="H14" s="9" t="n">
        <v>15.2095</v>
      </c>
      <c r="I14" s="9" t="n">
        <f aca="false">G14*H14</f>
        <v>30.419</v>
      </c>
      <c r="J14" s="6" t="s">
        <v>46</v>
      </c>
      <c r="K14" s="6"/>
    </row>
    <row r="15" customFormat="false" ht="15" hidden="false" customHeight="false" outlineLevel="0" collapsed="false">
      <c r="A15" s="6" t="n">
        <v>7</v>
      </c>
      <c r="B15" s="6" t="n">
        <v>1944</v>
      </c>
      <c r="C15" s="7" t="s">
        <v>47</v>
      </c>
      <c r="D15" s="6" t="s">
        <v>48</v>
      </c>
      <c r="E15" s="6" t="s">
        <v>49</v>
      </c>
      <c r="F15" s="6" t="s">
        <v>25</v>
      </c>
      <c r="G15" s="8" t="n">
        <v>1</v>
      </c>
      <c r="H15" s="9" t="n">
        <v>41.7905</v>
      </c>
      <c r="I15" s="9" t="n">
        <f aca="false">G15*H15</f>
        <v>41.7905</v>
      </c>
      <c r="J15" s="6" t="s">
        <v>50</v>
      </c>
      <c r="K15" s="6"/>
    </row>
    <row r="16" customFormat="false" ht="15" hidden="false" customHeight="false" outlineLevel="0" collapsed="false">
      <c r="A16" s="6" t="n">
        <v>8</v>
      </c>
      <c r="B16" s="6" t="n">
        <v>8236</v>
      </c>
      <c r="C16" s="7" t="s">
        <v>51</v>
      </c>
      <c r="D16" s="6" t="s">
        <v>52</v>
      </c>
      <c r="E16" s="6" t="s">
        <v>53</v>
      </c>
      <c r="F16" s="6" t="s">
        <v>54</v>
      </c>
      <c r="G16" s="8" t="n">
        <v>4</v>
      </c>
      <c r="H16" s="9" t="n">
        <v>11.286</v>
      </c>
      <c r="I16" s="9" t="n">
        <f aca="false">G16*H16</f>
        <v>45.144</v>
      </c>
      <c r="J16" s="6" t="s">
        <v>55</v>
      </c>
      <c r="K16" s="6"/>
    </row>
    <row r="17" customFormat="false" ht="15" hidden="false" customHeight="false" outlineLevel="0" collapsed="false">
      <c r="A17" s="6" t="n">
        <v>9</v>
      </c>
      <c r="B17" s="6" t="n">
        <v>224</v>
      </c>
      <c r="C17" s="7" t="s">
        <v>56</v>
      </c>
      <c r="D17" s="6" t="s">
        <v>57</v>
      </c>
      <c r="E17" s="6" t="s">
        <v>58</v>
      </c>
      <c r="F17" s="6" t="s">
        <v>59</v>
      </c>
      <c r="G17" s="8" t="n">
        <v>28</v>
      </c>
      <c r="H17" s="9" t="n">
        <v>9.6615</v>
      </c>
      <c r="I17" s="9" t="n">
        <f aca="false">G17*H17</f>
        <v>270.522</v>
      </c>
      <c r="J17" s="6" t="s">
        <v>60</v>
      </c>
      <c r="K17" s="6" t="s">
        <v>61</v>
      </c>
    </row>
    <row r="18" customFormat="false" ht="15" hidden="false" customHeight="false" outlineLevel="0" collapsed="false">
      <c r="A18" s="6" t="n">
        <v>10</v>
      </c>
      <c r="B18" s="6" t="n">
        <v>139</v>
      </c>
      <c r="C18" s="7" t="s">
        <v>62</v>
      </c>
      <c r="D18" s="6" t="s">
        <v>63</v>
      </c>
      <c r="E18" s="6" t="s">
        <v>63</v>
      </c>
      <c r="F18" s="6" t="s">
        <v>64</v>
      </c>
      <c r="G18" s="8" t="n">
        <v>1</v>
      </c>
      <c r="H18" s="9" t="n">
        <v>15.7225</v>
      </c>
      <c r="I18" s="9" t="n">
        <f aca="false">G18*H18</f>
        <v>15.7225</v>
      </c>
      <c r="J18" s="6" t="s">
        <v>65</v>
      </c>
      <c r="K18" s="6"/>
    </row>
    <row r="19" customFormat="false" ht="15" hidden="false" customHeight="false" outlineLevel="0" collapsed="false">
      <c r="A19" s="6" t="n">
        <v>11</v>
      </c>
      <c r="B19" s="6" t="n">
        <v>162</v>
      </c>
      <c r="C19" s="7" t="s">
        <v>66</v>
      </c>
      <c r="D19" s="6" t="s">
        <v>67</v>
      </c>
      <c r="E19" s="6" t="s">
        <v>68</v>
      </c>
      <c r="F19" s="6" t="s">
        <v>69</v>
      </c>
      <c r="G19" s="8" t="n">
        <v>1</v>
      </c>
      <c r="H19" s="9" t="n">
        <v>1.995</v>
      </c>
      <c r="I19" s="9" t="n">
        <f aca="false">G19*H19</f>
        <v>1.995</v>
      </c>
      <c r="J19" s="6" t="s">
        <v>70</v>
      </c>
      <c r="K19" s="6"/>
    </row>
    <row r="20" customFormat="false" ht="15" hidden="false" customHeight="false" outlineLevel="0" collapsed="false">
      <c r="A20" s="6" t="n">
        <v>12</v>
      </c>
      <c r="B20" s="6" t="n">
        <v>154</v>
      </c>
      <c r="C20" s="7" t="s">
        <v>71</v>
      </c>
      <c r="D20" s="6" t="s">
        <v>72</v>
      </c>
      <c r="E20" s="6" t="s">
        <v>73</v>
      </c>
      <c r="F20" s="6" t="s">
        <v>74</v>
      </c>
      <c r="G20" s="8" t="n">
        <v>55</v>
      </c>
      <c r="H20" s="9" t="n">
        <v>2.603</v>
      </c>
      <c r="I20" s="9" t="n">
        <f aca="false">G20*H20</f>
        <v>143.165</v>
      </c>
      <c r="J20" s="6" t="s">
        <v>75</v>
      </c>
      <c r="K20" s="6" t="s">
        <v>76</v>
      </c>
    </row>
    <row r="21" customFormat="false" ht="15" hidden="false" customHeight="false" outlineLevel="0" collapsed="false">
      <c r="A21" s="6" t="n">
        <v>13</v>
      </c>
      <c r="B21" s="6" t="n">
        <v>159</v>
      </c>
      <c r="C21" s="7" t="s">
        <v>77</v>
      </c>
      <c r="D21" s="6" t="s">
        <v>78</v>
      </c>
      <c r="E21" s="6" t="s">
        <v>78</v>
      </c>
      <c r="F21" s="6"/>
      <c r="G21" s="8" t="n">
        <v>20</v>
      </c>
      <c r="H21" s="9" t="n">
        <v>2.014</v>
      </c>
      <c r="I21" s="9" t="n">
        <f aca="false">G21*H21</f>
        <v>40.28</v>
      </c>
      <c r="J21" s="6" t="s">
        <v>79</v>
      </c>
      <c r="K21" s="6"/>
    </row>
    <row r="22" customFormat="false" ht="15" hidden="false" customHeight="false" outlineLevel="0" collapsed="false">
      <c r="A22" s="6" t="n">
        <v>14</v>
      </c>
      <c r="B22" s="6" t="n">
        <v>6157</v>
      </c>
      <c r="C22" s="7" t="s">
        <v>80</v>
      </c>
      <c r="D22" s="6" t="s">
        <v>81</v>
      </c>
      <c r="E22" s="6" t="s">
        <v>82</v>
      </c>
      <c r="F22" s="6" t="s">
        <v>69</v>
      </c>
      <c r="G22" s="8" t="n">
        <v>1</v>
      </c>
      <c r="H22" s="9" t="n">
        <v>2.109</v>
      </c>
      <c r="I22" s="9" t="n">
        <f aca="false">G22*H22</f>
        <v>2.109</v>
      </c>
      <c r="J22" s="6" t="s">
        <v>83</v>
      </c>
      <c r="K22" s="6"/>
    </row>
    <row r="23" customFormat="false" ht="15" hidden="false" customHeight="false" outlineLevel="0" collapsed="false">
      <c r="A23" s="6" t="n">
        <v>15</v>
      </c>
      <c r="B23" s="6" t="n">
        <v>174</v>
      </c>
      <c r="C23" s="7" t="s">
        <v>84</v>
      </c>
      <c r="D23" s="6" t="s">
        <v>85</v>
      </c>
      <c r="E23" s="6" t="s">
        <v>86</v>
      </c>
      <c r="F23" s="6" t="s">
        <v>87</v>
      </c>
      <c r="G23" s="8" t="n">
        <v>1</v>
      </c>
      <c r="H23" s="9" t="n">
        <v>7.7615</v>
      </c>
      <c r="I23" s="9" t="n">
        <f aca="false">G23*H23</f>
        <v>7.7615</v>
      </c>
      <c r="J23" s="6" t="s">
        <v>88</v>
      </c>
      <c r="K23" s="6"/>
    </row>
    <row r="24" customFormat="false" ht="15" hidden="false" customHeight="false" outlineLevel="0" collapsed="false">
      <c r="A24" s="6" t="n">
        <v>16</v>
      </c>
      <c r="B24" s="6" t="n">
        <v>192</v>
      </c>
      <c r="C24" s="7" t="s">
        <v>89</v>
      </c>
      <c r="D24" s="6" t="s">
        <v>90</v>
      </c>
      <c r="E24" s="6" t="s">
        <v>91</v>
      </c>
      <c r="F24" s="6" t="s">
        <v>92</v>
      </c>
      <c r="G24" s="8" t="n">
        <v>3</v>
      </c>
      <c r="H24" s="9" t="n">
        <v>6.251</v>
      </c>
      <c r="I24" s="9" t="n">
        <f aca="false">G24*H24</f>
        <v>18.753</v>
      </c>
      <c r="J24" s="6" t="s">
        <v>93</v>
      </c>
      <c r="K24" s="6"/>
    </row>
    <row r="25" customFormat="false" ht="15" hidden="false" customHeight="false" outlineLevel="0" collapsed="false">
      <c r="A25" s="6" t="n">
        <v>17</v>
      </c>
      <c r="B25" s="6" t="n">
        <v>204</v>
      </c>
      <c r="C25" s="7" t="s">
        <v>94</v>
      </c>
      <c r="D25" s="6" t="s">
        <v>95</v>
      </c>
      <c r="E25" s="6" t="s">
        <v>96</v>
      </c>
      <c r="F25" s="6" t="s">
        <v>74</v>
      </c>
      <c r="G25" s="8" t="n">
        <v>36</v>
      </c>
      <c r="H25" s="9" t="n">
        <v>2.584</v>
      </c>
      <c r="I25" s="9" t="n">
        <f aca="false">G25*H25</f>
        <v>93.024</v>
      </c>
      <c r="J25" s="6" t="s">
        <v>97</v>
      </c>
      <c r="K25" s="6"/>
    </row>
    <row r="26" customFormat="false" ht="15" hidden="false" customHeight="false" outlineLevel="0" collapsed="false">
      <c r="A26" s="6" t="n">
        <v>18</v>
      </c>
      <c r="B26" s="6" t="n">
        <v>2231</v>
      </c>
      <c r="C26" s="7" t="s">
        <v>98</v>
      </c>
      <c r="D26" s="6" t="s">
        <v>99</v>
      </c>
      <c r="E26" s="6" t="s">
        <v>100</v>
      </c>
      <c r="F26" s="6" t="s">
        <v>101</v>
      </c>
      <c r="G26" s="8" t="n">
        <v>2</v>
      </c>
      <c r="H26" s="9" t="n">
        <v>4.9875</v>
      </c>
      <c r="I26" s="9" t="n">
        <f aca="false">G26*H26</f>
        <v>9.975</v>
      </c>
      <c r="J26" s="6" t="s">
        <v>102</v>
      </c>
      <c r="K26" s="6"/>
    </row>
    <row r="27" customFormat="false" ht="15" hidden="false" customHeight="false" outlineLevel="0" collapsed="false">
      <c r="A27" s="6" t="n">
        <v>19</v>
      </c>
      <c r="B27" s="6" t="n">
        <v>242</v>
      </c>
      <c r="C27" s="7" t="s">
        <v>103</v>
      </c>
      <c r="D27" s="6" t="s">
        <v>104</v>
      </c>
      <c r="E27" s="6" t="s">
        <v>105</v>
      </c>
      <c r="F27" s="6" t="s">
        <v>106</v>
      </c>
      <c r="G27" s="8" t="n">
        <v>4</v>
      </c>
      <c r="H27" s="9" t="n">
        <v>6.3745</v>
      </c>
      <c r="I27" s="9" t="n">
        <f aca="false">G27*H27</f>
        <v>25.498</v>
      </c>
      <c r="J27" s="6" t="s">
        <v>107</v>
      </c>
      <c r="K27" s="6"/>
    </row>
    <row r="28" customFormat="false" ht="15" hidden="false" customHeight="false" outlineLevel="0" collapsed="false">
      <c r="A28" s="6" t="n">
        <v>20</v>
      </c>
      <c r="B28" s="6" t="n">
        <v>3398</v>
      </c>
      <c r="C28" s="7" t="s">
        <v>108</v>
      </c>
      <c r="D28" s="6" t="s">
        <v>109</v>
      </c>
      <c r="E28" s="6" t="s">
        <v>110</v>
      </c>
      <c r="F28" s="6" t="s">
        <v>111</v>
      </c>
      <c r="G28" s="8" t="n">
        <v>1</v>
      </c>
      <c r="H28" s="9" t="n">
        <v>4.959</v>
      </c>
      <c r="I28" s="9" t="n">
        <f aca="false">G28*H28</f>
        <v>4.959</v>
      </c>
      <c r="J28" s="6" t="s">
        <v>112</v>
      </c>
      <c r="K28" s="6" t="s">
        <v>61</v>
      </c>
    </row>
    <row r="29" customFormat="false" ht="15" hidden="false" customHeight="false" outlineLevel="0" collapsed="false">
      <c r="A29" s="6" t="n">
        <v>21</v>
      </c>
      <c r="B29" s="6" t="n">
        <v>318</v>
      </c>
      <c r="C29" s="7" t="s">
        <v>113</v>
      </c>
      <c r="D29" s="6" t="s">
        <v>114</v>
      </c>
      <c r="E29" s="6" t="s">
        <v>115</v>
      </c>
      <c r="F29" s="6" t="s">
        <v>92</v>
      </c>
      <c r="G29" s="8" t="n">
        <v>7</v>
      </c>
      <c r="H29" s="9" t="n">
        <v>13.68</v>
      </c>
      <c r="I29" s="9" t="n">
        <f aca="false">G29*H29</f>
        <v>95.76</v>
      </c>
      <c r="J29" s="6" t="s">
        <v>116</v>
      </c>
      <c r="K29" s="6"/>
    </row>
    <row r="30" customFormat="false" ht="15" hidden="false" customHeight="false" outlineLevel="0" collapsed="false">
      <c r="A30" s="6" t="n">
        <v>22</v>
      </c>
      <c r="B30" s="6" t="n">
        <v>348</v>
      </c>
      <c r="C30" s="7" t="s">
        <v>117</v>
      </c>
      <c r="D30" s="6" t="s">
        <v>118</v>
      </c>
      <c r="E30" s="6" t="s">
        <v>119</v>
      </c>
      <c r="F30" s="6" t="s">
        <v>54</v>
      </c>
      <c r="G30" s="8" t="n">
        <v>2</v>
      </c>
      <c r="H30" s="9" t="n">
        <v>11.5615</v>
      </c>
      <c r="I30" s="9" t="n">
        <f aca="false">G30*H30</f>
        <v>23.123</v>
      </c>
      <c r="J30" s="6" t="s">
        <v>120</v>
      </c>
      <c r="K30" s="6"/>
    </row>
    <row r="31" customFormat="false" ht="15" hidden="false" customHeight="false" outlineLevel="0" collapsed="false">
      <c r="A31" s="6" t="n">
        <v>23</v>
      </c>
      <c r="B31" s="6" t="n">
        <v>328</v>
      </c>
      <c r="C31" s="7" t="s">
        <v>121</v>
      </c>
      <c r="D31" s="6" t="s">
        <v>122</v>
      </c>
      <c r="E31" s="6" t="s">
        <v>123</v>
      </c>
      <c r="F31" s="6" t="s">
        <v>124</v>
      </c>
      <c r="G31" s="8" t="n">
        <v>5</v>
      </c>
      <c r="H31" s="9" t="n">
        <v>17.195</v>
      </c>
      <c r="I31" s="9" t="n">
        <f aca="false">G31*H31</f>
        <v>85.975</v>
      </c>
      <c r="J31" s="6" t="s">
        <v>125</v>
      </c>
      <c r="K31" s="6"/>
    </row>
    <row r="32" customFormat="false" ht="15" hidden="false" customHeight="false" outlineLevel="0" collapsed="false">
      <c r="A32" s="6" t="n">
        <v>24</v>
      </c>
      <c r="B32" s="6" t="n">
        <v>8073</v>
      </c>
      <c r="C32" s="7" t="s">
        <v>126</v>
      </c>
      <c r="D32" s="6" t="s">
        <v>127</v>
      </c>
      <c r="E32" s="6" t="s">
        <v>128</v>
      </c>
      <c r="F32" s="6" t="s">
        <v>124</v>
      </c>
      <c r="G32" s="8" t="n">
        <v>5</v>
      </c>
      <c r="H32" s="9" t="n">
        <v>39.786</v>
      </c>
      <c r="I32" s="9" t="n">
        <f aca="false">G32*H32</f>
        <v>198.93</v>
      </c>
      <c r="J32" s="6" t="s">
        <v>129</v>
      </c>
      <c r="K32" s="6"/>
    </row>
    <row r="33" customFormat="false" ht="15" hidden="false" customHeight="false" outlineLevel="0" collapsed="false">
      <c r="A33" s="6" t="n">
        <v>25</v>
      </c>
      <c r="B33" s="6" t="n">
        <v>410</v>
      </c>
      <c r="C33" s="7" t="s">
        <v>130</v>
      </c>
      <c r="D33" s="6" t="s">
        <v>131</v>
      </c>
      <c r="E33" s="6" t="s">
        <v>131</v>
      </c>
      <c r="F33" s="6" t="s">
        <v>64</v>
      </c>
      <c r="G33" s="8" t="n">
        <v>1</v>
      </c>
      <c r="H33" s="9" t="n">
        <v>13.1955</v>
      </c>
      <c r="I33" s="9" t="n">
        <f aca="false">G33*H33</f>
        <v>13.1955</v>
      </c>
      <c r="J33" s="6" t="s">
        <v>132</v>
      </c>
      <c r="K33" s="6"/>
    </row>
    <row r="34" customFormat="false" ht="15" hidden="false" customHeight="false" outlineLevel="0" collapsed="false">
      <c r="A34" s="6" t="n">
        <v>26</v>
      </c>
      <c r="B34" s="6" t="n">
        <v>464</v>
      </c>
      <c r="C34" s="7" t="s">
        <v>133</v>
      </c>
      <c r="D34" s="6" t="s">
        <v>134</v>
      </c>
      <c r="E34" s="6" t="s">
        <v>134</v>
      </c>
      <c r="F34" s="6" t="s">
        <v>64</v>
      </c>
      <c r="G34" s="8" t="n">
        <v>1</v>
      </c>
      <c r="H34" s="9" t="n">
        <v>13.5185</v>
      </c>
      <c r="I34" s="9" t="n">
        <f aca="false">G34*H34</f>
        <v>13.5185</v>
      </c>
      <c r="J34" s="6" t="s">
        <v>135</v>
      </c>
      <c r="K34" s="6"/>
    </row>
    <row r="35" customFormat="false" ht="15" hidden="false" customHeight="false" outlineLevel="0" collapsed="false">
      <c r="A35" s="6" t="n">
        <v>27</v>
      </c>
      <c r="B35" s="6" t="n">
        <v>471</v>
      </c>
      <c r="C35" s="7" t="s">
        <v>136</v>
      </c>
      <c r="D35" s="6" t="s">
        <v>137</v>
      </c>
      <c r="E35" s="6" t="s">
        <v>138</v>
      </c>
      <c r="F35" s="6" t="s">
        <v>139</v>
      </c>
      <c r="G35" s="8" t="n">
        <v>3</v>
      </c>
      <c r="H35" s="9" t="n">
        <v>35.53</v>
      </c>
      <c r="I35" s="9" t="n">
        <f aca="false">G35*H35</f>
        <v>106.59</v>
      </c>
      <c r="J35" s="6" t="s">
        <v>140</v>
      </c>
      <c r="K35" s="6"/>
    </row>
    <row r="36" customFormat="false" ht="15" hidden="false" customHeight="false" outlineLevel="0" collapsed="false">
      <c r="A36" s="6" t="n">
        <v>28</v>
      </c>
      <c r="B36" s="6" t="n">
        <v>8439</v>
      </c>
      <c r="C36" s="7" t="s">
        <v>141</v>
      </c>
      <c r="D36" s="6" t="s">
        <v>142</v>
      </c>
      <c r="E36" s="6" t="s">
        <v>143</v>
      </c>
      <c r="F36" s="6" t="s">
        <v>144</v>
      </c>
      <c r="G36" s="8" t="n">
        <v>1</v>
      </c>
      <c r="H36" s="9" t="n">
        <v>1.5865</v>
      </c>
      <c r="I36" s="9" t="n">
        <f aca="false">G36*H36</f>
        <v>1.5865</v>
      </c>
      <c r="J36" s="6" t="s">
        <v>145</v>
      </c>
      <c r="K36" s="6" t="s">
        <v>61</v>
      </c>
    </row>
    <row r="37" customFormat="false" ht="15" hidden="false" customHeight="false" outlineLevel="0" collapsed="false">
      <c r="A37" s="6" t="n">
        <v>29</v>
      </c>
      <c r="B37" s="6" t="n">
        <v>500</v>
      </c>
      <c r="C37" s="7" t="s">
        <v>146</v>
      </c>
      <c r="D37" s="6" t="s">
        <v>147</v>
      </c>
      <c r="E37" s="6" t="s">
        <v>148</v>
      </c>
      <c r="F37" s="6" t="s">
        <v>144</v>
      </c>
      <c r="G37" s="8" t="n">
        <v>2</v>
      </c>
      <c r="H37" s="9" t="n">
        <v>2.356</v>
      </c>
      <c r="I37" s="9" t="n">
        <f aca="false">G37*H37</f>
        <v>4.712</v>
      </c>
      <c r="J37" s="6" t="s">
        <v>149</v>
      </c>
      <c r="K37" s="6" t="s">
        <v>150</v>
      </c>
    </row>
    <row r="38" customFormat="false" ht="15" hidden="false" customHeight="false" outlineLevel="0" collapsed="false">
      <c r="A38" s="6" t="n">
        <v>30</v>
      </c>
      <c r="B38" s="6" t="n">
        <v>559</v>
      </c>
      <c r="C38" s="7" t="s">
        <v>151</v>
      </c>
      <c r="D38" s="6" t="s">
        <v>152</v>
      </c>
      <c r="E38" s="6" t="s">
        <v>153</v>
      </c>
      <c r="F38" s="6" t="s">
        <v>154</v>
      </c>
      <c r="G38" s="8" t="n">
        <v>2</v>
      </c>
      <c r="H38" s="9" t="n">
        <v>5.89</v>
      </c>
      <c r="I38" s="9" t="n">
        <f aca="false">G38*H38</f>
        <v>11.78</v>
      </c>
      <c r="J38" s="6" t="s">
        <v>155</v>
      </c>
      <c r="K38" s="6" t="s">
        <v>61</v>
      </c>
    </row>
    <row r="39" customFormat="false" ht="15" hidden="false" customHeight="false" outlineLevel="0" collapsed="false">
      <c r="A39" s="6" t="n">
        <v>31</v>
      </c>
      <c r="B39" s="6" t="n">
        <v>7002</v>
      </c>
      <c r="C39" s="7" t="s">
        <v>156</v>
      </c>
      <c r="D39" s="6" t="s">
        <v>157</v>
      </c>
      <c r="E39" s="6" t="s">
        <v>158</v>
      </c>
      <c r="F39" s="6"/>
      <c r="G39" s="8" t="n">
        <v>1</v>
      </c>
      <c r="H39" s="9" t="n">
        <v>14.934</v>
      </c>
      <c r="I39" s="9" t="n">
        <f aca="false">G39*H39</f>
        <v>14.934</v>
      </c>
      <c r="J39" s="6" t="s">
        <v>159</v>
      </c>
      <c r="K39" s="6"/>
    </row>
    <row r="40" customFormat="false" ht="15" hidden="false" customHeight="false" outlineLevel="0" collapsed="false">
      <c r="A40" s="6" t="n">
        <v>32</v>
      </c>
      <c r="B40" s="6" t="n">
        <v>685</v>
      </c>
      <c r="C40" s="7" t="s">
        <v>160</v>
      </c>
      <c r="D40" s="6" t="s">
        <v>161</v>
      </c>
      <c r="E40" s="6" t="s">
        <v>162</v>
      </c>
      <c r="F40" s="6" t="s">
        <v>92</v>
      </c>
      <c r="G40" s="8" t="n">
        <v>1</v>
      </c>
      <c r="H40" s="9" t="n">
        <v>9.044</v>
      </c>
      <c r="I40" s="9" t="n">
        <f aca="false">G40*H40</f>
        <v>9.044</v>
      </c>
      <c r="J40" s="6" t="s">
        <v>163</v>
      </c>
      <c r="K40" s="6"/>
    </row>
    <row r="41" customFormat="false" ht="15" hidden="false" customHeight="false" outlineLevel="0" collapsed="false">
      <c r="A41" s="6" t="n">
        <v>33</v>
      </c>
      <c r="B41" s="6" t="n">
        <v>6269</v>
      </c>
      <c r="C41" s="7" t="s">
        <v>164</v>
      </c>
      <c r="D41" s="6" t="s">
        <v>165</v>
      </c>
      <c r="E41" s="6" t="s">
        <v>166</v>
      </c>
      <c r="F41" s="6" t="s">
        <v>167</v>
      </c>
      <c r="G41" s="8" t="n">
        <v>7</v>
      </c>
      <c r="H41" s="9" t="n">
        <v>5.206</v>
      </c>
      <c r="I41" s="9" t="n">
        <f aca="false">G41*H41</f>
        <v>36.442</v>
      </c>
      <c r="J41" s="6" t="s">
        <v>168</v>
      </c>
      <c r="K41" s="6"/>
    </row>
    <row r="42" customFormat="false" ht="15" hidden="false" customHeight="false" outlineLevel="0" collapsed="false">
      <c r="A42" s="6" t="n">
        <v>34</v>
      </c>
      <c r="B42" s="6" t="n">
        <v>2327</v>
      </c>
      <c r="C42" s="7" t="s">
        <v>169</v>
      </c>
      <c r="D42" s="6" t="s">
        <v>170</v>
      </c>
      <c r="E42" s="6" t="s">
        <v>171</v>
      </c>
      <c r="F42" s="6" t="s">
        <v>167</v>
      </c>
      <c r="G42" s="8" t="n">
        <v>2</v>
      </c>
      <c r="H42" s="9" t="n">
        <v>5.2155</v>
      </c>
      <c r="I42" s="9" t="n">
        <f aca="false">G42*H42</f>
        <v>10.431</v>
      </c>
      <c r="J42" s="6" t="s">
        <v>172</v>
      </c>
      <c r="K42" s="6"/>
    </row>
    <row r="43" customFormat="false" ht="15" hidden="false" customHeight="false" outlineLevel="0" collapsed="false">
      <c r="A43" s="6" t="n">
        <v>35</v>
      </c>
      <c r="B43" s="6" t="n">
        <v>8467</v>
      </c>
      <c r="C43" s="7" t="s">
        <v>173</v>
      </c>
      <c r="D43" s="6" t="s">
        <v>174</v>
      </c>
      <c r="E43" s="6" t="s">
        <v>175</v>
      </c>
      <c r="F43" s="6" t="s">
        <v>176</v>
      </c>
      <c r="G43" s="8" t="n">
        <v>1</v>
      </c>
      <c r="H43" s="9" t="n">
        <v>5.263</v>
      </c>
      <c r="I43" s="9" t="n">
        <f aca="false">G43*H43</f>
        <v>5.263</v>
      </c>
      <c r="J43" s="6" t="s">
        <v>177</v>
      </c>
      <c r="K43" s="6"/>
    </row>
    <row r="44" customFormat="false" ht="15" hidden="false" customHeight="false" outlineLevel="0" collapsed="false">
      <c r="A44" s="6" t="n">
        <v>36</v>
      </c>
      <c r="B44" s="6" t="n">
        <v>389</v>
      </c>
      <c r="C44" s="7" t="s">
        <v>178</v>
      </c>
      <c r="D44" s="6" t="s">
        <v>179</v>
      </c>
      <c r="E44" s="6" t="s">
        <v>180</v>
      </c>
      <c r="F44" s="6" t="s">
        <v>92</v>
      </c>
      <c r="G44" s="8" t="n">
        <v>2</v>
      </c>
      <c r="H44" s="9" t="n">
        <v>4.085</v>
      </c>
      <c r="I44" s="9" t="n">
        <f aca="false">G44*H44</f>
        <v>8.17</v>
      </c>
      <c r="J44" s="6" t="s">
        <v>181</v>
      </c>
      <c r="K44" s="6"/>
    </row>
    <row r="45" customFormat="false" ht="15" hidden="false" customHeight="false" outlineLevel="0" collapsed="false">
      <c r="A45" s="6" t="n">
        <v>37</v>
      </c>
      <c r="B45" s="6" t="n">
        <v>766</v>
      </c>
      <c r="C45" s="7" t="s">
        <v>182</v>
      </c>
      <c r="D45" s="6" t="s">
        <v>183</v>
      </c>
      <c r="E45" s="6" t="s">
        <v>184</v>
      </c>
      <c r="F45" s="6" t="s">
        <v>74</v>
      </c>
      <c r="G45" s="8" t="n">
        <v>20</v>
      </c>
      <c r="H45" s="9" t="n">
        <v>3.1255</v>
      </c>
      <c r="I45" s="9" t="n">
        <f aca="false">G45*H45</f>
        <v>62.51</v>
      </c>
      <c r="J45" s="6" t="s">
        <v>185</v>
      </c>
      <c r="K45" s="6"/>
    </row>
    <row r="46" customFormat="false" ht="15" hidden="false" customHeight="false" outlineLevel="0" collapsed="false">
      <c r="A46" s="6" t="n">
        <v>38</v>
      </c>
      <c r="B46" s="6" t="n">
        <v>806</v>
      </c>
      <c r="C46" s="7" t="s">
        <v>186</v>
      </c>
      <c r="D46" s="6" t="s">
        <v>187</v>
      </c>
      <c r="E46" s="6" t="s">
        <v>188</v>
      </c>
      <c r="F46" s="6" t="s">
        <v>25</v>
      </c>
      <c r="G46" s="8" t="n">
        <v>1</v>
      </c>
      <c r="H46" s="9" t="n">
        <v>7.828</v>
      </c>
      <c r="I46" s="9" t="n">
        <f aca="false">G46*H46</f>
        <v>7.828</v>
      </c>
      <c r="J46" s="6" t="s">
        <v>189</v>
      </c>
      <c r="K46" s="6"/>
    </row>
    <row r="47" customFormat="false" ht="15" hidden="false" customHeight="false" outlineLevel="0" collapsed="false">
      <c r="A47" s="6" t="n">
        <v>39</v>
      </c>
      <c r="B47" s="6" t="n">
        <v>1805</v>
      </c>
      <c r="C47" s="7" t="s">
        <v>190</v>
      </c>
      <c r="D47" s="6" t="s">
        <v>191</v>
      </c>
      <c r="E47" s="6" t="s">
        <v>192</v>
      </c>
      <c r="F47" s="6" t="s">
        <v>92</v>
      </c>
      <c r="G47" s="8" t="n">
        <v>1</v>
      </c>
      <c r="H47" s="9" t="n">
        <v>24.871</v>
      </c>
      <c r="I47" s="9" t="n">
        <f aca="false">G47*H47</f>
        <v>24.871</v>
      </c>
      <c r="J47" s="6" t="s">
        <v>193</v>
      </c>
      <c r="K47" s="6"/>
    </row>
    <row r="48" customFormat="false" ht="15" hidden="false" customHeight="false" outlineLevel="0" collapsed="false">
      <c r="A48" s="6" t="n">
        <v>40</v>
      </c>
      <c r="B48" s="6" t="n">
        <v>873</v>
      </c>
      <c r="C48" s="7" t="s">
        <v>194</v>
      </c>
      <c r="D48" s="6" t="s">
        <v>195</v>
      </c>
      <c r="E48" s="6" t="s">
        <v>195</v>
      </c>
      <c r="F48" s="6" t="s">
        <v>196</v>
      </c>
      <c r="G48" s="8" t="n">
        <v>1</v>
      </c>
      <c r="H48" s="9" t="n">
        <v>48.3455</v>
      </c>
      <c r="I48" s="9" t="n">
        <f aca="false">G48*H48</f>
        <v>48.3455</v>
      </c>
      <c r="J48" s="6" t="s">
        <v>197</v>
      </c>
      <c r="K48" s="6"/>
    </row>
    <row r="49" customFormat="false" ht="15" hidden="false" customHeight="false" outlineLevel="0" collapsed="false">
      <c r="A49" s="6" t="n">
        <v>41</v>
      </c>
      <c r="B49" s="6" t="n">
        <v>6968</v>
      </c>
      <c r="C49" s="7" t="s">
        <v>198</v>
      </c>
      <c r="D49" s="6" t="s">
        <v>199</v>
      </c>
      <c r="E49" s="6" t="s">
        <v>200</v>
      </c>
      <c r="F49" s="6" t="s">
        <v>54</v>
      </c>
      <c r="G49" s="8" t="n">
        <v>7</v>
      </c>
      <c r="H49" s="9" t="n">
        <v>3.781</v>
      </c>
      <c r="I49" s="9" t="n">
        <f aca="false">G49*H49</f>
        <v>26.467</v>
      </c>
      <c r="J49" s="6" t="s">
        <v>201</v>
      </c>
      <c r="K49" s="6"/>
    </row>
    <row r="50" customFormat="false" ht="15" hidden="false" customHeight="false" outlineLevel="0" collapsed="false">
      <c r="A50" s="6" t="n">
        <v>42</v>
      </c>
      <c r="B50" s="6" t="n">
        <v>929</v>
      </c>
      <c r="C50" s="7" t="s">
        <v>202</v>
      </c>
      <c r="D50" s="6" t="s">
        <v>203</v>
      </c>
      <c r="E50" s="6" t="s">
        <v>204</v>
      </c>
      <c r="F50" s="6" t="s">
        <v>54</v>
      </c>
      <c r="G50" s="8" t="n">
        <v>3</v>
      </c>
      <c r="H50" s="9" t="n">
        <v>21.6125</v>
      </c>
      <c r="I50" s="9" t="n">
        <f aca="false">G50*H50</f>
        <v>64.8375</v>
      </c>
      <c r="J50" s="6" t="s">
        <v>205</v>
      </c>
      <c r="K50" s="6"/>
    </row>
    <row r="51" customFormat="false" ht="15" hidden="false" customHeight="false" outlineLevel="0" collapsed="false">
      <c r="A51" s="6" t="n">
        <v>43</v>
      </c>
      <c r="B51" s="6" t="n">
        <v>233</v>
      </c>
      <c r="C51" s="7" t="s">
        <v>206</v>
      </c>
      <c r="D51" s="6" t="s">
        <v>207</v>
      </c>
      <c r="E51" s="6" t="s">
        <v>208</v>
      </c>
      <c r="F51" s="6" t="s">
        <v>144</v>
      </c>
      <c r="G51" s="8" t="n">
        <v>2</v>
      </c>
      <c r="H51" s="9" t="n">
        <v>2.2135</v>
      </c>
      <c r="I51" s="9" t="n">
        <f aca="false">G51*H51</f>
        <v>4.427</v>
      </c>
      <c r="J51" s="6" t="s">
        <v>209</v>
      </c>
      <c r="K51" s="6" t="s">
        <v>210</v>
      </c>
    </row>
    <row r="52" customFormat="false" ht="15" hidden="false" customHeight="false" outlineLevel="0" collapsed="false">
      <c r="A52" s="6" t="n">
        <v>44</v>
      </c>
      <c r="B52" s="6" t="n">
        <v>3758</v>
      </c>
      <c r="C52" s="7" t="s">
        <v>211</v>
      </c>
      <c r="D52" s="6" t="s">
        <v>212</v>
      </c>
      <c r="E52" s="6" t="s">
        <v>213</v>
      </c>
      <c r="F52" s="6" t="s">
        <v>214</v>
      </c>
      <c r="G52" s="8" t="n">
        <v>5</v>
      </c>
      <c r="H52" s="9" t="n">
        <v>8.6165</v>
      </c>
      <c r="I52" s="9" t="n">
        <f aca="false">G52*H52</f>
        <v>43.0825</v>
      </c>
      <c r="J52" s="6" t="s">
        <v>215</v>
      </c>
      <c r="K52" s="6"/>
    </row>
    <row r="53" customFormat="false" ht="15" hidden="false" customHeight="false" outlineLevel="0" collapsed="false">
      <c r="A53" s="6" t="n">
        <v>45</v>
      </c>
      <c r="B53" s="6" t="n">
        <v>1012</v>
      </c>
      <c r="C53" s="7" t="s">
        <v>216</v>
      </c>
      <c r="D53" s="6" t="s">
        <v>217</v>
      </c>
      <c r="E53" s="6" t="s">
        <v>218</v>
      </c>
      <c r="F53" s="6" t="s">
        <v>196</v>
      </c>
      <c r="G53" s="8" t="n">
        <v>1</v>
      </c>
      <c r="H53" s="9" t="n">
        <v>25.346</v>
      </c>
      <c r="I53" s="9" t="n">
        <f aca="false">G53*H53</f>
        <v>25.346</v>
      </c>
      <c r="J53" s="6" t="s">
        <v>219</v>
      </c>
      <c r="K53" s="6"/>
    </row>
    <row r="54" customFormat="false" ht="15" hidden="false" customHeight="false" outlineLevel="0" collapsed="false">
      <c r="A54" s="6" t="n">
        <v>46</v>
      </c>
      <c r="B54" s="6" t="n">
        <v>1011</v>
      </c>
      <c r="C54" s="7" t="s">
        <v>220</v>
      </c>
      <c r="D54" s="6" t="s">
        <v>221</v>
      </c>
      <c r="E54" s="6" t="s">
        <v>222</v>
      </c>
      <c r="F54" s="6" t="s">
        <v>196</v>
      </c>
      <c r="G54" s="8" t="n">
        <v>1</v>
      </c>
      <c r="H54" s="9" t="n">
        <v>24.035</v>
      </c>
      <c r="I54" s="9" t="n">
        <f aca="false">G54*H54</f>
        <v>24.035</v>
      </c>
      <c r="J54" s="6" t="s">
        <v>223</v>
      </c>
      <c r="K54" s="6"/>
    </row>
    <row r="55" customFormat="false" ht="15" hidden="false" customHeight="false" outlineLevel="0" collapsed="false">
      <c r="A55" s="6" t="n">
        <v>47</v>
      </c>
      <c r="B55" s="6" t="n">
        <v>1062</v>
      </c>
      <c r="C55" s="7" t="s">
        <v>224</v>
      </c>
      <c r="D55" s="6" t="s">
        <v>225</v>
      </c>
      <c r="E55" s="6" t="s">
        <v>226</v>
      </c>
      <c r="F55" s="6" t="s">
        <v>227</v>
      </c>
      <c r="G55" s="8" t="n">
        <v>2</v>
      </c>
      <c r="H55" s="9" t="n">
        <v>6.517</v>
      </c>
      <c r="I55" s="9" t="n">
        <f aca="false">G55*H55</f>
        <v>13.034</v>
      </c>
      <c r="J55" s="6" t="s">
        <v>228</v>
      </c>
      <c r="K55" s="6"/>
    </row>
    <row r="56" customFormat="false" ht="15" hidden="false" customHeight="false" outlineLevel="0" collapsed="false">
      <c r="A56" s="6" t="n">
        <v>48</v>
      </c>
      <c r="B56" s="6" t="n">
        <v>1077</v>
      </c>
      <c r="C56" s="7" t="s">
        <v>229</v>
      </c>
      <c r="D56" s="6" t="s">
        <v>230</v>
      </c>
      <c r="E56" s="6" t="s">
        <v>231</v>
      </c>
      <c r="F56" s="6" t="s">
        <v>124</v>
      </c>
      <c r="G56" s="8" t="n">
        <v>16</v>
      </c>
      <c r="H56" s="9" t="n">
        <v>3.5245</v>
      </c>
      <c r="I56" s="9" t="n">
        <f aca="false">G56*H56</f>
        <v>56.392</v>
      </c>
      <c r="J56" s="6" t="s">
        <v>232</v>
      </c>
      <c r="K56" s="6"/>
    </row>
    <row r="57" customFormat="false" ht="15" hidden="false" customHeight="false" outlineLevel="0" collapsed="false">
      <c r="A57" s="6" t="n">
        <v>49</v>
      </c>
      <c r="B57" s="6" t="n">
        <v>1090</v>
      </c>
      <c r="C57" s="7" t="s">
        <v>233</v>
      </c>
      <c r="D57" s="6" t="s">
        <v>234</v>
      </c>
      <c r="E57" s="6" t="s">
        <v>235</v>
      </c>
      <c r="F57" s="6" t="s">
        <v>124</v>
      </c>
      <c r="G57" s="8" t="n">
        <v>16</v>
      </c>
      <c r="H57" s="9" t="n">
        <v>2.242</v>
      </c>
      <c r="I57" s="9" t="n">
        <f aca="false">G57*H57</f>
        <v>35.872</v>
      </c>
      <c r="J57" s="6" t="s">
        <v>236</v>
      </c>
      <c r="K57" s="6"/>
    </row>
    <row r="58" customFormat="false" ht="15" hidden="false" customHeight="false" outlineLevel="0" collapsed="false">
      <c r="A58" s="6" t="n">
        <v>50</v>
      </c>
      <c r="B58" s="6" t="n">
        <v>1184</v>
      </c>
      <c r="C58" s="7" t="s">
        <v>237</v>
      </c>
      <c r="D58" s="6" t="s">
        <v>238</v>
      </c>
      <c r="E58" s="6" t="s">
        <v>239</v>
      </c>
      <c r="F58" s="6" t="s">
        <v>240</v>
      </c>
      <c r="G58" s="8" t="n">
        <v>3</v>
      </c>
      <c r="H58" s="9" t="n">
        <v>7.828</v>
      </c>
      <c r="I58" s="9" t="n">
        <f aca="false">G58*H58</f>
        <v>23.484</v>
      </c>
      <c r="J58" s="6" t="s">
        <v>241</v>
      </c>
      <c r="K58" s="6"/>
    </row>
    <row r="59" customFormat="false" ht="15" hidden="false" customHeight="false" outlineLevel="0" collapsed="false">
      <c r="A59" s="6" t="n">
        <v>51</v>
      </c>
      <c r="B59" s="6" t="n">
        <v>1194</v>
      </c>
      <c r="C59" s="7" t="s">
        <v>242</v>
      </c>
      <c r="D59" s="6" t="s">
        <v>243</v>
      </c>
      <c r="E59" s="6" t="s">
        <v>244</v>
      </c>
      <c r="F59" s="6" t="s">
        <v>54</v>
      </c>
      <c r="G59" s="8" t="n">
        <v>11</v>
      </c>
      <c r="H59" s="9" t="n">
        <v>7.2295</v>
      </c>
      <c r="I59" s="9" t="n">
        <f aca="false">G59*H59</f>
        <v>79.5245</v>
      </c>
      <c r="J59" s="6" t="s">
        <v>245</v>
      </c>
      <c r="K59" s="6" t="s">
        <v>61</v>
      </c>
    </row>
    <row r="60" customFormat="false" ht="15" hidden="false" customHeight="false" outlineLevel="0" collapsed="false">
      <c r="A60" s="6" t="n">
        <v>52</v>
      </c>
      <c r="B60" s="6" t="n">
        <v>1231</v>
      </c>
      <c r="C60" s="7" t="s">
        <v>246</v>
      </c>
      <c r="D60" s="6" t="s">
        <v>247</v>
      </c>
      <c r="E60" s="6" t="s">
        <v>248</v>
      </c>
      <c r="F60" s="6" t="s">
        <v>25</v>
      </c>
      <c r="G60" s="8" t="n">
        <v>1</v>
      </c>
      <c r="H60" s="9" t="n">
        <v>15.048</v>
      </c>
      <c r="I60" s="9" t="n">
        <f aca="false">G60*H60</f>
        <v>15.048</v>
      </c>
      <c r="J60" s="6" t="s">
        <v>249</v>
      </c>
      <c r="K60" s="6"/>
    </row>
    <row r="61" customFormat="false" ht="15" hidden="false" customHeight="false" outlineLevel="0" collapsed="false">
      <c r="A61" s="6" t="n">
        <v>53</v>
      </c>
      <c r="B61" s="6" t="n">
        <v>1233</v>
      </c>
      <c r="C61" s="7" t="s">
        <v>250</v>
      </c>
      <c r="D61" s="6" t="s">
        <v>251</v>
      </c>
      <c r="E61" s="6" t="s">
        <v>252</v>
      </c>
      <c r="F61" s="6" t="s">
        <v>25</v>
      </c>
      <c r="G61" s="8" t="n">
        <v>1</v>
      </c>
      <c r="H61" s="9" t="n">
        <v>15.048</v>
      </c>
      <c r="I61" s="9" t="n">
        <f aca="false">G61*H61</f>
        <v>15.048</v>
      </c>
      <c r="J61" s="6" t="s">
        <v>253</v>
      </c>
      <c r="K61" s="6"/>
    </row>
    <row r="62" customFormat="false" ht="15" hidden="false" customHeight="false" outlineLevel="0" collapsed="false">
      <c r="A62" s="6" t="n">
        <v>54</v>
      </c>
      <c r="B62" s="6" t="n">
        <v>1329</v>
      </c>
      <c r="C62" s="7" t="s">
        <v>254</v>
      </c>
      <c r="D62" s="6" t="s">
        <v>255</v>
      </c>
      <c r="E62" s="6" t="s">
        <v>256</v>
      </c>
      <c r="F62" s="6" t="s">
        <v>25</v>
      </c>
      <c r="G62" s="8" t="n">
        <v>1</v>
      </c>
      <c r="H62" s="9" t="n">
        <v>11.096</v>
      </c>
      <c r="I62" s="9" t="n">
        <f aca="false">G62*H62</f>
        <v>11.096</v>
      </c>
      <c r="J62" s="6" t="s">
        <v>257</v>
      </c>
      <c r="K62" s="6"/>
    </row>
    <row r="63" customFormat="false" ht="15" hidden="false" customHeight="false" outlineLevel="0" collapsed="false">
      <c r="A63" s="6" t="n">
        <v>55</v>
      </c>
      <c r="B63" s="6" t="n">
        <v>4466</v>
      </c>
      <c r="C63" s="7" t="s">
        <v>258</v>
      </c>
      <c r="D63" s="6" t="s">
        <v>259</v>
      </c>
      <c r="E63" s="6" t="s">
        <v>260</v>
      </c>
      <c r="F63" s="6" t="s">
        <v>25</v>
      </c>
      <c r="G63" s="8" t="n">
        <v>8</v>
      </c>
      <c r="H63" s="9" t="n">
        <v>10.7825</v>
      </c>
      <c r="I63" s="9" t="n">
        <f aca="false">G63*H63</f>
        <v>86.26</v>
      </c>
      <c r="J63" s="6" t="s">
        <v>261</v>
      </c>
      <c r="K63" s="6"/>
    </row>
    <row r="64" customFormat="false" ht="15" hidden="false" customHeight="false" outlineLevel="0" collapsed="false">
      <c r="A64" s="6" t="n">
        <v>56</v>
      </c>
      <c r="B64" s="6" t="n">
        <v>1556</v>
      </c>
      <c r="C64" s="7" t="s">
        <v>262</v>
      </c>
      <c r="D64" s="6" t="s">
        <v>263</v>
      </c>
      <c r="E64" s="6" t="s">
        <v>264</v>
      </c>
      <c r="F64" s="6" t="s">
        <v>124</v>
      </c>
      <c r="G64" s="8" t="n">
        <v>3</v>
      </c>
      <c r="H64" s="9" t="n">
        <v>14.0885</v>
      </c>
      <c r="I64" s="9" t="n">
        <f aca="false">G64*H64</f>
        <v>42.2655</v>
      </c>
      <c r="J64" s="6" t="s">
        <v>265</v>
      </c>
      <c r="K64" s="6"/>
    </row>
    <row r="65" customFormat="false" ht="15" hidden="false" customHeight="false" outlineLevel="0" collapsed="false">
      <c r="A65" s="6" t="n">
        <v>57</v>
      </c>
      <c r="B65" s="6" t="n">
        <v>1575</v>
      </c>
      <c r="C65" s="7" t="s">
        <v>266</v>
      </c>
      <c r="D65" s="6" t="s">
        <v>267</v>
      </c>
      <c r="E65" s="6" t="s">
        <v>268</v>
      </c>
      <c r="F65" s="6" t="s">
        <v>154</v>
      </c>
      <c r="G65" s="8" t="n">
        <v>6</v>
      </c>
      <c r="H65" s="9" t="n">
        <v>11.02</v>
      </c>
      <c r="I65" s="9" t="n">
        <f aca="false">G65*H65</f>
        <v>66.12</v>
      </c>
      <c r="J65" s="6" t="s">
        <v>269</v>
      </c>
      <c r="K65" s="6"/>
    </row>
    <row r="66" customFormat="false" ht="15" hidden="false" customHeight="false" outlineLevel="0" collapsed="false">
      <c r="A66" s="6" t="n">
        <v>58</v>
      </c>
      <c r="B66" s="6" t="n">
        <v>1599</v>
      </c>
      <c r="C66" s="7" t="s">
        <v>270</v>
      </c>
      <c r="D66" s="6" t="s">
        <v>271</v>
      </c>
      <c r="E66" s="6" t="s">
        <v>272</v>
      </c>
      <c r="F66" s="6" t="s">
        <v>124</v>
      </c>
      <c r="G66" s="8" t="n">
        <v>4</v>
      </c>
      <c r="H66" s="9" t="n">
        <v>6.5265</v>
      </c>
      <c r="I66" s="9" t="n">
        <f aca="false">G66*H66</f>
        <v>26.106</v>
      </c>
      <c r="J66" s="6" t="s">
        <v>273</v>
      </c>
      <c r="K66" s="6"/>
    </row>
    <row r="67" customFormat="false" ht="15" hidden="false" customHeight="false" outlineLevel="0" collapsed="false">
      <c r="A67" s="6" t="n">
        <v>59</v>
      </c>
      <c r="B67" s="6" t="n">
        <v>1532</v>
      </c>
      <c r="C67" s="7" t="s">
        <v>274</v>
      </c>
      <c r="D67" s="6" t="s">
        <v>275</v>
      </c>
      <c r="E67" s="6" t="s">
        <v>276</v>
      </c>
      <c r="F67" s="6" t="s">
        <v>124</v>
      </c>
      <c r="G67" s="8" t="n">
        <v>1</v>
      </c>
      <c r="H67" s="9" t="n">
        <v>3.5435</v>
      </c>
      <c r="I67" s="9" t="n">
        <f aca="false">G67*H67</f>
        <v>3.5435</v>
      </c>
      <c r="J67" s="6" t="s">
        <v>277</v>
      </c>
      <c r="K67" s="6"/>
    </row>
    <row r="68" customFormat="false" ht="15" hidden="false" customHeight="false" outlineLevel="0" collapsed="false">
      <c r="A68" s="6" t="n">
        <v>60</v>
      </c>
      <c r="B68" s="6" t="n">
        <v>1543</v>
      </c>
      <c r="C68" s="7" t="s">
        <v>278</v>
      </c>
      <c r="D68" s="6" t="s">
        <v>279</v>
      </c>
      <c r="E68" s="6" t="s">
        <v>280</v>
      </c>
      <c r="F68" s="6" t="s">
        <v>124</v>
      </c>
      <c r="G68" s="8" t="n">
        <v>5</v>
      </c>
      <c r="H68" s="9" t="n">
        <v>3.401</v>
      </c>
      <c r="I68" s="9" t="n">
        <f aca="false">G68*H68</f>
        <v>17.005</v>
      </c>
      <c r="J68" s="6" t="s">
        <v>281</v>
      </c>
      <c r="K68" s="6"/>
    </row>
    <row r="69" customFormat="false" ht="15" hidden="false" customHeight="false" outlineLevel="0" collapsed="false">
      <c r="A69" s="6" t="n">
        <v>61</v>
      </c>
      <c r="B69" s="6" t="n">
        <v>1585</v>
      </c>
      <c r="C69" s="7" t="s">
        <v>282</v>
      </c>
      <c r="D69" s="6" t="s">
        <v>283</v>
      </c>
      <c r="E69" s="6" t="s">
        <v>284</v>
      </c>
      <c r="F69" s="6" t="s">
        <v>285</v>
      </c>
      <c r="G69" s="8" t="n">
        <v>4</v>
      </c>
      <c r="H69" s="9" t="n">
        <v>6.346</v>
      </c>
      <c r="I69" s="9" t="n">
        <f aca="false">G69*H69</f>
        <v>25.384</v>
      </c>
      <c r="J69" s="6" t="s">
        <v>286</v>
      </c>
      <c r="K69" s="6"/>
    </row>
    <row r="70" customFormat="false" ht="15" hidden="false" customHeight="false" outlineLevel="0" collapsed="false">
      <c r="A70" s="6" t="n">
        <v>62</v>
      </c>
      <c r="B70" s="6" t="n">
        <v>1588</v>
      </c>
      <c r="C70" s="7" t="s">
        <v>287</v>
      </c>
      <c r="D70" s="6" t="s">
        <v>288</v>
      </c>
      <c r="E70" s="6" t="s">
        <v>284</v>
      </c>
      <c r="F70" s="6" t="s">
        <v>154</v>
      </c>
      <c r="G70" s="8" t="n">
        <v>2</v>
      </c>
      <c r="H70" s="9" t="n">
        <v>6.023</v>
      </c>
      <c r="I70" s="9" t="n">
        <f aca="false">G70*H70</f>
        <v>12.046</v>
      </c>
      <c r="J70" s="6" t="s">
        <v>289</v>
      </c>
      <c r="K70" s="6"/>
    </row>
    <row r="71" customFormat="false" ht="15" hidden="false" customHeight="false" outlineLevel="0" collapsed="false">
      <c r="A71" s="6" t="n">
        <v>63</v>
      </c>
      <c r="B71" s="6" t="n">
        <v>1807</v>
      </c>
      <c r="C71" s="7" t="s">
        <v>290</v>
      </c>
      <c r="D71" s="6" t="s">
        <v>291</v>
      </c>
      <c r="E71" s="6" t="s">
        <v>292</v>
      </c>
      <c r="F71" s="6" t="s">
        <v>92</v>
      </c>
      <c r="G71" s="8" t="n">
        <v>5</v>
      </c>
      <c r="H71" s="9" t="n">
        <v>11.115</v>
      </c>
      <c r="I71" s="9" t="n">
        <f aca="false">G71*H71</f>
        <v>55.575</v>
      </c>
      <c r="J71" s="6" t="s">
        <v>293</v>
      </c>
      <c r="K71" s="6"/>
    </row>
    <row r="72" customFormat="false" ht="15" hidden="false" customHeight="false" outlineLevel="0" collapsed="false">
      <c r="A72" s="6" t="n">
        <v>64</v>
      </c>
      <c r="B72" s="6" t="n">
        <v>2531</v>
      </c>
      <c r="C72" s="7" t="s">
        <v>294</v>
      </c>
      <c r="D72" s="6" t="s">
        <v>295</v>
      </c>
      <c r="E72" s="6" t="s">
        <v>296</v>
      </c>
      <c r="F72" s="6" t="s">
        <v>124</v>
      </c>
      <c r="G72" s="8" t="n">
        <v>2</v>
      </c>
      <c r="H72" s="9" t="n">
        <v>28.5285</v>
      </c>
      <c r="I72" s="9" t="n">
        <f aca="false">G72*H72</f>
        <v>57.057</v>
      </c>
      <c r="J72" s="6" t="s">
        <v>297</v>
      </c>
      <c r="K72" s="6"/>
    </row>
    <row r="73" customFormat="false" ht="15" hidden="false" customHeight="false" outlineLevel="0" collapsed="false">
      <c r="A73" s="6" t="n">
        <v>65</v>
      </c>
      <c r="B73" s="6" t="n">
        <v>3408</v>
      </c>
      <c r="C73" s="7" t="s">
        <v>298</v>
      </c>
      <c r="D73" s="6" t="s">
        <v>299</v>
      </c>
      <c r="E73" s="6" t="s">
        <v>300</v>
      </c>
      <c r="F73" s="6" t="s">
        <v>227</v>
      </c>
      <c r="G73" s="8" t="n">
        <v>9</v>
      </c>
      <c r="H73" s="9" t="n">
        <v>5.2155</v>
      </c>
      <c r="I73" s="9" t="n">
        <f aca="false">G73*H73</f>
        <v>46.9395</v>
      </c>
      <c r="J73" s="6" t="s">
        <v>301</v>
      </c>
      <c r="K73" s="6"/>
    </row>
    <row r="74" customFormat="false" ht="15" hidden="false" customHeight="false" outlineLevel="0" collapsed="false">
      <c r="A74" s="6" t="n">
        <v>66</v>
      </c>
      <c r="B74" s="6" t="n">
        <v>3899</v>
      </c>
      <c r="C74" s="7" t="s">
        <v>302</v>
      </c>
      <c r="D74" s="6" t="s">
        <v>303</v>
      </c>
      <c r="E74" s="6" t="s">
        <v>304</v>
      </c>
      <c r="F74" s="6" t="s">
        <v>154</v>
      </c>
      <c r="G74" s="8" t="n">
        <v>56</v>
      </c>
      <c r="H74" s="9" t="n">
        <v>2.0425</v>
      </c>
      <c r="I74" s="9" t="n">
        <f aca="false">G74*H74</f>
        <v>114.38</v>
      </c>
      <c r="J74" s="6" t="s">
        <v>305</v>
      </c>
      <c r="K74" s="6"/>
    </row>
    <row r="75" customFormat="false" ht="15" hidden="false" customHeight="false" outlineLevel="0" collapsed="false">
      <c r="A75" s="6" t="n">
        <v>67</v>
      </c>
      <c r="B75" s="6" t="n">
        <v>3901</v>
      </c>
      <c r="C75" s="7" t="s">
        <v>306</v>
      </c>
      <c r="D75" s="6" t="s">
        <v>307</v>
      </c>
      <c r="E75" s="6" t="s">
        <v>304</v>
      </c>
      <c r="F75" s="6" t="s">
        <v>139</v>
      </c>
      <c r="G75" s="8" t="n">
        <v>9</v>
      </c>
      <c r="H75" s="9" t="n">
        <v>2.736</v>
      </c>
      <c r="I75" s="9" t="n">
        <f aca="false">G75*H75</f>
        <v>24.624</v>
      </c>
      <c r="J75" s="6" t="s">
        <v>308</v>
      </c>
      <c r="K75" s="6"/>
    </row>
    <row r="76" customFormat="false" ht="15" hidden="false" customHeight="false" outlineLevel="0" collapsed="false">
      <c r="A76" s="6" t="n">
        <v>68</v>
      </c>
      <c r="B76" s="6" t="n">
        <v>4709</v>
      </c>
      <c r="C76" s="7" t="s">
        <v>309</v>
      </c>
      <c r="D76" s="6" t="s">
        <v>310</v>
      </c>
      <c r="E76" s="6" t="s">
        <v>311</v>
      </c>
      <c r="F76" s="6" t="s">
        <v>312</v>
      </c>
      <c r="G76" s="8" t="n">
        <v>4</v>
      </c>
      <c r="H76" s="9" t="n">
        <v>14.0885</v>
      </c>
      <c r="I76" s="9" t="n">
        <f aca="false">G76*H76</f>
        <v>56.354</v>
      </c>
      <c r="J76" s="6" t="s">
        <v>313</v>
      </c>
      <c r="K76" s="6"/>
    </row>
    <row r="77" customFormat="false" ht="15" hidden="false" customHeight="false" outlineLevel="0" collapsed="false">
      <c r="A77" s="6" t="n">
        <v>69</v>
      </c>
      <c r="B77" s="6" t="n">
        <v>1834</v>
      </c>
      <c r="C77" s="7" t="s">
        <v>314</v>
      </c>
      <c r="D77" s="6" t="s">
        <v>315</v>
      </c>
      <c r="E77" s="6" t="s">
        <v>316</v>
      </c>
      <c r="F77" s="6" t="s">
        <v>317</v>
      </c>
      <c r="G77" s="8" t="n">
        <v>4</v>
      </c>
      <c r="H77" s="9" t="n">
        <v>5.4435</v>
      </c>
      <c r="I77" s="9" t="n">
        <f aca="false">G77*H77</f>
        <v>21.774</v>
      </c>
      <c r="J77" s="6" t="s">
        <v>318</v>
      </c>
      <c r="K77" s="6"/>
    </row>
    <row r="78" customFormat="false" ht="15" hidden="false" customHeight="false" outlineLevel="0" collapsed="false">
      <c r="A78" s="6" t="n">
        <v>70</v>
      </c>
      <c r="B78" s="6" t="n">
        <v>1854</v>
      </c>
      <c r="C78" s="7" t="s">
        <v>319</v>
      </c>
      <c r="D78" s="6" t="s">
        <v>320</v>
      </c>
      <c r="E78" s="6" t="s">
        <v>321</v>
      </c>
      <c r="F78" s="6" t="s">
        <v>144</v>
      </c>
      <c r="G78" s="8" t="n">
        <v>17</v>
      </c>
      <c r="H78" s="9" t="n">
        <v>1.254</v>
      </c>
      <c r="I78" s="9" t="n">
        <f aca="false">G78*H78</f>
        <v>21.318</v>
      </c>
      <c r="J78" s="6" t="s">
        <v>322</v>
      </c>
      <c r="K78" s="6" t="s">
        <v>323</v>
      </c>
    </row>
    <row r="79" customFormat="false" ht="15" hidden="false" customHeight="false" outlineLevel="0" collapsed="false">
      <c r="A79" s="6" t="n">
        <v>71</v>
      </c>
      <c r="B79" s="6" t="n">
        <v>1193</v>
      </c>
      <c r="C79" s="7" t="s">
        <v>324</v>
      </c>
      <c r="D79" s="6" t="s">
        <v>325</v>
      </c>
      <c r="E79" s="6" t="s">
        <v>326</v>
      </c>
      <c r="F79" s="6" t="s">
        <v>92</v>
      </c>
      <c r="G79" s="8" t="n">
        <v>4</v>
      </c>
      <c r="H79" s="9" t="n">
        <v>7.7995</v>
      </c>
      <c r="I79" s="9" t="n">
        <f aca="false">G79*H79</f>
        <v>31.198</v>
      </c>
      <c r="J79" s="6" t="s">
        <v>327</v>
      </c>
      <c r="K79" s="6"/>
    </row>
    <row r="80" customFormat="false" ht="15" hidden="false" customHeight="false" outlineLevel="0" collapsed="false">
      <c r="A80" s="6" t="n">
        <v>72</v>
      </c>
      <c r="B80" s="6" t="n">
        <v>1905</v>
      </c>
      <c r="C80" s="7" t="s">
        <v>328</v>
      </c>
      <c r="D80" s="6" t="s">
        <v>329</v>
      </c>
      <c r="E80" s="6" t="s">
        <v>329</v>
      </c>
      <c r="F80" s="6" t="s">
        <v>330</v>
      </c>
      <c r="G80" s="8" t="n">
        <v>6</v>
      </c>
      <c r="H80" s="9" t="n">
        <v>4.2845</v>
      </c>
      <c r="I80" s="9" t="n">
        <f aca="false">G80*H80</f>
        <v>25.707</v>
      </c>
      <c r="J80" s="6" t="s">
        <v>331</v>
      </c>
      <c r="K80" s="6"/>
    </row>
    <row r="81" customFormat="false" ht="15" hidden="false" customHeight="false" outlineLevel="0" collapsed="false">
      <c r="A81" s="6" t="n">
        <v>73</v>
      </c>
      <c r="B81" s="6" t="n">
        <v>2101</v>
      </c>
      <c r="C81" s="7" t="s">
        <v>332</v>
      </c>
      <c r="D81" s="6" t="s">
        <v>333</v>
      </c>
      <c r="E81" s="6" t="s">
        <v>334</v>
      </c>
      <c r="F81" s="6" t="s">
        <v>335</v>
      </c>
      <c r="G81" s="8" t="n">
        <v>8</v>
      </c>
      <c r="H81" s="9" t="n">
        <v>27.493</v>
      </c>
      <c r="I81" s="9" t="n">
        <f aca="false">G81*H81</f>
        <v>219.944</v>
      </c>
      <c r="J81" s="6" t="s">
        <v>336</v>
      </c>
      <c r="K81" s="6"/>
    </row>
    <row r="82" customFormat="false" ht="15" hidden="false" customHeight="false" outlineLevel="0" collapsed="false">
      <c r="A82" s="6" t="n">
        <v>74</v>
      </c>
      <c r="B82" s="6" t="n">
        <v>2104</v>
      </c>
      <c r="C82" s="7" t="s">
        <v>337</v>
      </c>
      <c r="D82" s="6" t="s">
        <v>338</v>
      </c>
      <c r="E82" s="6" t="s">
        <v>339</v>
      </c>
      <c r="F82" s="6" t="s">
        <v>335</v>
      </c>
      <c r="G82" s="8" t="n">
        <v>21</v>
      </c>
      <c r="H82" s="9" t="n">
        <v>43.3105</v>
      </c>
      <c r="I82" s="9" t="n">
        <f aca="false">G82*H82</f>
        <v>909.5205</v>
      </c>
      <c r="J82" s="6" t="s">
        <v>340</v>
      </c>
      <c r="K82" s="6"/>
    </row>
    <row r="83" customFormat="false" ht="15" hidden="false" customHeight="false" outlineLevel="0" collapsed="false">
      <c r="A83" s="6" t="n">
        <v>75</v>
      </c>
      <c r="B83" s="6" t="n">
        <v>2165</v>
      </c>
      <c r="C83" s="7" t="s">
        <v>341</v>
      </c>
      <c r="D83" s="6" t="s">
        <v>342</v>
      </c>
      <c r="E83" s="6" t="s">
        <v>343</v>
      </c>
      <c r="F83" s="6" t="s">
        <v>344</v>
      </c>
      <c r="G83" s="8" t="n">
        <v>7</v>
      </c>
      <c r="H83" s="9" t="n">
        <v>2.6695</v>
      </c>
      <c r="I83" s="9" t="n">
        <f aca="false">G83*H83</f>
        <v>18.6865</v>
      </c>
      <c r="J83" s="6" t="s">
        <v>345</v>
      </c>
      <c r="K83" s="6"/>
    </row>
    <row r="84" customFormat="false" ht="15" hidden="false" customHeight="false" outlineLevel="0" collapsed="false">
      <c r="A84" s="6" t="n">
        <v>76</v>
      </c>
      <c r="B84" s="6" t="n">
        <v>9226</v>
      </c>
      <c r="C84" s="7" t="s">
        <v>346</v>
      </c>
      <c r="D84" s="6" t="s">
        <v>347</v>
      </c>
      <c r="E84" s="6" t="s">
        <v>348</v>
      </c>
      <c r="F84" s="6" t="s">
        <v>144</v>
      </c>
      <c r="G84" s="8" t="n">
        <v>1</v>
      </c>
      <c r="H84" s="9" t="n">
        <v>6.403</v>
      </c>
      <c r="I84" s="9" t="n">
        <f aca="false">G84*H84</f>
        <v>6.403</v>
      </c>
      <c r="J84" s="6" t="s">
        <v>349</v>
      </c>
      <c r="K84" s="6" t="s">
        <v>350</v>
      </c>
    </row>
    <row r="85" customFormat="false" ht="15" hidden="false" customHeight="false" outlineLevel="0" collapsed="false">
      <c r="A85" s="6" t="n">
        <v>77</v>
      </c>
      <c r="B85" s="6" t="n">
        <v>2186</v>
      </c>
      <c r="C85" s="7" t="s">
        <v>351</v>
      </c>
      <c r="D85" s="6" t="s">
        <v>352</v>
      </c>
      <c r="E85" s="6" t="s">
        <v>352</v>
      </c>
      <c r="F85" s="6" t="s">
        <v>64</v>
      </c>
      <c r="G85" s="8" t="n">
        <v>2</v>
      </c>
      <c r="H85" s="9" t="n">
        <v>11.267</v>
      </c>
      <c r="I85" s="9" t="n">
        <f aca="false">G85*H85</f>
        <v>22.534</v>
      </c>
      <c r="J85" s="6" t="s">
        <v>353</v>
      </c>
      <c r="K85" s="6"/>
    </row>
    <row r="86" customFormat="false" ht="15" hidden="false" customHeight="false" outlineLevel="0" collapsed="false">
      <c r="A86" s="6" t="n">
        <v>78</v>
      </c>
      <c r="B86" s="6" t="n">
        <v>2188</v>
      </c>
      <c r="C86" s="7" t="s">
        <v>354</v>
      </c>
      <c r="D86" s="6" t="s">
        <v>355</v>
      </c>
      <c r="E86" s="6" t="s">
        <v>356</v>
      </c>
      <c r="F86" s="6" t="s">
        <v>167</v>
      </c>
      <c r="G86" s="8" t="n">
        <v>1</v>
      </c>
      <c r="H86" s="9" t="n">
        <v>7.7615</v>
      </c>
      <c r="I86" s="9" t="n">
        <f aca="false">G86*H86</f>
        <v>7.7615</v>
      </c>
      <c r="J86" s="6" t="s">
        <v>357</v>
      </c>
      <c r="K86" s="6" t="s">
        <v>61</v>
      </c>
    </row>
    <row r="87" customFormat="false" ht="15" hidden="false" customHeight="false" outlineLevel="0" collapsed="false">
      <c r="A87" s="6" t="n">
        <v>79</v>
      </c>
      <c r="B87" s="6" t="n">
        <v>2189</v>
      </c>
      <c r="C87" s="7" t="s">
        <v>358</v>
      </c>
      <c r="D87" s="6" t="s">
        <v>359</v>
      </c>
      <c r="E87" s="6" t="s">
        <v>360</v>
      </c>
      <c r="F87" s="6" t="s">
        <v>167</v>
      </c>
      <c r="G87" s="8" t="n">
        <v>1</v>
      </c>
      <c r="H87" s="9" t="n">
        <v>7.999</v>
      </c>
      <c r="I87" s="9" t="n">
        <f aca="false">G87*H87</f>
        <v>7.999</v>
      </c>
      <c r="J87" s="6" t="s">
        <v>361</v>
      </c>
      <c r="K87" s="6" t="s">
        <v>61</v>
      </c>
    </row>
    <row r="88" customFormat="false" ht="15" hidden="false" customHeight="false" outlineLevel="0" collapsed="false">
      <c r="A88" s="6" t="n">
        <v>80</v>
      </c>
      <c r="B88" s="6" t="n">
        <v>7462</v>
      </c>
      <c r="C88" s="7" t="s">
        <v>362</v>
      </c>
      <c r="D88" s="6" t="s">
        <v>363</v>
      </c>
      <c r="E88" s="6" t="s">
        <v>364</v>
      </c>
      <c r="F88" s="6" t="s">
        <v>365</v>
      </c>
      <c r="G88" s="8" t="n">
        <v>3</v>
      </c>
      <c r="H88" s="9" t="n">
        <v>6.5075</v>
      </c>
      <c r="I88" s="9" t="n">
        <f aca="false">G88*H88</f>
        <v>19.5225</v>
      </c>
      <c r="J88" s="6" t="s">
        <v>366</v>
      </c>
      <c r="K88" s="6"/>
    </row>
    <row r="89" customFormat="false" ht="15" hidden="false" customHeight="false" outlineLevel="0" collapsed="false">
      <c r="A89" s="6" t="n">
        <v>81</v>
      </c>
      <c r="B89" s="6" t="n">
        <v>8451</v>
      </c>
      <c r="C89" s="7" t="s">
        <v>367</v>
      </c>
      <c r="D89" s="6" t="s">
        <v>368</v>
      </c>
      <c r="E89" s="6" t="s">
        <v>369</v>
      </c>
      <c r="F89" s="6" t="s">
        <v>370</v>
      </c>
      <c r="G89" s="8" t="n">
        <v>8</v>
      </c>
      <c r="H89" s="9" t="n">
        <v>11.267</v>
      </c>
      <c r="I89" s="9" t="n">
        <f aca="false">G89*H89</f>
        <v>90.136</v>
      </c>
      <c r="J89" s="6" t="s">
        <v>371</v>
      </c>
      <c r="K89" s="6"/>
    </row>
    <row r="90" customFormat="false" ht="15" hidden="false" customHeight="false" outlineLevel="0" collapsed="false">
      <c r="A90" s="6" t="n">
        <v>82</v>
      </c>
      <c r="B90" s="6" t="n">
        <v>5283</v>
      </c>
      <c r="C90" s="7" t="s">
        <v>372</v>
      </c>
      <c r="D90" s="6" t="s">
        <v>373</v>
      </c>
      <c r="E90" s="6" t="s">
        <v>374</v>
      </c>
      <c r="F90" s="6" t="s">
        <v>69</v>
      </c>
      <c r="G90" s="8" t="n">
        <v>17</v>
      </c>
      <c r="H90" s="9" t="n">
        <v>3.762</v>
      </c>
      <c r="I90" s="9" t="n">
        <f aca="false">G90*H90</f>
        <v>63.954</v>
      </c>
      <c r="J90" s="6" t="s">
        <v>375</v>
      </c>
      <c r="K90" s="6"/>
    </row>
    <row r="91" customFormat="false" ht="15" hidden="false" customHeight="false" outlineLevel="0" collapsed="false">
      <c r="A91" s="6" t="n">
        <v>83</v>
      </c>
      <c r="B91" s="6" t="n">
        <v>2223</v>
      </c>
      <c r="C91" s="7" t="s">
        <v>376</v>
      </c>
      <c r="D91" s="6" t="s">
        <v>377</v>
      </c>
      <c r="E91" s="6" t="s">
        <v>378</v>
      </c>
      <c r="F91" s="6" t="s">
        <v>124</v>
      </c>
      <c r="G91" s="8" t="n">
        <v>17</v>
      </c>
      <c r="H91" s="9" t="n">
        <v>6.1655</v>
      </c>
      <c r="I91" s="9" t="n">
        <f aca="false">G91*H91</f>
        <v>104.8135</v>
      </c>
      <c r="J91" s="6" t="s">
        <v>379</v>
      </c>
      <c r="K91" s="6"/>
    </row>
    <row r="92" customFormat="false" ht="15" hidden="false" customHeight="false" outlineLevel="0" collapsed="false">
      <c r="A92" s="6" t="n">
        <v>84</v>
      </c>
      <c r="B92" s="6" t="n">
        <v>2230</v>
      </c>
      <c r="C92" s="7" t="s">
        <v>380</v>
      </c>
      <c r="D92" s="6" t="s">
        <v>381</v>
      </c>
      <c r="E92" s="6" t="s">
        <v>382</v>
      </c>
      <c r="F92" s="6" t="s">
        <v>92</v>
      </c>
      <c r="G92" s="8" t="n">
        <v>9</v>
      </c>
      <c r="H92" s="9" t="n">
        <v>8.968</v>
      </c>
      <c r="I92" s="9" t="n">
        <f aca="false">G92*H92</f>
        <v>80.712</v>
      </c>
      <c r="J92" s="6" t="s">
        <v>383</v>
      </c>
      <c r="K92" s="6"/>
    </row>
    <row r="93" customFormat="false" ht="15" hidden="false" customHeight="false" outlineLevel="0" collapsed="false">
      <c r="A93" s="6" t="n">
        <v>85</v>
      </c>
      <c r="B93" s="6" t="n">
        <v>2234</v>
      </c>
      <c r="C93" s="7" t="s">
        <v>384</v>
      </c>
      <c r="D93" s="6" t="s">
        <v>385</v>
      </c>
      <c r="E93" s="6" t="s">
        <v>386</v>
      </c>
      <c r="F93" s="6" t="s">
        <v>124</v>
      </c>
      <c r="G93" s="8" t="n">
        <v>18</v>
      </c>
      <c r="H93" s="9" t="n">
        <v>10.6115</v>
      </c>
      <c r="I93" s="9" t="n">
        <f aca="false">G93*H93</f>
        <v>191.007</v>
      </c>
      <c r="J93" s="6" t="s">
        <v>387</v>
      </c>
      <c r="K93" s="6"/>
    </row>
    <row r="94" customFormat="false" ht="15" hidden="false" customHeight="false" outlineLevel="0" collapsed="false">
      <c r="A94" s="6" t="n">
        <v>86</v>
      </c>
      <c r="B94" s="6" t="n">
        <v>2247</v>
      </c>
      <c r="C94" s="7" t="s">
        <v>388</v>
      </c>
      <c r="D94" s="6" t="s">
        <v>389</v>
      </c>
      <c r="E94" s="6" t="s">
        <v>390</v>
      </c>
      <c r="F94" s="6" t="s">
        <v>124</v>
      </c>
      <c r="G94" s="8" t="n">
        <v>15</v>
      </c>
      <c r="H94" s="9" t="n">
        <v>5.909</v>
      </c>
      <c r="I94" s="9" t="n">
        <f aca="false">G94*H94</f>
        <v>88.635</v>
      </c>
      <c r="J94" s="6" t="s">
        <v>391</v>
      </c>
      <c r="K94" s="6"/>
    </row>
    <row r="95" customFormat="false" ht="15" hidden="false" customHeight="false" outlineLevel="0" collapsed="false">
      <c r="A95" s="6" t="n">
        <v>87</v>
      </c>
      <c r="B95" s="6" t="n">
        <v>2278</v>
      </c>
      <c r="C95" s="7" t="s">
        <v>392</v>
      </c>
      <c r="D95" s="6" t="s">
        <v>393</v>
      </c>
      <c r="E95" s="6" t="s">
        <v>394</v>
      </c>
      <c r="F95" s="6" t="s">
        <v>54</v>
      </c>
      <c r="G95" s="8" t="n">
        <v>4</v>
      </c>
      <c r="H95" s="9" t="n">
        <v>5.7475</v>
      </c>
      <c r="I95" s="9" t="n">
        <f aca="false">G95*H95</f>
        <v>22.99</v>
      </c>
      <c r="J95" s="6" t="s">
        <v>395</v>
      </c>
      <c r="K95" s="6"/>
    </row>
    <row r="96" customFormat="false" ht="15" hidden="false" customHeight="false" outlineLevel="0" collapsed="false">
      <c r="A96" s="6" t="n">
        <v>88</v>
      </c>
      <c r="B96" s="6" t="n">
        <v>3900</v>
      </c>
      <c r="C96" s="7" t="s">
        <v>396</v>
      </c>
      <c r="D96" s="6" t="s">
        <v>397</v>
      </c>
      <c r="E96" s="6" t="s">
        <v>398</v>
      </c>
      <c r="F96" s="6" t="s">
        <v>139</v>
      </c>
      <c r="G96" s="8" t="n">
        <v>19</v>
      </c>
      <c r="H96" s="9" t="n">
        <v>2.7075</v>
      </c>
      <c r="I96" s="9" t="n">
        <f aca="false">G96*H96</f>
        <v>51.4425</v>
      </c>
      <c r="J96" s="6" t="s">
        <v>399</v>
      </c>
      <c r="K96" s="6"/>
    </row>
    <row r="97" customFormat="false" ht="15" hidden="false" customHeight="false" outlineLevel="0" collapsed="false">
      <c r="A97" s="6" t="n">
        <v>89</v>
      </c>
      <c r="B97" s="6" t="n">
        <v>2323</v>
      </c>
      <c r="C97" s="7" t="s">
        <v>400</v>
      </c>
      <c r="D97" s="6" t="s">
        <v>401</v>
      </c>
      <c r="E97" s="6" t="s">
        <v>402</v>
      </c>
      <c r="F97" s="6" t="s">
        <v>92</v>
      </c>
      <c r="G97" s="8" t="n">
        <v>1</v>
      </c>
      <c r="H97" s="9" t="n">
        <v>2.2515</v>
      </c>
      <c r="I97" s="9" t="n">
        <f aca="false">G97*H97</f>
        <v>2.2515</v>
      </c>
      <c r="J97" s="6" t="s">
        <v>403</v>
      </c>
      <c r="K97" s="6" t="s">
        <v>61</v>
      </c>
    </row>
    <row r="98" customFormat="false" ht="15" hidden="false" customHeight="false" outlineLevel="0" collapsed="false">
      <c r="A98" s="6" t="n">
        <v>90</v>
      </c>
      <c r="B98" s="6" t="n">
        <v>7382</v>
      </c>
      <c r="C98" s="7" t="s">
        <v>404</v>
      </c>
      <c r="D98" s="6" t="s">
        <v>405</v>
      </c>
      <c r="E98" s="6" t="s">
        <v>406</v>
      </c>
      <c r="F98" s="6" t="s">
        <v>54</v>
      </c>
      <c r="G98" s="8" t="n">
        <v>1</v>
      </c>
      <c r="H98" s="9" t="n">
        <v>16.4635</v>
      </c>
      <c r="I98" s="9" t="n">
        <f aca="false">G98*H98</f>
        <v>16.4635</v>
      </c>
      <c r="J98" s="6" t="s">
        <v>407</v>
      </c>
      <c r="K98" s="6"/>
    </row>
    <row r="99" customFormat="false" ht="15" hidden="false" customHeight="false" outlineLevel="0" collapsed="false">
      <c r="A99" s="6" t="n">
        <v>91</v>
      </c>
      <c r="B99" s="6" t="n">
        <v>2408</v>
      </c>
      <c r="C99" s="7" t="s">
        <v>408</v>
      </c>
      <c r="D99" s="6" t="s">
        <v>409</v>
      </c>
      <c r="E99" s="6" t="s">
        <v>410</v>
      </c>
      <c r="F99" s="6" t="s">
        <v>92</v>
      </c>
      <c r="G99" s="8" t="n">
        <v>3</v>
      </c>
      <c r="H99" s="9" t="n">
        <v>7.125</v>
      </c>
      <c r="I99" s="9" t="n">
        <f aca="false">G99*H99</f>
        <v>21.375</v>
      </c>
      <c r="J99" s="6" t="s">
        <v>411</v>
      </c>
      <c r="K99" s="6"/>
    </row>
    <row r="100" customFormat="false" ht="15" hidden="false" customHeight="false" outlineLevel="0" collapsed="false">
      <c r="A100" s="6" t="n">
        <v>92</v>
      </c>
      <c r="B100" s="6" t="n">
        <v>2409</v>
      </c>
      <c r="C100" s="7" t="s">
        <v>412</v>
      </c>
      <c r="D100" s="6" t="s">
        <v>413</v>
      </c>
      <c r="E100" s="6" t="s">
        <v>414</v>
      </c>
      <c r="F100" s="6" t="s">
        <v>124</v>
      </c>
      <c r="G100" s="8" t="n">
        <v>49</v>
      </c>
      <c r="H100" s="9" t="n">
        <v>6.9635</v>
      </c>
      <c r="I100" s="9" t="n">
        <f aca="false">G100*H100</f>
        <v>341.2115</v>
      </c>
      <c r="J100" s="6" t="s">
        <v>415</v>
      </c>
      <c r="K100" s="6"/>
    </row>
    <row r="101" customFormat="false" ht="15" hidden="false" customHeight="false" outlineLevel="0" collapsed="false">
      <c r="A101" s="6" t="n">
        <v>93</v>
      </c>
      <c r="B101" s="6" t="n">
        <v>9066</v>
      </c>
      <c r="C101" s="7" t="s">
        <v>416</v>
      </c>
      <c r="D101" s="6" t="s">
        <v>417</v>
      </c>
      <c r="E101" s="6" t="s">
        <v>417</v>
      </c>
      <c r="F101" s="6" t="s">
        <v>124</v>
      </c>
      <c r="G101" s="8" t="n">
        <v>1</v>
      </c>
      <c r="H101" s="9" t="n">
        <v>34.048</v>
      </c>
      <c r="I101" s="9" t="n">
        <f aca="false">G101*H101</f>
        <v>34.048</v>
      </c>
      <c r="J101" s="6" t="s">
        <v>418</v>
      </c>
      <c r="K101" s="6"/>
    </row>
    <row r="102" customFormat="false" ht="15" hidden="false" customHeight="false" outlineLevel="0" collapsed="false">
      <c r="A102" s="6" t="n">
        <v>94</v>
      </c>
      <c r="B102" s="6" t="n">
        <v>2509</v>
      </c>
      <c r="C102" s="7" t="s">
        <v>419</v>
      </c>
      <c r="D102" s="6" t="s">
        <v>420</v>
      </c>
      <c r="E102" s="6" t="s">
        <v>421</v>
      </c>
      <c r="F102" s="6" t="s">
        <v>124</v>
      </c>
      <c r="G102" s="8" t="n">
        <v>34</v>
      </c>
      <c r="H102" s="9" t="n">
        <v>8.3505</v>
      </c>
      <c r="I102" s="9" t="n">
        <f aca="false">G102*H102</f>
        <v>283.917</v>
      </c>
      <c r="J102" s="6" t="s">
        <v>422</v>
      </c>
      <c r="K102" s="6"/>
    </row>
    <row r="103" customFormat="false" ht="15" hidden="false" customHeight="false" outlineLevel="0" collapsed="false">
      <c r="A103" s="6" t="n">
        <v>95</v>
      </c>
      <c r="B103" s="6" t="n">
        <v>2510</v>
      </c>
      <c r="C103" s="7" t="s">
        <v>423</v>
      </c>
      <c r="D103" s="6" t="s">
        <v>424</v>
      </c>
      <c r="E103" s="6" t="s">
        <v>425</v>
      </c>
      <c r="F103" s="6" t="s">
        <v>124</v>
      </c>
      <c r="G103" s="8" t="n">
        <v>19</v>
      </c>
      <c r="H103" s="9" t="n">
        <v>6.08</v>
      </c>
      <c r="I103" s="9" t="n">
        <f aca="false">G103*H103</f>
        <v>115.52</v>
      </c>
      <c r="J103" s="6" t="s">
        <v>426</v>
      </c>
      <c r="K103" s="6"/>
    </row>
    <row r="104" customFormat="false" ht="15" hidden="false" customHeight="false" outlineLevel="0" collapsed="false">
      <c r="A104" s="6" t="n">
        <v>96</v>
      </c>
      <c r="B104" s="6" t="n">
        <v>2518</v>
      </c>
      <c r="C104" s="7" t="s">
        <v>427</v>
      </c>
      <c r="D104" s="6" t="s">
        <v>428</v>
      </c>
      <c r="E104" s="6" t="s">
        <v>429</v>
      </c>
      <c r="F104" s="6" t="s">
        <v>54</v>
      </c>
      <c r="G104" s="8" t="n">
        <v>1</v>
      </c>
      <c r="H104" s="9" t="n">
        <v>10.7065</v>
      </c>
      <c r="I104" s="9" t="n">
        <f aca="false">G104*H104</f>
        <v>10.7065</v>
      </c>
      <c r="J104" s="6" t="s">
        <v>430</v>
      </c>
      <c r="K104" s="6" t="s">
        <v>61</v>
      </c>
    </row>
    <row r="105" customFormat="false" ht="15" hidden="false" customHeight="false" outlineLevel="0" collapsed="false">
      <c r="A105" s="6" t="n">
        <v>97</v>
      </c>
      <c r="B105" s="6" t="n">
        <v>2757</v>
      </c>
      <c r="C105" s="7" t="s">
        <v>431</v>
      </c>
      <c r="D105" s="6" t="s">
        <v>432</v>
      </c>
      <c r="E105" s="6" t="s">
        <v>433</v>
      </c>
      <c r="F105" s="6" t="s">
        <v>434</v>
      </c>
      <c r="G105" s="8" t="n">
        <v>6</v>
      </c>
      <c r="H105" s="9" t="n">
        <v>9.3385</v>
      </c>
      <c r="I105" s="9" t="n">
        <f aca="false">G105*H105</f>
        <v>56.031</v>
      </c>
      <c r="J105" s="6" t="s">
        <v>435</v>
      </c>
      <c r="K105" s="6"/>
    </row>
    <row r="106" customFormat="false" ht="15" hidden="false" customHeight="false" outlineLevel="0" collapsed="false">
      <c r="A106" s="6" t="n">
        <v>98</v>
      </c>
      <c r="B106" s="6" t="n">
        <v>2847</v>
      </c>
      <c r="C106" s="7" t="s">
        <v>436</v>
      </c>
      <c r="D106" s="6" t="s">
        <v>437</v>
      </c>
      <c r="E106" s="6" t="s">
        <v>438</v>
      </c>
      <c r="F106" s="6" t="s">
        <v>227</v>
      </c>
      <c r="G106" s="8" t="n">
        <v>6</v>
      </c>
      <c r="H106" s="9" t="n">
        <v>5.2155</v>
      </c>
      <c r="I106" s="9" t="n">
        <f aca="false">G106*H106</f>
        <v>31.293</v>
      </c>
      <c r="J106" s="6" t="s">
        <v>439</v>
      </c>
      <c r="K106" s="6"/>
    </row>
    <row r="107" customFormat="false" ht="15" hidden="false" customHeight="false" outlineLevel="0" collapsed="false">
      <c r="A107" s="6" t="n">
        <v>99</v>
      </c>
      <c r="B107" s="6" t="n">
        <v>2854</v>
      </c>
      <c r="C107" s="7" t="s">
        <v>440</v>
      </c>
      <c r="D107" s="6" t="s">
        <v>441</v>
      </c>
      <c r="E107" s="6" t="s">
        <v>442</v>
      </c>
      <c r="F107" s="6" t="s">
        <v>92</v>
      </c>
      <c r="G107" s="8" t="n">
        <v>1</v>
      </c>
      <c r="H107" s="9" t="n">
        <v>18.392</v>
      </c>
      <c r="I107" s="9" t="n">
        <f aca="false">G107*H107</f>
        <v>18.392</v>
      </c>
      <c r="J107" s="6" t="s">
        <v>443</v>
      </c>
      <c r="K107" s="6" t="s">
        <v>61</v>
      </c>
    </row>
    <row r="108" customFormat="false" ht="15" hidden="false" customHeight="false" outlineLevel="0" collapsed="false">
      <c r="A108" s="6" t="n">
        <v>100</v>
      </c>
      <c r="B108" s="6" t="n">
        <v>2885</v>
      </c>
      <c r="C108" s="7" t="s">
        <v>444</v>
      </c>
      <c r="D108" s="6" t="s">
        <v>445</v>
      </c>
      <c r="E108" s="6" t="s">
        <v>446</v>
      </c>
      <c r="F108" s="6" t="s">
        <v>240</v>
      </c>
      <c r="G108" s="8" t="n">
        <v>1</v>
      </c>
      <c r="H108" s="9" t="n">
        <v>7.733</v>
      </c>
      <c r="I108" s="9" t="n">
        <f aca="false">G108*H108</f>
        <v>7.733</v>
      </c>
      <c r="J108" s="6" t="s">
        <v>447</v>
      </c>
      <c r="K108" s="6"/>
    </row>
    <row r="109" customFormat="false" ht="15" hidden="false" customHeight="false" outlineLevel="0" collapsed="false">
      <c r="A109" s="6" t="n">
        <v>101</v>
      </c>
      <c r="B109" s="6" t="n">
        <v>3512</v>
      </c>
      <c r="C109" s="7" t="s">
        <v>448</v>
      </c>
      <c r="D109" s="6" t="s">
        <v>449</v>
      </c>
      <c r="E109" s="6" t="s">
        <v>450</v>
      </c>
      <c r="F109" s="6" t="s">
        <v>74</v>
      </c>
      <c r="G109" s="8" t="n">
        <v>1</v>
      </c>
      <c r="H109" s="9" t="n">
        <v>7.087</v>
      </c>
      <c r="I109" s="9" t="n">
        <f aca="false">G109*H109</f>
        <v>7.087</v>
      </c>
      <c r="J109" s="6" t="s">
        <v>451</v>
      </c>
      <c r="K109" s="6" t="s">
        <v>452</v>
      </c>
    </row>
    <row r="110" customFormat="false" ht="15" hidden="false" customHeight="false" outlineLevel="0" collapsed="false">
      <c r="A110" s="6" t="n">
        <v>102</v>
      </c>
      <c r="B110" s="6" t="n">
        <v>2961</v>
      </c>
      <c r="C110" s="7" t="s">
        <v>453</v>
      </c>
      <c r="D110" s="6" t="s">
        <v>454</v>
      </c>
      <c r="E110" s="6" t="s">
        <v>454</v>
      </c>
      <c r="F110" s="6" t="s">
        <v>330</v>
      </c>
      <c r="G110" s="8" t="n">
        <v>10</v>
      </c>
      <c r="H110" s="9" t="n">
        <v>3.876</v>
      </c>
      <c r="I110" s="9" t="n">
        <f aca="false">G110*H110</f>
        <v>38.76</v>
      </c>
      <c r="J110" s="6" t="s">
        <v>455</v>
      </c>
      <c r="K110" s="6"/>
    </row>
    <row r="111" customFormat="false" ht="15" hidden="false" customHeight="false" outlineLevel="0" collapsed="false">
      <c r="A111" s="6" t="n">
        <v>103</v>
      </c>
      <c r="B111" s="6" t="n">
        <v>2973</v>
      </c>
      <c r="C111" s="7" t="s">
        <v>456</v>
      </c>
      <c r="D111" s="6" t="s">
        <v>457</v>
      </c>
      <c r="E111" s="6" t="s">
        <v>457</v>
      </c>
      <c r="F111" s="6" t="s">
        <v>330</v>
      </c>
      <c r="G111" s="8" t="n">
        <v>4</v>
      </c>
      <c r="H111" s="9" t="n">
        <v>3.857</v>
      </c>
      <c r="I111" s="9" t="n">
        <f aca="false">G111*H111</f>
        <v>15.428</v>
      </c>
      <c r="J111" s="6" t="s">
        <v>458</v>
      </c>
      <c r="K111" s="6"/>
    </row>
    <row r="112" customFormat="false" ht="15" hidden="false" customHeight="false" outlineLevel="0" collapsed="false">
      <c r="A112" s="6" t="n">
        <v>104</v>
      </c>
      <c r="B112" s="6" t="n">
        <v>2974</v>
      </c>
      <c r="C112" s="7" t="s">
        <v>459</v>
      </c>
      <c r="D112" s="6" t="s">
        <v>460</v>
      </c>
      <c r="E112" s="6" t="s">
        <v>460</v>
      </c>
      <c r="F112" s="6" t="s">
        <v>330</v>
      </c>
      <c r="G112" s="8" t="n">
        <v>5</v>
      </c>
      <c r="H112" s="9" t="n">
        <v>3.8855</v>
      </c>
      <c r="I112" s="9" t="n">
        <f aca="false">G112*H112</f>
        <v>19.4275</v>
      </c>
      <c r="J112" s="6" t="s">
        <v>461</v>
      </c>
      <c r="K112" s="6"/>
    </row>
    <row r="113" customFormat="false" ht="15" hidden="false" customHeight="false" outlineLevel="0" collapsed="false">
      <c r="A113" s="6" t="n">
        <v>105</v>
      </c>
      <c r="B113" s="6" t="n">
        <v>111</v>
      </c>
      <c r="C113" s="7" t="s">
        <v>462</v>
      </c>
      <c r="D113" s="6" t="s">
        <v>463</v>
      </c>
      <c r="E113" s="6" t="s">
        <v>464</v>
      </c>
      <c r="F113" s="6" t="s">
        <v>92</v>
      </c>
      <c r="G113" s="8" t="n">
        <v>17</v>
      </c>
      <c r="H113" s="9" t="n">
        <v>2.9735</v>
      </c>
      <c r="I113" s="9" t="n">
        <f aca="false">G113*H113</f>
        <v>50.5495</v>
      </c>
      <c r="J113" s="6" t="s">
        <v>465</v>
      </c>
      <c r="K113" s="6"/>
    </row>
    <row r="114" customFormat="false" ht="15" hidden="false" customHeight="false" outlineLevel="0" collapsed="false">
      <c r="A114" s="6" t="n">
        <v>106</v>
      </c>
      <c r="B114" s="6" t="n">
        <v>5358</v>
      </c>
      <c r="C114" s="7" t="s">
        <v>466</v>
      </c>
      <c r="D114" s="6" t="s">
        <v>467</v>
      </c>
      <c r="E114" s="6" t="s">
        <v>468</v>
      </c>
      <c r="F114" s="6" t="s">
        <v>124</v>
      </c>
      <c r="G114" s="8" t="n">
        <v>5</v>
      </c>
      <c r="H114" s="9" t="n">
        <v>11.514</v>
      </c>
      <c r="I114" s="9" t="n">
        <f aca="false">G114*H114</f>
        <v>57.57</v>
      </c>
      <c r="J114" s="6" t="s">
        <v>469</v>
      </c>
      <c r="K114" s="6"/>
    </row>
    <row r="115" customFormat="false" ht="15" hidden="false" customHeight="false" outlineLevel="0" collapsed="false">
      <c r="A115" s="6" t="n">
        <v>107</v>
      </c>
      <c r="B115" s="6" t="n">
        <v>3109</v>
      </c>
      <c r="C115" s="7" t="s">
        <v>470</v>
      </c>
      <c r="D115" s="6" t="s">
        <v>471</v>
      </c>
      <c r="E115" s="6" t="s">
        <v>472</v>
      </c>
      <c r="F115" s="6" t="s">
        <v>473</v>
      </c>
      <c r="G115" s="8" t="n">
        <v>4</v>
      </c>
      <c r="H115" s="9" t="n">
        <v>26.562</v>
      </c>
      <c r="I115" s="9" t="n">
        <f aca="false">G115*H115</f>
        <v>106.248</v>
      </c>
      <c r="J115" s="6" t="s">
        <v>474</v>
      </c>
      <c r="K115" s="6"/>
    </row>
    <row r="116" customFormat="false" ht="15" hidden="false" customHeight="false" outlineLevel="0" collapsed="false">
      <c r="A116" s="6" t="n">
        <v>108</v>
      </c>
      <c r="B116" s="6" t="n">
        <v>3366</v>
      </c>
      <c r="C116" s="7" t="s">
        <v>475</v>
      </c>
      <c r="D116" s="6" t="s">
        <v>476</v>
      </c>
      <c r="E116" s="6" t="s">
        <v>477</v>
      </c>
      <c r="F116" s="6" t="s">
        <v>478</v>
      </c>
      <c r="G116" s="8" t="n">
        <v>1</v>
      </c>
      <c r="H116" s="9" t="n">
        <v>21.964</v>
      </c>
      <c r="I116" s="9" t="n">
        <f aca="false">G116*H116</f>
        <v>21.964</v>
      </c>
      <c r="J116" s="6" t="s">
        <v>479</v>
      </c>
      <c r="K116" s="6"/>
    </row>
    <row r="117" customFormat="false" ht="15" hidden="false" customHeight="false" outlineLevel="0" collapsed="false">
      <c r="A117" s="6" t="n">
        <v>109</v>
      </c>
      <c r="B117" s="6" t="n">
        <v>3227</v>
      </c>
      <c r="C117" s="7" t="s">
        <v>480</v>
      </c>
      <c r="D117" s="6" t="s">
        <v>481</v>
      </c>
      <c r="E117" s="6" t="s">
        <v>482</v>
      </c>
      <c r="F117" s="6" t="s">
        <v>154</v>
      </c>
      <c r="G117" s="8" t="n">
        <v>4</v>
      </c>
      <c r="H117" s="9" t="n">
        <v>5.7475</v>
      </c>
      <c r="I117" s="9" t="n">
        <f aca="false">G117*H117</f>
        <v>22.99</v>
      </c>
      <c r="J117" s="6" t="s">
        <v>483</v>
      </c>
      <c r="K117" s="6"/>
    </row>
    <row r="118" customFormat="false" ht="15" hidden="false" customHeight="false" outlineLevel="0" collapsed="false">
      <c r="A118" s="6" t="n">
        <v>110</v>
      </c>
      <c r="B118" s="6" t="n">
        <v>9764</v>
      </c>
      <c r="C118" s="7" t="s">
        <v>484</v>
      </c>
      <c r="D118" s="6" t="s">
        <v>485</v>
      </c>
      <c r="E118" s="6" t="s">
        <v>486</v>
      </c>
      <c r="F118" s="6" t="s">
        <v>487</v>
      </c>
      <c r="G118" s="8" t="n">
        <v>1</v>
      </c>
      <c r="H118" s="9" t="n">
        <v>4.9875</v>
      </c>
      <c r="I118" s="9" t="n">
        <f aca="false">G118*H118</f>
        <v>4.9875</v>
      </c>
      <c r="J118" s="6" t="s">
        <v>488</v>
      </c>
      <c r="K118" s="6" t="s">
        <v>61</v>
      </c>
    </row>
    <row r="119" customFormat="false" ht="15" hidden="false" customHeight="false" outlineLevel="0" collapsed="false">
      <c r="A119" s="6" t="n">
        <v>111</v>
      </c>
      <c r="B119" s="6" t="n">
        <v>3241</v>
      </c>
      <c r="C119" s="7" t="s">
        <v>489</v>
      </c>
      <c r="D119" s="6" t="s">
        <v>490</v>
      </c>
      <c r="E119" s="6" t="s">
        <v>491</v>
      </c>
      <c r="F119" s="6" t="s">
        <v>54</v>
      </c>
      <c r="G119" s="8" t="n">
        <v>3</v>
      </c>
      <c r="H119" s="9" t="n">
        <v>26.391</v>
      </c>
      <c r="I119" s="9" t="n">
        <f aca="false">G119*H119</f>
        <v>79.173</v>
      </c>
      <c r="J119" s="6" t="s">
        <v>492</v>
      </c>
      <c r="K119" s="6"/>
    </row>
    <row r="120" customFormat="false" ht="15" hidden="false" customHeight="false" outlineLevel="0" collapsed="false">
      <c r="A120" s="6" t="n">
        <v>112</v>
      </c>
      <c r="B120" s="6" t="n">
        <v>7142</v>
      </c>
      <c r="C120" s="7" t="s">
        <v>493</v>
      </c>
      <c r="D120" s="6" t="s">
        <v>494</v>
      </c>
      <c r="E120" s="6" t="s">
        <v>495</v>
      </c>
      <c r="F120" s="6" t="s">
        <v>54</v>
      </c>
      <c r="G120" s="8" t="n">
        <v>2</v>
      </c>
      <c r="H120" s="9" t="n">
        <v>7.866</v>
      </c>
      <c r="I120" s="9" t="n">
        <f aca="false">G120*H120</f>
        <v>15.732</v>
      </c>
      <c r="J120" s="6" t="s">
        <v>496</v>
      </c>
      <c r="K120" s="6"/>
    </row>
    <row r="121" customFormat="false" ht="15" hidden="false" customHeight="false" outlineLevel="0" collapsed="false">
      <c r="A121" s="6" t="n">
        <v>113</v>
      </c>
      <c r="B121" s="6" t="n">
        <v>6174</v>
      </c>
      <c r="C121" s="7" t="s">
        <v>497</v>
      </c>
      <c r="D121" s="6" t="s">
        <v>498</v>
      </c>
      <c r="E121" s="6" t="s">
        <v>499</v>
      </c>
      <c r="F121" s="6" t="s">
        <v>214</v>
      </c>
      <c r="G121" s="8" t="n">
        <v>7</v>
      </c>
      <c r="H121" s="9" t="n">
        <v>8.6545</v>
      </c>
      <c r="I121" s="9" t="n">
        <f aca="false">G121*H121</f>
        <v>60.5815</v>
      </c>
      <c r="J121" s="6" t="s">
        <v>500</v>
      </c>
      <c r="K121" s="6"/>
    </row>
    <row r="122" customFormat="false" ht="15" hidden="false" customHeight="false" outlineLevel="0" collapsed="false">
      <c r="A122" s="6" t="n">
        <v>114</v>
      </c>
      <c r="B122" s="6" t="n">
        <v>6172</v>
      </c>
      <c r="C122" s="7" t="s">
        <v>501</v>
      </c>
      <c r="D122" s="6" t="s">
        <v>502</v>
      </c>
      <c r="E122" s="6" t="s">
        <v>503</v>
      </c>
      <c r="F122" s="6" t="s">
        <v>240</v>
      </c>
      <c r="G122" s="8" t="n">
        <v>2</v>
      </c>
      <c r="H122" s="9" t="n">
        <v>7.6095</v>
      </c>
      <c r="I122" s="9" t="n">
        <f aca="false">G122*H122</f>
        <v>15.219</v>
      </c>
      <c r="J122" s="6" t="s">
        <v>504</v>
      </c>
      <c r="K122" s="6"/>
    </row>
    <row r="123" customFormat="false" ht="15" hidden="false" customHeight="false" outlineLevel="0" collapsed="false">
      <c r="A123" s="6" t="n">
        <v>115</v>
      </c>
      <c r="B123" s="6" t="n">
        <v>6182</v>
      </c>
      <c r="C123" s="7" t="s">
        <v>505</v>
      </c>
      <c r="D123" s="6" t="s">
        <v>506</v>
      </c>
      <c r="E123" s="6" t="s">
        <v>507</v>
      </c>
      <c r="F123" s="6" t="s">
        <v>240</v>
      </c>
      <c r="G123" s="8" t="n">
        <v>1</v>
      </c>
      <c r="H123" s="9" t="n">
        <v>7.6095</v>
      </c>
      <c r="I123" s="9" t="n">
        <f aca="false">G123*H123</f>
        <v>7.6095</v>
      </c>
      <c r="J123" s="6" t="s">
        <v>508</v>
      </c>
      <c r="K123" s="6"/>
    </row>
    <row r="124" customFormat="false" ht="15" hidden="false" customHeight="false" outlineLevel="0" collapsed="false">
      <c r="A124" s="6" t="n">
        <v>116</v>
      </c>
      <c r="B124" s="6" t="n">
        <v>3388</v>
      </c>
      <c r="C124" s="7" t="s">
        <v>509</v>
      </c>
      <c r="D124" s="6" t="s">
        <v>510</v>
      </c>
      <c r="E124" s="6" t="s">
        <v>511</v>
      </c>
      <c r="F124" s="6" t="s">
        <v>54</v>
      </c>
      <c r="G124" s="8" t="n">
        <v>1</v>
      </c>
      <c r="H124" s="9" t="n">
        <v>20.8715</v>
      </c>
      <c r="I124" s="9" t="n">
        <f aca="false">G124*H124</f>
        <v>20.8715</v>
      </c>
      <c r="J124" s="6" t="s">
        <v>512</v>
      </c>
      <c r="K124" s="6"/>
    </row>
    <row r="125" customFormat="false" ht="15" hidden="false" customHeight="false" outlineLevel="0" collapsed="false">
      <c r="A125" s="6" t="n">
        <v>117</v>
      </c>
      <c r="B125" s="6" t="n">
        <v>3420</v>
      </c>
      <c r="C125" s="7" t="s">
        <v>513</v>
      </c>
      <c r="D125" s="6" t="s">
        <v>514</v>
      </c>
      <c r="E125" s="6" t="s">
        <v>515</v>
      </c>
      <c r="F125" s="6" t="s">
        <v>335</v>
      </c>
      <c r="G125" s="8" t="n">
        <v>1</v>
      </c>
      <c r="H125" s="9" t="n">
        <v>39.7765</v>
      </c>
      <c r="I125" s="9" t="n">
        <f aca="false">G125*H125</f>
        <v>39.7765</v>
      </c>
      <c r="J125" s="6" t="s">
        <v>516</v>
      </c>
      <c r="K125" s="6"/>
    </row>
    <row r="126" customFormat="false" ht="15" hidden="false" customHeight="false" outlineLevel="0" collapsed="false">
      <c r="A126" s="6" t="n">
        <v>118</v>
      </c>
      <c r="B126" s="6" t="n">
        <v>3422</v>
      </c>
      <c r="C126" s="7" t="s">
        <v>517</v>
      </c>
      <c r="D126" s="6" t="s">
        <v>518</v>
      </c>
      <c r="E126" s="6" t="s">
        <v>519</v>
      </c>
      <c r="F126" s="6" t="s">
        <v>335</v>
      </c>
      <c r="G126" s="8" t="n">
        <v>12</v>
      </c>
      <c r="H126" s="9" t="n">
        <v>39.7765</v>
      </c>
      <c r="I126" s="9" t="n">
        <f aca="false">G126*H126</f>
        <v>477.318</v>
      </c>
      <c r="J126" s="6" t="s">
        <v>520</v>
      </c>
      <c r="K126" s="6"/>
    </row>
    <row r="127" customFormat="false" ht="15" hidden="false" customHeight="false" outlineLevel="0" collapsed="false">
      <c r="A127" s="6" t="n">
        <v>119</v>
      </c>
      <c r="B127" s="6" t="n">
        <v>3427</v>
      </c>
      <c r="C127" s="7" t="s">
        <v>521</v>
      </c>
      <c r="D127" s="6" t="s">
        <v>522</v>
      </c>
      <c r="E127" s="6" t="s">
        <v>523</v>
      </c>
      <c r="F127" s="6" t="s">
        <v>59</v>
      </c>
      <c r="G127" s="8" t="n">
        <v>1</v>
      </c>
      <c r="H127" s="9" t="n">
        <v>13.4045</v>
      </c>
      <c r="I127" s="9" t="n">
        <f aca="false">G127*H127</f>
        <v>13.4045</v>
      </c>
      <c r="J127" s="6" t="s">
        <v>524</v>
      </c>
      <c r="K127" s="6"/>
    </row>
    <row r="128" customFormat="false" ht="15" hidden="false" customHeight="false" outlineLevel="0" collapsed="false">
      <c r="A128" s="6" t="n">
        <v>120</v>
      </c>
      <c r="B128" s="6" t="n">
        <v>3513</v>
      </c>
      <c r="C128" s="7" t="s">
        <v>525</v>
      </c>
      <c r="D128" s="6" t="s">
        <v>526</v>
      </c>
      <c r="E128" s="6" t="s">
        <v>527</v>
      </c>
      <c r="F128" s="6" t="s">
        <v>74</v>
      </c>
      <c r="G128" s="8" t="n">
        <v>9</v>
      </c>
      <c r="H128" s="9" t="n">
        <v>7.3435</v>
      </c>
      <c r="I128" s="9" t="n">
        <f aca="false">G128*H128</f>
        <v>66.0915</v>
      </c>
      <c r="J128" s="6" t="s">
        <v>528</v>
      </c>
      <c r="K128" s="6"/>
    </row>
    <row r="129" customFormat="false" ht="15" hidden="false" customHeight="false" outlineLevel="0" collapsed="false">
      <c r="A129" s="6" t="n">
        <v>121</v>
      </c>
      <c r="B129" s="6" t="n">
        <v>4788</v>
      </c>
      <c r="C129" s="7" t="s">
        <v>529</v>
      </c>
      <c r="D129" s="6" t="s">
        <v>530</v>
      </c>
      <c r="E129" s="6" t="s">
        <v>531</v>
      </c>
      <c r="F129" s="6" t="s">
        <v>532</v>
      </c>
      <c r="G129" s="8" t="n">
        <v>7</v>
      </c>
      <c r="H129" s="9" t="n">
        <v>14.9625</v>
      </c>
      <c r="I129" s="9" t="n">
        <f aca="false">G129*H129</f>
        <v>104.7375</v>
      </c>
      <c r="J129" s="6" t="s">
        <v>533</v>
      </c>
      <c r="K129" s="6"/>
    </row>
    <row r="130" customFormat="false" ht="15" hidden="false" customHeight="false" outlineLevel="0" collapsed="false">
      <c r="A130" s="6" t="n">
        <v>122</v>
      </c>
      <c r="B130" s="6" t="n">
        <v>4790</v>
      </c>
      <c r="C130" s="7" t="s">
        <v>534</v>
      </c>
      <c r="D130" s="6" t="s">
        <v>535</v>
      </c>
      <c r="E130" s="6" t="s">
        <v>536</v>
      </c>
      <c r="F130" s="6" t="s">
        <v>532</v>
      </c>
      <c r="G130" s="8" t="n">
        <v>6</v>
      </c>
      <c r="H130" s="9" t="n">
        <v>7.619</v>
      </c>
      <c r="I130" s="9" t="n">
        <f aca="false">G130*H130</f>
        <v>45.714</v>
      </c>
      <c r="J130" s="6" t="s">
        <v>537</v>
      </c>
      <c r="K130" s="6"/>
    </row>
    <row r="131" customFormat="false" ht="15" hidden="false" customHeight="false" outlineLevel="0" collapsed="false">
      <c r="A131" s="6" t="n">
        <v>123</v>
      </c>
      <c r="B131" s="6" t="n">
        <v>3584</v>
      </c>
      <c r="C131" s="7" t="s">
        <v>538</v>
      </c>
      <c r="D131" s="6" t="s">
        <v>539</v>
      </c>
      <c r="E131" s="6" t="s">
        <v>540</v>
      </c>
      <c r="F131" s="6" t="s">
        <v>154</v>
      </c>
      <c r="G131" s="8" t="n">
        <v>3</v>
      </c>
      <c r="H131" s="9" t="n">
        <v>8.455</v>
      </c>
      <c r="I131" s="9" t="n">
        <f aca="false">G131*H131</f>
        <v>25.365</v>
      </c>
      <c r="J131" s="6" t="s">
        <v>541</v>
      </c>
      <c r="K131" s="6"/>
    </row>
    <row r="132" customFormat="false" ht="15" hidden="false" customHeight="false" outlineLevel="0" collapsed="false">
      <c r="A132" s="6" t="n">
        <v>124</v>
      </c>
      <c r="B132" s="6" t="n">
        <v>3814</v>
      </c>
      <c r="C132" s="7" t="s">
        <v>542</v>
      </c>
      <c r="D132" s="6" t="s">
        <v>543</v>
      </c>
      <c r="E132" s="6" t="s">
        <v>544</v>
      </c>
      <c r="F132" s="6" t="s">
        <v>111</v>
      </c>
      <c r="G132" s="8" t="n">
        <v>4</v>
      </c>
      <c r="H132" s="9" t="n">
        <v>4.503</v>
      </c>
      <c r="I132" s="9" t="n">
        <f aca="false">G132*H132</f>
        <v>18.012</v>
      </c>
      <c r="J132" s="6" t="s">
        <v>545</v>
      </c>
      <c r="K132" s="6"/>
    </row>
    <row r="133" customFormat="false" ht="15" hidden="false" customHeight="false" outlineLevel="0" collapsed="false">
      <c r="A133" s="6" t="n">
        <v>125</v>
      </c>
      <c r="B133" s="6" t="n">
        <v>3825</v>
      </c>
      <c r="C133" s="7" t="s">
        <v>546</v>
      </c>
      <c r="D133" s="6" t="s">
        <v>547</v>
      </c>
      <c r="E133" s="6" t="s">
        <v>548</v>
      </c>
      <c r="F133" s="6" t="s">
        <v>312</v>
      </c>
      <c r="G133" s="8" t="n">
        <v>1</v>
      </c>
      <c r="H133" s="9" t="n">
        <v>19.38</v>
      </c>
      <c r="I133" s="9" t="n">
        <f aca="false">G133*H133</f>
        <v>19.38</v>
      </c>
      <c r="J133" s="6" t="s">
        <v>549</v>
      </c>
      <c r="K133" s="6"/>
    </row>
    <row r="134" customFormat="false" ht="15" hidden="false" customHeight="false" outlineLevel="0" collapsed="false">
      <c r="A134" s="6" t="n">
        <v>126</v>
      </c>
      <c r="B134" s="6" t="n">
        <v>3867</v>
      </c>
      <c r="C134" s="7" t="s">
        <v>550</v>
      </c>
      <c r="D134" s="6" t="s">
        <v>551</v>
      </c>
      <c r="E134" s="6" t="s">
        <v>552</v>
      </c>
      <c r="F134" s="6" t="s">
        <v>553</v>
      </c>
      <c r="G134" s="8" t="n">
        <v>1</v>
      </c>
      <c r="H134" s="9" t="n">
        <v>6.764</v>
      </c>
      <c r="I134" s="9" t="n">
        <f aca="false">G134*H134</f>
        <v>6.764</v>
      </c>
      <c r="J134" s="6" t="s">
        <v>554</v>
      </c>
      <c r="K134" s="6"/>
    </row>
    <row r="135" customFormat="false" ht="15" hidden="false" customHeight="false" outlineLevel="0" collapsed="false">
      <c r="A135" s="6" t="n">
        <v>127</v>
      </c>
      <c r="B135" s="6" t="n">
        <v>7165</v>
      </c>
      <c r="C135" s="7" t="s">
        <v>555</v>
      </c>
      <c r="D135" s="6" t="s">
        <v>556</v>
      </c>
      <c r="E135" s="6" t="s">
        <v>557</v>
      </c>
      <c r="F135" s="6" t="s">
        <v>54</v>
      </c>
      <c r="G135" s="8" t="n">
        <v>1</v>
      </c>
      <c r="H135" s="9" t="n">
        <v>9.5</v>
      </c>
      <c r="I135" s="9" t="n">
        <f aca="false">G135*H135</f>
        <v>9.5</v>
      </c>
      <c r="J135" s="6" t="s">
        <v>558</v>
      </c>
      <c r="K135" s="6"/>
    </row>
    <row r="136" customFormat="false" ht="15" hidden="false" customHeight="false" outlineLevel="0" collapsed="false">
      <c r="A136" s="6" t="n">
        <v>128</v>
      </c>
      <c r="B136" s="6" t="n">
        <v>6267</v>
      </c>
      <c r="C136" s="7" t="s">
        <v>559</v>
      </c>
      <c r="D136" s="6" t="s">
        <v>560</v>
      </c>
      <c r="E136" s="6" t="s">
        <v>561</v>
      </c>
      <c r="F136" s="6" t="s">
        <v>214</v>
      </c>
      <c r="G136" s="8" t="n">
        <v>3</v>
      </c>
      <c r="H136" s="9" t="n">
        <v>8.607</v>
      </c>
      <c r="I136" s="9" t="n">
        <f aca="false">G136*H136</f>
        <v>25.821</v>
      </c>
      <c r="J136" s="6" t="s">
        <v>562</v>
      </c>
      <c r="K136" s="6"/>
    </row>
    <row r="137" customFormat="false" ht="15" hidden="false" customHeight="false" outlineLevel="0" collapsed="false">
      <c r="A137" s="6" t="n">
        <v>129</v>
      </c>
      <c r="B137" s="6" t="n">
        <v>1263</v>
      </c>
      <c r="C137" s="7" t="s">
        <v>563</v>
      </c>
      <c r="D137" s="6" t="s">
        <v>564</v>
      </c>
      <c r="E137" s="6" t="s">
        <v>565</v>
      </c>
      <c r="F137" s="6" t="s">
        <v>25</v>
      </c>
      <c r="G137" s="8" t="n">
        <v>5</v>
      </c>
      <c r="H137" s="9" t="n">
        <v>14.2785</v>
      </c>
      <c r="I137" s="9" t="n">
        <f aca="false">G137*H137</f>
        <v>71.3925</v>
      </c>
      <c r="J137" s="6" t="s">
        <v>566</v>
      </c>
      <c r="K137" s="6"/>
    </row>
    <row r="138" customFormat="false" ht="15" hidden="false" customHeight="false" outlineLevel="0" collapsed="false">
      <c r="A138" s="6" t="n">
        <v>130</v>
      </c>
      <c r="B138" s="6" t="n">
        <v>1309</v>
      </c>
      <c r="C138" s="7" t="s">
        <v>567</v>
      </c>
      <c r="D138" s="6" t="s">
        <v>568</v>
      </c>
      <c r="E138" s="6" t="s">
        <v>569</v>
      </c>
      <c r="F138" s="6" t="s">
        <v>25</v>
      </c>
      <c r="G138" s="8" t="n">
        <v>2</v>
      </c>
      <c r="H138" s="9" t="n">
        <v>6.992</v>
      </c>
      <c r="I138" s="9" t="n">
        <f aca="false">G138*H138</f>
        <v>13.984</v>
      </c>
      <c r="J138" s="6" t="s">
        <v>570</v>
      </c>
      <c r="K138" s="6"/>
    </row>
    <row r="139" customFormat="false" ht="15" hidden="false" customHeight="false" outlineLevel="0" collapsed="false">
      <c r="A139" s="6" t="n">
        <v>131</v>
      </c>
      <c r="B139" s="6" t="n">
        <v>4087</v>
      </c>
      <c r="C139" s="7" t="s">
        <v>571</v>
      </c>
      <c r="D139" s="6" t="s">
        <v>572</v>
      </c>
      <c r="E139" s="6" t="s">
        <v>573</v>
      </c>
      <c r="F139" s="6" t="s">
        <v>25</v>
      </c>
      <c r="G139" s="8" t="n">
        <v>3</v>
      </c>
      <c r="H139" s="9" t="n">
        <v>9.88</v>
      </c>
      <c r="I139" s="9" t="n">
        <f aca="false">G139*H139</f>
        <v>29.64</v>
      </c>
      <c r="J139" s="6" t="s">
        <v>574</v>
      </c>
      <c r="K139" s="6"/>
    </row>
    <row r="140" customFormat="false" ht="15" hidden="false" customHeight="false" outlineLevel="0" collapsed="false">
      <c r="A140" s="6" t="n">
        <v>132</v>
      </c>
      <c r="B140" s="6" t="n">
        <v>4090</v>
      </c>
      <c r="C140" s="7" t="s">
        <v>575</v>
      </c>
      <c r="D140" s="6" t="s">
        <v>576</v>
      </c>
      <c r="E140" s="6" t="s">
        <v>577</v>
      </c>
      <c r="F140" s="6" t="s">
        <v>25</v>
      </c>
      <c r="G140" s="8" t="n">
        <v>5</v>
      </c>
      <c r="H140" s="9" t="n">
        <v>9.88</v>
      </c>
      <c r="I140" s="9" t="n">
        <f aca="false">G140*H140</f>
        <v>49.4</v>
      </c>
      <c r="J140" s="6" t="s">
        <v>578</v>
      </c>
      <c r="K140" s="6"/>
    </row>
    <row r="141" customFormat="false" ht="15" hidden="false" customHeight="false" outlineLevel="0" collapsed="false">
      <c r="A141" s="6" t="n">
        <v>133</v>
      </c>
      <c r="B141" s="6" t="n">
        <v>3905</v>
      </c>
      <c r="C141" s="7" t="s">
        <v>579</v>
      </c>
      <c r="D141" s="6" t="s">
        <v>580</v>
      </c>
      <c r="E141" s="6" t="s">
        <v>581</v>
      </c>
      <c r="F141" s="6" t="s">
        <v>92</v>
      </c>
      <c r="G141" s="8" t="n">
        <v>25</v>
      </c>
      <c r="H141" s="9" t="n">
        <v>2.223</v>
      </c>
      <c r="I141" s="9" t="n">
        <f aca="false">G141*H141</f>
        <v>55.575</v>
      </c>
      <c r="J141" s="6" t="s">
        <v>582</v>
      </c>
      <c r="K141" s="6"/>
    </row>
    <row r="142" customFormat="false" ht="15" hidden="false" customHeight="false" outlineLevel="0" collapsed="false">
      <c r="A142" s="6" t="n">
        <v>134</v>
      </c>
      <c r="B142" s="6" t="n">
        <v>3934</v>
      </c>
      <c r="C142" s="7" t="s">
        <v>583</v>
      </c>
      <c r="D142" s="6" t="s">
        <v>584</v>
      </c>
      <c r="E142" s="6" t="s">
        <v>585</v>
      </c>
      <c r="F142" s="6" t="s">
        <v>92</v>
      </c>
      <c r="G142" s="8" t="n">
        <v>10</v>
      </c>
      <c r="H142" s="9" t="n">
        <v>2.6695</v>
      </c>
      <c r="I142" s="9" t="n">
        <f aca="false">G142*H142</f>
        <v>26.695</v>
      </c>
      <c r="J142" s="6" t="s">
        <v>586</v>
      </c>
      <c r="K142" s="6"/>
    </row>
    <row r="143" customFormat="false" ht="15" hidden="false" customHeight="false" outlineLevel="0" collapsed="false">
      <c r="A143" s="6" t="n">
        <v>135</v>
      </c>
      <c r="B143" s="6" t="n">
        <v>3939</v>
      </c>
      <c r="C143" s="7" t="s">
        <v>587</v>
      </c>
      <c r="D143" s="6" t="s">
        <v>588</v>
      </c>
      <c r="E143" s="6" t="s">
        <v>589</v>
      </c>
      <c r="F143" s="6" t="s">
        <v>139</v>
      </c>
      <c r="G143" s="8" t="n">
        <v>2</v>
      </c>
      <c r="H143" s="9" t="n">
        <v>6.384</v>
      </c>
      <c r="I143" s="9" t="n">
        <f aca="false">G143*H143</f>
        <v>12.768</v>
      </c>
      <c r="J143" s="6" t="s">
        <v>590</v>
      </c>
      <c r="K143" s="6"/>
    </row>
    <row r="144" customFormat="false" ht="15" hidden="false" customHeight="false" outlineLevel="0" collapsed="false">
      <c r="A144" s="6" t="n">
        <v>136</v>
      </c>
      <c r="B144" s="6" t="n">
        <v>7145</v>
      </c>
      <c r="C144" s="7" t="s">
        <v>591</v>
      </c>
      <c r="D144" s="6" t="s">
        <v>592</v>
      </c>
      <c r="E144" s="6" t="s">
        <v>593</v>
      </c>
      <c r="F144" s="6" t="s">
        <v>54</v>
      </c>
      <c r="G144" s="8" t="n">
        <v>2</v>
      </c>
      <c r="H144" s="9" t="n">
        <v>4.3035</v>
      </c>
      <c r="I144" s="9" t="n">
        <f aca="false">G144*H144</f>
        <v>8.607</v>
      </c>
      <c r="J144" s="6" t="s">
        <v>594</v>
      </c>
      <c r="K144" s="6"/>
    </row>
    <row r="145" customFormat="false" ht="15" hidden="false" customHeight="false" outlineLevel="0" collapsed="false">
      <c r="A145" s="6" t="n">
        <v>137</v>
      </c>
      <c r="B145" s="6" t="n">
        <v>2596</v>
      </c>
      <c r="C145" s="7" t="s">
        <v>595</v>
      </c>
      <c r="D145" s="6" t="s">
        <v>596</v>
      </c>
      <c r="E145" s="6" t="s">
        <v>597</v>
      </c>
      <c r="F145" s="6" t="s">
        <v>167</v>
      </c>
      <c r="G145" s="8" t="n">
        <v>1</v>
      </c>
      <c r="H145" s="9" t="n">
        <v>1.9095</v>
      </c>
      <c r="I145" s="9" t="n">
        <f aca="false">G145*H145</f>
        <v>1.9095</v>
      </c>
      <c r="J145" s="6" t="s">
        <v>598</v>
      </c>
      <c r="K145" s="6" t="s">
        <v>61</v>
      </c>
    </row>
    <row r="146" customFormat="false" ht="15" hidden="false" customHeight="false" outlineLevel="0" collapsed="false">
      <c r="A146" s="6" t="n">
        <v>138</v>
      </c>
      <c r="B146" s="6" t="n">
        <v>4146</v>
      </c>
      <c r="C146" s="7" t="s">
        <v>599</v>
      </c>
      <c r="D146" s="6" t="s">
        <v>600</v>
      </c>
      <c r="E146" s="6" t="s">
        <v>600</v>
      </c>
      <c r="F146" s="6" t="s">
        <v>601</v>
      </c>
      <c r="G146" s="8" t="n">
        <v>3</v>
      </c>
      <c r="H146" s="9" t="n">
        <v>8.0085</v>
      </c>
      <c r="I146" s="9" t="n">
        <f aca="false">G146*H146</f>
        <v>24.0255</v>
      </c>
      <c r="J146" s="6" t="s">
        <v>602</v>
      </c>
      <c r="K146" s="6"/>
    </row>
    <row r="147" customFormat="false" ht="15" hidden="false" customHeight="false" outlineLevel="0" collapsed="false">
      <c r="A147" s="6" t="n">
        <v>139</v>
      </c>
      <c r="B147" s="6" t="n">
        <v>4147</v>
      </c>
      <c r="C147" s="7" t="s">
        <v>603</v>
      </c>
      <c r="D147" s="6" t="s">
        <v>604</v>
      </c>
      <c r="E147" s="6" t="s">
        <v>604</v>
      </c>
      <c r="F147" s="6" t="s">
        <v>601</v>
      </c>
      <c r="G147" s="8" t="n">
        <v>1</v>
      </c>
      <c r="H147" s="9" t="n">
        <v>8.0275</v>
      </c>
      <c r="I147" s="9" t="n">
        <f aca="false">G147*H147</f>
        <v>8.0275</v>
      </c>
      <c r="J147" s="6" t="s">
        <v>605</v>
      </c>
      <c r="K147" s="6"/>
    </row>
    <row r="148" customFormat="false" ht="15" hidden="false" customHeight="false" outlineLevel="0" collapsed="false">
      <c r="A148" s="6" t="n">
        <v>140</v>
      </c>
      <c r="B148" s="6" t="n">
        <v>4269</v>
      </c>
      <c r="C148" s="7" t="s">
        <v>606</v>
      </c>
      <c r="D148" s="6" t="s">
        <v>607</v>
      </c>
      <c r="E148" s="6" t="s">
        <v>608</v>
      </c>
      <c r="F148" s="6" t="s">
        <v>609</v>
      </c>
      <c r="G148" s="8" t="n">
        <v>2</v>
      </c>
      <c r="H148" s="9" t="n">
        <v>7.752</v>
      </c>
      <c r="I148" s="9" t="n">
        <f aca="false">G148*H148</f>
        <v>15.504</v>
      </c>
      <c r="J148" s="6" t="s">
        <v>610</v>
      </c>
      <c r="K148" s="6"/>
    </row>
    <row r="149" customFormat="false" ht="15" hidden="false" customHeight="false" outlineLevel="0" collapsed="false">
      <c r="A149" s="6" t="n">
        <v>141</v>
      </c>
      <c r="B149" s="6" t="n">
        <v>4272</v>
      </c>
      <c r="C149" s="7" t="s">
        <v>611</v>
      </c>
      <c r="D149" s="6" t="s">
        <v>612</v>
      </c>
      <c r="E149" s="6" t="s">
        <v>613</v>
      </c>
      <c r="F149" s="6" t="s">
        <v>335</v>
      </c>
      <c r="G149" s="8" t="n">
        <v>2</v>
      </c>
      <c r="H149" s="9" t="n">
        <v>94.0405</v>
      </c>
      <c r="I149" s="9" t="n">
        <f aca="false">G149*H149</f>
        <v>188.081</v>
      </c>
      <c r="J149" s="6" t="s">
        <v>614</v>
      </c>
      <c r="K149" s="6"/>
    </row>
    <row r="150" customFormat="false" ht="15" hidden="false" customHeight="false" outlineLevel="0" collapsed="false">
      <c r="A150" s="6" t="n">
        <v>142</v>
      </c>
      <c r="B150" s="6" t="n">
        <v>4424</v>
      </c>
      <c r="C150" s="7" t="s">
        <v>615</v>
      </c>
      <c r="D150" s="6" t="s">
        <v>616</v>
      </c>
      <c r="E150" s="6" t="s">
        <v>617</v>
      </c>
      <c r="F150" s="6" t="s">
        <v>92</v>
      </c>
      <c r="G150" s="8" t="n">
        <v>4</v>
      </c>
      <c r="H150" s="9" t="n">
        <v>14.2215</v>
      </c>
      <c r="I150" s="9" t="n">
        <f aca="false">G150*H150</f>
        <v>56.886</v>
      </c>
      <c r="J150" s="6" t="s">
        <v>618</v>
      </c>
      <c r="K150" s="6" t="s">
        <v>61</v>
      </c>
    </row>
    <row r="151" customFormat="false" ht="15" hidden="false" customHeight="false" outlineLevel="0" collapsed="false">
      <c r="A151" s="6" t="n">
        <v>143</v>
      </c>
      <c r="B151" s="6" t="n">
        <v>4496</v>
      </c>
      <c r="C151" s="7" t="s">
        <v>619</v>
      </c>
      <c r="D151" s="6" t="s">
        <v>620</v>
      </c>
      <c r="E151" s="6" t="s">
        <v>621</v>
      </c>
      <c r="F151" s="6" t="s">
        <v>312</v>
      </c>
      <c r="G151" s="8" t="n">
        <v>5</v>
      </c>
      <c r="H151" s="9" t="n">
        <v>7.258</v>
      </c>
      <c r="I151" s="9" t="n">
        <f aca="false">G151*H151</f>
        <v>36.29</v>
      </c>
      <c r="J151" s="6" t="s">
        <v>622</v>
      </c>
      <c r="K151" s="6"/>
    </row>
    <row r="152" customFormat="false" ht="15" hidden="false" customHeight="false" outlineLevel="0" collapsed="false">
      <c r="A152" s="6" t="n">
        <v>144</v>
      </c>
      <c r="B152" s="6" t="n">
        <v>7231</v>
      </c>
      <c r="C152" s="7" t="s">
        <v>623</v>
      </c>
      <c r="D152" s="6" t="s">
        <v>624</v>
      </c>
      <c r="E152" s="6" t="s">
        <v>624</v>
      </c>
      <c r="F152" s="6"/>
      <c r="G152" s="8" t="n">
        <v>1</v>
      </c>
      <c r="H152" s="9" t="n">
        <v>6.8495</v>
      </c>
      <c r="I152" s="9" t="n">
        <f aca="false">G152*H152</f>
        <v>6.8495</v>
      </c>
      <c r="J152" s="6" t="s">
        <v>625</v>
      </c>
      <c r="K152" s="6"/>
    </row>
    <row r="153" customFormat="false" ht="15" hidden="false" customHeight="false" outlineLevel="0" collapsed="false">
      <c r="A153" s="6" t="n">
        <v>145</v>
      </c>
      <c r="B153" s="6" t="n">
        <v>4603</v>
      </c>
      <c r="C153" s="7" t="s">
        <v>626</v>
      </c>
      <c r="D153" s="6" t="s">
        <v>627</v>
      </c>
      <c r="E153" s="6" t="s">
        <v>628</v>
      </c>
      <c r="F153" s="6" t="s">
        <v>25</v>
      </c>
      <c r="G153" s="8" t="n">
        <v>1</v>
      </c>
      <c r="H153" s="9" t="n">
        <v>6.517</v>
      </c>
      <c r="I153" s="9" t="n">
        <f aca="false">G153*H153</f>
        <v>6.517</v>
      </c>
      <c r="J153" s="6" t="s">
        <v>629</v>
      </c>
      <c r="K153" s="6"/>
    </row>
    <row r="154" customFormat="false" ht="15" hidden="false" customHeight="false" outlineLevel="0" collapsed="false">
      <c r="A154" s="6" t="n">
        <v>146</v>
      </c>
      <c r="B154" s="6" t="n">
        <v>4653</v>
      </c>
      <c r="C154" s="7" t="s">
        <v>630</v>
      </c>
      <c r="D154" s="6" t="s">
        <v>631</v>
      </c>
      <c r="E154" s="6" t="s">
        <v>632</v>
      </c>
      <c r="F154" s="6" t="s">
        <v>633</v>
      </c>
      <c r="G154" s="8" t="n">
        <v>5</v>
      </c>
      <c r="H154" s="9" t="n">
        <v>25.6595</v>
      </c>
      <c r="I154" s="9" t="n">
        <f aca="false">G154*H154</f>
        <v>128.2975</v>
      </c>
      <c r="J154" s="6" t="s">
        <v>634</v>
      </c>
      <c r="K154" s="6"/>
    </row>
    <row r="155" customFormat="false" ht="15" hidden="false" customHeight="false" outlineLevel="0" collapsed="false">
      <c r="A155" s="6" t="n">
        <v>147</v>
      </c>
      <c r="B155" s="6" t="n">
        <v>1665</v>
      </c>
      <c r="C155" s="7" t="s">
        <v>635</v>
      </c>
      <c r="D155" s="6" t="s">
        <v>636</v>
      </c>
      <c r="E155" s="6" t="s">
        <v>637</v>
      </c>
      <c r="F155" s="6" t="s">
        <v>214</v>
      </c>
      <c r="G155" s="8" t="n">
        <v>2</v>
      </c>
      <c r="H155" s="9" t="n">
        <v>6.859</v>
      </c>
      <c r="I155" s="9" t="n">
        <f aca="false">G155*H155</f>
        <v>13.718</v>
      </c>
      <c r="J155" s="6" t="s">
        <v>638</v>
      </c>
      <c r="K155" s="6"/>
    </row>
    <row r="156" customFormat="false" ht="15" hidden="false" customHeight="false" outlineLevel="0" collapsed="false">
      <c r="A156" s="6" t="n">
        <v>148</v>
      </c>
      <c r="B156" s="6" t="n">
        <v>3488</v>
      </c>
      <c r="C156" s="7" t="s">
        <v>639</v>
      </c>
      <c r="D156" s="6" t="s">
        <v>640</v>
      </c>
      <c r="E156" s="6" t="s">
        <v>641</v>
      </c>
      <c r="F156" s="6" t="s">
        <v>642</v>
      </c>
      <c r="G156" s="8" t="n">
        <v>1</v>
      </c>
      <c r="H156" s="9" t="n">
        <v>101.384</v>
      </c>
      <c r="I156" s="9" t="n">
        <f aca="false">G156*H156</f>
        <v>101.384</v>
      </c>
      <c r="J156" s="6" t="s">
        <v>643</v>
      </c>
      <c r="K156" s="6"/>
    </row>
    <row r="157" customFormat="false" ht="15" hidden="false" customHeight="false" outlineLevel="0" collapsed="false">
      <c r="A157" s="6" t="n">
        <v>149</v>
      </c>
      <c r="B157" s="6" t="n">
        <v>4747</v>
      </c>
      <c r="C157" s="7" t="s">
        <v>644</v>
      </c>
      <c r="D157" s="6" t="s">
        <v>645</v>
      </c>
      <c r="E157" s="6" t="s">
        <v>646</v>
      </c>
      <c r="F157" s="6" t="s">
        <v>478</v>
      </c>
      <c r="G157" s="8" t="n">
        <v>4</v>
      </c>
      <c r="H157" s="9" t="n">
        <v>6.2605</v>
      </c>
      <c r="I157" s="9" t="n">
        <f aca="false">G157*H157</f>
        <v>25.042</v>
      </c>
      <c r="J157" s="6" t="s">
        <v>647</v>
      </c>
      <c r="K157" s="6" t="s">
        <v>61</v>
      </c>
    </row>
    <row r="158" customFormat="false" ht="15" hidden="false" customHeight="false" outlineLevel="0" collapsed="false">
      <c r="A158" s="6" t="n">
        <v>150</v>
      </c>
      <c r="B158" s="6" t="n">
        <v>4766</v>
      </c>
      <c r="C158" s="7" t="s">
        <v>648</v>
      </c>
      <c r="D158" s="6" t="s">
        <v>649</v>
      </c>
      <c r="E158" s="6" t="s">
        <v>649</v>
      </c>
      <c r="F158" s="6" t="s">
        <v>64</v>
      </c>
      <c r="G158" s="8" t="n">
        <v>1</v>
      </c>
      <c r="H158" s="9" t="n">
        <v>17.0335</v>
      </c>
      <c r="I158" s="9" t="n">
        <f aca="false">G158*H158</f>
        <v>17.0335</v>
      </c>
      <c r="J158" s="6" t="s">
        <v>650</v>
      </c>
      <c r="K158" s="6"/>
    </row>
    <row r="159" customFormat="false" ht="15" hidden="false" customHeight="false" outlineLevel="0" collapsed="false">
      <c r="A159" s="6" t="n">
        <v>151</v>
      </c>
      <c r="B159" s="6" t="n">
        <v>4767</v>
      </c>
      <c r="C159" s="7" t="s">
        <v>651</v>
      </c>
      <c r="D159" s="6" t="s">
        <v>652</v>
      </c>
      <c r="E159" s="6" t="s">
        <v>652</v>
      </c>
      <c r="F159" s="6" t="s">
        <v>64</v>
      </c>
      <c r="G159" s="8" t="n">
        <v>4</v>
      </c>
      <c r="H159" s="9" t="n">
        <v>13.167</v>
      </c>
      <c r="I159" s="9" t="n">
        <f aca="false">G159*H159</f>
        <v>52.668</v>
      </c>
      <c r="J159" s="6" t="s">
        <v>653</v>
      </c>
      <c r="K159" s="6"/>
    </row>
    <row r="160" customFormat="false" ht="15" hidden="false" customHeight="false" outlineLevel="0" collapsed="false">
      <c r="A160" s="6" t="n">
        <v>152</v>
      </c>
      <c r="B160" s="6" t="n">
        <v>4846</v>
      </c>
      <c r="C160" s="7" t="s">
        <v>654</v>
      </c>
      <c r="D160" s="6" t="s">
        <v>655</v>
      </c>
      <c r="E160" s="6" t="s">
        <v>656</v>
      </c>
      <c r="F160" s="6" t="s">
        <v>69</v>
      </c>
      <c r="G160" s="8" t="n">
        <v>9</v>
      </c>
      <c r="H160" s="9" t="n">
        <v>6.3935</v>
      </c>
      <c r="I160" s="9" t="n">
        <f aca="false">G160*H160</f>
        <v>57.5415</v>
      </c>
      <c r="J160" s="6" t="s">
        <v>657</v>
      </c>
      <c r="K160" s="6"/>
    </row>
    <row r="161" customFormat="false" ht="15" hidden="false" customHeight="false" outlineLevel="0" collapsed="false">
      <c r="A161" s="6" t="n">
        <v>153</v>
      </c>
      <c r="B161" s="6" t="n">
        <v>7664</v>
      </c>
      <c r="C161" s="7" t="s">
        <v>658</v>
      </c>
      <c r="D161" s="6" t="s">
        <v>659</v>
      </c>
      <c r="E161" s="6" t="s">
        <v>660</v>
      </c>
      <c r="F161" s="6"/>
      <c r="G161" s="8" t="n">
        <v>12</v>
      </c>
      <c r="H161" s="9" t="n">
        <v>4.37</v>
      </c>
      <c r="I161" s="9" t="n">
        <f aca="false">G161*H161</f>
        <v>52.44</v>
      </c>
      <c r="J161" s="6" t="s">
        <v>661</v>
      </c>
      <c r="K161" s="6"/>
    </row>
    <row r="162" customFormat="false" ht="15" hidden="false" customHeight="false" outlineLevel="0" collapsed="false">
      <c r="A162" s="6" t="n">
        <v>154</v>
      </c>
      <c r="B162" s="6" t="n">
        <v>7665</v>
      </c>
      <c r="C162" s="7" t="s">
        <v>662</v>
      </c>
      <c r="D162" s="6" t="s">
        <v>663</v>
      </c>
      <c r="E162" s="6" t="s">
        <v>664</v>
      </c>
      <c r="F162" s="6" t="s">
        <v>665</v>
      </c>
      <c r="G162" s="8" t="n">
        <v>12</v>
      </c>
      <c r="H162" s="9" t="n">
        <v>7.3055</v>
      </c>
      <c r="I162" s="9" t="n">
        <f aca="false">G162*H162</f>
        <v>87.666</v>
      </c>
      <c r="J162" s="6" t="s">
        <v>666</v>
      </c>
      <c r="K162" s="6"/>
    </row>
    <row r="163" customFormat="false" ht="15" hidden="false" customHeight="false" outlineLevel="0" collapsed="false">
      <c r="A163" s="6" t="n">
        <v>155</v>
      </c>
      <c r="B163" s="6" t="n">
        <v>7151</v>
      </c>
      <c r="C163" s="7" t="s">
        <v>667</v>
      </c>
      <c r="D163" s="6" t="s">
        <v>668</v>
      </c>
      <c r="E163" s="6" t="s">
        <v>669</v>
      </c>
      <c r="F163" s="6" t="s">
        <v>54</v>
      </c>
      <c r="G163" s="8" t="n">
        <v>12</v>
      </c>
      <c r="H163" s="9" t="n">
        <v>18.696</v>
      </c>
      <c r="I163" s="9" t="n">
        <f aca="false">G163*H163</f>
        <v>224.352</v>
      </c>
      <c r="J163" s="6" t="s">
        <v>670</v>
      </c>
      <c r="K163" s="6"/>
    </row>
    <row r="164" customFormat="false" ht="15" hidden="false" customHeight="false" outlineLevel="0" collapsed="false">
      <c r="A164" s="6" t="n">
        <v>156</v>
      </c>
      <c r="B164" s="6" t="n">
        <v>4984</v>
      </c>
      <c r="C164" s="7" t="s">
        <v>671</v>
      </c>
      <c r="D164" s="6" t="s">
        <v>672</v>
      </c>
      <c r="E164" s="6" t="s">
        <v>673</v>
      </c>
      <c r="F164" s="6" t="s">
        <v>64</v>
      </c>
      <c r="G164" s="8" t="n">
        <v>1</v>
      </c>
      <c r="H164" s="9" t="n">
        <v>62.1585</v>
      </c>
      <c r="I164" s="9" t="n">
        <f aca="false">G164*H164</f>
        <v>62.1585</v>
      </c>
      <c r="J164" s="6" t="s">
        <v>674</v>
      </c>
      <c r="K164" s="6"/>
    </row>
    <row r="165" customFormat="false" ht="15" hidden="false" customHeight="false" outlineLevel="0" collapsed="false">
      <c r="A165" s="6" t="n">
        <v>157</v>
      </c>
      <c r="B165" s="6" t="n">
        <v>4985</v>
      </c>
      <c r="C165" s="7" t="s">
        <v>675</v>
      </c>
      <c r="D165" s="6" t="s">
        <v>676</v>
      </c>
      <c r="E165" s="6" t="s">
        <v>677</v>
      </c>
      <c r="F165" s="6" t="s">
        <v>64</v>
      </c>
      <c r="G165" s="8" t="n">
        <v>1</v>
      </c>
      <c r="H165" s="9" t="n">
        <v>24.1015</v>
      </c>
      <c r="I165" s="9" t="n">
        <f aca="false">G165*H165</f>
        <v>24.1015</v>
      </c>
      <c r="J165" s="6" t="s">
        <v>678</v>
      </c>
      <c r="K165" s="6"/>
    </row>
    <row r="166" customFormat="false" ht="15" hidden="false" customHeight="false" outlineLevel="0" collapsed="false">
      <c r="A166" s="6" t="n">
        <v>158</v>
      </c>
      <c r="B166" s="6" t="n">
        <v>7495</v>
      </c>
      <c r="C166" s="7" t="s">
        <v>679</v>
      </c>
      <c r="D166" s="6" t="s">
        <v>680</v>
      </c>
      <c r="E166" s="6" t="s">
        <v>681</v>
      </c>
      <c r="F166" s="6" t="s">
        <v>176</v>
      </c>
      <c r="G166" s="8" t="n">
        <v>8</v>
      </c>
      <c r="H166" s="9" t="n">
        <v>12.8155</v>
      </c>
      <c r="I166" s="9" t="n">
        <f aca="false">G166*H166</f>
        <v>102.524</v>
      </c>
      <c r="J166" s="6" t="s">
        <v>682</v>
      </c>
      <c r="K166" s="6"/>
    </row>
    <row r="167" customFormat="false" ht="15" hidden="false" customHeight="false" outlineLevel="0" collapsed="false">
      <c r="A167" s="6" t="n">
        <v>159</v>
      </c>
      <c r="B167" s="6" t="n">
        <v>2676</v>
      </c>
      <c r="C167" s="7" t="s">
        <v>683</v>
      </c>
      <c r="D167" s="6" t="s">
        <v>684</v>
      </c>
      <c r="E167" s="6" t="s">
        <v>685</v>
      </c>
      <c r="F167" s="6" t="s">
        <v>124</v>
      </c>
      <c r="G167" s="8" t="n">
        <v>2</v>
      </c>
      <c r="H167" s="9" t="n">
        <v>5.016</v>
      </c>
      <c r="I167" s="9" t="n">
        <f aca="false">G167*H167</f>
        <v>10.032</v>
      </c>
      <c r="J167" s="6" t="s">
        <v>686</v>
      </c>
      <c r="K167" s="6"/>
    </row>
    <row r="168" customFormat="false" ht="15" hidden="false" customHeight="false" outlineLevel="0" collapsed="false">
      <c r="A168" s="6" t="n">
        <v>160</v>
      </c>
      <c r="B168" s="6" t="n">
        <v>2679</v>
      </c>
      <c r="C168" s="7" t="s">
        <v>687</v>
      </c>
      <c r="D168" s="6" t="s">
        <v>688</v>
      </c>
      <c r="E168" s="6" t="s">
        <v>689</v>
      </c>
      <c r="F168" s="6" t="s">
        <v>124</v>
      </c>
      <c r="G168" s="8" t="n">
        <v>1</v>
      </c>
      <c r="H168" s="9" t="n">
        <v>8.9015</v>
      </c>
      <c r="I168" s="9" t="n">
        <f aca="false">G168*H168</f>
        <v>8.9015</v>
      </c>
      <c r="J168" s="6" t="s">
        <v>690</v>
      </c>
      <c r="K168" s="6"/>
    </row>
    <row r="169" customFormat="false" ht="15" hidden="false" customHeight="false" outlineLevel="0" collapsed="false">
      <c r="A169" s="6" t="n">
        <v>161</v>
      </c>
      <c r="B169" s="6" t="n">
        <v>5063</v>
      </c>
      <c r="C169" s="7" t="s">
        <v>691</v>
      </c>
      <c r="D169" s="6" t="s">
        <v>692</v>
      </c>
      <c r="E169" s="6" t="s">
        <v>692</v>
      </c>
      <c r="F169" s="6" t="s">
        <v>642</v>
      </c>
      <c r="G169" s="8" t="n">
        <v>2</v>
      </c>
      <c r="H169" s="9" t="n">
        <v>75.2875</v>
      </c>
      <c r="I169" s="9" t="n">
        <f aca="false">G169*H169</f>
        <v>150.575</v>
      </c>
      <c r="J169" s="6" t="s">
        <v>693</v>
      </c>
      <c r="K169" s="6"/>
    </row>
    <row r="170" customFormat="false" ht="15" hidden="false" customHeight="false" outlineLevel="0" collapsed="false">
      <c r="A170" s="6" t="n">
        <v>162</v>
      </c>
      <c r="B170" s="6" t="n">
        <v>5084</v>
      </c>
      <c r="C170" s="7" t="s">
        <v>694</v>
      </c>
      <c r="D170" s="6" t="s">
        <v>695</v>
      </c>
      <c r="E170" s="6" t="s">
        <v>696</v>
      </c>
      <c r="F170" s="6" t="s">
        <v>124</v>
      </c>
      <c r="G170" s="8" t="n">
        <v>5</v>
      </c>
      <c r="H170" s="9" t="n">
        <v>6.175</v>
      </c>
      <c r="I170" s="9" t="n">
        <f aca="false">G170*H170</f>
        <v>30.875</v>
      </c>
      <c r="J170" s="6" t="s">
        <v>697</v>
      </c>
      <c r="K170" s="6" t="s">
        <v>61</v>
      </c>
    </row>
    <row r="171" customFormat="false" ht="15" hidden="false" customHeight="false" outlineLevel="0" collapsed="false">
      <c r="A171" s="6" t="n">
        <v>163</v>
      </c>
      <c r="B171" s="6" t="n">
        <v>5208</v>
      </c>
      <c r="C171" s="7" t="s">
        <v>698</v>
      </c>
      <c r="D171" s="6" t="s">
        <v>699</v>
      </c>
      <c r="E171" s="6" t="s">
        <v>700</v>
      </c>
      <c r="F171" s="6" t="s">
        <v>240</v>
      </c>
      <c r="G171" s="8" t="n">
        <v>10</v>
      </c>
      <c r="H171" s="9" t="n">
        <v>10.5545</v>
      </c>
      <c r="I171" s="9" t="n">
        <f aca="false">G171*H171</f>
        <v>105.545</v>
      </c>
      <c r="J171" s="6" t="s">
        <v>701</v>
      </c>
      <c r="K171" s="6"/>
    </row>
    <row r="172" customFormat="false" ht="15" hidden="false" customHeight="false" outlineLevel="0" collapsed="false">
      <c r="A172" s="6" t="n">
        <v>164</v>
      </c>
      <c r="B172" s="6" t="n">
        <v>5230</v>
      </c>
      <c r="C172" s="7" t="s">
        <v>702</v>
      </c>
      <c r="D172" s="6" t="s">
        <v>703</v>
      </c>
      <c r="E172" s="6" t="s">
        <v>704</v>
      </c>
      <c r="F172" s="6" t="s">
        <v>705</v>
      </c>
      <c r="G172" s="8" t="n">
        <v>6</v>
      </c>
      <c r="H172" s="9" t="n">
        <v>11.172</v>
      </c>
      <c r="I172" s="9" t="n">
        <f aca="false">G172*H172</f>
        <v>67.032</v>
      </c>
      <c r="J172" s="6" t="s">
        <v>706</v>
      </c>
      <c r="K172" s="6"/>
    </row>
    <row r="173" customFormat="false" ht="15" hidden="false" customHeight="false" outlineLevel="0" collapsed="false">
      <c r="A173" s="6" t="n">
        <v>165</v>
      </c>
      <c r="B173" s="6" t="n">
        <v>5255</v>
      </c>
      <c r="C173" s="7" t="s">
        <v>707</v>
      </c>
      <c r="D173" s="6" t="s">
        <v>708</v>
      </c>
      <c r="E173" s="6" t="s">
        <v>709</v>
      </c>
      <c r="F173" s="6" t="s">
        <v>710</v>
      </c>
      <c r="G173" s="8" t="n">
        <v>21</v>
      </c>
      <c r="H173" s="9" t="n">
        <v>5.415</v>
      </c>
      <c r="I173" s="9" t="n">
        <f aca="false">G173*H173</f>
        <v>113.715</v>
      </c>
      <c r="J173" s="6" t="s">
        <v>711</v>
      </c>
      <c r="K173" s="6"/>
    </row>
    <row r="174" customFormat="false" ht="15" hidden="false" customHeight="false" outlineLevel="0" collapsed="false">
      <c r="A174" s="6" t="n">
        <v>166</v>
      </c>
      <c r="B174" s="6" t="n">
        <v>5263</v>
      </c>
      <c r="C174" s="7" t="s">
        <v>712</v>
      </c>
      <c r="D174" s="6" t="s">
        <v>713</v>
      </c>
      <c r="E174" s="6" t="s">
        <v>714</v>
      </c>
      <c r="F174" s="6" t="s">
        <v>106</v>
      </c>
      <c r="G174" s="8" t="n">
        <v>1</v>
      </c>
      <c r="H174" s="9" t="n">
        <v>2.4985</v>
      </c>
      <c r="I174" s="9" t="n">
        <f aca="false">G174*H174</f>
        <v>2.4985</v>
      </c>
      <c r="J174" s="6" t="s">
        <v>715</v>
      </c>
      <c r="K174" s="6" t="s">
        <v>61</v>
      </c>
    </row>
    <row r="175" customFormat="false" ht="15" hidden="false" customHeight="false" outlineLevel="0" collapsed="false">
      <c r="A175" s="6" t="n">
        <v>167</v>
      </c>
      <c r="B175" s="6" t="n">
        <v>5287</v>
      </c>
      <c r="C175" s="7" t="s">
        <v>716</v>
      </c>
      <c r="D175" s="6" t="s">
        <v>717</v>
      </c>
      <c r="E175" s="6" t="s">
        <v>717</v>
      </c>
      <c r="F175" s="6" t="s">
        <v>69</v>
      </c>
      <c r="G175" s="8" t="n">
        <v>1</v>
      </c>
      <c r="H175" s="9" t="n">
        <v>4.199</v>
      </c>
      <c r="I175" s="9" t="n">
        <f aca="false">G175*H175</f>
        <v>4.199</v>
      </c>
      <c r="J175" s="6" t="s">
        <v>718</v>
      </c>
      <c r="K175" s="6" t="s">
        <v>61</v>
      </c>
    </row>
    <row r="176" customFormat="false" ht="15" hidden="false" customHeight="false" outlineLevel="0" collapsed="false">
      <c r="A176" s="6" t="n">
        <v>168</v>
      </c>
      <c r="B176" s="6" t="n">
        <v>2296</v>
      </c>
      <c r="C176" s="7" t="s">
        <v>719</v>
      </c>
      <c r="D176" s="6" t="s">
        <v>720</v>
      </c>
      <c r="E176" s="6" t="s">
        <v>721</v>
      </c>
      <c r="F176" s="6" t="s">
        <v>240</v>
      </c>
      <c r="G176" s="8" t="n">
        <v>2</v>
      </c>
      <c r="H176" s="9" t="n">
        <v>5.8805</v>
      </c>
      <c r="I176" s="9" t="n">
        <f aca="false">G176*H176</f>
        <v>11.761</v>
      </c>
      <c r="J176" s="6" t="s">
        <v>722</v>
      </c>
      <c r="K176" s="6"/>
    </row>
    <row r="177" customFormat="false" ht="15" hidden="false" customHeight="false" outlineLevel="0" collapsed="false">
      <c r="A177" s="6" t="n">
        <v>169</v>
      </c>
      <c r="B177" s="6" t="n">
        <v>5366</v>
      </c>
      <c r="C177" s="7" t="s">
        <v>723</v>
      </c>
      <c r="D177" s="6" t="s">
        <v>724</v>
      </c>
      <c r="E177" s="6" t="s">
        <v>725</v>
      </c>
      <c r="F177" s="6" t="s">
        <v>532</v>
      </c>
      <c r="G177" s="8" t="n">
        <v>5</v>
      </c>
      <c r="H177" s="9" t="n">
        <v>9.937</v>
      </c>
      <c r="I177" s="9" t="n">
        <f aca="false">G177*H177</f>
        <v>49.685</v>
      </c>
      <c r="J177" s="6" t="s">
        <v>726</v>
      </c>
      <c r="K177" s="6"/>
    </row>
    <row r="178" customFormat="false" ht="15" hidden="false" customHeight="false" outlineLevel="0" collapsed="false">
      <c r="A178" s="6" t="n">
        <v>170</v>
      </c>
      <c r="B178" s="6" t="n">
        <v>5372</v>
      </c>
      <c r="C178" s="7" t="s">
        <v>727</v>
      </c>
      <c r="D178" s="6" t="s">
        <v>728</v>
      </c>
      <c r="E178" s="6" t="s">
        <v>729</v>
      </c>
      <c r="F178" s="6" t="s">
        <v>124</v>
      </c>
      <c r="G178" s="8" t="n">
        <v>11</v>
      </c>
      <c r="H178" s="9" t="n">
        <v>3.9805</v>
      </c>
      <c r="I178" s="9" t="n">
        <f aca="false">G178*H178</f>
        <v>43.7855</v>
      </c>
      <c r="J178" s="6" t="s">
        <v>730</v>
      </c>
      <c r="K178" s="6"/>
    </row>
    <row r="179" customFormat="false" ht="15" hidden="false" customHeight="false" outlineLevel="0" collapsed="false">
      <c r="A179" s="6" t="n">
        <v>171</v>
      </c>
      <c r="B179" s="6" t="n">
        <v>5376</v>
      </c>
      <c r="C179" s="7" t="s">
        <v>731</v>
      </c>
      <c r="D179" s="6" t="s">
        <v>732</v>
      </c>
      <c r="E179" s="6" t="s">
        <v>729</v>
      </c>
      <c r="F179" s="6" t="s">
        <v>154</v>
      </c>
      <c r="G179" s="8" t="n">
        <v>20</v>
      </c>
      <c r="H179" s="9" t="n">
        <v>4.066</v>
      </c>
      <c r="I179" s="9" t="n">
        <f aca="false">G179*H179</f>
        <v>81.32</v>
      </c>
      <c r="J179" s="6" t="s">
        <v>733</v>
      </c>
      <c r="K179" s="6"/>
    </row>
    <row r="180" customFormat="false" ht="15" hidden="false" customHeight="false" outlineLevel="0" collapsed="false">
      <c r="A180" s="6" t="n">
        <v>172</v>
      </c>
      <c r="B180" s="6" t="n">
        <v>5404</v>
      </c>
      <c r="C180" s="7" t="s">
        <v>734</v>
      </c>
      <c r="D180" s="6" t="s">
        <v>735</v>
      </c>
      <c r="E180" s="6" t="s">
        <v>736</v>
      </c>
      <c r="F180" s="6" t="s">
        <v>25</v>
      </c>
      <c r="G180" s="8" t="n">
        <v>1</v>
      </c>
      <c r="H180" s="9" t="n">
        <v>11.096</v>
      </c>
      <c r="I180" s="9" t="n">
        <f aca="false">G180*H180</f>
        <v>11.096</v>
      </c>
      <c r="J180" s="6" t="s">
        <v>737</v>
      </c>
      <c r="K180" s="6"/>
    </row>
    <row r="181" customFormat="false" ht="15" hidden="false" customHeight="false" outlineLevel="0" collapsed="false">
      <c r="A181" s="6" t="n">
        <v>173</v>
      </c>
      <c r="B181" s="6" t="n">
        <v>5509</v>
      </c>
      <c r="C181" s="7" t="s">
        <v>738</v>
      </c>
      <c r="D181" s="6" t="s">
        <v>739</v>
      </c>
      <c r="E181" s="6" t="s">
        <v>740</v>
      </c>
      <c r="F181" s="6" t="s">
        <v>741</v>
      </c>
      <c r="G181" s="8" t="n">
        <v>3</v>
      </c>
      <c r="H181" s="9" t="n">
        <v>1.2445</v>
      </c>
      <c r="I181" s="9" t="n">
        <f aca="false">G181*H181</f>
        <v>3.7335</v>
      </c>
      <c r="J181" s="6" t="s">
        <v>742</v>
      </c>
      <c r="K181" s="6"/>
    </row>
    <row r="182" customFormat="false" ht="15" hidden="false" customHeight="false" outlineLevel="0" collapsed="false">
      <c r="A182" s="6" t="n">
        <v>174</v>
      </c>
      <c r="B182" s="6" t="n">
        <v>5522</v>
      </c>
      <c r="C182" s="7" t="s">
        <v>743</v>
      </c>
      <c r="D182" s="6" t="s">
        <v>744</v>
      </c>
      <c r="E182" s="6" t="s">
        <v>745</v>
      </c>
      <c r="F182" s="6" t="s">
        <v>746</v>
      </c>
      <c r="G182" s="8" t="n">
        <v>2</v>
      </c>
      <c r="H182" s="9" t="n">
        <v>5.111</v>
      </c>
      <c r="I182" s="9" t="n">
        <f aca="false">G182*H182</f>
        <v>10.222</v>
      </c>
      <c r="J182" s="6" t="s">
        <v>747</v>
      </c>
      <c r="K182" s="6"/>
    </row>
    <row r="183" customFormat="false" ht="15" hidden="false" customHeight="false" outlineLevel="0" collapsed="false">
      <c r="A183" s="6" t="n">
        <v>175</v>
      </c>
      <c r="B183" s="6" t="n">
        <v>5435</v>
      </c>
      <c r="C183" s="7" t="s">
        <v>748</v>
      </c>
      <c r="D183" s="6" t="s">
        <v>749</v>
      </c>
      <c r="E183" s="6" t="s">
        <v>750</v>
      </c>
      <c r="F183" s="6" t="s">
        <v>751</v>
      </c>
      <c r="G183" s="8" t="n">
        <v>44</v>
      </c>
      <c r="H183" s="9" t="n">
        <v>1.311</v>
      </c>
      <c r="I183" s="9" t="n">
        <f aca="false">G183*H183</f>
        <v>57.684</v>
      </c>
      <c r="J183" s="6" t="s">
        <v>752</v>
      </c>
      <c r="K183" s="6"/>
    </row>
    <row r="184" customFormat="false" ht="15" hidden="false" customHeight="false" outlineLevel="0" collapsed="false">
      <c r="A184" s="6" t="n">
        <v>176</v>
      </c>
      <c r="B184" s="6" t="n">
        <v>5438</v>
      </c>
      <c r="C184" s="7" t="s">
        <v>753</v>
      </c>
      <c r="D184" s="6" t="s">
        <v>754</v>
      </c>
      <c r="E184" s="6" t="s">
        <v>755</v>
      </c>
      <c r="F184" s="6" t="s">
        <v>751</v>
      </c>
      <c r="G184" s="8" t="n">
        <v>1</v>
      </c>
      <c r="H184" s="9" t="n">
        <v>8.493</v>
      </c>
      <c r="I184" s="9" t="n">
        <f aca="false">G184*H184</f>
        <v>8.493</v>
      </c>
      <c r="J184" s="6" t="s">
        <v>756</v>
      </c>
      <c r="K184" s="6" t="s">
        <v>61</v>
      </c>
    </row>
    <row r="185" customFormat="false" ht="15" hidden="false" customHeight="false" outlineLevel="0" collapsed="false">
      <c r="A185" s="6" t="n">
        <v>177</v>
      </c>
      <c r="B185" s="6" t="n">
        <v>5428</v>
      </c>
      <c r="C185" s="7" t="s">
        <v>757</v>
      </c>
      <c r="D185" s="6" t="s">
        <v>758</v>
      </c>
      <c r="E185" s="6" t="s">
        <v>759</v>
      </c>
      <c r="F185" s="6" t="s">
        <v>760</v>
      </c>
      <c r="G185" s="8" t="n">
        <v>1</v>
      </c>
      <c r="H185" s="9" t="n">
        <v>4.5315</v>
      </c>
      <c r="I185" s="9" t="n">
        <f aca="false">G185*H185</f>
        <v>4.5315</v>
      </c>
      <c r="J185" s="6" t="s">
        <v>761</v>
      </c>
      <c r="K185" s="6"/>
    </row>
    <row r="186" customFormat="false" ht="15" hidden="false" customHeight="false" outlineLevel="0" collapsed="false">
      <c r="A186" s="6" t="n">
        <v>178</v>
      </c>
      <c r="B186" s="6" t="n">
        <v>5431</v>
      </c>
      <c r="C186" s="7" t="s">
        <v>762</v>
      </c>
      <c r="D186" s="6" t="s">
        <v>763</v>
      </c>
      <c r="E186" s="6" t="s">
        <v>764</v>
      </c>
      <c r="F186" s="6" t="s">
        <v>751</v>
      </c>
      <c r="G186" s="8" t="n">
        <v>13</v>
      </c>
      <c r="H186" s="9" t="n">
        <v>4.4745</v>
      </c>
      <c r="I186" s="9" t="n">
        <f aca="false">G186*H186</f>
        <v>58.1685</v>
      </c>
      <c r="J186" s="6" t="s">
        <v>765</v>
      </c>
      <c r="K186" s="6"/>
    </row>
    <row r="187" customFormat="false" ht="15" hidden="false" customHeight="false" outlineLevel="0" collapsed="false">
      <c r="A187" s="6" t="n">
        <v>179</v>
      </c>
      <c r="B187" s="6" t="n">
        <v>5442</v>
      </c>
      <c r="C187" s="7" t="s">
        <v>766</v>
      </c>
      <c r="D187" s="6" t="s">
        <v>767</v>
      </c>
      <c r="E187" s="6" t="s">
        <v>768</v>
      </c>
      <c r="F187" s="6" t="s">
        <v>751</v>
      </c>
      <c r="G187" s="8" t="n">
        <v>5</v>
      </c>
      <c r="H187" s="9" t="n">
        <v>7.657</v>
      </c>
      <c r="I187" s="9" t="n">
        <f aca="false">G187*H187</f>
        <v>38.285</v>
      </c>
      <c r="J187" s="6" t="s">
        <v>769</v>
      </c>
      <c r="K187" s="6"/>
    </row>
    <row r="188" customFormat="false" ht="15" hidden="false" customHeight="false" outlineLevel="0" collapsed="false">
      <c r="A188" s="6" t="n">
        <v>180</v>
      </c>
      <c r="B188" s="6" t="n">
        <v>5449</v>
      </c>
      <c r="C188" s="7" t="s">
        <v>770</v>
      </c>
      <c r="D188" s="6" t="s">
        <v>771</v>
      </c>
      <c r="E188" s="6" t="s">
        <v>772</v>
      </c>
      <c r="F188" s="6" t="s">
        <v>751</v>
      </c>
      <c r="G188" s="8" t="n">
        <v>1</v>
      </c>
      <c r="H188" s="9" t="n">
        <v>7.79</v>
      </c>
      <c r="I188" s="9" t="n">
        <f aca="false">G188*H188</f>
        <v>7.79</v>
      </c>
      <c r="J188" s="6" t="s">
        <v>773</v>
      </c>
      <c r="K188" s="6"/>
    </row>
    <row r="189" customFormat="false" ht="15" hidden="false" customHeight="false" outlineLevel="0" collapsed="false">
      <c r="A189" s="6" t="n">
        <v>181</v>
      </c>
      <c r="B189" s="6" t="n">
        <v>5464</v>
      </c>
      <c r="C189" s="7" t="s">
        <v>774</v>
      </c>
      <c r="D189" s="6" t="s">
        <v>775</v>
      </c>
      <c r="E189" s="6" t="s">
        <v>776</v>
      </c>
      <c r="F189" s="6" t="s">
        <v>751</v>
      </c>
      <c r="G189" s="8" t="n">
        <v>1</v>
      </c>
      <c r="H189" s="9" t="n">
        <v>11.457</v>
      </c>
      <c r="I189" s="9" t="n">
        <f aca="false">G189*H189</f>
        <v>11.457</v>
      </c>
      <c r="J189" s="6" t="s">
        <v>777</v>
      </c>
      <c r="K189" s="6"/>
    </row>
    <row r="190" customFormat="false" ht="15" hidden="false" customHeight="false" outlineLevel="0" collapsed="false">
      <c r="A190" s="6" t="n">
        <v>182</v>
      </c>
      <c r="B190" s="6" t="n">
        <v>5465</v>
      </c>
      <c r="C190" s="7" t="s">
        <v>778</v>
      </c>
      <c r="D190" s="6" t="s">
        <v>779</v>
      </c>
      <c r="E190" s="6" t="s">
        <v>780</v>
      </c>
      <c r="F190" s="6" t="s">
        <v>751</v>
      </c>
      <c r="G190" s="8" t="n">
        <v>10</v>
      </c>
      <c r="H190" s="9" t="n">
        <v>11.457</v>
      </c>
      <c r="I190" s="9" t="n">
        <f aca="false">G190*H190</f>
        <v>114.57</v>
      </c>
      <c r="J190" s="6" t="s">
        <v>781</v>
      </c>
      <c r="K190" s="6"/>
    </row>
    <row r="191" customFormat="false" ht="15" hidden="false" customHeight="false" outlineLevel="0" collapsed="false">
      <c r="A191" s="6" t="n">
        <v>183</v>
      </c>
      <c r="B191" s="6" t="n">
        <v>5439</v>
      </c>
      <c r="C191" s="7" t="s">
        <v>782</v>
      </c>
      <c r="D191" s="6" t="s">
        <v>783</v>
      </c>
      <c r="E191" s="6" t="s">
        <v>784</v>
      </c>
      <c r="F191" s="6" t="s">
        <v>751</v>
      </c>
      <c r="G191" s="8" t="n">
        <v>5</v>
      </c>
      <c r="H191" s="9" t="n">
        <v>4.0565</v>
      </c>
      <c r="I191" s="9" t="n">
        <f aca="false">G191*H191</f>
        <v>20.2825</v>
      </c>
      <c r="J191" s="6" t="s">
        <v>785</v>
      </c>
      <c r="K191" s="6"/>
    </row>
    <row r="192" customFormat="false" ht="15" hidden="false" customHeight="false" outlineLevel="0" collapsed="false">
      <c r="A192" s="6" t="n">
        <v>184</v>
      </c>
      <c r="B192" s="6" t="n">
        <v>5474</v>
      </c>
      <c r="C192" s="7" t="s">
        <v>786</v>
      </c>
      <c r="D192" s="6" t="s">
        <v>787</v>
      </c>
      <c r="E192" s="6" t="s">
        <v>788</v>
      </c>
      <c r="F192" s="6" t="s">
        <v>741</v>
      </c>
      <c r="G192" s="8" t="n">
        <v>4</v>
      </c>
      <c r="H192" s="9" t="n">
        <v>4.2465</v>
      </c>
      <c r="I192" s="9" t="n">
        <f aca="false">G192*H192</f>
        <v>16.986</v>
      </c>
      <c r="J192" s="6" t="s">
        <v>789</v>
      </c>
      <c r="K192" s="6"/>
    </row>
    <row r="193" customFormat="false" ht="15" hidden="false" customHeight="false" outlineLevel="0" collapsed="false">
      <c r="A193" s="6" t="n">
        <v>185</v>
      </c>
      <c r="B193" s="6" t="n">
        <v>5476</v>
      </c>
      <c r="C193" s="7" t="s">
        <v>790</v>
      </c>
      <c r="D193" s="6" t="s">
        <v>791</v>
      </c>
      <c r="E193" s="6" t="s">
        <v>792</v>
      </c>
      <c r="F193" s="6" t="s">
        <v>741</v>
      </c>
      <c r="G193" s="8" t="n">
        <v>15</v>
      </c>
      <c r="H193" s="9" t="n">
        <v>4.5505</v>
      </c>
      <c r="I193" s="9" t="n">
        <f aca="false">G193*H193</f>
        <v>68.2575</v>
      </c>
      <c r="J193" s="6" t="s">
        <v>793</v>
      </c>
      <c r="K193" s="6"/>
    </row>
    <row r="194" customFormat="false" ht="15" hidden="false" customHeight="false" outlineLevel="0" collapsed="false">
      <c r="A194" s="6" t="n">
        <v>186</v>
      </c>
      <c r="B194" s="6" t="n">
        <v>5524</v>
      </c>
      <c r="C194" s="7" t="s">
        <v>794</v>
      </c>
      <c r="D194" s="6" t="s">
        <v>795</v>
      </c>
      <c r="E194" s="6" t="s">
        <v>796</v>
      </c>
      <c r="F194" s="6" t="s">
        <v>746</v>
      </c>
      <c r="G194" s="8" t="n">
        <v>1</v>
      </c>
      <c r="H194" s="9" t="n">
        <v>2.261</v>
      </c>
      <c r="I194" s="9" t="n">
        <f aca="false">G194*H194</f>
        <v>2.261</v>
      </c>
      <c r="J194" s="6" t="s">
        <v>797</v>
      </c>
      <c r="K194" s="6"/>
    </row>
    <row r="195" customFormat="false" ht="15" hidden="false" customHeight="false" outlineLevel="0" collapsed="false">
      <c r="A195" s="6" t="n">
        <v>187</v>
      </c>
      <c r="B195" s="6" t="n">
        <v>5525</v>
      </c>
      <c r="C195" s="7" t="s">
        <v>798</v>
      </c>
      <c r="D195" s="6" t="s">
        <v>799</v>
      </c>
      <c r="E195" s="6" t="s">
        <v>800</v>
      </c>
      <c r="F195" s="6" t="s">
        <v>746</v>
      </c>
      <c r="G195" s="8" t="n">
        <v>10</v>
      </c>
      <c r="H195" s="9" t="n">
        <v>2.1185</v>
      </c>
      <c r="I195" s="9" t="n">
        <f aca="false">G195*H195</f>
        <v>21.185</v>
      </c>
      <c r="J195" s="6" t="s">
        <v>801</v>
      </c>
      <c r="K195" s="6"/>
    </row>
    <row r="196" customFormat="false" ht="15" hidden="false" customHeight="false" outlineLevel="0" collapsed="false">
      <c r="A196" s="6" t="n">
        <v>188</v>
      </c>
      <c r="B196" s="6" t="n">
        <v>5528</v>
      </c>
      <c r="C196" s="7" t="s">
        <v>802</v>
      </c>
      <c r="D196" s="6" t="s">
        <v>803</v>
      </c>
      <c r="E196" s="6" t="s">
        <v>804</v>
      </c>
      <c r="F196" s="6" t="s">
        <v>746</v>
      </c>
      <c r="G196" s="8" t="n">
        <v>2</v>
      </c>
      <c r="H196" s="9" t="n">
        <v>2.1185</v>
      </c>
      <c r="I196" s="9" t="n">
        <f aca="false">G196*H196</f>
        <v>4.237</v>
      </c>
      <c r="J196" s="6" t="s">
        <v>805</v>
      </c>
      <c r="K196" s="6"/>
    </row>
    <row r="197" customFormat="false" ht="15" hidden="false" customHeight="false" outlineLevel="0" collapsed="false">
      <c r="A197" s="6" t="n">
        <v>189</v>
      </c>
      <c r="B197" s="6" t="n">
        <v>5533</v>
      </c>
      <c r="C197" s="7" t="s">
        <v>806</v>
      </c>
      <c r="D197" s="6" t="s">
        <v>807</v>
      </c>
      <c r="E197" s="6" t="s">
        <v>808</v>
      </c>
      <c r="F197" s="6" t="s">
        <v>746</v>
      </c>
      <c r="G197" s="8" t="n">
        <v>8</v>
      </c>
      <c r="H197" s="9" t="n">
        <v>5.4435</v>
      </c>
      <c r="I197" s="9" t="n">
        <f aca="false">G197*H197</f>
        <v>43.548</v>
      </c>
      <c r="J197" s="6" t="s">
        <v>809</v>
      </c>
      <c r="K197" s="6"/>
    </row>
    <row r="198" customFormat="false" ht="15" hidden="false" customHeight="false" outlineLevel="0" collapsed="false">
      <c r="A198" s="6" t="n">
        <v>190</v>
      </c>
      <c r="B198" s="6" t="n">
        <v>5535</v>
      </c>
      <c r="C198" s="7" t="s">
        <v>810</v>
      </c>
      <c r="D198" s="6" t="s">
        <v>811</v>
      </c>
      <c r="E198" s="6" t="s">
        <v>812</v>
      </c>
      <c r="F198" s="6" t="s">
        <v>746</v>
      </c>
      <c r="G198" s="8" t="n">
        <v>7</v>
      </c>
      <c r="H198" s="9" t="n">
        <v>4.4175</v>
      </c>
      <c r="I198" s="9" t="n">
        <f aca="false">G198*H198</f>
        <v>30.9225</v>
      </c>
      <c r="J198" s="6" t="s">
        <v>813</v>
      </c>
      <c r="K198" s="6"/>
    </row>
    <row r="199" customFormat="false" ht="15" hidden="false" customHeight="false" outlineLevel="0" collapsed="false">
      <c r="A199" s="6" t="n">
        <v>191</v>
      </c>
      <c r="B199" s="6" t="n">
        <v>5512</v>
      </c>
      <c r="C199" s="7" t="s">
        <v>814</v>
      </c>
      <c r="D199" s="6" t="s">
        <v>815</v>
      </c>
      <c r="E199" s="6" t="s">
        <v>816</v>
      </c>
      <c r="F199" s="6" t="s">
        <v>817</v>
      </c>
      <c r="G199" s="8" t="n">
        <v>1</v>
      </c>
      <c r="H199" s="9" t="n">
        <v>1.235</v>
      </c>
      <c r="I199" s="9" t="n">
        <f aca="false">G199*H199</f>
        <v>1.235</v>
      </c>
      <c r="J199" s="6" t="s">
        <v>818</v>
      </c>
      <c r="K199" s="6"/>
    </row>
    <row r="200" customFormat="false" ht="15" hidden="false" customHeight="false" outlineLevel="0" collapsed="false">
      <c r="A200" s="6" t="n">
        <v>192</v>
      </c>
      <c r="B200" s="6" t="n">
        <v>7153</v>
      </c>
      <c r="C200" s="7" t="s">
        <v>819</v>
      </c>
      <c r="D200" s="6" t="s">
        <v>820</v>
      </c>
      <c r="E200" s="6" t="s">
        <v>821</v>
      </c>
      <c r="F200" s="6" t="s">
        <v>54</v>
      </c>
      <c r="G200" s="8" t="n">
        <v>3</v>
      </c>
      <c r="H200" s="9" t="n">
        <v>7.6285</v>
      </c>
      <c r="I200" s="9" t="n">
        <f aca="false">G200*H200</f>
        <v>22.8855</v>
      </c>
      <c r="J200" s="6" t="s">
        <v>822</v>
      </c>
      <c r="K200" s="6"/>
    </row>
    <row r="201" customFormat="false" ht="15" hidden="false" customHeight="false" outlineLevel="0" collapsed="false">
      <c r="A201" s="6" t="n">
        <v>193</v>
      </c>
      <c r="B201" s="6" t="n">
        <v>3041</v>
      </c>
      <c r="C201" s="7" t="s">
        <v>823</v>
      </c>
      <c r="D201" s="6" t="s">
        <v>824</v>
      </c>
      <c r="E201" s="6" t="s">
        <v>825</v>
      </c>
      <c r="F201" s="6" t="s">
        <v>64</v>
      </c>
      <c r="G201" s="8" t="n">
        <v>1</v>
      </c>
      <c r="H201" s="9" t="n">
        <v>106.8275</v>
      </c>
      <c r="I201" s="9" t="n">
        <f aca="false">G201*H201</f>
        <v>106.8275</v>
      </c>
      <c r="J201" s="6" t="s">
        <v>826</v>
      </c>
      <c r="K201" s="6"/>
    </row>
    <row r="202" customFormat="false" ht="15" hidden="false" customHeight="false" outlineLevel="0" collapsed="false">
      <c r="A202" s="6" t="n">
        <v>194</v>
      </c>
      <c r="B202" s="6" t="n">
        <v>2272</v>
      </c>
      <c r="C202" s="7" t="s">
        <v>827</v>
      </c>
      <c r="D202" s="6" t="s">
        <v>828</v>
      </c>
      <c r="E202" s="6" t="s">
        <v>829</v>
      </c>
      <c r="F202" s="6" t="s">
        <v>92</v>
      </c>
      <c r="G202" s="8" t="n">
        <v>1</v>
      </c>
      <c r="H202" s="9" t="n">
        <v>3.2585</v>
      </c>
      <c r="I202" s="9" t="n">
        <f aca="false">G202*H202</f>
        <v>3.2585</v>
      </c>
      <c r="J202" s="6" t="s">
        <v>830</v>
      </c>
      <c r="K202" s="6"/>
    </row>
    <row r="203" customFormat="false" ht="15" hidden="false" customHeight="false" outlineLevel="0" collapsed="false">
      <c r="A203" s="6" t="n">
        <v>195</v>
      </c>
      <c r="B203" s="6" t="n">
        <v>3125</v>
      </c>
      <c r="C203" s="7" t="s">
        <v>831</v>
      </c>
      <c r="D203" s="6" t="s">
        <v>832</v>
      </c>
      <c r="E203" s="6" t="s">
        <v>833</v>
      </c>
      <c r="F203" s="6" t="s">
        <v>124</v>
      </c>
      <c r="G203" s="8" t="n">
        <v>5</v>
      </c>
      <c r="H203" s="9" t="n">
        <v>4.009</v>
      </c>
      <c r="I203" s="9" t="n">
        <f aca="false">G203*H203</f>
        <v>20.045</v>
      </c>
      <c r="J203" s="6" t="s">
        <v>834</v>
      </c>
      <c r="K203" s="6"/>
    </row>
    <row r="204" customFormat="false" ht="15" hidden="false" customHeight="false" outlineLevel="0" collapsed="false">
      <c r="A204" s="6" t="n">
        <v>196</v>
      </c>
      <c r="B204" s="6" t="n">
        <v>6299</v>
      </c>
      <c r="C204" s="7" t="s">
        <v>835</v>
      </c>
      <c r="D204" s="6" t="s">
        <v>836</v>
      </c>
      <c r="E204" s="6" t="s">
        <v>837</v>
      </c>
      <c r="F204" s="6" t="s">
        <v>335</v>
      </c>
      <c r="G204" s="8" t="n">
        <v>2</v>
      </c>
      <c r="H204" s="9" t="n">
        <v>84.607</v>
      </c>
      <c r="I204" s="9" t="n">
        <f aca="false">G204*H204</f>
        <v>169.214</v>
      </c>
      <c r="J204" s="6" t="s">
        <v>838</v>
      </c>
      <c r="K204" s="6"/>
    </row>
    <row r="205" customFormat="false" ht="15" hidden="false" customHeight="false" outlineLevel="0" collapsed="false">
      <c r="A205" s="6" t="n">
        <v>197</v>
      </c>
      <c r="B205" s="6" t="n">
        <v>5683</v>
      </c>
      <c r="C205" s="7" t="s">
        <v>839</v>
      </c>
      <c r="D205" s="6" t="s">
        <v>840</v>
      </c>
      <c r="E205" s="6" t="s">
        <v>841</v>
      </c>
      <c r="F205" s="6" t="s">
        <v>64</v>
      </c>
      <c r="G205" s="8" t="n">
        <v>2</v>
      </c>
      <c r="H205" s="9" t="n">
        <v>58.862</v>
      </c>
      <c r="I205" s="9" t="n">
        <f aca="false">G205*H205</f>
        <v>117.724</v>
      </c>
      <c r="J205" s="6" t="s">
        <v>842</v>
      </c>
      <c r="K205" s="6"/>
    </row>
    <row r="206" customFormat="false" ht="15" hidden="false" customHeight="false" outlineLevel="0" collapsed="false">
      <c r="A206" s="6" t="n">
        <v>198</v>
      </c>
      <c r="B206" s="6" t="n">
        <v>5691</v>
      </c>
      <c r="C206" s="7" t="s">
        <v>843</v>
      </c>
      <c r="D206" s="6" t="s">
        <v>844</v>
      </c>
      <c r="E206" s="6" t="s">
        <v>845</v>
      </c>
      <c r="F206" s="6" t="s">
        <v>69</v>
      </c>
      <c r="G206" s="8" t="n">
        <v>26</v>
      </c>
      <c r="H206" s="9" t="n">
        <v>3.6765</v>
      </c>
      <c r="I206" s="9" t="n">
        <f aca="false">G206*H206</f>
        <v>95.589</v>
      </c>
      <c r="J206" s="6" t="s">
        <v>846</v>
      </c>
      <c r="K206" s="6"/>
    </row>
    <row r="207" customFormat="false" ht="15" hidden="false" customHeight="false" outlineLevel="0" collapsed="false">
      <c r="A207" s="6" t="n">
        <v>199</v>
      </c>
      <c r="B207" s="6" t="n">
        <v>5736</v>
      </c>
      <c r="C207" s="7" t="s">
        <v>847</v>
      </c>
      <c r="D207" s="6" t="s">
        <v>848</v>
      </c>
      <c r="E207" s="6" t="s">
        <v>849</v>
      </c>
      <c r="F207" s="6"/>
      <c r="G207" s="8" t="n">
        <v>2</v>
      </c>
      <c r="H207" s="9" t="n">
        <v>9.766</v>
      </c>
      <c r="I207" s="9" t="n">
        <f aca="false">G207*H207</f>
        <v>19.532</v>
      </c>
      <c r="J207" s="6" t="s">
        <v>850</v>
      </c>
      <c r="K207" s="6"/>
    </row>
    <row r="208" customFormat="false" ht="15" hidden="false" customHeight="false" outlineLevel="0" collapsed="false">
      <c r="A208" s="6" t="n">
        <v>200</v>
      </c>
      <c r="B208" s="6" t="n">
        <v>5733</v>
      </c>
      <c r="C208" s="7" t="s">
        <v>851</v>
      </c>
      <c r="D208" s="6" t="s">
        <v>852</v>
      </c>
      <c r="E208" s="6" t="s">
        <v>853</v>
      </c>
      <c r="F208" s="6" t="s">
        <v>69</v>
      </c>
      <c r="G208" s="8" t="n">
        <v>4</v>
      </c>
      <c r="H208" s="9" t="n">
        <v>11.552</v>
      </c>
      <c r="I208" s="9" t="n">
        <f aca="false">G208*H208</f>
        <v>46.208</v>
      </c>
      <c r="J208" s="6" t="s">
        <v>854</v>
      </c>
      <c r="K208" s="6"/>
    </row>
    <row r="209" customFormat="false" ht="15" hidden="false" customHeight="false" outlineLevel="0" collapsed="false">
      <c r="A209" s="6" t="n">
        <v>201</v>
      </c>
      <c r="B209" s="6" t="n">
        <v>5847</v>
      </c>
      <c r="C209" s="7" t="s">
        <v>855</v>
      </c>
      <c r="D209" s="6" t="s">
        <v>856</v>
      </c>
      <c r="E209" s="6" t="s">
        <v>857</v>
      </c>
      <c r="F209" s="6" t="s">
        <v>858</v>
      </c>
      <c r="G209" s="8" t="n">
        <v>10</v>
      </c>
      <c r="H209" s="9" t="n">
        <v>15.447</v>
      </c>
      <c r="I209" s="9" t="n">
        <f aca="false">G209*H209</f>
        <v>154.47</v>
      </c>
      <c r="J209" s="6" t="s">
        <v>859</v>
      </c>
      <c r="K209" s="6"/>
    </row>
    <row r="210" customFormat="false" ht="15" hidden="false" customHeight="false" outlineLevel="0" collapsed="false">
      <c r="A210" s="6" t="n">
        <v>202</v>
      </c>
      <c r="B210" s="6" t="n">
        <v>8158</v>
      </c>
      <c r="C210" s="7" t="s">
        <v>860</v>
      </c>
      <c r="D210" s="6" t="s">
        <v>861</v>
      </c>
      <c r="E210" s="6" t="s">
        <v>861</v>
      </c>
      <c r="F210" s="6" t="s">
        <v>124</v>
      </c>
      <c r="G210" s="8" t="n">
        <v>6</v>
      </c>
      <c r="H210" s="9" t="n">
        <v>47.3005</v>
      </c>
      <c r="I210" s="9" t="n">
        <f aca="false">G210*H210</f>
        <v>283.803</v>
      </c>
      <c r="J210" s="6" t="s">
        <v>862</v>
      </c>
      <c r="K210" s="6"/>
    </row>
    <row r="211" customFormat="false" ht="15" hidden="false" customHeight="false" outlineLevel="0" collapsed="false">
      <c r="A211" s="6" t="n">
        <v>203</v>
      </c>
      <c r="B211" s="6" t="n">
        <v>5858</v>
      </c>
      <c r="C211" s="7" t="s">
        <v>863</v>
      </c>
      <c r="D211" s="6" t="s">
        <v>864</v>
      </c>
      <c r="E211" s="6" t="s">
        <v>865</v>
      </c>
      <c r="F211" s="6" t="s">
        <v>124</v>
      </c>
      <c r="G211" s="8" t="n">
        <v>8</v>
      </c>
      <c r="H211" s="9" t="n">
        <v>6.5835</v>
      </c>
      <c r="I211" s="9" t="n">
        <f aca="false">G211*H211</f>
        <v>52.668</v>
      </c>
      <c r="J211" s="6" t="s">
        <v>866</v>
      </c>
      <c r="K211" s="6"/>
    </row>
    <row r="212" customFormat="false" ht="15" hidden="false" customHeight="false" outlineLevel="0" collapsed="false">
      <c r="A212" s="6" t="n">
        <v>204</v>
      </c>
      <c r="B212" s="6" t="n">
        <v>5868</v>
      </c>
      <c r="C212" s="7" t="s">
        <v>867</v>
      </c>
      <c r="D212" s="6" t="s">
        <v>868</v>
      </c>
      <c r="E212" s="6" t="s">
        <v>869</v>
      </c>
      <c r="F212" s="6" t="s">
        <v>124</v>
      </c>
      <c r="G212" s="8" t="n">
        <v>8</v>
      </c>
      <c r="H212" s="9" t="n">
        <v>10.5925</v>
      </c>
      <c r="I212" s="9" t="n">
        <f aca="false">G212*H212</f>
        <v>84.74</v>
      </c>
      <c r="J212" s="6" t="s">
        <v>870</v>
      </c>
      <c r="K212" s="6"/>
    </row>
    <row r="213" customFormat="false" ht="15" hidden="false" customHeight="false" outlineLevel="0" collapsed="false">
      <c r="A213" s="6" t="n">
        <v>205</v>
      </c>
      <c r="B213" s="6" t="n">
        <v>9769</v>
      </c>
      <c r="C213" s="7" t="s">
        <v>871</v>
      </c>
      <c r="D213" s="6" t="s">
        <v>872</v>
      </c>
      <c r="E213" s="6" t="s">
        <v>873</v>
      </c>
      <c r="F213" s="6" t="s">
        <v>487</v>
      </c>
      <c r="G213" s="8" t="n">
        <v>1</v>
      </c>
      <c r="H213" s="9" t="n">
        <v>10.0985</v>
      </c>
      <c r="I213" s="9" t="n">
        <f aca="false">G213*H213</f>
        <v>10.0985</v>
      </c>
      <c r="J213" s="6" t="s">
        <v>874</v>
      </c>
      <c r="K213" s="6" t="s">
        <v>61</v>
      </c>
    </row>
    <row r="214" customFormat="false" ht="15" hidden="false" customHeight="false" outlineLevel="0" collapsed="false">
      <c r="A214" s="6" t="n">
        <v>206</v>
      </c>
      <c r="B214" s="6" t="n">
        <v>5878</v>
      </c>
      <c r="C214" s="7" t="s">
        <v>875</v>
      </c>
      <c r="D214" s="6" t="s">
        <v>876</v>
      </c>
      <c r="E214" s="6" t="s">
        <v>877</v>
      </c>
      <c r="F214" s="6" t="s">
        <v>285</v>
      </c>
      <c r="G214" s="8" t="n">
        <v>3</v>
      </c>
      <c r="H214" s="9" t="n">
        <v>5.9375</v>
      </c>
      <c r="I214" s="9" t="n">
        <f aca="false">G214*H214</f>
        <v>17.8125</v>
      </c>
      <c r="J214" s="6" t="s">
        <v>878</v>
      </c>
      <c r="K214" s="6"/>
    </row>
    <row r="215" customFormat="false" ht="15" hidden="false" customHeight="false" outlineLevel="0" collapsed="false">
      <c r="A215" s="6" t="n">
        <v>207</v>
      </c>
      <c r="B215" s="6" t="n">
        <v>5943</v>
      </c>
      <c r="C215" s="7" t="s">
        <v>879</v>
      </c>
      <c r="D215" s="6" t="s">
        <v>880</v>
      </c>
      <c r="E215" s="6" t="s">
        <v>881</v>
      </c>
      <c r="F215" s="6" t="s">
        <v>74</v>
      </c>
      <c r="G215" s="8" t="n">
        <v>9</v>
      </c>
      <c r="H215" s="9" t="n">
        <v>2.2895</v>
      </c>
      <c r="I215" s="9" t="n">
        <f aca="false">G215*H215</f>
        <v>20.6055</v>
      </c>
      <c r="J215" s="6" t="s">
        <v>882</v>
      </c>
      <c r="K215" s="6"/>
    </row>
    <row r="216" customFormat="false" ht="15" hidden="false" customHeight="false" outlineLevel="0" collapsed="false">
      <c r="A216" s="6" t="n">
        <v>208</v>
      </c>
      <c r="B216" s="6" t="n">
        <v>5964</v>
      </c>
      <c r="C216" s="7" t="s">
        <v>883</v>
      </c>
      <c r="D216" s="6" t="s">
        <v>884</v>
      </c>
      <c r="E216" s="6" t="s">
        <v>885</v>
      </c>
      <c r="F216" s="6" t="s">
        <v>240</v>
      </c>
      <c r="G216" s="8" t="n">
        <v>11</v>
      </c>
      <c r="H216" s="9" t="n">
        <v>15.504</v>
      </c>
      <c r="I216" s="9" t="n">
        <f aca="false">G216*H216</f>
        <v>170.544</v>
      </c>
      <c r="J216" s="6" t="s">
        <v>886</v>
      </c>
      <c r="K216" s="6"/>
    </row>
    <row r="217" customFormat="false" ht="15" hidden="false" customHeight="false" outlineLevel="0" collapsed="false">
      <c r="A217" s="6" t="n">
        <v>209</v>
      </c>
      <c r="B217" s="6" t="n">
        <v>5966</v>
      </c>
      <c r="C217" s="7" t="s">
        <v>887</v>
      </c>
      <c r="D217" s="6" t="s">
        <v>888</v>
      </c>
      <c r="E217" s="6" t="s">
        <v>889</v>
      </c>
      <c r="F217" s="6" t="s">
        <v>240</v>
      </c>
      <c r="G217" s="8" t="n">
        <v>3</v>
      </c>
      <c r="H217" s="9" t="n">
        <v>27.6165</v>
      </c>
      <c r="I217" s="9" t="n">
        <f aca="false">G217*H217</f>
        <v>82.8495</v>
      </c>
      <c r="J217" s="6" t="s">
        <v>890</v>
      </c>
      <c r="K217" s="6"/>
    </row>
    <row r="218" customFormat="false" ht="15" hidden="false" customHeight="false" outlineLevel="0" collapsed="false">
      <c r="A218" s="6" t="n">
        <v>210</v>
      </c>
      <c r="B218" s="6" t="n">
        <v>8463</v>
      </c>
      <c r="C218" s="7" t="s">
        <v>891</v>
      </c>
      <c r="D218" s="6" t="s">
        <v>892</v>
      </c>
      <c r="E218" s="6" t="s">
        <v>892</v>
      </c>
      <c r="F218" s="6"/>
      <c r="G218" s="8" t="n">
        <v>5</v>
      </c>
      <c r="H218" s="9" t="n">
        <v>15.257</v>
      </c>
      <c r="I218" s="9" t="n">
        <f aca="false">G218*H218</f>
        <v>76.285</v>
      </c>
      <c r="J218" s="6" t="s">
        <v>893</v>
      </c>
      <c r="K218" s="6"/>
    </row>
    <row r="219" customFormat="false" ht="15" hidden="false" customHeight="false" outlineLevel="0" collapsed="false">
      <c r="A219" s="6" t="n">
        <v>211</v>
      </c>
      <c r="B219" s="6" t="n">
        <v>6008</v>
      </c>
      <c r="C219" s="7" t="s">
        <v>894</v>
      </c>
      <c r="D219" s="6" t="s">
        <v>895</v>
      </c>
      <c r="E219" s="6" t="s">
        <v>895</v>
      </c>
      <c r="F219" s="6" t="s">
        <v>25</v>
      </c>
      <c r="G219" s="8" t="n">
        <v>2</v>
      </c>
      <c r="H219" s="9" t="n">
        <v>18.2305</v>
      </c>
      <c r="I219" s="9" t="n">
        <f aca="false">G219*H219</f>
        <v>36.461</v>
      </c>
      <c r="J219" s="6" t="s">
        <v>896</v>
      </c>
      <c r="K219" s="6"/>
    </row>
    <row r="220" customFormat="false" ht="15" hidden="false" customHeight="false" outlineLevel="0" collapsed="false">
      <c r="A220" s="6" t="n">
        <v>212</v>
      </c>
      <c r="B220" s="6" t="n">
        <v>6010</v>
      </c>
      <c r="C220" s="7" t="s">
        <v>897</v>
      </c>
      <c r="D220" s="6" t="s">
        <v>898</v>
      </c>
      <c r="E220" s="6" t="s">
        <v>899</v>
      </c>
      <c r="F220" s="6" t="s">
        <v>900</v>
      </c>
      <c r="G220" s="8" t="n">
        <v>4</v>
      </c>
      <c r="H220" s="9" t="n">
        <v>14.9055</v>
      </c>
      <c r="I220" s="9" t="n">
        <f aca="false">G220*H220</f>
        <v>59.622</v>
      </c>
      <c r="J220" s="6" t="s">
        <v>901</v>
      </c>
      <c r="K220" s="6"/>
    </row>
    <row r="221" customFormat="false" ht="15" hidden="false" customHeight="false" outlineLevel="0" collapsed="false">
      <c r="A221" s="6" t="n">
        <v>213</v>
      </c>
      <c r="B221" s="6" t="n">
        <v>8723</v>
      </c>
      <c r="C221" s="7" t="s">
        <v>902</v>
      </c>
      <c r="D221" s="6" t="s">
        <v>903</v>
      </c>
      <c r="E221" s="6" t="s">
        <v>904</v>
      </c>
      <c r="F221" s="6" t="s">
        <v>900</v>
      </c>
      <c r="G221" s="8" t="n">
        <v>4</v>
      </c>
      <c r="H221" s="9" t="n">
        <v>14.9055</v>
      </c>
      <c r="I221" s="9" t="n">
        <f aca="false">G221*H221</f>
        <v>59.622</v>
      </c>
      <c r="J221" s="6" t="s">
        <v>905</v>
      </c>
      <c r="K221" s="6"/>
    </row>
    <row r="222" customFormat="false" ht="15" hidden="false" customHeight="false" outlineLevel="0" collapsed="false">
      <c r="A222" s="6" t="n">
        <v>214</v>
      </c>
      <c r="B222" s="6" t="n">
        <v>7602</v>
      </c>
      <c r="C222" s="7" t="s">
        <v>906</v>
      </c>
      <c r="D222" s="6" t="s">
        <v>907</v>
      </c>
      <c r="E222" s="6" t="s">
        <v>907</v>
      </c>
      <c r="F222" s="6" t="s">
        <v>908</v>
      </c>
      <c r="G222" s="8" t="n">
        <v>3</v>
      </c>
      <c r="H222" s="9" t="n">
        <v>14.9435</v>
      </c>
      <c r="I222" s="9" t="n">
        <f aca="false">G222*H222</f>
        <v>44.8305</v>
      </c>
      <c r="J222" s="6" t="s">
        <v>909</v>
      </c>
      <c r="K222" s="6"/>
    </row>
    <row r="223" customFormat="false" ht="15" hidden="false" customHeight="false" outlineLevel="0" collapsed="false">
      <c r="A223" s="6" t="n">
        <v>215</v>
      </c>
      <c r="B223" s="6" t="n">
        <v>6024</v>
      </c>
      <c r="C223" s="7" t="s">
        <v>910</v>
      </c>
      <c r="D223" s="6" t="s">
        <v>911</v>
      </c>
      <c r="E223" s="6" t="s">
        <v>911</v>
      </c>
      <c r="F223" s="6"/>
      <c r="G223" s="8" t="n">
        <v>1</v>
      </c>
      <c r="H223" s="9" t="n">
        <v>15.5135</v>
      </c>
      <c r="I223" s="9" t="n">
        <f aca="false">G223*H223</f>
        <v>15.5135</v>
      </c>
      <c r="J223" s="6" t="s">
        <v>912</v>
      </c>
      <c r="K223" s="6"/>
    </row>
    <row r="224" customFormat="false" ht="15" hidden="false" customHeight="false" outlineLevel="0" collapsed="false">
      <c r="A224" s="6" t="n">
        <v>216</v>
      </c>
      <c r="B224" s="6" t="n">
        <v>6009</v>
      </c>
      <c r="C224" s="7" t="s">
        <v>913</v>
      </c>
      <c r="D224" s="6" t="s">
        <v>914</v>
      </c>
      <c r="E224" s="6" t="s">
        <v>914</v>
      </c>
      <c r="F224" s="6" t="s">
        <v>900</v>
      </c>
      <c r="G224" s="8" t="n">
        <v>3</v>
      </c>
      <c r="H224" s="9" t="n">
        <v>13.5375</v>
      </c>
      <c r="I224" s="9" t="n">
        <f aca="false">G224*H224</f>
        <v>40.6125</v>
      </c>
      <c r="J224" s="6" t="s">
        <v>915</v>
      </c>
      <c r="K224" s="6"/>
    </row>
    <row r="225" customFormat="false" ht="15" hidden="false" customHeight="false" outlineLevel="0" collapsed="false">
      <c r="A225" s="6" t="n">
        <v>217</v>
      </c>
      <c r="B225" s="6" t="n">
        <v>3393</v>
      </c>
      <c r="C225" s="7" t="s">
        <v>916</v>
      </c>
      <c r="D225" s="6" t="s">
        <v>917</v>
      </c>
      <c r="E225" s="6" t="s">
        <v>918</v>
      </c>
      <c r="F225" s="6" t="s">
        <v>214</v>
      </c>
      <c r="G225" s="8" t="n">
        <v>1</v>
      </c>
      <c r="H225" s="9" t="n">
        <v>7.7235</v>
      </c>
      <c r="I225" s="9" t="n">
        <f aca="false">G225*H225</f>
        <v>7.7235</v>
      </c>
      <c r="J225" s="6" t="s">
        <v>919</v>
      </c>
      <c r="K225" s="6"/>
    </row>
    <row r="226" customFormat="false" ht="15" hidden="false" customHeight="false" outlineLevel="0" collapsed="false">
      <c r="A226" s="6" t="n">
        <v>218</v>
      </c>
      <c r="B226" s="6" t="n">
        <v>6097</v>
      </c>
      <c r="C226" s="7" t="s">
        <v>920</v>
      </c>
      <c r="D226" s="6" t="s">
        <v>921</v>
      </c>
      <c r="E226" s="6" t="s">
        <v>922</v>
      </c>
      <c r="F226" s="6" t="s">
        <v>124</v>
      </c>
      <c r="G226" s="8" t="n">
        <v>57</v>
      </c>
      <c r="H226" s="9" t="n">
        <v>3.2585</v>
      </c>
      <c r="I226" s="9" t="n">
        <f aca="false">G226*H226</f>
        <v>185.7345</v>
      </c>
      <c r="J226" s="6" t="s">
        <v>923</v>
      </c>
      <c r="K226" s="6"/>
    </row>
    <row r="227" customFormat="false" ht="15" hidden="false" customHeight="false" outlineLevel="0" collapsed="false">
      <c r="A227" s="6" t="n">
        <v>219</v>
      </c>
      <c r="B227" s="6" t="n">
        <v>6124</v>
      </c>
      <c r="C227" s="7" t="s">
        <v>924</v>
      </c>
      <c r="D227" s="6" t="s">
        <v>925</v>
      </c>
      <c r="E227" s="6" t="s">
        <v>926</v>
      </c>
      <c r="F227" s="6" t="s">
        <v>124</v>
      </c>
      <c r="G227" s="8" t="n">
        <v>51</v>
      </c>
      <c r="H227" s="9" t="n">
        <v>2.6315</v>
      </c>
      <c r="I227" s="9" t="n">
        <f aca="false">G227*H227</f>
        <v>134.2065</v>
      </c>
      <c r="J227" s="6" t="s">
        <v>927</v>
      </c>
      <c r="K227" s="6"/>
    </row>
    <row r="228" customFormat="false" ht="15" hidden="false" customHeight="false" outlineLevel="0" collapsed="false">
      <c r="A228" s="6" t="n">
        <v>220</v>
      </c>
      <c r="B228" s="6" t="n">
        <v>6147</v>
      </c>
      <c r="C228" s="7" t="s">
        <v>928</v>
      </c>
      <c r="D228" s="6" t="s">
        <v>929</v>
      </c>
      <c r="E228" s="6" t="s">
        <v>930</v>
      </c>
      <c r="F228" s="6" t="s">
        <v>154</v>
      </c>
      <c r="G228" s="8" t="n">
        <v>1</v>
      </c>
      <c r="H228" s="9" t="n">
        <v>5.2155</v>
      </c>
      <c r="I228" s="9" t="n">
        <f aca="false">G228*H228</f>
        <v>5.2155</v>
      </c>
      <c r="J228" s="6" t="s">
        <v>931</v>
      </c>
      <c r="K228" s="6" t="s">
        <v>61</v>
      </c>
    </row>
    <row r="229" customFormat="false" ht="15" hidden="false" customHeight="false" outlineLevel="0" collapsed="false">
      <c r="A229" s="6" t="n">
        <v>221</v>
      </c>
      <c r="B229" s="6" t="n">
        <v>6244</v>
      </c>
      <c r="C229" s="7" t="s">
        <v>932</v>
      </c>
      <c r="D229" s="6" t="s">
        <v>933</v>
      </c>
      <c r="E229" s="6" t="s">
        <v>934</v>
      </c>
      <c r="F229" s="6" t="s">
        <v>312</v>
      </c>
      <c r="G229" s="8" t="n">
        <v>1</v>
      </c>
      <c r="H229" s="9" t="n">
        <v>17.8125</v>
      </c>
      <c r="I229" s="9" t="n">
        <f aca="false">G229*H229</f>
        <v>17.8125</v>
      </c>
      <c r="J229" s="6" t="s">
        <v>935</v>
      </c>
      <c r="K229" s="6"/>
    </row>
    <row r="230" customFormat="false" ht="15" hidden="false" customHeight="false" outlineLevel="0" collapsed="false">
      <c r="A230" s="6" t="n">
        <v>222</v>
      </c>
      <c r="B230" s="6" t="n">
        <v>8935</v>
      </c>
      <c r="C230" s="7" t="s">
        <v>936</v>
      </c>
      <c r="D230" s="6" t="s">
        <v>933</v>
      </c>
      <c r="E230" s="6" t="s">
        <v>933</v>
      </c>
      <c r="F230" s="6" t="s">
        <v>937</v>
      </c>
      <c r="G230" s="8" t="n">
        <v>1</v>
      </c>
      <c r="H230" s="9" t="n">
        <v>24.3485</v>
      </c>
      <c r="I230" s="9" t="n">
        <f aca="false">G230*H230</f>
        <v>24.3485</v>
      </c>
      <c r="J230" s="6" t="s">
        <v>938</v>
      </c>
      <c r="K230" s="6"/>
    </row>
    <row r="231" customFormat="false" ht="15" hidden="false" customHeight="false" outlineLevel="0" collapsed="false">
      <c r="A231" s="6" t="n">
        <v>223</v>
      </c>
      <c r="B231" s="6" t="n">
        <v>6276</v>
      </c>
      <c r="C231" s="7" t="s">
        <v>939</v>
      </c>
      <c r="D231" s="6" t="s">
        <v>940</v>
      </c>
      <c r="E231" s="6" t="s">
        <v>941</v>
      </c>
      <c r="F231" s="6" t="s">
        <v>54</v>
      </c>
      <c r="G231" s="8" t="n">
        <v>6</v>
      </c>
      <c r="H231" s="9" t="n">
        <v>6.0325</v>
      </c>
      <c r="I231" s="9" t="n">
        <f aca="false">G231*H231</f>
        <v>36.195</v>
      </c>
      <c r="J231" s="6" t="s">
        <v>942</v>
      </c>
      <c r="K231" s="6"/>
    </row>
    <row r="232" customFormat="false" ht="15" hidden="false" customHeight="false" outlineLevel="0" collapsed="false">
      <c r="A232" s="6" t="n">
        <v>224</v>
      </c>
      <c r="B232" s="6" t="n">
        <v>6254</v>
      </c>
      <c r="C232" s="7" t="s">
        <v>943</v>
      </c>
      <c r="D232" s="6" t="s">
        <v>944</v>
      </c>
      <c r="E232" s="6" t="s">
        <v>945</v>
      </c>
      <c r="F232" s="6" t="s">
        <v>214</v>
      </c>
      <c r="G232" s="8" t="n">
        <v>2</v>
      </c>
      <c r="H232" s="9" t="n">
        <v>5.7855</v>
      </c>
      <c r="I232" s="9" t="n">
        <f aca="false">G232*H232</f>
        <v>11.571</v>
      </c>
      <c r="J232" s="6" t="s">
        <v>946</v>
      </c>
      <c r="K232" s="6"/>
    </row>
    <row r="233" customFormat="false" ht="15" hidden="false" customHeight="false" outlineLevel="0" collapsed="false">
      <c r="A233" s="6" t="n">
        <v>225</v>
      </c>
      <c r="B233" s="6" t="n">
        <v>1828</v>
      </c>
      <c r="C233" s="7" t="s">
        <v>947</v>
      </c>
      <c r="D233" s="6" t="s">
        <v>948</v>
      </c>
      <c r="E233" s="6" t="s">
        <v>949</v>
      </c>
      <c r="F233" s="6" t="s">
        <v>950</v>
      </c>
      <c r="G233" s="8" t="n">
        <v>1</v>
      </c>
      <c r="H233" s="9" t="n">
        <v>7.885</v>
      </c>
      <c r="I233" s="9" t="n">
        <f aca="false">G233*H233</f>
        <v>7.885</v>
      </c>
      <c r="J233" s="6" t="s">
        <v>951</v>
      </c>
      <c r="K233" s="6"/>
    </row>
    <row r="234" customFormat="false" ht="15" hidden="false" customHeight="false" outlineLevel="0" collapsed="false">
      <c r="A234" s="6" t="n">
        <v>226</v>
      </c>
      <c r="B234" s="6" t="n">
        <v>6409</v>
      </c>
      <c r="C234" s="7" t="s">
        <v>952</v>
      </c>
      <c r="D234" s="6" t="s">
        <v>953</v>
      </c>
      <c r="E234" s="6" t="s">
        <v>954</v>
      </c>
      <c r="F234" s="6" t="s">
        <v>955</v>
      </c>
      <c r="G234" s="8" t="n">
        <v>1</v>
      </c>
      <c r="H234" s="9" t="n">
        <v>15.6655</v>
      </c>
      <c r="I234" s="9" t="n">
        <f aca="false">G234*H234</f>
        <v>15.6655</v>
      </c>
      <c r="J234" s="6" t="s">
        <v>956</v>
      </c>
      <c r="K234" s="6"/>
    </row>
    <row r="235" customFormat="false" ht="15" hidden="false" customHeight="false" outlineLevel="0" collapsed="false">
      <c r="A235" s="6" t="n">
        <v>227</v>
      </c>
      <c r="B235" s="6" t="n">
        <v>6372</v>
      </c>
      <c r="C235" s="7" t="s">
        <v>957</v>
      </c>
      <c r="D235" s="6" t="s">
        <v>958</v>
      </c>
      <c r="E235" s="6" t="s">
        <v>959</v>
      </c>
      <c r="F235" s="6" t="s">
        <v>92</v>
      </c>
      <c r="G235" s="8" t="n">
        <v>5</v>
      </c>
      <c r="H235" s="9" t="n">
        <v>2.0805</v>
      </c>
      <c r="I235" s="9" t="n">
        <f aca="false">G235*H235</f>
        <v>10.4025</v>
      </c>
      <c r="J235" s="6" t="s">
        <v>960</v>
      </c>
      <c r="K235" s="6"/>
    </row>
    <row r="236" customFormat="false" ht="15" hidden="false" customHeight="false" outlineLevel="0" collapsed="false">
      <c r="A236" s="6" t="n">
        <v>228</v>
      </c>
      <c r="B236" s="6" t="n">
        <v>6375</v>
      </c>
      <c r="C236" s="7" t="s">
        <v>961</v>
      </c>
      <c r="D236" s="6" t="s">
        <v>962</v>
      </c>
      <c r="E236" s="6" t="s">
        <v>963</v>
      </c>
      <c r="F236" s="6" t="s">
        <v>54</v>
      </c>
      <c r="G236" s="8" t="n">
        <v>5</v>
      </c>
      <c r="H236" s="9" t="n">
        <v>3.0685</v>
      </c>
      <c r="I236" s="9" t="n">
        <f aca="false">G236*H236</f>
        <v>15.3425</v>
      </c>
      <c r="J236" s="6" t="s">
        <v>964</v>
      </c>
      <c r="K236" s="6" t="s">
        <v>61</v>
      </c>
    </row>
    <row r="237" customFormat="false" ht="15" hidden="false" customHeight="false" outlineLevel="0" collapsed="false">
      <c r="A237" s="6" t="n">
        <v>229</v>
      </c>
      <c r="B237" s="6" t="n">
        <v>1820</v>
      </c>
      <c r="C237" s="7" t="s">
        <v>965</v>
      </c>
      <c r="D237" s="6" t="s">
        <v>966</v>
      </c>
      <c r="E237" s="6" t="s">
        <v>967</v>
      </c>
      <c r="F237" s="6" t="s">
        <v>92</v>
      </c>
      <c r="G237" s="8" t="n">
        <v>1</v>
      </c>
      <c r="H237" s="9" t="n">
        <v>10.678</v>
      </c>
      <c r="I237" s="9" t="n">
        <f aca="false">G237*H237</f>
        <v>10.678</v>
      </c>
      <c r="J237" s="6" t="s">
        <v>968</v>
      </c>
      <c r="K237" s="6"/>
    </row>
    <row r="238" customFormat="false" ht="15" hidden="false" customHeight="false" outlineLevel="0" collapsed="false">
      <c r="A238" s="6" t="n">
        <v>230</v>
      </c>
      <c r="B238" s="6" t="n">
        <v>6428</v>
      </c>
      <c r="C238" s="7" t="s">
        <v>969</v>
      </c>
      <c r="D238" s="6" t="s">
        <v>970</v>
      </c>
      <c r="E238" s="6" t="s">
        <v>971</v>
      </c>
      <c r="F238" s="6" t="s">
        <v>124</v>
      </c>
      <c r="G238" s="8" t="n">
        <v>1</v>
      </c>
      <c r="H238" s="9" t="n">
        <v>8.9395</v>
      </c>
      <c r="I238" s="9" t="n">
        <f aca="false">G238*H238</f>
        <v>8.9395</v>
      </c>
      <c r="J238" s="6" t="s">
        <v>972</v>
      </c>
      <c r="K238" s="6"/>
    </row>
    <row r="239" customFormat="false" ht="15" hidden="false" customHeight="false" outlineLevel="0" collapsed="false">
      <c r="A239" s="6" t="n">
        <v>231</v>
      </c>
      <c r="B239" s="6" t="n">
        <v>6457</v>
      </c>
      <c r="C239" s="7" t="s">
        <v>973</v>
      </c>
      <c r="D239" s="6" t="s">
        <v>974</v>
      </c>
      <c r="E239" s="6" t="s">
        <v>975</v>
      </c>
      <c r="F239" s="6" t="s">
        <v>976</v>
      </c>
      <c r="G239" s="8" t="n">
        <v>1</v>
      </c>
      <c r="H239" s="9" t="n">
        <v>12.521</v>
      </c>
      <c r="I239" s="9" t="n">
        <f aca="false">G239*H239</f>
        <v>12.521</v>
      </c>
      <c r="J239" s="6" t="s">
        <v>977</v>
      </c>
      <c r="K239" s="6"/>
    </row>
    <row r="240" customFormat="false" ht="15" hidden="false" customHeight="false" outlineLevel="0" collapsed="false">
      <c r="A240" s="6" t="n">
        <v>232</v>
      </c>
      <c r="B240" s="6" t="n">
        <v>6469</v>
      </c>
      <c r="C240" s="7" t="s">
        <v>978</v>
      </c>
      <c r="D240" s="6" t="s">
        <v>979</v>
      </c>
      <c r="E240" s="6" t="s">
        <v>980</v>
      </c>
      <c r="F240" s="6" t="s">
        <v>981</v>
      </c>
      <c r="G240" s="8" t="n">
        <v>5</v>
      </c>
      <c r="H240" s="9" t="n">
        <v>9.557</v>
      </c>
      <c r="I240" s="9" t="n">
        <f aca="false">G240*H240</f>
        <v>47.785</v>
      </c>
      <c r="J240" s="6" t="s">
        <v>982</v>
      </c>
      <c r="K240" s="6" t="s">
        <v>61</v>
      </c>
    </row>
    <row r="241" customFormat="false" ht="15" hidden="false" customHeight="false" outlineLevel="0" collapsed="false">
      <c r="A241" s="6" t="n">
        <v>233</v>
      </c>
      <c r="B241" s="6" t="n">
        <v>6471</v>
      </c>
      <c r="C241" s="7" t="s">
        <v>983</v>
      </c>
      <c r="D241" s="6" t="s">
        <v>984</v>
      </c>
      <c r="E241" s="6" t="s">
        <v>985</v>
      </c>
      <c r="F241" s="6" t="s">
        <v>642</v>
      </c>
      <c r="G241" s="8" t="n">
        <v>17</v>
      </c>
      <c r="H241" s="9" t="n">
        <v>10.3835</v>
      </c>
      <c r="I241" s="9" t="n">
        <f aca="false">G241*H241</f>
        <v>176.5195</v>
      </c>
      <c r="J241" s="6" t="s">
        <v>986</v>
      </c>
      <c r="K241" s="6"/>
    </row>
    <row r="242" customFormat="false" ht="15" hidden="false" customHeight="false" outlineLevel="0" collapsed="false">
      <c r="A242" s="6" t="n">
        <v>234</v>
      </c>
      <c r="B242" s="6" t="n">
        <v>5124</v>
      </c>
      <c r="C242" s="7" t="s">
        <v>987</v>
      </c>
      <c r="D242" s="6" t="s">
        <v>988</v>
      </c>
      <c r="E242" s="6" t="s">
        <v>989</v>
      </c>
      <c r="F242" s="6" t="s">
        <v>240</v>
      </c>
      <c r="G242" s="8" t="n">
        <v>31</v>
      </c>
      <c r="H242" s="9" t="n">
        <v>2.774</v>
      </c>
      <c r="I242" s="9" t="n">
        <f aca="false">G242*H242</f>
        <v>85.994</v>
      </c>
      <c r="J242" s="6" t="s">
        <v>990</v>
      </c>
      <c r="K242" s="6"/>
    </row>
    <row r="243" customFormat="false" ht="15" hidden="false" customHeight="false" outlineLevel="0" collapsed="false">
      <c r="A243" s="6" t="n">
        <v>235</v>
      </c>
      <c r="B243" s="6" t="n">
        <v>6525</v>
      </c>
      <c r="C243" s="7" t="s">
        <v>991</v>
      </c>
      <c r="D243" s="6" t="s">
        <v>992</v>
      </c>
      <c r="E243" s="6" t="s">
        <v>993</v>
      </c>
      <c r="F243" s="6" t="s">
        <v>92</v>
      </c>
      <c r="G243" s="8" t="n">
        <v>9</v>
      </c>
      <c r="H243" s="9" t="n">
        <v>13.0055</v>
      </c>
      <c r="I243" s="9" t="n">
        <f aca="false">G243*H243</f>
        <v>117.0495</v>
      </c>
      <c r="J243" s="6" t="s">
        <v>994</v>
      </c>
      <c r="K243" s="6"/>
    </row>
    <row r="244" customFormat="false" ht="15" hidden="false" customHeight="false" outlineLevel="0" collapsed="false">
      <c r="A244" s="6" t="n">
        <v>236</v>
      </c>
      <c r="B244" s="6" t="n">
        <v>6672</v>
      </c>
      <c r="C244" s="7" t="s">
        <v>995</v>
      </c>
      <c r="D244" s="6" t="s">
        <v>996</v>
      </c>
      <c r="E244" s="6" t="s">
        <v>997</v>
      </c>
      <c r="F244" s="6" t="s">
        <v>124</v>
      </c>
      <c r="G244" s="8" t="n">
        <v>2</v>
      </c>
      <c r="H244" s="9" t="n">
        <v>16.7485</v>
      </c>
      <c r="I244" s="9" t="n">
        <f aca="false">G244*H244</f>
        <v>33.497</v>
      </c>
      <c r="J244" s="6" t="s">
        <v>998</v>
      </c>
      <c r="K244" s="6"/>
    </row>
    <row r="245" customFormat="false" ht="15" hidden="false" customHeight="false" outlineLevel="0" collapsed="false">
      <c r="A245" s="6" t="n">
        <v>237</v>
      </c>
      <c r="B245" s="6" t="n">
        <v>6680</v>
      </c>
      <c r="C245" s="7" t="s">
        <v>999</v>
      </c>
      <c r="D245" s="6" t="s">
        <v>1000</v>
      </c>
      <c r="E245" s="6" t="s">
        <v>1001</v>
      </c>
      <c r="F245" s="6" t="s">
        <v>1002</v>
      </c>
      <c r="G245" s="8" t="n">
        <v>12</v>
      </c>
      <c r="H245" s="9" t="n">
        <v>30.3145</v>
      </c>
      <c r="I245" s="9" t="n">
        <f aca="false">G245*H245</f>
        <v>363.774</v>
      </c>
      <c r="J245" s="6" t="s">
        <v>1003</v>
      </c>
      <c r="K245" s="6"/>
    </row>
    <row r="246" customFormat="false" ht="15" hidden="false" customHeight="false" outlineLevel="0" collapsed="false">
      <c r="A246" s="6" t="n">
        <v>238</v>
      </c>
      <c r="B246" s="6" t="n">
        <v>7118</v>
      </c>
      <c r="C246" s="7" t="s">
        <v>1004</v>
      </c>
      <c r="D246" s="6" t="s">
        <v>1005</v>
      </c>
      <c r="E246" s="6" t="s">
        <v>1006</v>
      </c>
      <c r="F246" s="6" t="s">
        <v>1002</v>
      </c>
      <c r="G246" s="8" t="n">
        <v>5</v>
      </c>
      <c r="H246" s="9" t="n">
        <v>31.179</v>
      </c>
      <c r="I246" s="9" t="n">
        <f aca="false">G246*H246</f>
        <v>155.895</v>
      </c>
      <c r="J246" s="6" t="s">
        <v>1007</v>
      </c>
      <c r="K246" s="6"/>
    </row>
    <row r="247" customFormat="false" ht="15" hidden="false" customHeight="false" outlineLevel="0" collapsed="false">
      <c r="A247" s="6" t="n">
        <v>239</v>
      </c>
      <c r="B247" s="6" t="n">
        <v>7196</v>
      </c>
      <c r="C247" s="7" t="s">
        <v>1008</v>
      </c>
      <c r="D247" s="6" t="s">
        <v>1009</v>
      </c>
      <c r="E247" s="6" t="s">
        <v>1010</v>
      </c>
      <c r="F247" s="6" t="s">
        <v>1002</v>
      </c>
      <c r="G247" s="8" t="n">
        <v>9</v>
      </c>
      <c r="H247" s="9" t="n">
        <v>31.0365</v>
      </c>
      <c r="I247" s="9" t="n">
        <f aca="false">G247*H247</f>
        <v>279.3285</v>
      </c>
      <c r="J247" s="6" t="s">
        <v>1011</v>
      </c>
      <c r="K247" s="6"/>
    </row>
    <row r="248" customFormat="false" ht="15" hidden="false" customHeight="false" outlineLevel="0" collapsed="false">
      <c r="A248" s="6" t="n">
        <v>240</v>
      </c>
      <c r="B248" s="6" t="n">
        <v>6750</v>
      </c>
      <c r="C248" s="7" t="s">
        <v>1012</v>
      </c>
      <c r="D248" s="6" t="s">
        <v>1013</v>
      </c>
      <c r="E248" s="6" t="s">
        <v>1014</v>
      </c>
      <c r="F248" s="6" t="s">
        <v>74</v>
      </c>
      <c r="G248" s="8" t="n">
        <v>50</v>
      </c>
      <c r="H248" s="9" t="n">
        <v>2.793</v>
      </c>
      <c r="I248" s="9" t="n">
        <f aca="false">G248*H248</f>
        <v>139.65</v>
      </c>
      <c r="J248" s="6" t="s">
        <v>1015</v>
      </c>
      <c r="K248" s="6"/>
    </row>
    <row r="249" customFormat="false" ht="15" hidden="false" customHeight="false" outlineLevel="0" collapsed="false">
      <c r="A249" s="6" t="n">
        <v>241</v>
      </c>
      <c r="B249" s="6" t="n">
        <v>6831</v>
      </c>
      <c r="C249" s="7" t="s">
        <v>1016</v>
      </c>
      <c r="D249" s="6" t="s">
        <v>1017</v>
      </c>
      <c r="E249" s="6" t="s">
        <v>1018</v>
      </c>
      <c r="F249" s="6" t="s">
        <v>532</v>
      </c>
      <c r="G249" s="8" t="n">
        <v>1</v>
      </c>
      <c r="H249" s="9" t="n">
        <v>23.9115</v>
      </c>
      <c r="I249" s="9" t="n">
        <f aca="false">G249*H249</f>
        <v>23.9115</v>
      </c>
      <c r="J249" s="6" t="s">
        <v>1019</v>
      </c>
      <c r="K249" s="6"/>
    </row>
    <row r="250" customFormat="false" ht="15" hidden="false" customHeight="false" outlineLevel="0" collapsed="false">
      <c r="A250" s="6" t="n">
        <v>242</v>
      </c>
      <c r="B250" s="6" t="n">
        <v>6769</v>
      </c>
      <c r="C250" s="7" t="s">
        <v>1020</v>
      </c>
      <c r="D250" s="6" t="s">
        <v>1021</v>
      </c>
      <c r="E250" s="6" t="s">
        <v>1022</v>
      </c>
      <c r="F250" s="6" t="s">
        <v>240</v>
      </c>
      <c r="G250" s="8" t="n">
        <v>4</v>
      </c>
      <c r="H250" s="9" t="n">
        <v>6.764</v>
      </c>
      <c r="I250" s="9" t="n">
        <f aca="false">G250*H250</f>
        <v>27.056</v>
      </c>
      <c r="J250" s="6" t="s">
        <v>1023</v>
      </c>
      <c r="K250" s="6"/>
    </row>
    <row r="251" customFormat="false" ht="15" hidden="false" customHeight="false" outlineLevel="0" collapsed="false">
      <c r="A251" s="6" t="n">
        <v>243</v>
      </c>
      <c r="B251" s="6" t="n">
        <v>6787</v>
      </c>
      <c r="C251" s="7" t="s">
        <v>1024</v>
      </c>
      <c r="D251" s="6" t="s">
        <v>1025</v>
      </c>
      <c r="E251" s="6" t="s">
        <v>1026</v>
      </c>
      <c r="F251" s="6" t="s">
        <v>240</v>
      </c>
      <c r="G251" s="8" t="n">
        <v>3</v>
      </c>
      <c r="H251" s="9" t="n">
        <v>6.27</v>
      </c>
      <c r="I251" s="9" t="n">
        <f aca="false">G251*H251</f>
        <v>18.81</v>
      </c>
      <c r="J251" s="6" t="s">
        <v>1027</v>
      </c>
      <c r="K251" s="6"/>
    </row>
    <row r="252" customFormat="false" ht="15" hidden="false" customHeight="false" outlineLevel="0" collapsed="false">
      <c r="A252" s="6" t="n">
        <v>244</v>
      </c>
      <c r="B252" s="6" t="n">
        <v>142</v>
      </c>
      <c r="C252" s="7" t="s">
        <v>1028</v>
      </c>
      <c r="D252" s="6" t="s">
        <v>1029</v>
      </c>
      <c r="E252" s="6" t="s">
        <v>1030</v>
      </c>
      <c r="F252" s="6" t="s">
        <v>69</v>
      </c>
      <c r="G252" s="8" t="n">
        <v>22</v>
      </c>
      <c r="H252" s="9" t="n">
        <v>2.2325</v>
      </c>
      <c r="I252" s="9" t="n">
        <f aca="false">G252*H252</f>
        <v>49.115</v>
      </c>
      <c r="J252" s="6" t="s">
        <v>1031</v>
      </c>
      <c r="K252" s="6"/>
    </row>
    <row r="253" customFormat="false" ht="15" hidden="false" customHeight="false" outlineLevel="0" collapsed="false">
      <c r="A253" s="10"/>
      <c r="B253" s="10"/>
      <c r="C253" s="10"/>
      <c r="D253" s="11" t="s">
        <v>1032</v>
      </c>
      <c r="E253" s="10"/>
      <c r="F253" s="11" t="str">
        <f aca="false">COUNT(A9:A252)&amp;" itens"</f>
        <v>244 itens</v>
      </c>
      <c r="G253" s="12" t="n">
        <f aca="false">SUM(G9:G252)</f>
        <v>1656</v>
      </c>
      <c r="H253" s="10"/>
      <c r="I253" s="13" t="n">
        <f aca="false">SUM(I9:I252)</f>
        <v>13745.4455</v>
      </c>
      <c r="J253" s="10"/>
      <c r="K253" s="10"/>
    </row>
    <row r="255" customFormat="false" ht="15" hidden="false" customHeight="false" outlineLevel="0" collapsed="false">
      <c r="A255" s="2" t="s">
        <v>1033</v>
      </c>
    </row>
    <row r="256" customFormat="false" ht="15" hidden="false" customHeight="false" outlineLevel="0" collapsed="false">
      <c r="A256" s="3" t="s">
        <v>1034</v>
      </c>
    </row>
    <row r="257" customFormat="false" ht="15" hidden="false" customHeight="false" outlineLevel="0" collapsed="false">
      <c r="A257" s="3" t="s">
        <v>1035</v>
      </c>
    </row>
    <row r="258" customFormat="false" ht="15" hidden="false" customHeight="false" outlineLevel="0" collapsed="false">
      <c r="A258" s="3" t="s">
        <v>1036</v>
      </c>
    </row>
    <row r="259" customFormat="false" ht="15" hidden="false" customHeight="false" outlineLevel="0" collapsed="false">
      <c r="A259" s="3" t="s">
        <v>1037</v>
      </c>
    </row>
  </sheetData>
  <autoFilter ref="A8:K25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2026-10-20T18:57:50Z</dcterms:created>
  <dc:creator>openpyxl</dc:creator>
  <dc:description/>
  <dc:language>en-US</dc:language>
  <cp:lastModifiedBy/>
  <dcterms:modified xsi:type="dcterms:W3CDTF">2026-10-20T18:57:51Z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