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dido" sheetId="1" state="visible" r:id="rId3"/>
  </sheets>
  <definedNames>
    <definedName function="false" hidden="false" localSheetId="0" name="_xlnm.Print_Titles" vbProcedure="false">Pedido!$8:$8</definedName>
    <definedName function="false" hidden="true" localSheetId="0" name="_xlnm._FilterDatabase" vbProcedure="false">Pedido!$A$8:$K$296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<sst xmlns="http://schemas.openxmlformats.org/spreadsheetml/2006/main" count="1448" uniqueCount="1189">
  <si>
    <t xml:space="preserve">PEDIDO DE COMPRA — DIMEC</t>
  </si>
  <si>
    <t xml:space="preserve">Cliente:</t>
  </si>
  <si>
    <t xml:space="preserve">DROGARIAS ROCHA</t>
  </si>
  <si>
    <t xml:space="preserve">Data:</t>
  </si>
  <si>
    <t xml:space="preserve">20/10/2026</t>
  </si>
  <si>
    <t xml:space="preserve">Distribuidor:</t>
  </si>
  <si>
    <t xml:space="preserve">DIMEC</t>
  </si>
  <si>
    <t xml:space="preserve">Condição de preço:</t>
  </si>
  <si>
    <t xml:space="preserve">Tabela GERAL — preço final (PRECO 2%)</t>
  </si>
  <si>
    <t xml:space="preserve">PRAZO:</t>
  </si>
  <si>
    <t xml:space="preserve">Prazo de pagamento solicitado: MÍNIMO 45 DIAS — preferência até 90 DIAS (ex.: 45/60/75/90 dd ou 90 dd direto)</t>
  </si>
  <si>
    <t xml:space="preserve">Item</t>
  </si>
  <si>
    <t xml:space="preserve">Cód. distribuidor</t>
  </si>
  <si>
    <t xml:space="preserve">EAN</t>
  </si>
  <si>
    <t xml:space="preserve">Produto (descrição do distribuidor)</t>
  </si>
  <si>
    <t xml:space="preserve">Produto (nosso cadastro)</t>
  </si>
  <si>
    <t xml:space="preserve">Fabricante</t>
  </si>
  <si>
    <t xml:space="preserve">Qtd (cx)</t>
  </si>
  <si>
    <t xml:space="preserve">Preço unit. (cx)</t>
  </si>
  <si>
    <t xml:space="preserve">Total</t>
  </si>
  <si>
    <t xml:space="preserve">Cód. interno</t>
  </si>
  <si>
    <t xml:space="preserve">Obs.</t>
  </si>
  <si>
    <t xml:space="preserve">7898767760014</t>
  </si>
  <si>
    <t xml:space="preserve">5MAG C/60 CPS</t>
  </si>
  <si>
    <t xml:space="preserve">5MAG 500MG 60CAPS QUALYNUTRI</t>
  </si>
  <si>
    <t xml:space="preserve">QUALYNUTRI</t>
  </si>
  <si>
    <t xml:space="preserve">634551</t>
  </si>
  <si>
    <t xml:space="preserve">7899620912731</t>
  </si>
  <si>
    <t xml:space="preserve">ACEBROFILINA AD 50MG 120ML XPE</t>
  </si>
  <si>
    <t xml:space="preserve">ACEBROFILINA 10MG/ML XPE FR 120ML+COP MED</t>
  </si>
  <si>
    <t xml:space="preserve">GLOBO</t>
  </si>
  <si>
    <t xml:space="preserve">2081</t>
  </si>
  <si>
    <t xml:space="preserve">7896006267072</t>
  </si>
  <si>
    <t xml:space="preserve">HIDROCORTISONA 10MG 20G CREME</t>
  </si>
  <si>
    <t xml:space="preserve">ACETATO DE HIDROCORTISONA 10MG CREME DERM BG 20G</t>
  </si>
  <si>
    <t xml:space="preserve">UNIAO QUIMICA</t>
  </si>
  <si>
    <t xml:space="preserve">6261</t>
  </si>
  <si>
    <t xml:space="preserve">7896004712031</t>
  </si>
  <si>
    <t xml:space="preserve">TRIANCINOLONA 1MG 10G PASTA BUCAL</t>
  </si>
  <si>
    <t xml:space="preserve">ACETONIDO TRIANCINOLONA 1MG POM BG 10G</t>
  </si>
  <si>
    <t xml:space="preserve">GERMED GENERICOS</t>
  </si>
  <si>
    <t xml:space="preserve">469021</t>
  </si>
  <si>
    <t xml:space="preserve">7896112128847</t>
  </si>
  <si>
    <t xml:space="preserve">ACICLOVIR 50MG 10G CREME</t>
  </si>
  <si>
    <t xml:space="preserve">ACICLOVIR 50MG/G CREME DERM BG 10G</t>
  </si>
  <si>
    <t xml:space="preserve">TEUTO</t>
  </si>
  <si>
    <t xml:space="preserve">11821</t>
  </si>
  <si>
    <t xml:space="preserve">7898665751411</t>
  </si>
  <si>
    <t xml:space="preserve">ACIDO HIALURONICO+VITAMINA 75MG C/60 CPR</t>
  </si>
  <si>
    <t xml:space="preserve">ACIDO HIALURONICO+VITAMINAS 75MG C/60 CP</t>
  </si>
  <si>
    <t xml:space="preserve">DUOM</t>
  </si>
  <si>
    <t xml:space="preserve">2953</t>
  </si>
  <si>
    <t xml:space="preserve">7898048691419</t>
  </si>
  <si>
    <t xml:space="preserve">AGUA FLOR DE LARANJEIRA 100ML</t>
  </si>
  <si>
    <t xml:space="preserve">LAPON</t>
  </si>
  <si>
    <t xml:space="preserve">541181</t>
  </si>
  <si>
    <t xml:space="preserve">7898652371967</t>
  </si>
  <si>
    <t xml:space="preserve">AGULHA 0,7X30 C/100 UND</t>
  </si>
  <si>
    <t xml:space="preserve">AGULHA HIPODERMICA 30X0,70MM</t>
  </si>
  <si>
    <t xml:space="preserve">631571</t>
  </si>
  <si>
    <t xml:space="preserve">7896902210479</t>
  </si>
  <si>
    <t xml:space="preserve">ALCOOL 70% 50ML</t>
  </si>
  <si>
    <t xml:space="preserve">FARMAX</t>
  </si>
  <si>
    <t xml:space="preserve">3233</t>
  </si>
  <si>
    <t xml:space="preserve">7898031310877</t>
  </si>
  <si>
    <t xml:space="preserve">ALCOOL GEL 70% 50G UNISSEPT</t>
  </si>
  <si>
    <t xml:space="preserve">UNIPHAR</t>
  </si>
  <si>
    <t xml:space="preserve">5043</t>
  </si>
  <si>
    <t xml:space="preserve">7898582291694</t>
  </si>
  <si>
    <t xml:space="preserve">ALCOOL GEL 60ML PERFUMADO</t>
  </si>
  <si>
    <t xml:space="preserve">ALCOOL GEL 70% PERFUMAD COM MICROES 60ML</t>
  </si>
  <si>
    <t xml:space="preserve">PAIXAO</t>
  </si>
  <si>
    <t xml:space="preserve">571901</t>
  </si>
  <si>
    <t xml:space="preserve">7898206190044</t>
  </si>
  <si>
    <t xml:space="preserve">ALCOOL J FERES 70% 1L</t>
  </si>
  <si>
    <t xml:space="preserve">ALCOOL J FERES 70% 1 LITRO</t>
  </si>
  <si>
    <t xml:space="preserve">3453</t>
  </si>
  <si>
    <t xml:space="preserve">7896523209715</t>
  </si>
  <si>
    <t xml:space="preserve">ALERGOMINE 30G CREME</t>
  </si>
  <si>
    <t xml:space="preserve">ALERGOMINE 10MG/G CREME BG 30G</t>
  </si>
  <si>
    <t xml:space="preserve">CIMED</t>
  </si>
  <si>
    <t xml:space="preserve">331061</t>
  </si>
  <si>
    <t xml:space="preserve">7894488000019</t>
  </si>
  <si>
    <t xml:space="preserve">ALGODAO FLOC 25G M40</t>
  </si>
  <si>
    <t xml:space="preserve">ALGODAO SPARTERX MULTIUSO 25G</t>
  </si>
  <si>
    <t xml:space="preserve">COTTONBABY</t>
  </si>
  <si>
    <t xml:space="preserve">562421</t>
  </si>
  <si>
    <t xml:space="preserve">7896004709116</t>
  </si>
  <si>
    <t xml:space="preserve">AMOXICILINA 400MG 100ML SUS</t>
  </si>
  <si>
    <t xml:space="preserve">AMOXICILINA 400MG SUS ORAL FR 100ML</t>
  </si>
  <si>
    <t xml:space="preserve">32281</t>
  </si>
  <si>
    <t xml:space="preserve">7896004710501</t>
  </si>
  <si>
    <t xml:space="preserve">AMOXICILINA 875MG C/14 CPR</t>
  </si>
  <si>
    <t xml:space="preserve">AMOXICILINA 875MG CX 14 COMP REV</t>
  </si>
  <si>
    <t xml:space="preserve">33681</t>
  </si>
  <si>
    <t xml:space="preserve">7898133136757</t>
  </si>
  <si>
    <t xml:space="preserve">ARLIVRY 7MG 100ML XPE MEL</t>
  </si>
  <si>
    <t xml:space="preserve">ARLIVRY 7 MG/ML XPE CT FR PLAS AMB X 100 ML + CP MED (SABOR MEL)</t>
  </si>
  <si>
    <t xml:space="preserve">NATULAB LABORATORIO</t>
  </si>
  <si>
    <t xml:space="preserve">274861</t>
  </si>
  <si>
    <t xml:space="preserve">7898108641323</t>
  </si>
  <si>
    <t xml:space="preserve">ATADURA DE CREPE 06CM X 1,8M C/01 UND</t>
  </si>
  <si>
    <t xml:space="preserve">ATADURA DE CREPE 06CM C/12 UND</t>
  </si>
  <si>
    <t xml:space="preserve">CREMER</t>
  </si>
  <si>
    <t xml:space="preserve">3443</t>
  </si>
  <si>
    <t xml:space="preserve">ISENTO REAJUSTE (+10.6%)</t>
  </si>
  <si>
    <t xml:space="preserve">7898933598625</t>
  </si>
  <si>
    <t xml:space="preserve">ATADURA DE CREPE 06CM X 1,8M C/12 UND</t>
  </si>
  <si>
    <t xml:space="preserve">ATADURA DE CREPE 06CM UND</t>
  </si>
  <si>
    <t xml:space="preserve">TEXPHARMA</t>
  </si>
  <si>
    <t xml:space="preserve">597791</t>
  </si>
  <si>
    <t xml:space="preserve">7898933598830</t>
  </si>
  <si>
    <t xml:space="preserve">ATADURA DE CREPE 15CM X 1,8M C/12 UND</t>
  </si>
  <si>
    <t xml:space="preserve">ATADURA DE CREPE 15CM C/12 UND</t>
  </si>
  <si>
    <t xml:space="preserve">623471</t>
  </si>
  <si>
    <t xml:space="preserve">7898933598786</t>
  </si>
  <si>
    <t xml:space="preserve">ATADURA DE CREPE 30CM X 1,8M C/12 UND</t>
  </si>
  <si>
    <t xml:space="preserve">ATADURA DE CREPE 30CM C/12 UND</t>
  </si>
  <si>
    <t xml:space="preserve">613211</t>
  </si>
  <si>
    <t xml:space="preserve">7898108642078</t>
  </si>
  <si>
    <t xml:space="preserve">ATADURA DE CREPE MICKEY 06CM C/01 UND*</t>
  </si>
  <si>
    <t xml:space="preserve">ATADURA DE CREPE MICKEY 06CM</t>
  </si>
  <si>
    <t xml:space="preserve">SANFARMA</t>
  </si>
  <si>
    <t xml:space="preserve">653611</t>
  </si>
  <si>
    <t xml:space="preserve">ISENTO REAJUSTE (+14.4%)</t>
  </si>
  <si>
    <t xml:space="preserve">7898108642108</t>
  </si>
  <si>
    <t xml:space="preserve">ATADURA DE CREPE MICKEY 12CM C/01 UND*</t>
  </si>
  <si>
    <t xml:space="preserve">ATADURA DE CREPE MICKEY 12CM</t>
  </si>
  <si>
    <t xml:space="preserve">653621</t>
  </si>
  <si>
    <t xml:space="preserve">ISENTO REAJUSTE (+6.0%)</t>
  </si>
  <si>
    <t xml:space="preserve">7898049799213</t>
  </si>
  <si>
    <t xml:space="preserve">ATENOLOL+CLORTALIDONA 50+12,5MG C/30 CPR</t>
  </si>
  <si>
    <t xml:space="preserve">ATENOLOL+CLORTALIDONA 50,0+12,5MG CX 30 COMP</t>
  </si>
  <si>
    <t xml:space="preserve">VITAMEDIC</t>
  </si>
  <si>
    <t xml:space="preserve">25603</t>
  </si>
  <si>
    <t xml:space="preserve">7895296087131</t>
  </si>
  <si>
    <t xml:space="preserve">ATORVASTATINA 40MG C/30 CPR</t>
  </si>
  <si>
    <t xml:space="preserve">ATORVASTATINA CALCICA 40MG CX 30 COMP REV</t>
  </si>
  <si>
    <t xml:space="preserve">NOVA QUIMICA GENERICOS</t>
  </si>
  <si>
    <t xml:space="preserve">43721</t>
  </si>
  <si>
    <t xml:space="preserve">7908007905478</t>
  </si>
  <si>
    <t xml:space="preserve">AUTOTESTE COVID-19 AG</t>
  </si>
  <si>
    <t xml:space="preserve">AUTOTESTE COVID-19 AG (TESTE RAPIDO)</t>
  </si>
  <si>
    <t xml:space="preserve">G-TECH</t>
  </si>
  <si>
    <t xml:space="preserve">648171</t>
  </si>
  <si>
    <t xml:space="preserve">7898031310686</t>
  </si>
  <si>
    <t xml:space="preserve">OLEO DOCE 30ML</t>
  </si>
  <si>
    <t xml:space="preserve">AZEITE DOCE (OLEO DOCE) 30ML</t>
  </si>
  <si>
    <t xml:space="preserve">547701</t>
  </si>
  <si>
    <t xml:space="preserve">7899470805726</t>
  </si>
  <si>
    <t xml:space="preserve">BABY D 45G POMADA....</t>
  </si>
  <si>
    <t xml:space="preserve">BABY D PDA NATULAB 45GRS</t>
  </si>
  <si>
    <t xml:space="preserve">532681</t>
  </si>
  <si>
    <t xml:space="preserve">7898582292332</t>
  </si>
  <si>
    <t xml:space="preserve">GEL MASSAGEM CANELA DE VELHO 120ML</t>
  </si>
  <si>
    <t xml:space="preserve">BALSAMO CANELA VELHO DOUTOR HOUSE 120ML</t>
  </si>
  <si>
    <t xml:space="preserve">674731</t>
  </si>
  <si>
    <t xml:space="preserve">7898563802468</t>
  </si>
  <si>
    <t xml:space="preserve">MANTEIGA DE CACAU BATOM</t>
  </si>
  <si>
    <t xml:space="preserve">BATOM DE CACAU UN</t>
  </si>
  <si>
    <t xml:space="preserve">TROL</t>
  </si>
  <si>
    <t xml:space="preserve">541321</t>
  </si>
  <si>
    <t xml:space="preserve">7898031310075</t>
  </si>
  <si>
    <t xml:space="preserve">BAZELIN 10G GEL LATINHA</t>
  </si>
  <si>
    <t xml:space="preserve">BAZELIN 10G UN</t>
  </si>
  <si>
    <t xml:space="preserve">590701</t>
  </si>
  <si>
    <t xml:space="preserve">7898014560077</t>
  </si>
  <si>
    <t xml:space="preserve">BENZODERM 60G SABONETE</t>
  </si>
  <si>
    <t xml:space="preserve">BENZODERM 100 MG/G SAB CT FIL PP X 60 G</t>
  </si>
  <si>
    <t xml:space="preserve">PHARMASCIENCE INDUSTRIA FARMACEUTICA</t>
  </si>
  <si>
    <t xml:space="preserve">49581</t>
  </si>
  <si>
    <t xml:space="preserve">7899095238473</t>
  </si>
  <si>
    <t xml:space="preserve">ANLODIPINO 10MG C/30 CPR</t>
  </si>
  <si>
    <t xml:space="preserve">BESILATO DE ANLODIPINO 10MG CX 30 COMP</t>
  </si>
  <si>
    <t xml:space="preserve">GEOLAB</t>
  </si>
  <si>
    <t xml:space="preserve">50281</t>
  </si>
  <si>
    <t xml:space="preserve">7896006201182</t>
  </si>
  <si>
    <t xml:space="preserve">BETA+GENTA+TOLNA+CLIO 20G CRM</t>
  </si>
  <si>
    <t xml:space="preserve">BETAMETASONA+CLIOQUINOL+SULFATO DE GENTAMICINA+TOLNAFATO CREM DERM BG 20G</t>
  </si>
  <si>
    <t xml:space="preserve">611641</t>
  </si>
  <si>
    <t xml:space="preserve">7898953484243</t>
  </si>
  <si>
    <t xml:space="preserve">BICO LAVADOR NASAL UNIVERSAL C/02 UND</t>
  </si>
  <si>
    <t xml:space="preserve">BICO P/ SERINGA DE LAVAGEN NASAL C/2</t>
  </si>
  <si>
    <t xml:space="preserve">3B</t>
  </si>
  <si>
    <t xml:space="preserve">619101</t>
  </si>
  <si>
    <t xml:space="preserve">7896920303320</t>
  </si>
  <si>
    <t xml:space="preserve">BILIPLEX C/48 FLAC 10ML BOLD</t>
  </si>
  <si>
    <t xml:space="preserve">BILIPLEX BOLD 10ML</t>
  </si>
  <si>
    <t xml:space="preserve">ECOFITUS</t>
  </si>
  <si>
    <t xml:space="preserve">611711</t>
  </si>
  <si>
    <t xml:space="preserve">7898958836818</t>
  </si>
  <si>
    <t xml:space="preserve">BIOTINA 450MG C/60 CPS</t>
  </si>
  <si>
    <t xml:space="preserve">624041</t>
  </si>
  <si>
    <t xml:space="preserve">7908414448933</t>
  </si>
  <si>
    <t xml:space="preserve">BOLSA TERMICA GEL AZUL HC353</t>
  </si>
  <si>
    <t xml:space="preserve">MULTILASER</t>
  </si>
  <si>
    <t xml:space="preserve">3893</t>
  </si>
  <si>
    <t xml:space="preserve">7898975719040</t>
  </si>
  <si>
    <t xml:space="preserve">BOLSA TERMICA GEL QUENTE E FRIO GRANDE</t>
  </si>
  <si>
    <t xml:space="preserve">BOLSA TERMICA GEL QUENTE OU FRIO GRANDE</t>
  </si>
  <si>
    <t xml:space="preserve">674321</t>
  </si>
  <si>
    <t xml:space="preserve">7896472513284</t>
  </si>
  <si>
    <t xml:space="preserve">BUPROVIL 300MG C/20 CPR</t>
  </si>
  <si>
    <t xml:space="preserve">BUPROVIL 300MG CX 20 COMP</t>
  </si>
  <si>
    <t xml:space="preserve">MULTILAB</t>
  </si>
  <si>
    <t xml:space="preserve">294981</t>
  </si>
  <si>
    <t xml:space="preserve">7896472502769</t>
  </si>
  <si>
    <t xml:space="preserve">BUPROVIL 300MG C/30 CPR..</t>
  </si>
  <si>
    <t xml:space="preserve">BUPROVIL 300MG CX 30 COMP</t>
  </si>
  <si>
    <t xml:space="preserve">297061</t>
  </si>
  <si>
    <t xml:space="preserve">7899620910164</t>
  </si>
  <si>
    <t xml:space="preserve">CAPTOPRIL 50MG C/30 CPR</t>
  </si>
  <si>
    <t xml:space="preserve">CAPTOPRIL 50MG CX 30 COMP</t>
  </si>
  <si>
    <t xml:space="preserve">74721</t>
  </si>
  <si>
    <t xml:space="preserve">7897848500921</t>
  </si>
  <si>
    <t xml:space="preserve">CARBOTRAT AD 50MG 100ML XPE</t>
  </si>
  <si>
    <t xml:space="preserve">3913</t>
  </si>
  <si>
    <t xml:space="preserve">7896006241003</t>
  </si>
  <si>
    <t xml:space="preserve">CELESTRAT C/20 CPR</t>
  </si>
  <si>
    <t xml:space="preserve">CELESTRAT 2+0,25MG CX 20 COMP</t>
  </si>
  <si>
    <t xml:space="preserve">56581</t>
  </si>
  <si>
    <t xml:space="preserve">7896920304556</t>
  </si>
  <si>
    <t xml:space="preserve">CENTROMAX AZ C/60 CPS</t>
  </si>
  <si>
    <t xml:space="preserve">CENTROMAX A Z 60 CAPS</t>
  </si>
  <si>
    <t xml:space="preserve">630661</t>
  </si>
  <si>
    <t xml:space="preserve">7898031311782</t>
  </si>
  <si>
    <t xml:space="preserve">CETOCASP 120ML SHAMPOO</t>
  </si>
  <si>
    <t xml:space="preserve">CETOCASP SHAMPOO 120ML</t>
  </si>
  <si>
    <t xml:space="preserve">PADRAO</t>
  </si>
  <si>
    <t xml:space="preserve">532281</t>
  </si>
  <si>
    <t xml:space="preserve">7891317001926</t>
  </si>
  <si>
    <t xml:space="preserve">CETOPROFENO 150MG C/10 CPR</t>
  </si>
  <si>
    <t xml:space="preserve">CETOPROFENO 150MG CX 10 COMP LIB PROL</t>
  </si>
  <si>
    <t xml:space="preserve">EUROFARMA</t>
  </si>
  <si>
    <t xml:space="preserve">95361</t>
  </si>
  <si>
    <t xml:space="preserve">7898108640661</t>
  </si>
  <si>
    <t xml:space="preserve">CURATIVO CICATRISAN C/10 UND TRANSPARENT</t>
  </si>
  <si>
    <t xml:space="preserve">CICATRISAN CURATIVO 10UN</t>
  </si>
  <si>
    <t xml:space="preserve">608901</t>
  </si>
  <si>
    <t xml:space="preserve">ISENTO REAJUSTE (+17.1%)</t>
  </si>
  <si>
    <t xml:space="preserve">7898108640678</t>
  </si>
  <si>
    <t xml:space="preserve">CURATIVO CICATRISAN C/10 UND MICROPOROSO</t>
  </si>
  <si>
    <t xml:space="preserve">CICATRISAN CURATIVO 10UN MICROPOROSO</t>
  </si>
  <si>
    <t xml:space="preserve">608881</t>
  </si>
  <si>
    <t xml:space="preserve">ISENTO REAJUSTE (+19.2%)</t>
  </si>
  <si>
    <t xml:space="preserve">7898108640739</t>
  </si>
  <si>
    <t xml:space="preserve">CURATIVO CICATRISAN C/35 UND TRANSPARENT</t>
  </si>
  <si>
    <t xml:space="preserve">CICATRISAN CURATIVO UNIDADE</t>
  </si>
  <si>
    <t xml:space="preserve">594911</t>
  </si>
  <si>
    <t xml:space="preserve">ISENTO REAJUSTE (+17.3%)</t>
  </si>
  <si>
    <t xml:space="preserve">7896004784335</t>
  </si>
  <si>
    <t xml:space="preserve">FEXOFENADINA 180MG C/10 CPR</t>
  </si>
  <si>
    <t xml:space="preserve">CLOR.FEXOFENADINA 180MG 1BLX10COM REV-GD</t>
  </si>
  <si>
    <t xml:space="preserve">630181</t>
  </si>
  <si>
    <t xml:space="preserve">7898938440530</t>
  </si>
  <si>
    <t xml:space="preserve">CLORETO DE MAGNESIO P.A 580MG C/60 CPS</t>
  </si>
  <si>
    <t xml:space="preserve">644921</t>
  </si>
  <si>
    <t xml:space="preserve">7898048690405</t>
  </si>
  <si>
    <t xml:space="preserve">CLORETO DE MAGNESIO P.A 600MG C/60 CPR</t>
  </si>
  <si>
    <t xml:space="preserve">646641</t>
  </si>
  <si>
    <t xml:space="preserve">7898964832057</t>
  </si>
  <si>
    <t xml:space="preserve">CLORETO DE MAGNESIO P.A C/60 CPR</t>
  </si>
  <si>
    <t xml:space="preserve">607241</t>
  </si>
  <si>
    <t xml:space="preserve">7898166041400</t>
  </si>
  <si>
    <t xml:space="preserve">SORO FISIOLOGICO 0,9% 500ML INJ</t>
  </si>
  <si>
    <t xml:space="preserve">CLORETO DE SODIO 9 MG/ML SOL INJ IV CX 24 FR PLAS TRANS PE SIST FECH X 500 ML</t>
  </si>
  <si>
    <t xml:space="preserve">FARMACE INDUSTRIA QUIMICO-FARMACEUTICA CEARENSE</t>
  </si>
  <si>
    <t xml:space="preserve">119861</t>
  </si>
  <si>
    <t xml:space="preserve">7898166041387</t>
  </si>
  <si>
    <t xml:space="preserve">SORO FISIOLOGICO 0,9% 100ML INJ</t>
  </si>
  <si>
    <t xml:space="preserve">CLORETO DE SODIO 9 MG/ML SOL INJ IV CX 60 FR PLAS TRANS PE SIST FECH X 100 ML</t>
  </si>
  <si>
    <t xml:space="preserve">119901</t>
  </si>
  <si>
    <t xml:space="preserve">7899095245631</t>
  </si>
  <si>
    <t xml:space="preserve">AMIODARONA 200MG C/30 CPR**</t>
  </si>
  <si>
    <t xml:space="preserve">CLORIDRATO DE AMIODARONA 200MG CX 30 COMP</t>
  </si>
  <si>
    <t xml:space="preserve">124821</t>
  </si>
  <si>
    <t xml:space="preserve">7898060139913</t>
  </si>
  <si>
    <t xml:space="preserve">CICLOBENZAPRINA 5MG C/15 CPR</t>
  </si>
  <si>
    <t xml:space="preserve">CLORIDRATO DE CICLOBENZAPRINA 5MG CX 15 COMP REV</t>
  </si>
  <si>
    <t xml:space="preserve">134661</t>
  </si>
  <si>
    <t xml:space="preserve">7896523214627</t>
  </si>
  <si>
    <t xml:space="preserve">CICLOBENZAPRINA 5MG C/30 CPR</t>
  </si>
  <si>
    <t xml:space="preserve">CLORIDRATO DE CICLOBENZAPRINA 5MG CX 30 COMP REV</t>
  </si>
  <si>
    <t xml:space="preserve">132761</t>
  </si>
  <si>
    <t xml:space="preserve">7896006225744</t>
  </si>
  <si>
    <t xml:space="preserve">CLINDAMICINA 300MG C/16 CPS</t>
  </si>
  <si>
    <t xml:space="preserve">CLORIDRATO DE CLINDAMICINA 300MG CX 16 CAP</t>
  </si>
  <si>
    <t xml:space="preserve">137941</t>
  </si>
  <si>
    <t xml:space="preserve">7896112103028</t>
  </si>
  <si>
    <t xml:space="preserve">NEBIVOLOL 5MG C/30 CPR</t>
  </si>
  <si>
    <t xml:space="preserve">CLORIDRATO DE NEBIVOLOL 5MG CX 30 COMP</t>
  </si>
  <si>
    <t xml:space="preserve">162481</t>
  </si>
  <si>
    <t xml:space="preserve">7896112400387</t>
  </si>
  <si>
    <t xml:space="preserve">ONDANSETRONA 4MG C/10 CPR DISPERSIVEIS</t>
  </si>
  <si>
    <t xml:space="preserve">CLORIDRATO DE ONDANSETRONA 4MG CX 10 COMP</t>
  </si>
  <si>
    <t xml:space="preserve">BIOLAB GENERICOS</t>
  </si>
  <si>
    <t xml:space="preserve">163981</t>
  </si>
  <si>
    <t xml:space="preserve">7896004708607</t>
  </si>
  <si>
    <t xml:space="preserve">*TRAMADOL (A2) 100MG 15ML GTS</t>
  </si>
  <si>
    <t xml:space="preserve">CLORIDRATO DE TRAMADOL 100MG SOL ORAL FR 15ML</t>
  </si>
  <si>
    <t xml:space="preserve">183041</t>
  </si>
  <si>
    <t xml:space="preserve">7899620916616</t>
  </si>
  <si>
    <t xml:space="preserve">*TRAZODONA (C1) 100MG C/30 CPR</t>
  </si>
  <si>
    <t xml:space="preserve">CLORIDRATO DE TRAZODONA 100MG CX 30 COMP</t>
  </si>
  <si>
    <t xml:space="preserve">651131</t>
  </si>
  <si>
    <t xml:space="preserve">7896004721231</t>
  </si>
  <si>
    <t xml:space="preserve">CLOTRIMAZOL 10MG 20G CREME</t>
  </si>
  <si>
    <t xml:space="preserve">CLOTRIMAZOL 10MG CREM BG 20G</t>
  </si>
  <si>
    <t xml:space="preserve">189301</t>
  </si>
  <si>
    <t xml:space="preserve">7898938440912</t>
  </si>
  <si>
    <t xml:space="preserve">COLAGENO+VITAMINA C 1000MG C/60 CPR</t>
  </si>
  <si>
    <t xml:space="preserve">COLAGENO + VITAMINA C 1000MG C/60 CPR</t>
  </si>
  <si>
    <t xml:space="preserve">2943</t>
  </si>
  <si>
    <t xml:space="preserve">7898277713272</t>
  </si>
  <si>
    <t xml:space="preserve">COMPLEXO B 30ML GTS</t>
  </si>
  <si>
    <t xml:space="preserve">NATIVITA IND</t>
  </si>
  <si>
    <t xml:space="preserve">3323</t>
  </si>
  <si>
    <t xml:space="preserve">7898958836986</t>
  </si>
  <si>
    <t xml:space="preserve">COMPLEXO B 400MG C/60 CPS.</t>
  </si>
  <si>
    <t xml:space="preserve">644931</t>
  </si>
  <si>
    <t xml:space="preserve">7897146650021</t>
  </si>
  <si>
    <t xml:space="preserve">COMPLEXO B C/100 CPR.</t>
  </si>
  <si>
    <t xml:space="preserve">661121</t>
  </si>
  <si>
    <t xml:space="preserve">7898277714880</t>
  </si>
  <si>
    <t xml:space="preserve">COMPLEXO B CONCENTRADO C/20 CPR</t>
  </si>
  <si>
    <t xml:space="preserve">COMPLEXO B C/20 CPR CONCENTRADO</t>
  </si>
  <si>
    <t xml:space="preserve">3343</t>
  </si>
  <si>
    <t xml:space="preserve">7897146600200</t>
  </si>
  <si>
    <t xml:space="preserve">COMPLEXO B C/30 CPR</t>
  </si>
  <si>
    <t xml:space="preserve">HENFER</t>
  </si>
  <si>
    <t xml:space="preserve">608751</t>
  </si>
  <si>
    <t xml:space="preserve">7897146600064</t>
  </si>
  <si>
    <t xml:space="preserve">COMPLEXO B C/50 CPR</t>
  </si>
  <si>
    <t xml:space="preserve">ARTE NATIVA</t>
  </si>
  <si>
    <t xml:space="preserve">592581</t>
  </si>
  <si>
    <t xml:space="preserve">7898964832156</t>
  </si>
  <si>
    <t xml:space="preserve">COMPLEXO B C/60 CPR</t>
  </si>
  <si>
    <t xml:space="preserve">COMPLEXO B C/60COMP.</t>
  </si>
  <si>
    <t xml:space="preserve">NUTRITIVE</t>
  </si>
  <si>
    <t xml:space="preserve">541341</t>
  </si>
  <si>
    <t xml:space="preserve">7898277713333</t>
  </si>
  <si>
    <t xml:space="preserve">COMPLEXO B 100ML XPE</t>
  </si>
  <si>
    <t xml:space="preserve">COMPLEXO B SOL ORAL 100ML (POLIVITAMINAS</t>
  </si>
  <si>
    <t xml:space="preserve">581021</t>
  </si>
  <si>
    <t xml:space="preserve">7898933598151</t>
  </si>
  <si>
    <t xml:space="preserve">COMPRESSA GAZE 11 FIOS C/10 UN TEXPHARMA</t>
  </si>
  <si>
    <t xml:space="preserve">596581</t>
  </si>
  <si>
    <t xml:space="preserve">7898668060190</t>
  </si>
  <si>
    <t xml:space="preserve">COMPRESSA GAZE 13 FIOS C/10 UND LIVIA</t>
  </si>
  <si>
    <t xml:space="preserve">538361</t>
  </si>
  <si>
    <t xml:space="preserve">7898669306716</t>
  </si>
  <si>
    <t xml:space="preserve">CREATINA 3000MG 150G PO</t>
  </si>
  <si>
    <t xml:space="preserve">CREATINA 100% PURE ABSOLUT 150G</t>
  </si>
  <si>
    <t xml:space="preserve">ABSOLUTY</t>
  </si>
  <si>
    <t xml:space="preserve">643291</t>
  </si>
  <si>
    <t xml:space="preserve">7898665752388</t>
  </si>
  <si>
    <t xml:space="preserve">3923</t>
  </si>
  <si>
    <t xml:space="preserve">7898665752500</t>
  </si>
  <si>
    <t xml:space="preserve">CREATINA 3000MG C/120 CPS</t>
  </si>
  <si>
    <t xml:space="preserve">651441</t>
  </si>
  <si>
    <t xml:space="preserve">7898277712695</t>
  </si>
  <si>
    <t xml:space="preserve">CREME DE ARNICA MONTANA 60G</t>
  </si>
  <si>
    <t xml:space="preserve">673701</t>
  </si>
  <si>
    <t xml:space="preserve">7898136150613</t>
  </si>
  <si>
    <t xml:space="preserve">CURATIVO NATHY C/10 UND BEGE............</t>
  </si>
  <si>
    <t xml:space="preserve">CURATIVO ADESIVO NATHY BEGE 10UND</t>
  </si>
  <si>
    <t xml:space="preserve">NATHY</t>
  </si>
  <si>
    <t xml:space="preserve">620031</t>
  </si>
  <si>
    <t xml:space="preserve">QTD LIMITADA (ESTOQUE/Q.MÁX)</t>
  </si>
  <si>
    <t xml:space="preserve">7898136150583</t>
  </si>
  <si>
    <t xml:space="preserve">CURATIVO REDONDO NATHY C/16 UN BEGE.....</t>
  </si>
  <si>
    <t xml:space="preserve">CURATIVO ADESIVO NATHY BEGE 16UND</t>
  </si>
  <si>
    <t xml:space="preserve">647131</t>
  </si>
  <si>
    <t xml:space="preserve">7898136150446</t>
  </si>
  <si>
    <t xml:space="preserve">CURATIVO NATHY C/10 UND TRANSPARENT.....</t>
  </si>
  <si>
    <t xml:space="preserve">CURATIVO ADESIVO NATHY TRANSPARENTE 10UN</t>
  </si>
  <si>
    <t xml:space="preserve">620061</t>
  </si>
  <si>
    <t xml:space="preserve">7898136150576</t>
  </si>
  <si>
    <t xml:space="preserve">CURATIVO REDONDO NATHY C/16 UND TRANS...</t>
  </si>
  <si>
    <t xml:space="preserve">CURATIVO ADESIVO NATHY TRANSPARENTE 16UN</t>
  </si>
  <si>
    <t xml:space="preserve">647121</t>
  </si>
  <si>
    <t xml:space="preserve">7898108640685</t>
  </si>
  <si>
    <t xml:space="preserve">CURATIVO CICATRISAN C/10 UND COR DA PELE</t>
  </si>
  <si>
    <t xml:space="preserve">CURATIVO CICATRISAN COR DE PELE CX 10 UND</t>
  </si>
  <si>
    <t xml:space="preserve">598531</t>
  </si>
  <si>
    <t xml:space="preserve">ISENTO REAJUSTE (+12.3%)</t>
  </si>
  <si>
    <t xml:space="preserve">7896544927230</t>
  </si>
  <si>
    <t xml:space="preserve">CURATIVO HIDROCOLOIDE BOLHAS E CALOS C/8</t>
  </si>
  <si>
    <t xml:space="preserve">CURATIVO HIDROCOLOIDE BOLHAS CALOS C/08</t>
  </si>
  <si>
    <t xml:space="preserve">4103</t>
  </si>
  <si>
    <t xml:space="preserve">7896544901346</t>
  </si>
  <si>
    <t xml:space="preserve">CURATIVO HIDROCOLOIDE P/ACNE C/24 UND</t>
  </si>
  <si>
    <t xml:space="preserve">CURATIVO HIDROCOLOIDE P/ ACNES C/24 UND</t>
  </si>
  <si>
    <t xml:space="preserve">4033</t>
  </si>
  <si>
    <t xml:space="preserve">7898108640791</t>
  </si>
  <si>
    <t xml:space="preserve">CURATIVO HIDROCOLOIDE P/ACNE C/35 UND</t>
  </si>
  <si>
    <t xml:space="preserve">CURATIVO HIDROCOLOIDE SANCARE C/24 UND</t>
  </si>
  <si>
    <t xml:space="preserve">3243</t>
  </si>
  <si>
    <t xml:space="preserve">ISENTO REAJUSTE (+15.0%)</t>
  </si>
  <si>
    <t xml:space="preserve">7898108641989</t>
  </si>
  <si>
    <t xml:space="preserve">CURATIVO MICKEY E MINNIE C/10 UND*</t>
  </si>
  <si>
    <t xml:space="preserve">CURATIVO MICKEY E MINNIE C/10 UND</t>
  </si>
  <si>
    <t xml:space="preserve">5003</t>
  </si>
  <si>
    <t xml:space="preserve">ISENTO REAJUSTE (+9.9%)</t>
  </si>
  <si>
    <t xml:space="preserve">7898136150620</t>
  </si>
  <si>
    <t xml:space="preserve">CURATIVO NATHY C/35 UND BEGE............</t>
  </si>
  <si>
    <t xml:space="preserve">CURATIVO NATHY C/35UN BEGE</t>
  </si>
  <si>
    <t xml:space="preserve">656461</t>
  </si>
  <si>
    <t xml:space="preserve">7898108640692</t>
  </si>
  <si>
    <t xml:space="preserve">CURATIVO REDONDO CICATRISAN C/20 UND*</t>
  </si>
  <si>
    <t xml:space="preserve">CURATIVO REDONDO CICATRISAN C/20 UND</t>
  </si>
  <si>
    <t xml:space="preserve">3433</t>
  </si>
  <si>
    <t xml:space="preserve">7896004821948</t>
  </si>
  <si>
    <t xml:space="preserve">DAPAGLIFLOZINA 10MG C/30 CPR</t>
  </si>
  <si>
    <t xml:space="preserve">DAPAGLIFLOZINA 10MG C/30 CPR GMD-GENERICO</t>
  </si>
  <si>
    <t xml:space="preserve">GERMED</t>
  </si>
  <si>
    <t xml:space="preserve">39203</t>
  </si>
  <si>
    <t xml:space="preserve">7898593050716</t>
  </si>
  <si>
    <t xml:space="preserve">DERMUP COLAGENO VERISOL C/90 CPS</t>
  </si>
  <si>
    <t xml:space="preserve">MAXINUTRI</t>
  </si>
  <si>
    <t xml:space="preserve">691501</t>
  </si>
  <si>
    <t xml:space="preserve">7896004820798</t>
  </si>
  <si>
    <t xml:space="preserve">DESLORATADINA 5MG C/10 CPR....</t>
  </si>
  <si>
    <t xml:space="preserve">DESLORATADINA 5MG CX 10 COMP REV</t>
  </si>
  <si>
    <t xml:space="preserve">648181</t>
  </si>
  <si>
    <t xml:space="preserve">7896004711362</t>
  </si>
  <si>
    <t xml:space="preserve">DESONIDA 0,5MG 30G POMADA</t>
  </si>
  <si>
    <t xml:space="preserve">DESONIDA 0,5MG POM BG 30G</t>
  </si>
  <si>
    <t xml:space="preserve">206161</t>
  </si>
  <si>
    <t xml:space="preserve">7898277713067</t>
  </si>
  <si>
    <t xml:space="preserve">DESUPRE D3 200 UI 20ML GTS.</t>
  </si>
  <si>
    <t xml:space="preserve">DESUPRE GTS VITAMINA D 200UI 20ML LIMAO</t>
  </si>
  <si>
    <t xml:space="preserve">ALTHAIA S.A INDUSTRIA FARMACEUTICA</t>
  </si>
  <si>
    <t xml:space="preserve">590711</t>
  </si>
  <si>
    <t xml:space="preserve">7898719041673</t>
  </si>
  <si>
    <t xml:space="preserve">DIABETYLL 300G CREME.</t>
  </si>
  <si>
    <t xml:space="preserve">3783</t>
  </si>
  <si>
    <t xml:space="preserve">7897917004008</t>
  </si>
  <si>
    <t xml:space="preserve">DICLOFENACO SODICO 50MG C/20 CPR.</t>
  </si>
  <si>
    <t xml:space="preserve">DICLOFENACO SODICO 50MG CX 20 COMP REV</t>
  </si>
  <si>
    <t xml:space="preserve">BELFAR</t>
  </si>
  <si>
    <t xml:space="preserve">490121</t>
  </si>
  <si>
    <t xml:space="preserve">7897076921499</t>
  </si>
  <si>
    <t xml:space="preserve">LEVOCETIRIZINA 5MG C/10 CPR</t>
  </si>
  <si>
    <t xml:space="preserve">DICLORIDRATO DE LEVOCETIRIZINA 5MG CX 10 COMP REV</t>
  </si>
  <si>
    <t xml:space="preserve">RANBAXY</t>
  </si>
  <si>
    <t xml:space="preserve">214001</t>
  </si>
  <si>
    <t xml:space="preserve">7899095233522</t>
  </si>
  <si>
    <t xml:space="preserve">BETAMETASONA+GENTAMICINA 30G POMADA**</t>
  </si>
  <si>
    <t xml:space="preserve">DIP BETAMETASONA+SULF GENTAMICINA 0,5+1,0MG/G POM BG 30G</t>
  </si>
  <si>
    <t xml:space="preserve">449201</t>
  </si>
  <si>
    <t xml:space="preserve">7896862940027</t>
  </si>
  <si>
    <t xml:space="preserve">DIPIMED 500MG 10ML GTS</t>
  </si>
  <si>
    <t xml:space="preserve">DIPIMED 500MG/ML SOL OR FR 10ML</t>
  </si>
  <si>
    <t xml:space="preserve">MEDQUIMICA</t>
  </si>
  <si>
    <t xml:space="preserve">222061</t>
  </si>
  <si>
    <t xml:space="preserve">7896004715650</t>
  </si>
  <si>
    <t xml:space="preserve">DIPIRONA 50MG 100ML SUS</t>
  </si>
  <si>
    <t xml:space="preserve">DIPIRONA SODICA 50MG SOL ORAL FR 100ML</t>
  </si>
  <si>
    <t xml:space="preserve">627881</t>
  </si>
  <si>
    <t xml:space="preserve">7896004719115</t>
  </si>
  <si>
    <t xml:space="preserve">DIPIRONA 500MG 10ML GTS</t>
  </si>
  <si>
    <t xml:space="preserve">DIPIRONA SODICA FR GTS 10ML</t>
  </si>
  <si>
    <t xml:space="preserve">221921</t>
  </si>
  <si>
    <t xml:space="preserve">7898700410068</t>
  </si>
  <si>
    <t xml:space="preserve">DORALEX 1G C/10 CPR.</t>
  </si>
  <si>
    <t xml:space="preserve">DORALEX 1G CX 10 COMP</t>
  </si>
  <si>
    <t xml:space="preserve">637501</t>
  </si>
  <si>
    <t xml:space="preserve">7895296100038</t>
  </si>
  <si>
    <t xml:space="preserve">DROSPIRENONA+ETINIL 3+0,03MG C/21 CPR</t>
  </si>
  <si>
    <t xml:space="preserve">DROSPIRENONA+ETINILESTRADIOL 3+0,03MG CX 21 COMP REV</t>
  </si>
  <si>
    <t xml:space="preserve">238761</t>
  </si>
  <si>
    <t xml:space="preserve">7898665752128</t>
  </si>
  <si>
    <t xml:space="preserve">MALTTA 5 MAGNESIOS C/60 CPS</t>
  </si>
  <si>
    <t xml:space="preserve">DUOM 5 MAGNESIOS C/60 CPS</t>
  </si>
  <si>
    <t xml:space="preserve">609411</t>
  </si>
  <si>
    <t xml:space="preserve">7898048690863</t>
  </si>
  <si>
    <t xml:space="preserve">ELIXIR COLEGORICO 30ML GTS</t>
  </si>
  <si>
    <t xml:space="preserve">3533</t>
  </si>
  <si>
    <t xml:space="preserve">7896023701436</t>
  </si>
  <si>
    <t xml:space="preserve">ELIXIR PAREGORICO 30ML GTS</t>
  </si>
  <si>
    <t xml:space="preserve">ELIXIR PAREGORICO 0,05ML/ML SOL OR FR GOT 30ML</t>
  </si>
  <si>
    <t xml:space="preserve">CATARINENSE PHARMA</t>
  </si>
  <si>
    <t xml:space="preserve">393461</t>
  </si>
  <si>
    <t xml:space="preserve">7898700411706</t>
  </si>
  <si>
    <t xml:space="preserve">ENERGRIP C 1G C/10 CPR EFERV</t>
  </si>
  <si>
    <t xml:space="preserve">ENERGRIP C 1G 10 CPR EFERV</t>
  </si>
  <si>
    <t xml:space="preserve">642641</t>
  </si>
  <si>
    <t xml:space="preserve">7898975719071</t>
  </si>
  <si>
    <t xml:space="preserve">ESPACADOR INFANTIL</t>
  </si>
  <si>
    <t xml:space="preserve">661131</t>
  </si>
  <si>
    <t xml:space="preserve">7896544900073</t>
  </si>
  <si>
    <t xml:space="preserve">ESPARADRAPO BRANCO 1,2X4,5 M6</t>
  </si>
  <si>
    <t xml:space="preserve">ESPARAD IMP MISSNER 1,2CMX4,5M</t>
  </si>
  <si>
    <t xml:space="preserve">MISSNER</t>
  </si>
  <si>
    <t xml:space="preserve">613791</t>
  </si>
  <si>
    <t xml:space="preserve">7896544910102</t>
  </si>
  <si>
    <t xml:space="preserve">ESPARADRAPO BRANCO 10X4,5</t>
  </si>
  <si>
    <t xml:space="preserve">ESPARADRAPO BRANCO 10 X 4,5</t>
  </si>
  <si>
    <t xml:space="preserve">540961</t>
  </si>
  <si>
    <t xml:space="preserve">7896544925014</t>
  </si>
  <si>
    <t xml:space="preserve">ESPARADRAPO BRANCO 2,5X0,90 M12*</t>
  </si>
  <si>
    <t xml:space="preserve">ESPARADRAPO IMP BRANCO 2,5CM X 0,90MTS UND QTD. 14.00 UN</t>
  </si>
  <si>
    <t xml:space="preserve">541301</t>
  </si>
  <si>
    <t xml:space="preserve">7896544925458</t>
  </si>
  <si>
    <t xml:space="preserve">ESPARADRAPO BRANCO 2,5X4,5 M6*</t>
  </si>
  <si>
    <t xml:space="preserve">ESPARADRAPO IMP BRANCO 2,5CM X 4,5MTS UND QTD. 10.00 UN</t>
  </si>
  <si>
    <t xml:space="preserve">541421</t>
  </si>
  <si>
    <t xml:space="preserve">7896544900332</t>
  </si>
  <si>
    <t xml:space="preserve">ESPARADRAPO BEGE 2,5X4,5 M6</t>
  </si>
  <si>
    <t xml:space="preserve">ESPARADRAPO IMPERM BEGE. 2,5CM X 4,5M</t>
  </si>
  <si>
    <t xml:space="preserve">567761</t>
  </si>
  <si>
    <t xml:space="preserve">7896544910058</t>
  </si>
  <si>
    <t xml:space="preserve">ESPARADRAPO BRANCO 5X4,5 M6*</t>
  </si>
  <si>
    <t xml:space="preserve">ESPARADRAPO IMPERM. BRANCO 5CMX4,5M</t>
  </si>
  <si>
    <t xml:space="preserve">552501</t>
  </si>
  <si>
    <t xml:space="preserve">7896004761633</t>
  </si>
  <si>
    <t xml:space="preserve">ETODOLACO 400MG C/10 CPR</t>
  </si>
  <si>
    <t xml:space="preserve">ETODOLACO 400MG BL 10 COMP REV</t>
  </si>
  <si>
    <t xml:space="preserve">240321</t>
  </si>
  <si>
    <t xml:space="preserve">7896006209898</t>
  </si>
  <si>
    <t xml:space="preserve">FERISEPT 10MG 45ML SPRAY</t>
  </si>
  <si>
    <t xml:space="preserve">FERISEPT (N.S.) 10MG/ML SPRAY FR 45ML</t>
  </si>
  <si>
    <t xml:space="preserve">613621</t>
  </si>
  <si>
    <t xml:space="preserve">ISENTO REAJUSTE (+20.6%)</t>
  </si>
  <si>
    <t xml:space="preserve">7896544900011</t>
  </si>
  <si>
    <t xml:space="preserve">FITA MICROPOROSA BRANCO 1,2X4,5 M6</t>
  </si>
  <si>
    <t xml:space="preserve">FITA CIRUGICA MICRO 1,2X4,5 MISSNER</t>
  </si>
  <si>
    <t xml:space="preserve">532361</t>
  </si>
  <si>
    <t xml:space="preserve">7896544900097</t>
  </si>
  <si>
    <t xml:space="preserve">FITA MICROPOROSA BRANCO 2,5X4,5 M6*</t>
  </si>
  <si>
    <t xml:space="preserve">FITA CIRURGICA MICROPOROSA MISSNER 2,5CM X 4,5M</t>
  </si>
  <si>
    <t xml:space="preserve">532401</t>
  </si>
  <si>
    <t xml:space="preserve">7899838831992</t>
  </si>
  <si>
    <t xml:space="preserve">FITA DE KINESIO 5CMX5M BEGE</t>
  </si>
  <si>
    <t xml:space="preserve">FITA DE KINESIO 5CM X 5M BEGE</t>
  </si>
  <si>
    <t xml:space="preserve">606871</t>
  </si>
  <si>
    <t xml:space="preserve">7896544927360</t>
  </si>
  <si>
    <t xml:space="preserve">FITA DE KINESIO 5CMX5M AZUL</t>
  </si>
  <si>
    <t xml:space="preserve">11803</t>
  </si>
  <si>
    <t xml:space="preserve">7896544927315</t>
  </si>
  <si>
    <t xml:space="preserve">11903</t>
  </si>
  <si>
    <t xml:space="preserve">7899838831985</t>
  </si>
  <si>
    <t xml:space="preserve">FITA DE KINESIO 5CMX5M PRETA</t>
  </si>
  <si>
    <t xml:space="preserve">FITA KINESIO ROLO 5CMX5M PRETA HC040</t>
  </si>
  <si>
    <t xml:space="preserve">GTECH</t>
  </si>
  <si>
    <t xml:space="preserve">594901</t>
  </si>
  <si>
    <t xml:space="preserve">7896544900103</t>
  </si>
  <si>
    <t xml:space="preserve">FITA MICROPOROSA BRANCO 2,5X0,90 M12</t>
  </si>
  <si>
    <t xml:space="preserve">FITA MICROPORO BRANCO 2,5CM X 0,90MTS</t>
  </si>
  <si>
    <t xml:space="preserve">547461</t>
  </si>
  <si>
    <t xml:space="preserve">7896544900288</t>
  </si>
  <si>
    <t xml:space="preserve">FITA MICROPOROSA BEGE 1,2X4,5 M12</t>
  </si>
  <si>
    <t xml:space="preserve">FITA MICROPOROSA BEGE 1,2 X 4,5</t>
  </si>
  <si>
    <t xml:space="preserve">5013</t>
  </si>
  <si>
    <t xml:space="preserve">7896544900158</t>
  </si>
  <si>
    <t xml:space="preserve">FITA MICROPOROSA BRANCO 10X4,5</t>
  </si>
  <si>
    <t xml:space="preserve">FITA MICROPOROSA BRANCO 10 X 4,5</t>
  </si>
  <si>
    <t xml:space="preserve">541021</t>
  </si>
  <si>
    <t xml:space="preserve">7896544900165</t>
  </si>
  <si>
    <t xml:space="preserve">FITA MICROPOROSA BRANCO 5X4,5 M6*</t>
  </si>
  <si>
    <t xml:space="preserve">FITA MICROPOROSA BRANCO 5,0CM X 4,5MTS UND QTD. 4.00 UN</t>
  </si>
  <si>
    <t xml:space="preserve">541381</t>
  </si>
  <si>
    <t xml:space="preserve">7894488000101</t>
  </si>
  <si>
    <t xml:space="preserve">HASTES FLOCONETES C/75 UND</t>
  </si>
  <si>
    <t xml:space="preserve">FLOCONETES SEGUROS E ABSORVENTES 75UN</t>
  </si>
  <si>
    <t xml:space="preserve">SPARTEX IND.</t>
  </si>
  <si>
    <t xml:space="preserve">550941</t>
  </si>
  <si>
    <t xml:space="preserve">7896006202035</t>
  </si>
  <si>
    <t xml:space="preserve">FONT D 2.000 UI C/30 CPR</t>
  </si>
  <si>
    <t xml:space="preserve">FONT D 2.000UI CX 30 COMP REV</t>
  </si>
  <si>
    <t xml:space="preserve">616081</t>
  </si>
  <si>
    <t xml:space="preserve">7899095250949</t>
  </si>
  <si>
    <t xml:space="preserve">FUROSEMIDA 40MG C/20 CPR**</t>
  </si>
  <si>
    <t xml:space="preserve">FUROSEMIDA 40MG CX 20 COMP</t>
  </si>
  <si>
    <t xml:space="preserve">259101</t>
  </si>
  <si>
    <t xml:space="preserve">7896112170310</t>
  </si>
  <si>
    <t xml:space="preserve">FUROSEMIDA 40MG C/20 CPR</t>
  </si>
  <si>
    <t xml:space="preserve">FUROSEMIDA 40MG CX 20 COMP BRANCO</t>
  </si>
  <si>
    <t xml:space="preserve">741</t>
  </si>
  <si>
    <t xml:space="preserve">7896862960254</t>
  </si>
  <si>
    <t xml:space="preserve">GASTROGEL FRESH 150ML SUS MENTA**</t>
  </si>
  <si>
    <t xml:space="preserve">GASTROGEL FRESH FRESH SUSP ORAL FR 150ML</t>
  </si>
  <si>
    <t xml:space="preserve">531361</t>
  </si>
  <si>
    <t xml:space="preserve">7896862993665</t>
  </si>
  <si>
    <t xml:space="preserve">GASTROGEL C/20 CPR MASTIGAVEIS MENTA</t>
  </si>
  <si>
    <t xml:space="preserve">GASTROGEL TABS MENTA (CARTELA)</t>
  </si>
  <si>
    <t xml:space="preserve">660241</t>
  </si>
  <si>
    <t xml:space="preserve">7898556851107</t>
  </si>
  <si>
    <t xml:space="preserve">LUB INT RILEX TOYZAO 200G MENTA</t>
  </si>
  <si>
    <t xml:space="preserve">GEL INTIMO LUBRIF MENTA 200G RILEX</t>
  </si>
  <si>
    <t xml:space="preserve">RILEX</t>
  </si>
  <si>
    <t xml:space="preserve">630461</t>
  </si>
  <si>
    <t xml:space="preserve">7898903991920</t>
  </si>
  <si>
    <t xml:space="preserve">LUB INT RILEX C/03 SACHE MENTA</t>
  </si>
  <si>
    <t xml:space="preserve">GEL INTIMO LUBRIF MENTA 5G RILEX</t>
  </si>
  <si>
    <t xml:space="preserve">630491</t>
  </si>
  <si>
    <t xml:space="preserve">7898556851091</t>
  </si>
  <si>
    <t xml:space="preserve">LUB INT RILEX TOYZAO 200G MORANGO</t>
  </si>
  <si>
    <t xml:space="preserve">GEL INTIMO LUBRIF MORANGO 200G RILEX</t>
  </si>
  <si>
    <t xml:space="preserve">630471</t>
  </si>
  <si>
    <t xml:space="preserve">7898556851084</t>
  </si>
  <si>
    <t xml:space="preserve">LUB INT RILEX TOYZAO 200G TRADICIONAL</t>
  </si>
  <si>
    <t xml:space="preserve">GEL INTIMO LUBRIF.TRADICIONAL 200G RILEX</t>
  </si>
  <si>
    <t xml:space="preserve">630481</t>
  </si>
  <si>
    <t xml:space="preserve">7898903991913</t>
  </si>
  <si>
    <t xml:space="preserve">LUB INT RILEX C/03 SACHE MORANGO</t>
  </si>
  <si>
    <t xml:space="preserve">GEL LUBRIFICANTE RILEX MORANGO 3UN</t>
  </si>
  <si>
    <t xml:space="preserve">584701</t>
  </si>
  <si>
    <t xml:space="preserve">7898903991951</t>
  </si>
  <si>
    <t xml:space="preserve">LUB INT RILEX 50G TRADICIONAL</t>
  </si>
  <si>
    <t xml:space="preserve">GEL LUBRIFICANTE RILEX TRADIOCIONAL 50G</t>
  </si>
  <si>
    <t xml:space="preserve">584661</t>
  </si>
  <si>
    <t xml:space="preserve">7898556850582</t>
  </si>
  <si>
    <t xml:space="preserve">LUB INT RILEX TOY 100G LEITE CONDENSADO</t>
  </si>
  <si>
    <t xml:space="preserve">GEL LUBRIFICANTE TOY LEITE CONDENSADO 100G</t>
  </si>
  <si>
    <t xml:space="preserve">584641</t>
  </si>
  <si>
    <t xml:space="preserve">7898741951353</t>
  </si>
  <si>
    <t xml:space="preserve">GEL MASSAGEM BLUE ICE 240G</t>
  </si>
  <si>
    <t xml:space="preserve">GEL MASSAGEADOR BLUE ICE 240G</t>
  </si>
  <si>
    <t xml:space="preserve">691301</t>
  </si>
  <si>
    <t xml:space="preserve">7898936049605</t>
  </si>
  <si>
    <t xml:space="preserve">GEL MASSAGEM 17 ERVAS 190G FRASCO</t>
  </si>
  <si>
    <t xml:space="preserve">GEL MASSAGEM 17 ERVAS 190G</t>
  </si>
  <si>
    <t xml:space="preserve">APINIL</t>
  </si>
  <si>
    <t xml:space="preserve">627891</t>
  </si>
  <si>
    <t xml:space="preserve">7898936049612</t>
  </si>
  <si>
    <t xml:space="preserve">GEL MASSAGEM 17 ERVAS 250G POTE</t>
  </si>
  <si>
    <t xml:space="preserve">691801</t>
  </si>
  <si>
    <t xml:space="preserve">7898936049247</t>
  </si>
  <si>
    <t xml:space="preserve">GEL MASSAGEM ARNICA AZUL 200G FRASCO</t>
  </si>
  <si>
    <t xml:space="preserve">627911</t>
  </si>
  <si>
    <t xml:space="preserve">7898936049704</t>
  </si>
  <si>
    <t xml:space="preserve">GEL MASSAGEM ARNICA E COPAIBA 250G POTE</t>
  </si>
  <si>
    <t xml:space="preserve">691601</t>
  </si>
  <si>
    <t xml:space="preserve">7898936049889</t>
  </si>
  <si>
    <t xml:space="preserve">POMADA CANELA DE VEIO 150G BISNAGA</t>
  </si>
  <si>
    <t xml:space="preserve">GEL MASSAGEM CANELA DE VEIO 150G POMADA</t>
  </si>
  <si>
    <t xml:space="preserve">608841</t>
  </si>
  <si>
    <t xml:space="preserve">7898936049148</t>
  </si>
  <si>
    <t xml:space="preserve">POMADA CANELA DE VEIO 240G POTE</t>
  </si>
  <si>
    <t xml:space="preserve">GEL MASSAGEM CANELA DE VEIO 240G POTE</t>
  </si>
  <si>
    <t xml:space="preserve">608851</t>
  </si>
  <si>
    <t xml:space="preserve">7898741950288</t>
  </si>
  <si>
    <t xml:space="preserve">GEL MASSAGEM COPAIBA 190G FRASCO</t>
  </si>
  <si>
    <t xml:space="preserve">627931</t>
  </si>
  <si>
    <t xml:space="preserve">7898936049902</t>
  </si>
  <si>
    <t xml:space="preserve">GEL MASSAGEM COPAIBA 250G POTE</t>
  </si>
  <si>
    <t xml:space="preserve">691701</t>
  </si>
  <si>
    <t xml:space="preserve">7898936049506</t>
  </si>
  <si>
    <t xml:space="preserve">GEL MASSAGEM EXTRA FORTE ANDIROBA 200G</t>
  </si>
  <si>
    <t xml:space="preserve">627901</t>
  </si>
  <si>
    <t xml:space="preserve">7898936049261</t>
  </si>
  <si>
    <t xml:space="preserve">GEL MASSAGEM PTD SEBO DE CARNEIRO 250G</t>
  </si>
  <si>
    <t xml:space="preserve">608791</t>
  </si>
  <si>
    <t xml:space="preserve">7898936049919</t>
  </si>
  <si>
    <t xml:space="preserve">GEL MASSAGEM SPORTGEL 150G BISNAGA</t>
  </si>
  <si>
    <t xml:space="preserve">4953</t>
  </si>
  <si>
    <t xml:space="preserve">7898936049278</t>
  </si>
  <si>
    <t xml:space="preserve">GEL MASSAGEM TUBARAO BRANCO 250G POTE</t>
  </si>
  <si>
    <t xml:space="preserve">627921</t>
  </si>
  <si>
    <t xml:space="preserve">7896006291770</t>
  </si>
  <si>
    <t xml:space="preserve">GELOBIO 60ML AEROSOL</t>
  </si>
  <si>
    <t xml:space="preserve">GELO-BIO SOL PROP TB X 60ML</t>
  </si>
  <si>
    <t xml:space="preserve">431221</t>
  </si>
  <si>
    <t xml:space="preserve">7898108640623</t>
  </si>
  <si>
    <t xml:space="preserve">HASTES SANCARE C/75 UND*</t>
  </si>
  <si>
    <t xml:space="preserve">HASTES FLEX SANCARE 75UN</t>
  </si>
  <si>
    <t xml:space="preserve">648351</t>
  </si>
  <si>
    <t xml:space="preserve">7896004820521</t>
  </si>
  <si>
    <t xml:space="preserve">BISOPROLOL 5MG C/30 CPR</t>
  </si>
  <si>
    <t xml:space="preserve">HEMIFUMARATO DE BISOPROLOL 5MG CX 30 COMP REV</t>
  </si>
  <si>
    <t xml:space="preserve">630211</t>
  </si>
  <si>
    <t xml:space="preserve">7894164005390</t>
  </si>
  <si>
    <t xml:space="preserve">HIDRALI 45 500ML SUS AGUA DE COCO</t>
  </si>
  <si>
    <t xml:space="preserve">HIDRALI AGUA COCO 500ML</t>
  </si>
  <si>
    <t xml:space="preserve">AIRELA</t>
  </si>
  <si>
    <t xml:space="preserve">547981</t>
  </si>
  <si>
    <t xml:space="preserve">7898133137297</t>
  </si>
  <si>
    <t xml:space="preserve">HIDRAPLEX PO C/04 ENVE COCO</t>
  </si>
  <si>
    <t xml:space="preserve">HIDRAPLEX PO 27,9G ENVELOPE  FRACIONADO  AGUA DE COCO UNID.</t>
  </si>
  <si>
    <t xml:space="preserve">558901</t>
  </si>
  <si>
    <t xml:space="preserve">7898133137310</t>
  </si>
  <si>
    <t xml:space="preserve">HIDRAPLEX PO C/04 ENVE NATURAL</t>
  </si>
  <si>
    <t xml:space="preserve">HIDRAPLEX PO 27,9G ENVELOPE  FRACIONADO NATURAL UNID.</t>
  </si>
  <si>
    <t xml:space="preserve">558861</t>
  </si>
  <si>
    <t xml:space="preserve">7898133137372</t>
  </si>
  <si>
    <t xml:space="preserve">HIDRAPLEX PO C/04 ENVE LARANJA</t>
  </si>
  <si>
    <t xml:space="preserve">HIDRAPLEX PO 27,9G ENVELOPE  FRACIONADO SABOR LARANJA</t>
  </si>
  <si>
    <t xml:space="preserve">565921</t>
  </si>
  <si>
    <t xml:space="preserve">7898133137396</t>
  </si>
  <si>
    <t xml:space="preserve">HIDRAPLEX PO C/04 ENVE TUTTI FRUTTI</t>
  </si>
  <si>
    <t xml:space="preserve">HIDRAPLEX PO ENVELOPE  FRACIONADO TUTTI FRUTTI</t>
  </si>
  <si>
    <t xml:space="preserve">588891</t>
  </si>
  <si>
    <t xml:space="preserve">7896004726236</t>
  </si>
  <si>
    <t xml:space="preserve">HIDROQUINONA 40MG 30G CREME.</t>
  </si>
  <si>
    <t xml:space="preserve">HIDROQUINONA 40MG CREME BG 30G</t>
  </si>
  <si>
    <t xml:space="preserve">292841</t>
  </si>
  <si>
    <t xml:space="preserve">7897344301510</t>
  </si>
  <si>
    <t xml:space="preserve">ICE GEL 180G POTE</t>
  </si>
  <si>
    <t xml:space="preserve">608771</t>
  </si>
  <si>
    <t xml:space="preserve">7897344301527</t>
  </si>
  <si>
    <t xml:space="preserve">ICE GEL 250G POTE</t>
  </si>
  <si>
    <t xml:space="preserve">FITOBEL</t>
  </si>
  <si>
    <t xml:space="preserve">627841</t>
  </si>
  <si>
    <t xml:space="preserve">7898964832101</t>
  </si>
  <si>
    <t xml:space="preserve">IMECALCIO 500MG C/60 CPR</t>
  </si>
  <si>
    <t xml:space="preserve">IMECALCIO 500MG (1250MG) C/60 CPR</t>
  </si>
  <si>
    <t xml:space="preserve">3943</t>
  </si>
  <si>
    <t xml:space="preserve">7898964832118</t>
  </si>
  <si>
    <t xml:space="preserve">IMECALCIO D3 500MG 200 UI C/60 CPR</t>
  </si>
  <si>
    <t xml:space="preserve">IMECALCIO D3 500MG C/60 CPR</t>
  </si>
  <si>
    <t xml:space="preserve">624031</t>
  </si>
  <si>
    <t xml:space="preserve">7898639692856</t>
  </si>
  <si>
    <t xml:space="preserve">NEBULIZADOR NEBMESH 2</t>
  </si>
  <si>
    <t xml:space="preserve">INALADOR /NEB PORTATIL RED VIBR NEBMESH2</t>
  </si>
  <si>
    <t xml:space="preserve">671181</t>
  </si>
  <si>
    <t xml:space="preserve">7898060132297</t>
  </si>
  <si>
    <t xml:space="preserve">INTESTIN 2MG C/12 CPR</t>
  </si>
  <si>
    <t xml:space="preserve">INTESTIN 2MG CX 12 COMP</t>
  </si>
  <si>
    <t xml:space="preserve">153041</t>
  </si>
  <si>
    <t xml:space="preserve">7898049793310</t>
  </si>
  <si>
    <t xml:space="preserve">IVERMECTINA 6MG C/04 CPR</t>
  </si>
  <si>
    <t xml:space="preserve">IVERMECTINA 6MG CX 4 COMP</t>
  </si>
  <si>
    <t xml:space="preserve">307421</t>
  </si>
  <si>
    <t xml:space="preserve">7896523214306</t>
  </si>
  <si>
    <t xml:space="preserve">LUB INT KMED 200G HOT</t>
  </si>
  <si>
    <t xml:space="preserve">K-MED HOT FR 200 G</t>
  </si>
  <si>
    <t xml:space="preserve">CIMED INDUSTRIA DE MEDICAMENTOS</t>
  </si>
  <si>
    <t xml:space="preserve">546721</t>
  </si>
  <si>
    <t xml:space="preserve">7898014560817</t>
  </si>
  <si>
    <t xml:space="preserve">KAOSEC 2MG (50X4) C/200 CPR</t>
  </si>
  <si>
    <t xml:space="preserve">KAOSEC 2,0 MG (CARTELA) COM 4CP</t>
  </si>
  <si>
    <t xml:space="preserve">153161</t>
  </si>
  <si>
    <t xml:space="preserve">7897848502444</t>
  </si>
  <si>
    <t xml:space="preserve">LACTULOSE 120ML SUS AMEIXA</t>
  </si>
  <si>
    <t xml:space="preserve">3073</t>
  </si>
  <si>
    <t xml:space="preserve">7897947616172</t>
  </si>
  <si>
    <t xml:space="preserve">LAVITAN CALCIO MDK C/30 CPR</t>
  </si>
  <si>
    <t xml:space="preserve">LAVITAN CALCIO MDK 30CP</t>
  </si>
  <si>
    <t xml:space="preserve">546201</t>
  </si>
  <si>
    <t xml:space="preserve">7898575780754</t>
  </si>
  <si>
    <t xml:space="preserve">LEITE DE MAGNESIA 100ML HORTELA.........</t>
  </si>
  <si>
    <t xml:space="preserve">LEITE DE MAGNESIA 100ML HORTELA</t>
  </si>
  <si>
    <t xml:space="preserve">4083</t>
  </si>
  <si>
    <t xml:space="preserve">7898633380575</t>
  </si>
  <si>
    <t xml:space="preserve">LENCO UMED MEU BEBE MINHA VIDA C/40 UND</t>
  </si>
  <si>
    <t xml:space="preserve">LENÇO UMEDECIDO SUAVE MEU BEBÊ MINHA VIDA PACOTE 40 UNIDADES</t>
  </si>
  <si>
    <t xml:space="preserve">NUTRIEX</t>
  </si>
  <si>
    <t xml:space="preserve">552061</t>
  </si>
  <si>
    <t xml:space="preserve">7899620918023</t>
  </si>
  <si>
    <t xml:space="preserve">669361</t>
  </si>
  <si>
    <t xml:space="preserve">7896658036347</t>
  </si>
  <si>
    <t xml:space="preserve">LEVOFLOXACINO 750MG C/05 CPR....</t>
  </si>
  <si>
    <t xml:space="preserve">LEVOFLOXACINO 750MG CX 5 COMP REV</t>
  </si>
  <si>
    <t xml:space="preserve">ACHE</t>
  </si>
  <si>
    <t xml:space="preserve">316501</t>
  </si>
  <si>
    <t xml:space="preserve">7898049795017</t>
  </si>
  <si>
    <t xml:space="preserve">KIT LIMP LENT 470ML</t>
  </si>
  <si>
    <t xml:space="preserve">LIMP LENT KIT SOL LENTE CONTATO 470ML</t>
  </si>
  <si>
    <t xml:space="preserve">637511</t>
  </si>
  <si>
    <t xml:space="preserve">7896523202822</t>
  </si>
  <si>
    <t xml:space="preserve">LORATAMED 10MG C/12 CPR</t>
  </si>
  <si>
    <t xml:space="preserve">LORATAMED 10MG CX 12 COMP</t>
  </si>
  <si>
    <t xml:space="preserve">324761</t>
  </si>
  <si>
    <t xml:space="preserve">7899095253896</t>
  </si>
  <si>
    <t xml:space="preserve">LOSARTANA+HIDROCLOROT 100+25MG C/30 CPR</t>
  </si>
  <si>
    <t xml:space="preserve">LOSARTANA+HIDROCLOROTIAZIDA 100+25MG CX 30 COMP REV</t>
  </si>
  <si>
    <t xml:space="preserve">287561</t>
  </si>
  <si>
    <t xml:space="preserve">7898947170640</t>
  </si>
  <si>
    <t xml:space="preserve">LUVA DE PROCEDIMENTO G C/100 UND COM PO</t>
  </si>
  <si>
    <t xml:space="preserve">MEDIX</t>
  </si>
  <si>
    <t xml:space="preserve">639901</t>
  </si>
  <si>
    <t xml:space="preserve">7898947170633</t>
  </si>
  <si>
    <t xml:space="preserve">LUVA DE PROCEDIMENTO M C/100 UND COM PO</t>
  </si>
  <si>
    <t xml:space="preserve">651181</t>
  </si>
  <si>
    <t xml:space="preserve">7898947170626</t>
  </si>
  <si>
    <t xml:space="preserve">LUVA DE PROCEDIMENTO P C/100 UND COM PO</t>
  </si>
  <si>
    <t xml:space="preserve">651191</t>
  </si>
  <si>
    <t xml:space="preserve">7898048699651</t>
  </si>
  <si>
    <t xml:space="preserve">MAGNESIO DIMALATO 620MG C/60 CPS</t>
  </si>
  <si>
    <t xml:space="preserve">MAGNESIO DIMALATO 60CP</t>
  </si>
  <si>
    <t xml:space="preserve">591291</t>
  </si>
  <si>
    <t xml:space="preserve">7898665750193</t>
  </si>
  <si>
    <t xml:space="preserve">MAGNESIO QUELATO 550MG C/60 CPS</t>
  </si>
  <si>
    <t xml:space="preserve">MAGNESIO QUELATO POTE 550MG 60 CPS</t>
  </si>
  <si>
    <t xml:space="preserve">630381</t>
  </si>
  <si>
    <t xml:space="preserve">7896112126270</t>
  </si>
  <si>
    <t xml:space="preserve">ENALAPRIL 20MG C/30 CPR</t>
  </si>
  <si>
    <t xml:space="preserve">MALEATO DE ENALAPRIL 20MG CX 30 COMP</t>
  </si>
  <si>
    <t xml:space="preserve">334081</t>
  </si>
  <si>
    <t xml:space="preserve">7896920306390</t>
  </si>
  <si>
    <t xml:space="preserve">MATERDAY DERMA LANOLINA 50G CREME</t>
  </si>
  <si>
    <t xml:space="preserve">17203</t>
  </si>
  <si>
    <t xml:space="preserve">7898557147650</t>
  </si>
  <si>
    <t xml:space="preserve">MATHERLLY LACT C/30 CPR</t>
  </si>
  <si>
    <t xml:space="preserve">MATHERLLY LACT CX C/30 (NATULAB)</t>
  </si>
  <si>
    <t xml:space="preserve">605771</t>
  </si>
  <si>
    <t xml:space="preserve">7898133130403</t>
  </si>
  <si>
    <t xml:space="preserve">MAXALGINA 500MG 10ML GTS</t>
  </si>
  <si>
    <t xml:space="preserve">MAXALGINA 500 MG/ML SOL OR CT FR GOT PLAS OPC X 10 ML</t>
  </si>
  <si>
    <t xml:space="preserve">222421</t>
  </si>
  <si>
    <t xml:space="preserve">7898687739916</t>
  </si>
  <si>
    <t xml:space="preserve">MECOBALAMINA 1000MCG C/30 CPR SUBLINGUAL</t>
  </si>
  <si>
    <t xml:space="preserve">43203</t>
  </si>
  <si>
    <t xml:space="preserve">7899732114856</t>
  </si>
  <si>
    <t xml:space="preserve">WHEY PROTEIN REFIL 900G CHOCOLATE</t>
  </si>
  <si>
    <t xml:space="preserve">MEGA WHEY PROTEIN IRIDIUM CHOCOLATE 900G</t>
  </si>
  <si>
    <t xml:space="preserve">IRIDIUM LABS</t>
  </si>
  <si>
    <t xml:space="preserve">602111</t>
  </si>
  <si>
    <t xml:space="preserve">7899732114863</t>
  </si>
  <si>
    <t xml:space="preserve">WHEY PROTEIN REFIL 900G MORANGO</t>
  </si>
  <si>
    <t xml:space="preserve">MEGA WHEY PROTEIN IRIDIUM MORANGO 900G</t>
  </si>
  <si>
    <t xml:space="preserve">605991</t>
  </si>
  <si>
    <t xml:space="preserve">7896148500600</t>
  </si>
  <si>
    <t xml:space="preserve">MEL DE ABELHA 200G BISNAGA</t>
  </si>
  <si>
    <t xml:space="preserve">MEL DE ABELHA 200G BISNAGA FITOBEL</t>
  </si>
  <si>
    <t xml:space="preserve">665751</t>
  </si>
  <si>
    <t xml:space="preserve">7896023708626</t>
  </si>
  <si>
    <t xml:space="preserve">MELAGRIAO SPRAY 30ML EXTRA FORTE</t>
  </si>
  <si>
    <t xml:space="preserve">3223</t>
  </si>
  <si>
    <t xml:space="preserve">7896023719899</t>
  </si>
  <si>
    <t xml:space="preserve">MELAGRIAO 150ML XPE</t>
  </si>
  <si>
    <t xml:space="preserve">MELAGRIÃO EXPECTORANTE CATARINENSE 150ML</t>
  </si>
  <si>
    <t xml:space="preserve">548221</t>
  </si>
  <si>
    <t xml:space="preserve">7897917004589</t>
  </si>
  <si>
    <t xml:space="preserve">MICOSBEL 50MG 30G POMADA</t>
  </si>
  <si>
    <t xml:space="preserve">ARTEFAR</t>
  </si>
  <si>
    <t xml:space="preserve">605891</t>
  </si>
  <si>
    <t xml:space="preserve">7896920304037</t>
  </si>
  <si>
    <t xml:space="preserve">MILMUNE CONCENTRADO C/30 CPR</t>
  </si>
  <si>
    <t xml:space="preserve">MILMUNE CONCENTRADO 30CP</t>
  </si>
  <si>
    <t xml:space="preserve">557961</t>
  </si>
  <si>
    <t xml:space="preserve">7896920305126</t>
  </si>
  <si>
    <t xml:space="preserve">MILMUNE KIDS C/30 GOMA LARANJA</t>
  </si>
  <si>
    <t xml:space="preserve">MILMUNE KIDS 30UN LARANJA</t>
  </si>
  <si>
    <t xml:space="preserve">583901</t>
  </si>
  <si>
    <t xml:space="preserve">7898108640050</t>
  </si>
  <si>
    <t xml:space="preserve">COMPRESSA GAZE 11 FIOS C/05 UND*</t>
  </si>
  <si>
    <t xml:space="preserve">N COMPRESSA GAZES 11FIOS ESTER 5UND   SANF %DN:0.00</t>
  </si>
  <si>
    <t xml:space="preserve">651901</t>
  </si>
  <si>
    <t xml:space="preserve">7898133135248</t>
  </si>
  <si>
    <t xml:space="preserve">NASOJET 0,9% 50ML SPRAY NASAL</t>
  </si>
  <si>
    <t xml:space="preserve">NASOJET SPRAY 0,9MG</t>
  </si>
  <si>
    <t xml:space="preserve">562861</t>
  </si>
  <si>
    <t xml:space="preserve">7897848500419</t>
  </si>
  <si>
    <t xml:space="preserve">NATIGLOS 5000 45G POMADA</t>
  </si>
  <si>
    <t xml:space="preserve">5023</t>
  </si>
  <si>
    <t xml:space="preserve">7897848502321</t>
  </si>
  <si>
    <t xml:space="preserve">NATIGLOS AMENDOAS 45G POMADA</t>
  </si>
  <si>
    <t xml:space="preserve">42303</t>
  </si>
  <si>
    <t xml:space="preserve">7896714200064</t>
  </si>
  <si>
    <t xml:space="preserve">NEO FEDIPINA 10MG C/30 CPR</t>
  </si>
  <si>
    <t xml:space="preserve">NEO FEDIPINA 10MG CX 30 COMP</t>
  </si>
  <si>
    <t xml:space="preserve">NEO QUIMICA</t>
  </si>
  <si>
    <t xml:space="preserve">1101</t>
  </si>
  <si>
    <t xml:space="preserve">7896523209142</t>
  </si>
  <si>
    <t xml:space="preserve">NEOMICINA+BACITRACINA 15G POMADA</t>
  </si>
  <si>
    <t xml:space="preserve">NEOMICINA+BACITRACINA 5MG+250UI/G POM DERM BG 15G</t>
  </si>
  <si>
    <t xml:space="preserve">451361</t>
  </si>
  <si>
    <t xml:space="preserve">7898049797301</t>
  </si>
  <si>
    <t xml:space="preserve">NIMELIT 100MG C/12 CPR</t>
  </si>
  <si>
    <t xml:space="preserve">NIMELIT 100MG CX 12 COMP</t>
  </si>
  <si>
    <t xml:space="preserve">361061</t>
  </si>
  <si>
    <t xml:space="preserve">7896004774466</t>
  </si>
  <si>
    <t xml:space="preserve">NITAZOXANIDA 500MG C/06 CPR....</t>
  </si>
  <si>
    <t xml:space="preserve">NITAZOXANIDA 500MG CX 6 COMP REV</t>
  </si>
  <si>
    <t xml:space="preserve">364781</t>
  </si>
  <si>
    <t xml:space="preserve">7896112166221</t>
  </si>
  <si>
    <t xml:space="preserve">NITROFURANTOINA 100MG C/28 CPS</t>
  </si>
  <si>
    <t xml:space="preserve">NITROFURANTOINA 100MG CX 28 CAP</t>
  </si>
  <si>
    <t xml:space="preserve">367721</t>
  </si>
  <si>
    <t xml:space="preserve">7898060131535</t>
  </si>
  <si>
    <t xml:space="preserve">NORXACIN 400MG C/14 CPR</t>
  </si>
  <si>
    <t xml:space="preserve">NORXACIN 400MG CX 14 COMP REV</t>
  </si>
  <si>
    <t xml:space="preserve">368481</t>
  </si>
  <si>
    <t xml:space="preserve">7897344300933</t>
  </si>
  <si>
    <t xml:space="preserve">OLEO DE ANDIROBA 30ML</t>
  </si>
  <si>
    <t xml:space="preserve">3503</t>
  </si>
  <si>
    <t xml:space="preserve">7898582290994</t>
  </si>
  <si>
    <t xml:space="preserve">OLEO DE COPAIBA 30ML</t>
  </si>
  <si>
    <t xml:space="preserve">BELLAPHYTUS</t>
  </si>
  <si>
    <t xml:space="preserve">571881</t>
  </si>
  <si>
    <t xml:space="preserve">7896544927704</t>
  </si>
  <si>
    <t xml:space="preserve">OLEO DE GIRASSOL 100ML DERMAPROTECT</t>
  </si>
  <si>
    <t xml:space="preserve">OLEO DE GIRASSOL DERMA PROTECT 100ML</t>
  </si>
  <si>
    <t xml:space="preserve">DERMATTIVE</t>
  </si>
  <si>
    <t xml:space="preserve">4983</t>
  </si>
  <si>
    <t xml:space="preserve">7896544927698</t>
  </si>
  <si>
    <t xml:space="preserve">OLEO DE GIRASSOL 200ML DERMAPROTECT</t>
  </si>
  <si>
    <t xml:space="preserve">OLEO DE GIRASSOL DERMA PROTECT 200ML</t>
  </si>
  <si>
    <t xml:space="preserve">5053</t>
  </si>
  <si>
    <t xml:space="preserve">7898719040164</t>
  </si>
  <si>
    <t xml:space="preserve">OLEO DE GIRASSOL 200ML DERSIN</t>
  </si>
  <si>
    <t xml:space="preserve">OLEO DE GIRASSOL DERSIN 200ML</t>
  </si>
  <si>
    <t xml:space="preserve">AVVIO</t>
  </si>
  <si>
    <t xml:space="preserve">613861</t>
  </si>
  <si>
    <t xml:space="preserve">7896112182993</t>
  </si>
  <si>
    <t xml:space="preserve">OLEO MINERAL 100% 100ML SUS</t>
  </si>
  <si>
    <t xml:space="preserve">OLEO MINERAL 100% (N.S.) 100% FR 100ML</t>
  </si>
  <si>
    <t xml:space="preserve">8103</t>
  </si>
  <si>
    <t xml:space="preserve">7898031312697</t>
  </si>
  <si>
    <t xml:space="preserve">608741</t>
  </si>
  <si>
    <t xml:space="preserve">7898179711093</t>
  </si>
  <si>
    <t xml:space="preserve">OLEO MINERAL 100% 100ML SUS.</t>
  </si>
  <si>
    <t xml:space="preserve">OLEO MINERAL 100ML</t>
  </si>
  <si>
    <t xml:space="preserve">IMEC</t>
  </si>
  <si>
    <t xml:space="preserve">559881</t>
  </si>
  <si>
    <t xml:space="preserve">7896004750293</t>
  </si>
  <si>
    <t xml:space="preserve">OLMESARTANA 20MG C/30 CPR.</t>
  </si>
  <si>
    <t xml:space="preserve">OLMESARTANA MEDOXOMILA 20MG CX 30 COMP REV</t>
  </si>
  <si>
    <t xml:space="preserve">592561</t>
  </si>
  <si>
    <t xml:space="preserve">7895296199025</t>
  </si>
  <si>
    <t xml:space="preserve">PANTOPRAZOL 20MG C/28 CPR+</t>
  </si>
  <si>
    <t xml:space="preserve">PANTOPRAZOL 20MG CX 4BL X 7 COMP REV</t>
  </si>
  <si>
    <t xml:space="preserve">388861</t>
  </si>
  <si>
    <t xml:space="preserve">7898031310709</t>
  </si>
  <si>
    <t xml:space="preserve">PASTA DAGUA SIMPLES 100G POTE</t>
  </si>
  <si>
    <t xml:space="preserve">PASTA D AGUA 100G</t>
  </si>
  <si>
    <t xml:space="preserve">531661</t>
  </si>
  <si>
    <t xml:space="preserve">7898582291168</t>
  </si>
  <si>
    <t xml:space="preserve">PASTA DAGUA MENTOLADA 120G POTE</t>
  </si>
  <si>
    <t xml:space="preserve">PASTA D AGUA MENTOLADA 120G</t>
  </si>
  <si>
    <t xml:space="preserve">573721</t>
  </si>
  <si>
    <t xml:space="preserve">7899470805917</t>
  </si>
  <si>
    <t xml:space="preserve">PASTA DAGUA COM ENXOFRE 80G BISNAGA</t>
  </si>
  <si>
    <t xml:space="preserve">PASTA DAGUA COM ENXOFRE 80G</t>
  </si>
  <si>
    <t xml:space="preserve">612121</t>
  </si>
  <si>
    <t xml:space="preserve">7898031311102</t>
  </si>
  <si>
    <t xml:space="preserve">PASTA DAGUA SIMPLES 90G BISNAGA</t>
  </si>
  <si>
    <t xml:space="preserve">4063</t>
  </si>
  <si>
    <t xml:space="preserve">7898031310730</t>
  </si>
  <si>
    <t xml:space="preserve">PEDRA HUME 30G CAIXA</t>
  </si>
  <si>
    <t xml:space="preserve">PEDRA HUME 30G</t>
  </si>
  <si>
    <t xml:space="preserve">531681</t>
  </si>
  <si>
    <t xml:space="preserve">7898719041048</t>
  </si>
  <si>
    <t xml:space="preserve">PEDRA HUME 35ML SPRAY</t>
  </si>
  <si>
    <t xml:space="preserve">662241</t>
  </si>
  <si>
    <t xml:space="preserve">7898582290468</t>
  </si>
  <si>
    <t xml:space="preserve">PEDRA HUME 30ML SPRAY</t>
  </si>
  <si>
    <t xml:space="preserve">PEDRA HUME SPRAY 30ML BELLAPHYTUS</t>
  </si>
  <si>
    <t xml:space="preserve">571861</t>
  </si>
  <si>
    <t xml:space="preserve">7898953484410</t>
  </si>
  <si>
    <t xml:space="preserve">PENTE FINO TIRA PIOLHO COM LUPA ROSA..</t>
  </si>
  <si>
    <t xml:space="preserve">PENTE FINO TIRA PIOLHO 1 UN ROSA</t>
  </si>
  <si>
    <t xml:space="preserve">639911</t>
  </si>
  <si>
    <t xml:space="preserve">7898953484427</t>
  </si>
  <si>
    <t xml:space="preserve">PENTE FINO TIRA PIOLHO COM LUPA VERDE..</t>
  </si>
  <si>
    <t xml:space="preserve">PENTE FINO TIRA PIOLHO 1 UN VERDE</t>
  </si>
  <si>
    <t xml:space="preserve">639921</t>
  </si>
  <si>
    <t xml:space="preserve">7899620913059</t>
  </si>
  <si>
    <t xml:space="preserve">PERIODENT 250ML MENTA C/ALCOOL</t>
  </si>
  <si>
    <t xml:space="preserve">PERIODENT SOLUCAO BUCAL 250 ML</t>
  </si>
  <si>
    <t xml:space="preserve">547801</t>
  </si>
  <si>
    <t xml:space="preserve">7898031310396</t>
  </si>
  <si>
    <t xml:space="preserve">PHARMOLATE 10MG 30ML SPRAY</t>
  </si>
  <si>
    <t xml:space="preserve">PHARMOLATE SPRAY 30ML</t>
  </si>
  <si>
    <t xml:space="preserve">573461</t>
  </si>
  <si>
    <t xml:space="preserve">7898665752173</t>
  </si>
  <si>
    <t xml:space="preserve">PICOLINATO DE CROMO C/60 CPS</t>
  </si>
  <si>
    <t xml:space="preserve">636771</t>
  </si>
  <si>
    <t xml:space="preserve">7897146600583</t>
  </si>
  <si>
    <t xml:space="preserve">PRANFIGALDO C/60 FLAC 10ML ABACAXI</t>
  </si>
  <si>
    <t xml:space="preserve">PRANFIGALDO 10ML ABACAXI UN (FLACONETE)</t>
  </si>
  <si>
    <t xml:space="preserve">588931</t>
  </si>
  <si>
    <t xml:space="preserve">7897146600040</t>
  </si>
  <si>
    <t xml:space="preserve">PRANFIGALDO C/60 FLAC 10ML BOLDO</t>
  </si>
  <si>
    <t xml:space="preserve">PRANFIGALDO BOLDO 10ML(FLACONETES)</t>
  </si>
  <si>
    <t xml:space="preserve">543501</t>
  </si>
  <si>
    <t xml:space="preserve">7898569765347</t>
  </si>
  <si>
    <t xml:space="preserve">PREDNISOLONA 5MG C/10 CPR</t>
  </si>
  <si>
    <t xml:space="preserve">PREDNISOLONA 5MG CX 10 COMP</t>
  </si>
  <si>
    <t xml:space="preserve">ALTHAIA</t>
  </si>
  <si>
    <t xml:space="preserve">407821</t>
  </si>
  <si>
    <t xml:space="preserve">7898556850551</t>
  </si>
  <si>
    <t xml:space="preserve">PRESERV RILEX C/06 UND MIX DE FRUTAS</t>
  </si>
  <si>
    <t xml:space="preserve">PRES RILEX MIX DE FRUTAS 1X6UN</t>
  </si>
  <si>
    <t xml:space="preserve">563801</t>
  </si>
  <si>
    <t xml:space="preserve">7895296210324</t>
  </si>
  <si>
    <t xml:space="preserve">CLOBETASOL 0,5MG 30G CREME</t>
  </si>
  <si>
    <t xml:space="preserve">PROPIONATO DE CLOBETASOL 0,5MG/G CREME DERM BG 30G</t>
  </si>
  <si>
    <t xml:space="preserve">414621</t>
  </si>
  <si>
    <t xml:space="preserve">7898108640555</t>
  </si>
  <si>
    <t xml:space="preserve">PROTETOR OCULAR SANCARE M C/10 UND*</t>
  </si>
  <si>
    <t xml:space="preserve">PROTETOR OCULAR SANCARE C/10 UN TAM M</t>
  </si>
  <si>
    <t xml:space="preserve">609771</t>
  </si>
  <si>
    <t xml:space="preserve">ISENTO REAJUSTE (+23.2%)</t>
  </si>
  <si>
    <t xml:space="preserve">7899732100323</t>
  </si>
  <si>
    <t xml:space="preserve">KIMERA 150MG C/60 CPR</t>
  </si>
  <si>
    <t xml:space="preserve">PV - KIMERA THERMO IRIDIUM LABS FRASCO 60 CAPS</t>
  </si>
  <si>
    <t xml:space="preserve">609331</t>
  </si>
  <si>
    <t xml:space="preserve">7899095201491</t>
  </si>
  <si>
    <t xml:space="preserve">VITACIN KIDS 30MG C/25 GOMAS MORANGO</t>
  </si>
  <si>
    <t xml:space="preserve">PV - VITACIN KIDS 30MG GOMA 25UN MORANGO</t>
  </si>
  <si>
    <t xml:space="preserve">573341</t>
  </si>
  <si>
    <t xml:space="preserve">7896658038501</t>
  </si>
  <si>
    <t xml:space="preserve">GESTODENO+ETINIL 75+30MCG C/21 CPR....</t>
  </si>
  <si>
    <t xml:space="preserve">PV ETINILESTRADIOL+GESTODENO 30/75MCG CX 21 COMP</t>
  </si>
  <si>
    <t xml:space="preserve">509101</t>
  </si>
  <si>
    <t xml:space="preserve">7896004820507</t>
  </si>
  <si>
    <t xml:space="preserve">BISOPROLOL 1,25MG C/30 CPR</t>
  </si>
  <si>
    <t xml:space="preserve">PV HEMIFUMARATO DE BISOPROLOL 1,25MG CX 30 COMP REV</t>
  </si>
  <si>
    <t xml:space="preserve">630191</t>
  </si>
  <si>
    <t xml:space="preserve">7898714761477</t>
  </si>
  <si>
    <t xml:space="preserve">VITAMINA K2+D3 C/30 CPS</t>
  </si>
  <si>
    <t xml:space="preserve">PV K2+D3 CAPS REV X 30</t>
  </si>
  <si>
    <t xml:space="preserve">KATIGUA</t>
  </si>
  <si>
    <t xml:space="preserve">1353</t>
  </si>
  <si>
    <t xml:space="preserve">7896004786988</t>
  </si>
  <si>
    <t xml:space="preserve">OLMESARTANA+ANLODIPINO 40+5MG C/30 CPR</t>
  </si>
  <si>
    <t xml:space="preserve">PV OLM.MED+BES.ANLOD 40+5MG CX 30 COMP REV</t>
  </si>
  <si>
    <t xml:space="preserve">633871</t>
  </si>
  <si>
    <t xml:space="preserve">7896112124900</t>
  </si>
  <si>
    <t xml:space="preserve">VARFARINA 5MG C/30 CPR.</t>
  </si>
  <si>
    <t xml:space="preserve">PV VARFARINA SODICA 5MG CX 30 COMP</t>
  </si>
  <si>
    <t xml:space="preserve">478581</t>
  </si>
  <si>
    <t xml:space="preserve">7896112181699</t>
  </si>
  <si>
    <t xml:space="preserve">PIOGLITAZONA 15MG C/30 CPR</t>
  </si>
  <si>
    <t xml:space="preserve">PV- CLORIDRATO DE PIOGLITAZONA 15MG CX 30 COMP</t>
  </si>
  <si>
    <t xml:space="preserve">645411</t>
  </si>
  <si>
    <t xml:space="preserve">7898938440363</t>
  </si>
  <si>
    <t xml:space="preserve">OLEO DE CARTAMO 1000MG C/60 CPS</t>
  </si>
  <si>
    <t xml:space="preserve">PVV - OLEO DE CARTAMO 1000MG C/60 CPS</t>
  </si>
  <si>
    <t xml:space="preserve">644981</t>
  </si>
  <si>
    <t xml:space="preserve">7896004710433</t>
  </si>
  <si>
    <t xml:space="preserve">RIFAMICINA 10MG 20ML SPRAY</t>
  </si>
  <si>
    <t xml:space="preserve">RIFAMICINA 10MG SPRAY FR 20ML</t>
  </si>
  <si>
    <t xml:space="preserve">418121</t>
  </si>
  <si>
    <t xml:space="preserve">7899095202375</t>
  </si>
  <si>
    <t xml:space="preserve">*RISPERIDONA (C1) 1MG C/30 CPR**</t>
  </si>
  <si>
    <t xml:space="preserve">RISPERIDONA 1MG CX 30 COMP REV</t>
  </si>
  <si>
    <t xml:space="preserve">519601</t>
  </si>
  <si>
    <t xml:space="preserve">7898049797745</t>
  </si>
  <si>
    <t xml:space="preserve">*RISPERIDONA (C1) 2MG C/30 CPR....</t>
  </si>
  <si>
    <t xml:space="preserve">RISPERIDONA 2MG CX 30 COMP REV</t>
  </si>
  <si>
    <t xml:space="preserve">516201</t>
  </si>
  <si>
    <t xml:space="preserve">7898936049698</t>
  </si>
  <si>
    <t xml:space="preserve">ROSA MOSQUETA 30ML</t>
  </si>
  <si>
    <t xml:space="preserve">673</t>
  </si>
  <si>
    <t xml:space="preserve">7898936049049</t>
  </si>
  <si>
    <t xml:space="preserve">SAB INT APINIL 210ML 17 ERVAS</t>
  </si>
  <si>
    <t xml:space="preserve">SABONETE INTIMO 17 ERVAS 210ML</t>
  </si>
  <si>
    <t xml:space="preserve">674361</t>
  </si>
  <si>
    <t xml:space="preserve">7898936049131</t>
  </si>
  <si>
    <t xml:space="preserve">SAB INT APINIL 210ML AROEIRA</t>
  </si>
  <si>
    <t xml:space="preserve">SABONETE INTIMO AROEIRA 210ML</t>
  </si>
  <si>
    <t xml:space="preserve">674371</t>
  </si>
  <si>
    <t xml:space="preserve">7898936049735</t>
  </si>
  <si>
    <t xml:space="preserve">SAB INT APINIL 210ML BARBATIMAO AROEIRA</t>
  </si>
  <si>
    <t xml:space="preserve">SABONETE INTIMO BARBATIMAO AROEIRA 210ML</t>
  </si>
  <si>
    <t xml:space="preserve">1503</t>
  </si>
  <si>
    <t xml:space="preserve">7898936049933</t>
  </si>
  <si>
    <t xml:space="preserve">SAB INT APINIL 200ML ROSA MOSQUETA</t>
  </si>
  <si>
    <t xml:space="preserve">SABONETE INTIMO ROSA MOSQUETA 200ML</t>
  </si>
  <si>
    <t xml:space="preserve">3173</t>
  </si>
  <si>
    <t xml:space="preserve">7898652370571</t>
  </si>
  <si>
    <t xml:space="preserve">SCALP N 23 MEDIX</t>
  </si>
  <si>
    <t xml:space="preserve">SCALP 23G - SAFER</t>
  </si>
  <si>
    <t xml:space="preserve">LABOR IMPORT</t>
  </si>
  <si>
    <t xml:space="preserve">557721</t>
  </si>
  <si>
    <t xml:space="preserve">7897595621030</t>
  </si>
  <si>
    <t xml:space="preserve">SECNIHEXAL 1000MG C/02 CPR....</t>
  </si>
  <si>
    <t xml:space="preserve">SECNIHEXAL 1000MG CX 2 COMP</t>
  </si>
  <si>
    <t xml:space="preserve">SANDOZ</t>
  </si>
  <si>
    <t xml:space="preserve">431521</t>
  </si>
  <si>
    <t xml:space="preserve">7898259495523</t>
  </si>
  <si>
    <t xml:space="preserve">SERINGA 5ML LL AG 0,7X25</t>
  </si>
  <si>
    <t xml:space="preserve">SERINGA SR   5ML LUER LOCK AG 0,7X25</t>
  </si>
  <si>
    <t xml:space="preserve">SR</t>
  </si>
  <si>
    <t xml:space="preserve">634151</t>
  </si>
  <si>
    <t xml:space="preserve">7899620912441</t>
  </si>
  <si>
    <t xml:space="preserve">SIMETICONA 40MG C/20 CPR.</t>
  </si>
  <si>
    <t xml:space="preserve">SIMETICONA (N.S.) 40MG CX 20 COMP</t>
  </si>
  <si>
    <t xml:space="preserve">619851</t>
  </si>
  <si>
    <t xml:space="preserve">7899095201187</t>
  </si>
  <si>
    <t xml:space="preserve">SODIX 50MG C/20 CPR**</t>
  </si>
  <si>
    <t xml:space="preserve">SODIX 50MG CX 20 COMP REV</t>
  </si>
  <si>
    <t xml:space="preserve">212421</t>
  </si>
  <si>
    <t xml:space="preserve">7896902212176</t>
  </si>
  <si>
    <t xml:space="preserve">SOLUCAO FISIOLOGICA 0,9% 250ML</t>
  </si>
  <si>
    <t xml:space="preserve">SOLUCAO FISIOLOGICA 0,9% 250ML SORIMAX</t>
  </si>
  <si>
    <t xml:space="preserve">578061</t>
  </si>
  <si>
    <t xml:space="preserve">7898031310594</t>
  </si>
  <si>
    <t xml:space="preserve">SOLUCAO FISIOLOGICA 0,9% 250ML UN</t>
  </si>
  <si>
    <t xml:space="preserve">588661</t>
  </si>
  <si>
    <t xml:space="preserve">7896902212152</t>
  </si>
  <si>
    <t xml:space="preserve">SOLUCAO FISIOLOGICA 0,9% 100ML</t>
  </si>
  <si>
    <t xml:space="preserve">SOLUCAO SORIMAX 100 ML</t>
  </si>
  <si>
    <t xml:space="preserve">558381</t>
  </si>
  <si>
    <t xml:space="preserve">7898031310389</t>
  </si>
  <si>
    <t xml:space="preserve">SORO FISIOLOGICO 9% 100ML</t>
  </si>
  <si>
    <t xml:space="preserve">531861</t>
  </si>
  <si>
    <t xml:space="preserve">7898958836108</t>
  </si>
  <si>
    <t xml:space="preserve">SPIRULINA 500MG C/60 CPS</t>
  </si>
  <si>
    <t xml:space="preserve">612151</t>
  </si>
  <si>
    <t xml:space="preserve">7896006261308</t>
  </si>
  <si>
    <t xml:space="preserve">SULFADIAZINA DE PRATA 10MG 30G CREME</t>
  </si>
  <si>
    <t xml:space="preserve">SULFADIAZINA DE PRATA 10MG CREME DERM BG 30G</t>
  </si>
  <si>
    <t xml:space="preserve">446801</t>
  </si>
  <si>
    <t xml:space="preserve">7896112127512</t>
  </si>
  <si>
    <t xml:space="preserve">SULFAMETOXAZOL+TRIMETOPRIMA 100ML SUS</t>
  </si>
  <si>
    <t xml:space="preserve">SULFAMETOXAZOL+TRIMETOPRIMA 40+8MG/ML SUS OR FR 100ML+CM</t>
  </si>
  <si>
    <t xml:space="preserve">470321</t>
  </si>
  <si>
    <t xml:space="preserve">7896112145776</t>
  </si>
  <si>
    <t xml:space="preserve">SULFAMETOX+TRIMETOPRI 400+80MG C/20 CPR</t>
  </si>
  <si>
    <t xml:space="preserve">SULFAMETOXAZOL+TRIMETOPRIMA 400+80MG CX 20 COMP</t>
  </si>
  <si>
    <t xml:space="preserve">470361</t>
  </si>
  <si>
    <t xml:space="preserve">7897146600255</t>
  </si>
  <si>
    <t xml:space="preserve">SULFATO FERROSO 200MG C/50 CPR</t>
  </si>
  <si>
    <t xml:space="preserve">548381</t>
  </si>
  <si>
    <t xml:space="preserve">7898301056962</t>
  </si>
  <si>
    <t xml:space="preserve">TERMOMETRO DIGITAL TH150 VERDE</t>
  </si>
  <si>
    <t xml:space="preserve">TERMÔMETRO DIGITAL G-TECH COM PONTA RIGIDA THGTH150V - VERDE</t>
  </si>
  <si>
    <t xml:space="preserve">543361</t>
  </si>
  <si>
    <t xml:space="preserve">7898126050022</t>
  </si>
  <si>
    <t xml:space="preserve">TESTE CONFIRME</t>
  </si>
  <si>
    <t xml:space="preserve">TESTE CONFIRME C/01 UND</t>
  </si>
  <si>
    <t xml:space="preserve">532641</t>
  </si>
  <si>
    <t xml:space="preserve">7897848500761</t>
  </si>
  <si>
    <t xml:space="preserve">TIABENDAZOL 50MG 30G POMADA</t>
  </si>
  <si>
    <t xml:space="preserve">1663</t>
  </si>
  <si>
    <t xml:space="preserve">7895296132039</t>
  </si>
  <si>
    <t xml:space="preserve">TIBOLONA 2,5MG C/30 CPR</t>
  </si>
  <si>
    <t xml:space="preserve">TIBOLONA 2,5MG  CX 30 COMP</t>
  </si>
  <si>
    <t xml:space="preserve">462441</t>
  </si>
  <si>
    <t xml:space="preserve">7899470808321</t>
  </si>
  <si>
    <t xml:space="preserve">TILEMAXY CRIANCA 32MG 60ML SUS</t>
  </si>
  <si>
    <t xml:space="preserve">659691</t>
  </si>
  <si>
    <t xml:space="preserve">7898031310952</t>
  </si>
  <si>
    <t xml:space="preserve">TINTURA DE ARNICA 30ML</t>
  </si>
  <si>
    <t xml:space="preserve">540941</t>
  </si>
  <si>
    <t xml:space="preserve">7896004726151</t>
  </si>
  <si>
    <t xml:space="preserve">TOBRAMICINA 3MG 5ML OFTALMICO.</t>
  </si>
  <si>
    <t xml:space="preserve">TOBRAMICINA 3MG SOL OFT FR 5ML</t>
  </si>
  <si>
    <t xml:space="preserve">464661</t>
  </si>
  <si>
    <t xml:space="preserve">7898031310600</t>
  </si>
  <si>
    <t xml:space="preserve">ALCOOL GEL 70% 450G UNISSEPT</t>
  </si>
  <si>
    <t xml:space="preserve">UNISSEPT ALCOOL GEL ANTISSEPTICO 450G</t>
  </si>
  <si>
    <t xml:space="preserve">565801</t>
  </si>
  <si>
    <t xml:space="preserve">7896472521784</t>
  </si>
  <si>
    <t xml:space="preserve">VALSARTANA 320MG C/30 CPR</t>
  </si>
  <si>
    <t xml:space="preserve">VALSARTANA 320MG 30 COM-NQ</t>
  </si>
  <si>
    <t xml:space="preserve">662781</t>
  </si>
  <si>
    <t xml:space="preserve">7899470803975</t>
  </si>
  <si>
    <t xml:space="preserve">VARIVAX 300MG C/30 CPR</t>
  </si>
  <si>
    <t xml:space="preserve">VARIVAX 300 MG COM REV CX BL AL PLAS INC X 30</t>
  </si>
  <si>
    <t xml:space="preserve">20961</t>
  </si>
  <si>
    <t xml:space="preserve">7898031313533</t>
  </si>
  <si>
    <t xml:space="preserve">VASELINA SOLIDA 20G BISNAGA</t>
  </si>
  <si>
    <t xml:space="preserve">2973</t>
  </si>
  <si>
    <t xml:space="preserve">7898031310495</t>
  </si>
  <si>
    <t xml:space="preserve">VASELINA SOLIDA 25G POTE</t>
  </si>
  <si>
    <t xml:space="preserve">VASELINA SOLIDA 25G POTE (UNIPHAR)</t>
  </si>
  <si>
    <t xml:space="preserve">604001</t>
  </si>
  <si>
    <t xml:space="preserve">7896006200918</t>
  </si>
  <si>
    <t xml:space="preserve">VITAMINA D3 7.000 UI C/12  CPR.........</t>
  </si>
  <si>
    <t xml:space="preserve">VENCIDO - VITAMINA D3 7.000UI CX 12 COMP REV</t>
  </si>
  <si>
    <t xml:space="preserve">623671</t>
  </si>
  <si>
    <t xml:space="preserve">7898665752623</t>
  </si>
  <si>
    <t xml:space="preserve">VITAMINA B12 30ML GTS</t>
  </si>
  <si>
    <t xml:space="preserve">VITAMINA B12 30ML GTS FRUTAS VERMELHAS</t>
  </si>
  <si>
    <t xml:space="preserve">645011</t>
  </si>
  <si>
    <t xml:space="preserve">7898958836887</t>
  </si>
  <si>
    <t xml:space="preserve">VITAMINA B12 C/60 CPS CIANOCOBALAMINA</t>
  </si>
  <si>
    <t xml:space="preserve">VITAMINA B12 450MG C/60 CPS</t>
  </si>
  <si>
    <t xml:space="preserve">611421</t>
  </si>
  <si>
    <t xml:space="preserve">7898665751671</t>
  </si>
  <si>
    <t xml:space="preserve">VITAMINA B12 C/60 CPS METILCOBALAMINA</t>
  </si>
  <si>
    <t xml:space="preserve">636801</t>
  </si>
  <si>
    <t xml:space="preserve">7896006201076</t>
  </si>
  <si>
    <t xml:space="preserve">VITAMINA D3 50.000 UI C/04 CPR....</t>
  </si>
  <si>
    <t xml:space="preserve">VITAMINA D3 50.000UI CX 4 COMP REV</t>
  </si>
  <si>
    <t xml:space="preserve">623651</t>
  </si>
  <si>
    <t xml:space="preserve">7898569766603</t>
  </si>
  <si>
    <t xml:space="preserve">VITAMINA D3 7.000 UI C/04 CPS</t>
  </si>
  <si>
    <t xml:space="preserve">VITAMINA D3 7000UI CX 4 CAP</t>
  </si>
  <si>
    <t xml:space="preserve">193041</t>
  </si>
  <si>
    <t xml:space="preserve">7898665750285</t>
  </si>
  <si>
    <t xml:space="preserve">VITAMINA K2 450MG C/60 CPS</t>
  </si>
  <si>
    <t xml:space="preserve">2963</t>
  </si>
  <si>
    <t xml:space="preserve">7899898601559</t>
  </si>
  <si>
    <t xml:space="preserve">VITER C ZINCO 1G C/10 CPR EFERV</t>
  </si>
  <si>
    <t xml:space="preserve">609401</t>
  </si>
  <si>
    <t xml:space="preserve">TOTAL</t>
  </si>
  <si>
    <t xml:space="preserve">Observações:</t>
  </si>
  <si>
    <t xml:space="preserve">• Prazo de pagamento solicitado: MÍNIMO 45 DIAS — preferência até 90 DIAS (ex.: 45/60/75/90 dd ou 90 dd direto)</t>
  </si>
  <si>
    <t xml:space="preserve">• Quantidades em CAIXAS fechadas (não comprar fração).</t>
  </si>
  <si>
    <t xml:space="preserve">• Preços conforme oferta vigente em 20/10/2026. Favor confirmar preço, prazo e disponibilidade antes do faturamento.</t>
  </si>
  <si>
    <t xml:space="preserve">• Itens sem estoque total: faturar o disponível e informar o saldo.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</si>
</sst>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"/>
    <numFmt numFmtId="167" formatCode="&quot;R$ &quot;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46"/>
    <col collapsed="false" customWidth="true" hidden="false" outlineLevel="0" max="5" min="5" style="0" width="40"/>
    <col collapsed="false" customWidth="true" hidden="false" outlineLevel="0" max="6" min="6" style="0" width="18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2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C2" s="3" t="s">
        <v>2</v>
      </c>
    </row>
    <row r="3" customFormat="false" ht="15" hidden="false" customHeight="false" outlineLevel="0" collapsed="false">
      <c r="A3" s="2" t="s">
        <v>3</v>
      </c>
      <c r="C3" s="3" t="s">
        <v>4</v>
      </c>
    </row>
    <row r="4" customFormat="false" ht="15" hidden="false" customHeight="false" outlineLevel="0" collapsed="false">
      <c r="A4" s="2" t="s">
        <v>5</v>
      </c>
      <c r="C4" s="3" t="s">
        <v>6</v>
      </c>
    </row>
    <row r="5" customFormat="false" ht="15" hidden="false" customHeight="false" outlineLevel="0" collapsed="false">
      <c r="A5" s="2" t="s">
        <v>7</v>
      </c>
      <c r="C5" s="3" t="s">
        <v>8</v>
      </c>
    </row>
    <row r="6" customFormat="false" ht="15" hidden="false" customHeight="false" outlineLevel="0" collapsed="false">
      <c r="A6" s="2" t="s">
        <v>9</v>
      </c>
      <c r="C6" s="4" t="s">
        <v>10</v>
      </c>
    </row>
    <row r="8" customFormat="false" ht="30" hidden="false" customHeight="true" outlineLevel="0" collapsed="false">
      <c r="A8" s="5" t="s">
        <v>11</v>
      </c>
      <c r="B8" s="5" t="s">
        <v>12</v>
      </c>
      <c r="C8" s="5" t="s">
        <v>13</v>
      </c>
      <c r="D8" s="5" t="s">
        <v>14</v>
      </c>
      <c r="E8" s="5" t="s">
        <v>15</v>
      </c>
      <c r="F8" s="5" t="s">
        <v>16</v>
      </c>
      <c r="G8" s="5" t="s">
        <v>17</v>
      </c>
      <c r="H8" s="5" t="s">
        <v>18</v>
      </c>
      <c r="I8" s="5" t="s">
        <v>19</v>
      </c>
      <c r="J8" s="5" t="s">
        <v>20</v>
      </c>
      <c r="K8" s="5" t="s">
        <v>21</v>
      </c>
    </row>
    <row r="9" customFormat="false" ht="15" hidden="false" customHeight="false" outlineLevel="0" collapsed="false">
      <c r="A9" s="6" t="n">
        <v>1</v>
      </c>
      <c r="B9" s="6" t="n">
        <v>9626</v>
      </c>
      <c r="C9" s="7" t="s">
        <v>22</v>
      </c>
      <c r="D9" s="6" t="s">
        <v>23</v>
      </c>
      <c r="E9" s="6" t="s">
        <v>24</v>
      </c>
      <c r="F9" s="6" t="s">
        <v>25</v>
      </c>
      <c r="G9" s="8" t="n">
        <v>6</v>
      </c>
      <c r="H9" s="9" t="n">
        <v>33.53</v>
      </c>
      <c r="I9" s="9" t="n">
        <f aca="false">G9*H9</f>
        <v>201.18</v>
      </c>
      <c r="J9" s="6" t="s">
        <v>26</v>
      </c>
      <c r="K9" s="6"/>
    </row>
    <row r="10" customFormat="false" ht="15" hidden="false" customHeight="false" outlineLevel="0" collapsed="false">
      <c r="A10" s="6" t="n">
        <v>2</v>
      </c>
      <c r="B10" s="6" t="n">
        <v>8910</v>
      </c>
      <c r="C10" s="7" t="s">
        <v>27</v>
      </c>
      <c r="D10" s="6" t="s">
        <v>28</v>
      </c>
      <c r="E10" s="6" t="s">
        <v>29</v>
      </c>
      <c r="F10" s="6" t="s">
        <v>30</v>
      </c>
      <c r="G10" s="8" t="n">
        <v>2</v>
      </c>
      <c r="H10" s="9" t="n">
        <v>7.13</v>
      </c>
      <c r="I10" s="9" t="n">
        <f aca="false">G10*H10</f>
        <v>14.26</v>
      </c>
      <c r="J10" s="6" t="s">
        <v>31</v>
      </c>
      <c r="K10" s="6"/>
    </row>
    <row r="11" customFormat="false" ht="15" hidden="false" customHeight="false" outlineLevel="0" collapsed="false">
      <c r="A11" s="6" t="n">
        <v>3</v>
      </c>
      <c r="B11" s="6" t="n">
        <v>1830</v>
      </c>
      <c r="C11" s="7" t="s">
        <v>32</v>
      </c>
      <c r="D11" s="6" t="s">
        <v>33</v>
      </c>
      <c r="E11" s="6" t="s">
        <v>34</v>
      </c>
      <c r="F11" s="6" t="s">
        <v>35</v>
      </c>
      <c r="G11" s="8" t="n">
        <v>1</v>
      </c>
      <c r="H11" s="9" t="n">
        <v>7.08</v>
      </c>
      <c r="I11" s="9" t="n">
        <f aca="false">G11*H11</f>
        <v>7.08</v>
      </c>
      <c r="J11" s="6" t="s">
        <v>36</v>
      </c>
      <c r="K11" s="6"/>
    </row>
    <row r="12" customFormat="false" ht="15" hidden="false" customHeight="false" outlineLevel="0" collapsed="false">
      <c r="A12" s="6" t="n">
        <v>4</v>
      </c>
      <c r="B12" s="6" t="n">
        <v>3409</v>
      </c>
      <c r="C12" s="7" t="s">
        <v>37</v>
      </c>
      <c r="D12" s="6" t="s">
        <v>38</v>
      </c>
      <c r="E12" s="6" t="s">
        <v>39</v>
      </c>
      <c r="F12" s="6" t="s">
        <v>40</v>
      </c>
      <c r="G12" s="8" t="n">
        <v>12</v>
      </c>
      <c r="H12" s="9" t="n">
        <v>4.08</v>
      </c>
      <c r="I12" s="9" t="n">
        <f aca="false">G12*H12</f>
        <v>48.96</v>
      </c>
      <c r="J12" s="6" t="s">
        <v>41</v>
      </c>
      <c r="K12" s="6"/>
    </row>
    <row r="13" customFormat="false" ht="15" hidden="false" customHeight="false" outlineLevel="0" collapsed="false">
      <c r="A13" s="6" t="n">
        <v>5</v>
      </c>
      <c r="B13" s="6" t="n">
        <v>3625</v>
      </c>
      <c r="C13" s="7" t="s">
        <v>42</v>
      </c>
      <c r="D13" s="6" t="s">
        <v>43</v>
      </c>
      <c r="E13" s="6" t="s">
        <v>44</v>
      </c>
      <c r="F13" s="6" t="s">
        <v>45</v>
      </c>
      <c r="G13" s="8" t="n">
        <v>19</v>
      </c>
      <c r="H13" s="9" t="n">
        <v>5.09</v>
      </c>
      <c r="I13" s="9" t="n">
        <f aca="false">G13*H13</f>
        <v>96.71</v>
      </c>
      <c r="J13" s="6" t="s">
        <v>46</v>
      </c>
      <c r="K13" s="6"/>
    </row>
    <row r="14" customFormat="false" ht="15" hidden="false" customHeight="false" outlineLevel="0" collapsed="false">
      <c r="A14" s="6" t="n">
        <v>6</v>
      </c>
      <c r="B14" s="6" t="n">
        <v>5611</v>
      </c>
      <c r="C14" s="7" t="s">
        <v>47</v>
      </c>
      <c r="D14" s="6" t="s">
        <v>48</v>
      </c>
      <c r="E14" s="6" t="s">
        <v>49</v>
      </c>
      <c r="F14" s="6" t="s">
        <v>50</v>
      </c>
      <c r="G14" s="8" t="n">
        <v>1</v>
      </c>
      <c r="H14" s="9" t="n">
        <v>39.01</v>
      </c>
      <c r="I14" s="9" t="n">
        <f aca="false">G14*H14</f>
        <v>39.01</v>
      </c>
      <c r="J14" s="6" t="s">
        <v>51</v>
      </c>
      <c r="K14" s="6"/>
    </row>
    <row r="15" customFormat="false" ht="15" hidden="false" customHeight="false" outlineLevel="0" collapsed="false">
      <c r="A15" s="6" t="n">
        <v>7</v>
      </c>
      <c r="B15" s="6" t="n">
        <v>1251</v>
      </c>
      <c r="C15" s="7" t="s">
        <v>52</v>
      </c>
      <c r="D15" s="6" t="s">
        <v>53</v>
      </c>
      <c r="E15" s="6" t="s">
        <v>53</v>
      </c>
      <c r="F15" s="6" t="s">
        <v>54</v>
      </c>
      <c r="G15" s="8" t="n">
        <v>2</v>
      </c>
      <c r="H15" s="9" t="n">
        <v>5.25</v>
      </c>
      <c r="I15" s="9" t="n">
        <f aca="false">G15*H15</f>
        <v>10.5</v>
      </c>
      <c r="J15" s="6" t="s">
        <v>55</v>
      </c>
      <c r="K15" s="6"/>
    </row>
    <row r="16" customFormat="false" ht="15" hidden="false" customHeight="false" outlineLevel="0" collapsed="false">
      <c r="A16" s="6" t="n">
        <v>8</v>
      </c>
      <c r="B16" s="6" t="n">
        <v>8806</v>
      </c>
      <c r="C16" s="7" t="s">
        <v>56</v>
      </c>
      <c r="D16" s="6" t="s">
        <v>57</v>
      </c>
      <c r="E16" s="6" t="s">
        <v>58</v>
      </c>
      <c r="F16" s="6"/>
      <c r="G16" s="8" t="n">
        <v>1</v>
      </c>
      <c r="H16" s="9" t="n">
        <v>12.44</v>
      </c>
      <c r="I16" s="9" t="n">
        <f aca="false">G16*H16</f>
        <v>12.44</v>
      </c>
      <c r="J16" s="6" t="s">
        <v>59</v>
      </c>
      <c r="K16" s="6"/>
    </row>
    <row r="17" customFormat="false" ht="15" hidden="false" customHeight="false" outlineLevel="0" collapsed="false">
      <c r="A17" s="6" t="n">
        <v>9</v>
      </c>
      <c r="B17" s="6" t="n">
        <v>719</v>
      </c>
      <c r="C17" s="7" t="s">
        <v>60</v>
      </c>
      <c r="D17" s="6" t="s">
        <v>61</v>
      </c>
      <c r="E17" s="6" t="s">
        <v>61</v>
      </c>
      <c r="F17" s="6" t="s">
        <v>62</v>
      </c>
      <c r="G17" s="8" t="n">
        <v>57</v>
      </c>
      <c r="H17" s="9" t="n">
        <v>2.37</v>
      </c>
      <c r="I17" s="9" t="n">
        <f aca="false">G17*H17</f>
        <v>135.09</v>
      </c>
      <c r="J17" s="6" t="s">
        <v>63</v>
      </c>
      <c r="K17" s="6"/>
    </row>
    <row r="18" customFormat="false" ht="15" hidden="false" customHeight="false" outlineLevel="0" collapsed="false">
      <c r="A18" s="6" t="n">
        <v>10</v>
      </c>
      <c r="B18" s="6" t="n">
        <v>5454</v>
      </c>
      <c r="C18" s="7" t="s">
        <v>64</v>
      </c>
      <c r="D18" s="6" t="s">
        <v>65</v>
      </c>
      <c r="E18" s="6" t="s">
        <v>65</v>
      </c>
      <c r="F18" s="6" t="s">
        <v>66</v>
      </c>
      <c r="G18" s="8" t="n">
        <v>8</v>
      </c>
      <c r="H18" s="9" t="n">
        <v>3.51</v>
      </c>
      <c r="I18" s="9" t="n">
        <f aca="false">G18*H18</f>
        <v>28.08</v>
      </c>
      <c r="J18" s="6" t="s">
        <v>67</v>
      </c>
      <c r="K18" s="6"/>
    </row>
    <row r="19" customFormat="false" ht="15" hidden="false" customHeight="false" outlineLevel="0" collapsed="false">
      <c r="A19" s="6" t="n">
        <v>11</v>
      </c>
      <c r="B19" s="6" t="n">
        <v>9310</v>
      </c>
      <c r="C19" s="7" t="s">
        <v>68</v>
      </c>
      <c r="D19" s="6" t="s">
        <v>69</v>
      </c>
      <c r="E19" s="6" t="s">
        <v>70</v>
      </c>
      <c r="F19" s="6" t="s">
        <v>71</v>
      </c>
      <c r="G19" s="8" t="n">
        <v>8</v>
      </c>
      <c r="H19" s="9" t="n">
        <v>5.6</v>
      </c>
      <c r="I19" s="9" t="n">
        <f aca="false">G19*H19</f>
        <v>44.8</v>
      </c>
      <c r="J19" s="6" t="s">
        <v>72</v>
      </c>
      <c r="K19" s="6"/>
    </row>
    <row r="20" customFormat="false" ht="15" hidden="false" customHeight="false" outlineLevel="0" collapsed="false">
      <c r="A20" s="6" t="n">
        <v>12</v>
      </c>
      <c r="B20" s="6" t="n">
        <v>7091</v>
      </c>
      <c r="C20" s="7" t="s">
        <v>73</v>
      </c>
      <c r="D20" s="6" t="s">
        <v>74</v>
      </c>
      <c r="E20" s="6" t="s">
        <v>75</v>
      </c>
      <c r="F20" s="6"/>
      <c r="G20" s="8" t="n">
        <v>1</v>
      </c>
      <c r="H20" s="9" t="n">
        <v>8.98</v>
      </c>
      <c r="I20" s="9" t="n">
        <f aca="false">G20*H20</f>
        <v>8.98</v>
      </c>
      <c r="J20" s="6" t="s">
        <v>76</v>
      </c>
      <c r="K20" s="6"/>
    </row>
    <row r="21" customFormat="false" ht="15" hidden="false" customHeight="false" outlineLevel="0" collapsed="false">
      <c r="A21" s="6" t="n">
        <v>13</v>
      </c>
      <c r="B21" s="6" t="n">
        <v>1521</v>
      </c>
      <c r="C21" s="7" t="s">
        <v>77</v>
      </c>
      <c r="D21" s="6" t="s">
        <v>78</v>
      </c>
      <c r="E21" s="6" t="s">
        <v>79</v>
      </c>
      <c r="F21" s="6" t="s">
        <v>80</v>
      </c>
      <c r="G21" s="8" t="n">
        <v>4</v>
      </c>
      <c r="H21" s="9" t="n">
        <v>4.99</v>
      </c>
      <c r="I21" s="9" t="n">
        <f aca="false">G21*H21</f>
        <v>19.96</v>
      </c>
      <c r="J21" s="6" t="s">
        <v>81</v>
      </c>
      <c r="K21" s="6"/>
    </row>
    <row r="22" customFormat="false" ht="15" hidden="false" customHeight="false" outlineLevel="0" collapsed="false">
      <c r="A22" s="6" t="n">
        <v>14</v>
      </c>
      <c r="B22" s="6" t="n">
        <v>812</v>
      </c>
      <c r="C22" s="7" t="s">
        <v>82</v>
      </c>
      <c r="D22" s="6" t="s">
        <v>83</v>
      </c>
      <c r="E22" s="6" t="s">
        <v>84</v>
      </c>
      <c r="F22" s="6" t="s">
        <v>85</v>
      </c>
      <c r="G22" s="8" t="n">
        <v>20</v>
      </c>
      <c r="H22" s="9" t="n">
        <v>1.12</v>
      </c>
      <c r="I22" s="9" t="n">
        <f aca="false">G22*H22</f>
        <v>22.4</v>
      </c>
      <c r="J22" s="6" t="s">
        <v>86</v>
      </c>
      <c r="K22" s="6"/>
    </row>
    <row r="23" customFormat="false" ht="15" hidden="false" customHeight="false" outlineLevel="0" collapsed="false">
      <c r="A23" s="6" t="n">
        <v>15</v>
      </c>
      <c r="B23" s="6" t="n">
        <v>3272</v>
      </c>
      <c r="C23" s="7" t="s">
        <v>87</v>
      </c>
      <c r="D23" s="6" t="s">
        <v>88</v>
      </c>
      <c r="E23" s="6" t="s">
        <v>89</v>
      </c>
      <c r="F23" s="6" t="s">
        <v>40</v>
      </c>
      <c r="G23" s="8" t="n">
        <v>1</v>
      </c>
      <c r="H23" s="9" t="n">
        <v>19.87</v>
      </c>
      <c r="I23" s="9" t="n">
        <f aca="false">G23*H23</f>
        <v>19.87</v>
      </c>
      <c r="J23" s="6" t="s">
        <v>90</v>
      </c>
      <c r="K23" s="6"/>
    </row>
    <row r="24" customFormat="false" ht="15" hidden="false" customHeight="false" outlineLevel="0" collapsed="false">
      <c r="A24" s="6" t="n">
        <v>16</v>
      </c>
      <c r="B24" s="6" t="n">
        <v>3483</v>
      </c>
      <c r="C24" s="7" t="s">
        <v>91</v>
      </c>
      <c r="D24" s="6" t="s">
        <v>92</v>
      </c>
      <c r="E24" s="6" t="s">
        <v>93</v>
      </c>
      <c r="F24" s="6" t="s">
        <v>40</v>
      </c>
      <c r="G24" s="8" t="n">
        <v>1</v>
      </c>
      <c r="H24" s="9" t="n">
        <v>26.18</v>
      </c>
      <c r="I24" s="9" t="n">
        <f aca="false">G24*H24</f>
        <v>26.18</v>
      </c>
      <c r="J24" s="6" t="s">
        <v>94</v>
      </c>
      <c r="K24" s="6"/>
    </row>
    <row r="25" customFormat="false" ht="15" hidden="false" customHeight="false" outlineLevel="0" collapsed="false">
      <c r="A25" s="6" t="n">
        <v>17</v>
      </c>
      <c r="B25" s="6" t="n">
        <v>940</v>
      </c>
      <c r="C25" s="7" t="s">
        <v>95</v>
      </c>
      <c r="D25" s="6" t="s">
        <v>96</v>
      </c>
      <c r="E25" s="6" t="s">
        <v>97</v>
      </c>
      <c r="F25" s="6" t="s">
        <v>98</v>
      </c>
      <c r="G25" s="8" t="n">
        <v>3</v>
      </c>
      <c r="H25" s="9" t="n">
        <v>8.62</v>
      </c>
      <c r="I25" s="9" t="n">
        <f aca="false">G25*H25</f>
        <v>25.86</v>
      </c>
      <c r="J25" s="6" t="s">
        <v>99</v>
      </c>
      <c r="K25" s="6"/>
    </row>
    <row r="26" customFormat="false" ht="15" hidden="false" customHeight="false" outlineLevel="0" collapsed="false">
      <c r="A26" s="6" t="n">
        <v>18</v>
      </c>
      <c r="B26" s="6" t="n">
        <v>6415</v>
      </c>
      <c r="C26" s="7" t="s">
        <v>100</v>
      </c>
      <c r="D26" s="6" t="s">
        <v>101</v>
      </c>
      <c r="E26" s="6" t="s">
        <v>102</v>
      </c>
      <c r="F26" s="6" t="s">
        <v>103</v>
      </c>
      <c r="G26" s="8" t="n">
        <v>3</v>
      </c>
      <c r="H26" s="9" t="n">
        <v>1.25</v>
      </c>
      <c r="I26" s="9" t="n">
        <f aca="false">G26*H26</f>
        <v>3.75</v>
      </c>
      <c r="J26" s="6" t="s">
        <v>104</v>
      </c>
      <c r="K26" s="6" t="s">
        <v>105</v>
      </c>
    </row>
    <row r="27" customFormat="false" ht="15" hidden="false" customHeight="false" outlineLevel="0" collapsed="false">
      <c r="A27" s="6" t="n">
        <v>19</v>
      </c>
      <c r="B27" s="6" t="n">
        <v>7705</v>
      </c>
      <c r="C27" s="7" t="s">
        <v>106</v>
      </c>
      <c r="D27" s="6" t="s">
        <v>107</v>
      </c>
      <c r="E27" s="6" t="s">
        <v>108</v>
      </c>
      <c r="F27" s="6" t="s">
        <v>109</v>
      </c>
      <c r="G27" s="8" t="n">
        <v>9</v>
      </c>
      <c r="H27" s="9" t="n">
        <v>5.25</v>
      </c>
      <c r="I27" s="9" t="n">
        <f aca="false">G27*H27</f>
        <v>47.25</v>
      </c>
      <c r="J27" s="6" t="s">
        <v>110</v>
      </c>
      <c r="K27" s="6"/>
    </row>
    <row r="28" customFormat="false" ht="15" hidden="false" customHeight="false" outlineLevel="0" collapsed="false">
      <c r="A28" s="6" t="n">
        <v>20</v>
      </c>
      <c r="B28" s="6" t="n">
        <v>7553</v>
      </c>
      <c r="C28" s="7" t="s">
        <v>111</v>
      </c>
      <c r="D28" s="6" t="s">
        <v>112</v>
      </c>
      <c r="E28" s="6" t="s">
        <v>113</v>
      </c>
      <c r="F28" s="6" t="s">
        <v>109</v>
      </c>
      <c r="G28" s="8" t="n">
        <v>13</v>
      </c>
      <c r="H28" s="9" t="n">
        <v>9.82</v>
      </c>
      <c r="I28" s="9" t="n">
        <f aca="false">G28*H28</f>
        <v>127.66</v>
      </c>
      <c r="J28" s="6" t="s">
        <v>114</v>
      </c>
      <c r="K28" s="6"/>
    </row>
    <row r="29" customFormat="false" ht="15" hidden="false" customHeight="false" outlineLevel="0" collapsed="false">
      <c r="A29" s="6" t="n">
        <v>21</v>
      </c>
      <c r="B29" s="6" t="n">
        <v>7710</v>
      </c>
      <c r="C29" s="7" t="s">
        <v>115</v>
      </c>
      <c r="D29" s="6" t="s">
        <v>116</v>
      </c>
      <c r="E29" s="6" t="s">
        <v>117</v>
      </c>
      <c r="F29" s="6" t="s">
        <v>109</v>
      </c>
      <c r="G29" s="8" t="n">
        <v>3</v>
      </c>
      <c r="H29" s="9" t="n">
        <v>19.67</v>
      </c>
      <c r="I29" s="9" t="n">
        <f aca="false">G29*H29</f>
        <v>59.01</v>
      </c>
      <c r="J29" s="6" t="s">
        <v>118</v>
      </c>
      <c r="K29" s="6"/>
    </row>
    <row r="30" customFormat="false" ht="15" hidden="false" customHeight="false" outlineLevel="0" collapsed="false">
      <c r="A30" s="6" t="n">
        <v>22</v>
      </c>
      <c r="B30" s="6" t="n">
        <v>10681</v>
      </c>
      <c r="C30" s="7" t="s">
        <v>119</v>
      </c>
      <c r="D30" s="6" t="s">
        <v>120</v>
      </c>
      <c r="E30" s="6" t="s">
        <v>121</v>
      </c>
      <c r="F30" s="6" t="s">
        <v>122</v>
      </c>
      <c r="G30" s="8" t="n">
        <v>4</v>
      </c>
      <c r="H30" s="9" t="n">
        <v>1.43</v>
      </c>
      <c r="I30" s="9" t="n">
        <f aca="false">G30*H30</f>
        <v>5.72</v>
      </c>
      <c r="J30" s="6" t="s">
        <v>123</v>
      </c>
      <c r="K30" s="6" t="s">
        <v>124</v>
      </c>
    </row>
    <row r="31" customFormat="false" ht="15" hidden="false" customHeight="false" outlineLevel="0" collapsed="false">
      <c r="A31" s="6" t="n">
        <v>23</v>
      </c>
      <c r="B31" s="6" t="n">
        <v>10682</v>
      </c>
      <c r="C31" s="7" t="s">
        <v>125</v>
      </c>
      <c r="D31" s="6" t="s">
        <v>126</v>
      </c>
      <c r="E31" s="6" t="s">
        <v>127</v>
      </c>
      <c r="F31" s="6" t="s">
        <v>122</v>
      </c>
      <c r="G31" s="8" t="n">
        <v>1</v>
      </c>
      <c r="H31" s="9" t="n">
        <v>2.66</v>
      </c>
      <c r="I31" s="9" t="n">
        <f aca="false">G31*H31</f>
        <v>2.66</v>
      </c>
      <c r="J31" s="6" t="s">
        <v>128</v>
      </c>
      <c r="K31" s="6" t="s">
        <v>129</v>
      </c>
    </row>
    <row r="32" customFormat="false" ht="15" hidden="false" customHeight="false" outlineLevel="0" collapsed="false">
      <c r="A32" s="6" t="n">
        <v>24</v>
      </c>
      <c r="B32" s="6" t="n">
        <v>9330</v>
      </c>
      <c r="C32" s="7" t="s">
        <v>130</v>
      </c>
      <c r="D32" s="6" t="s">
        <v>131</v>
      </c>
      <c r="E32" s="6" t="s">
        <v>132</v>
      </c>
      <c r="F32" s="6" t="s">
        <v>133</v>
      </c>
      <c r="G32" s="8" t="n">
        <v>3</v>
      </c>
      <c r="H32" s="9" t="n">
        <v>6.26</v>
      </c>
      <c r="I32" s="9" t="n">
        <f aca="false">G32*H32</f>
        <v>18.78</v>
      </c>
      <c r="J32" s="6" t="s">
        <v>134</v>
      </c>
      <c r="K32" s="6"/>
    </row>
    <row r="33" customFormat="false" ht="15" hidden="false" customHeight="false" outlineLevel="0" collapsed="false">
      <c r="A33" s="6" t="n">
        <v>25</v>
      </c>
      <c r="B33" s="6" t="n">
        <v>2403</v>
      </c>
      <c r="C33" s="7" t="s">
        <v>135</v>
      </c>
      <c r="D33" s="6" t="s">
        <v>136</v>
      </c>
      <c r="E33" s="6" t="s">
        <v>137</v>
      </c>
      <c r="F33" s="6" t="s">
        <v>138</v>
      </c>
      <c r="G33" s="8" t="n">
        <v>1</v>
      </c>
      <c r="H33" s="9" t="n">
        <v>14.94</v>
      </c>
      <c r="I33" s="9" t="n">
        <f aca="false">G33*H33</f>
        <v>14.94</v>
      </c>
      <c r="J33" s="6" t="s">
        <v>139</v>
      </c>
      <c r="K33" s="6"/>
    </row>
    <row r="34" customFormat="false" ht="15" hidden="false" customHeight="false" outlineLevel="0" collapsed="false">
      <c r="A34" s="6" t="n">
        <v>26</v>
      </c>
      <c r="B34" s="6" t="n">
        <v>8460</v>
      </c>
      <c r="C34" s="7" t="s">
        <v>140</v>
      </c>
      <c r="D34" s="6" t="s">
        <v>141</v>
      </c>
      <c r="E34" s="6" t="s">
        <v>142</v>
      </c>
      <c r="F34" s="6" t="s">
        <v>143</v>
      </c>
      <c r="G34" s="8" t="n">
        <v>1</v>
      </c>
      <c r="H34" s="9" t="n">
        <v>8.29</v>
      </c>
      <c r="I34" s="9" t="n">
        <f aca="false">G34*H34</f>
        <v>8.29</v>
      </c>
      <c r="J34" s="6" t="s">
        <v>144</v>
      </c>
      <c r="K34" s="6"/>
    </row>
    <row r="35" customFormat="false" ht="15" hidden="false" customHeight="false" outlineLevel="0" collapsed="false">
      <c r="A35" s="6" t="n">
        <v>27</v>
      </c>
      <c r="B35" s="6" t="n">
        <v>174</v>
      </c>
      <c r="C35" s="7" t="s">
        <v>145</v>
      </c>
      <c r="D35" s="6" t="s">
        <v>146</v>
      </c>
      <c r="E35" s="6" t="s">
        <v>147</v>
      </c>
      <c r="F35" s="6" t="s">
        <v>66</v>
      </c>
      <c r="G35" s="8" t="n">
        <v>5</v>
      </c>
      <c r="H35" s="9" t="n">
        <v>3.61</v>
      </c>
      <c r="I35" s="9" t="n">
        <f aca="false">G35*H35</f>
        <v>18.05</v>
      </c>
      <c r="J35" s="6" t="s">
        <v>148</v>
      </c>
      <c r="K35" s="6"/>
    </row>
    <row r="36" customFormat="false" ht="15" hidden="false" customHeight="false" outlineLevel="0" collapsed="false">
      <c r="A36" s="6" t="n">
        <v>28</v>
      </c>
      <c r="B36" s="6" t="n">
        <v>2997</v>
      </c>
      <c r="C36" s="7" t="s">
        <v>149</v>
      </c>
      <c r="D36" s="6" t="s">
        <v>150</v>
      </c>
      <c r="E36" s="6" t="s">
        <v>151</v>
      </c>
      <c r="F36" s="6" t="s">
        <v>98</v>
      </c>
      <c r="G36" s="8" t="n">
        <v>1</v>
      </c>
      <c r="H36" s="9" t="n">
        <v>4.49</v>
      </c>
      <c r="I36" s="9" t="n">
        <f aca="false">G36*H36</f>
        <v>4.49</v>
      </c>
      <c r="J36" s="6" t="s">
        <v>152</v>
      </c>
      <c r="K36" s="6"/>
    </row>
    <row r="37" customFormat="false" ht="15" hidden="false" customHeight="false" outlineLevel="0" collapsed="false">
      <c r="A37" s="6" t="n">
        <v>29</v>
      </c>
      <c r="B37" s="6" t="n">
        <v>9120</v>
      </c>
      <c r="C37" s="7" t="s">
        <v>153</v>
      </c>
      <c r="D37" s="6" t="s">
        <v>154</v>
      </c>
      <c r="E37" s="6" t="s">
        <v>155</v>
      </c>
      <c r="F37" s="6"/>
      <c r="G37" s="8" t="n">
        <v>3</v>
      </c>
      <c r="H37" s="9" t="n">
        <v>10.99</v>
      </c>
      <c r="I37" s="9" t="n">
        <f aca="false">G37*H37</f>
        <v>32.97</v>
      </c>
      <c r="J37" s="6" t="s">
        <v>156</v>
      </c>
      <c r="K37" s="6"/>
    </row>
    <row r="38" customFormat="false" ht="15" hidden="false" customHeight="false" outlineLevel="0" collapsed="false">
      <c r="A38" s="6" t="n">
        <v>30</v>
      </c>
      <c r="B38" s="6" t="n">
        <v>10510</v>
      </c>
      <c r="C38" s="7" t="s">
        <v>157</v>
      </c>
      <c r="D38" s="6" t="s">
        <v>158</v>
      </c>
      <c r="E38" s="6" t="s">
        <v>159</v>
      </c>
      <c r="F38" s="6" t="s">
        <v>160</v>
      </c>
      <c r="G38" s="8" t="n">
        <v>18</v>
      </c>
      <c r="H38" s="9" t="n">
        <v>1.61</v>
      </c>
      <c r="I38" s="9" t="n">
        <f aca="false">G38*H38</f>
        <v>28.98</v>
      </c>
      <c r="J38" s="6" t="s">
        <v>161</v>
      </c>
      <c r="K38" s="6"/>
    </row>
    <row r="39" customFormat="false" ht="15" hidden="false" customHeight="false" outlineLevel="0" collapsed="false">
      <c r="A39" s="6" t="n">
        <v>31</v>
      </c>
      <c r="B39" s="6" t="n">
        <v>3079</v>
      </c>
      <c r="C39" s="7" t="s">
        <v>162</v>
      </c>
      <c r="D39" s="6" t="s">
        <v>163</v>
      </c>
      <c r="E39" s="6" t="s">
        <v>164</v>
      </c>
      <c r="F39" s="6" t="s">
        <v>66</v>
      </c>
      <c r="G39" s="8" t="n">
        <v>14</v>
      </c>
      <c r="H39" s="9" t="n">
        <v>3.81</v>
      </c>
      <c r="I39" s="9" t="n">
        <f aca="false">G39*H39</f>
        <v>53.34</v>
      </c>
      <c r="J39" s="6" t="s">
        <v>165</v>
      </c>
      <c r="K39" s="6"/>
    </row>
    <row r="40" customFormat="false" ht="15" hidden="false" customHeight="false" outlineLevel="0" collapsed="false">
      <c r="A40" s="6" t="n">
        <v>32</v>
      </c>
      <c r="B40" s="6" t="n">
        <v>453</v>
      </c>
      <c r="C40" s="7" t="s">
        <v>166</v>
      </c>
      <c r="D40" s="6" t="s">
        <v>167</v>
      </c>
      <c r="E40" s="6" t="s">
        <v>168</v>
      </c>
      <c r="F40" s="6" t="s">
        <v>169</v>
      </c>
      <c r="G40" s="8" t="n">
        <v>3</v>
      </c>
      <c r="H40" s="9" t="n">
        <v>6.59</v>
      </c>
      <c r="I40" s="9" t="n">
        <f aca="false">G40*H40</f>
        <v>19.77</v>
      </c>
      <c r="J40" s="6" t="s">
        <v>170</v>
      </c>
      <c r="K40" s="6"/>
    </row>
    <row r="41" customFormat="false" ht="15" hidden="false" customHeight="false" outlineLevel="0" collapsed="false">
      <c r="A41" s="6" t="n">
        <v>33</v>
      </c>
      <c r="B41" s="6" t="n">
        <v>1810</v>
      </c>
      <c r="C41" s="7" t="s">
        <v>171</v>
      </c>
      <c r="D41" s="6" t="s">
        <v>172</v>
      </c>
      <c r="E41" s="6" t="s">
        <v>173</v>
      </c>
      <c r="F41" s="6" t="s">
        <v>174</v>
      </c>
      <c r="G41" s="8" t="n">
        <v>11</v>
      </c>
      <c r="H41" s="9" t="n">
        <v>3.89</v>
      </c>
      <c r="I41" s="9" t="n">
        <f aca="false">G41*H41</f>
        <v>42.79</v>
      </c>
      <c r="J41" s="6" t="s">
        <v>175</v>
      </c>
      <c r="K41" s="6"/>
    </row>
    <row r="42" customFormat="false" ht="15" hidden="false" customHeight="false" outlineLevel="0" collapsed="false">
      <c r="A42" s="6" t="n">
        <v>34</v>
      </c>
      <c r="B42" s="6" t="n">
        <v>9041</v>
      </c>
      <c r="C42" s="7" t="s">
        <v>176</v>
      </c>
      <c r="D42" s="6" t="s">
        <v>177</v>
      </c>
      <c r="E42" s="6" t="s">
        <v>178</v>
      </c>
      <c r="F42" s="6" t="s">
        <v>35</v>
      </c>
      <c r="G42" s="8" t="n">
        <v>3</v>
      </c>
      <c r="H42" s="9" t="n">
        <v>9.21</v>
      </c>
      <c r="I42" s="9" t="n">
        <f aca="false">G42*H42</f>
        <v>27.63</v>
      </c>
      <c r="J42" s="6" t="s">
        <v>179</v>
      </c>
      <c r="K42" s="6"/>
    </row>
    <row r="43" customFormat="false" ht="15" hidden="false" customHeight="false" outlineLevel="0" collapsed="false">
      <c r="A43" s="6" t="n">
        <v>35</v>
      </c>
      <c r="B43" s="6" t="n">
        <v>8452</v>
      </c>
      <c r="C43" s="7" t="s">
        <v>180</v>
      </c>
      <c r="D43" s="6" t="s">
        <v>181</v>
      </c>
      <c r="E43" s="6" t="s">
        <v>182</v>
      </c>
      <c r="F43" s="6" t="s">
        <v>183</v>
      </c>
      <c r="G43" s="8" t="n">
        <v>2</v>
      </c>
      <c r="H43" s="9" t="n">
        <v>4.3</v>
      </c>
      <c r="I43" s="9" t="n">
        <f aca="false">G43*H43</f>
        <v>8.6</v>
      </c>
      <c r="J43" s="6" t="s">
        <v>184</v>
      </c>
      <c r="K43" s="6"/>
    </row>
    <row r="44" customFormat="false" ht="15" hidden="false" customHeight="false" outlineLevel="0" collapsed="false">
      <c r="A44" s="6" t="n">
        <v>36</v>
      </c>
      <c r="B44" s="6" t="n">
        <v>8320</v>
      </c>
      <c r="C44" s="7" t="s">
        <v>185</v>
      </c>
      <c r="D44" s="6" t="s">
        <v>186</v>
      </c>
      <c r="E44" s="6" t="s">
        <v>187</v>
      </c>
      <c r="F44" s="6" t="s">
        <v>188</v>
      </c>
      <c r="G44" s="8" t="n">
        <v>3</v>
      </c>
      <c r="H44" s="9" t="n">
        <v>22.384</v>
      </c>
      <c r="I44" s="9" t="n">
        <f aca="false">G44*H44</f>
        <v>67.152</v>
      </c>
      <c r="J44" s="6" t="s">
        <v>189</v>
      </c>
      <c r="K44" s="6"/>
    </row>
    <row r="45" customFormat="false" ht="15" hidden="false" customHeight="false" outlineLevel="0" collapsed="false">
      <c r="A45" s="6" t="n">
        <v>37</v>
      </c>
      <c r="B45" s="6" t="n">
        <v>5212</v>
      </c>
      <c r="C45" s="7" t="s">
        <v>190</v>
      </c>
      <c r="D45" s="6" t="s">
        <v>191</v>
      </c>
      <c r="E45" s="6" t="s">
        <v>191</v>
      </c>
      <c r="F45" s="6" t="s">
        <v>98</v>
      </c>
      <c r="G45" s="8" t="n">
        <v>8</v>
      </c>
      <c r="H45" s="9" t="n">
        <v>14.6</v>
      </c>
      <c r="I45" s="9" t="n">
        <f aca="false">G45*H45</f>
        <v>116.8</v>
      </c>
      <c r="J45" s="6" t="s">
        <v>192</v>
      </c>
      <c r="K45" s="6"/>
    </row>
    <row r="46" customFormat="false" ht="15" hidden="false" customHeight="false" outlineLevel="0" collapsed="false">
      <c r="A46" s="6" t="n">
        <v>38</v>
      </c>
      <c r="B46" s="6" t="n">
        <v>7444</v>
      </c>
      <c r="C46" s="7" t="s">
        <v>193</v>
      </c>
      <c r="D46" s="6" t="s">
        <v>194</v>
      </c>
      <c r="E46" s="6" t="s">
        <v>194</v>
      </c>
      <c r="F46" s="6" t="s">
        <v>195</v>
      </c>
      <c r="G46" s="8" t="n">
        <v>7</v>
      </c>
      <c r="H46" s="9" t="n">
        <v>12.06</v>
      </c>
      <c r="I46" s="9" t="n">
        <f aca="false">G46*H46</f>
        <v>84.42</v>
      </c>
      <c r="J46" s="6" t="s">
        <v>196</v>
      </c>
      <c r="K46" s="6"/>
    </row>
    <row r="47" customFormat="false" ht="15" hidden="false" customHeight="false" outlineLevel="0" collapsed="false">
      <c r="A47" s="6" t="n">
        <v>39</v>
      </c>
      <c r="B47" s="6" t="n">
        <v>9959</v>
      </c>
      <c r="C47" s="7" t="s">
        <v>197</v>
      </c>
      <c r="D47" s="6" t="s">
        <v>198</v>
      </c>
      <c r="E47" s="6" t="s">
        <v>199</v>
      </c>
      <c r="F47" s="6"/>
      <c r="G47" s="8" t="n">
        <v>2</v>
      </c>
      <c r="H47" s="9" t="n">
        <v>10.69</v>
      </c>
      <c r="I47" s="9" t="n">
        <f aca="false">G47*H47</f>
        <v>21.38</v>
      </c>
      <c r="J47" s="6" t="s">
        <v>200</v>
      </c>
      <c r="K47" s="6"/>
    </row>
    <row r="48" customFormat="false" ht="15" hidden="false" customHeight="false" outlineLevel="0" collapsed="false">
      <c r="A48" s="6" t="n">
        <v>40</v>
      </c>
      <c r="B48" s="6" t="n">
        <v>1553</v>
      </c>
      <c r="C48" s="7" t="s">
        <v>201</v>
      </c>
      <c r="D48" s="6" t="s">
        <v>202</v>
      </c>
      <c r="E48" s="6" t="s">
        <v>203</v>
      </c>
      <c r="F48" s="6" t="s">
        <v>204</v>
      </c>
      <c r="G48" s="8" t="n">
        <v>1</v>
      </c>
      <c r="H48" s="9" t="n">
        <v>5.63</v>
      </c>
      <c r="I48" s="9" t="n">
        <f aca="false">G48*H48</f>
        <v>5.63</v>
      </c>
      <c r="J48" s="6" t="s">
        <v>205</v>
      </c>
      <c r="K48" s="6"/>
    </row>
    <row r="49" customFormat="false" ht="15" hidden="false" customHeight="false" outlineLevel="0" collapsed="false">
      <c r="A49" s="6" t="n">
        <v>41</v>
      </c>
      <c r="B49" s="6" t="n">
        <v>1555</v>
      </c>
      <c r="C49" s="7" t="s">
        <v>206</v>
      </c>
      <c r="D49" s="6" t="s">
        <v>207</v>
      </c>
      <c r="E49" s="6" t="s">
        <v>208</v>
      </c>
      <c r="F49" s="6" t="s">
        <v>204</v>
      </c>
      <c r="G49" s="8" t="n">
        <v>3</v>
      </c>
      <c r="H49" s="9" t="n">
        <v>7.33</v>
      </c>
      <c r="I49" s="9" t="n">
        <f aca="false">G49*H49</f>
        <v>21.99</v>
      </c>
      <c r="J49" s="6" t="s">
        <v>209</v>
      </c>
      <c r="K49" s="6"/>
    </row>
    <row r="50" customFormat="false" ht="15" hidden="false" customHeight="false" outlineLevel="0" collapsed="false">
      <c r="A50" s="6" t="n">
        <v>42</v>
      </c>
      <c r="B50" s="6" t="n">
        <v>1128</v>
      </c>
      <c r="C50" s="7" t="s">
        <v>210</v>
      </c>
      <c r="D50" s="6" t="s">
        <v>211</v>
      </c>
      <c r="E50" s="6" t="s">
        <v>212</v>
      </c>
      <c r="F50" s="6" t="s">
        <v>30</v>
      </c>
      <c r="G50" s="8" t="n">
        <v>4</v>
      </c>
      <c r="H50" s="9" t="n">
        <v>4.04</v>
      </c>
      <c r="I50" s="9" t="n">
        <f aca="false">G50*H50</f>
        <v>16.16</v>
      </c>
      <c r="J50" s="6" t="s">
        <v>213</v>
      </c>
      <c r="K50" s="6"/>
    </row>
    <row r="51" customFormat="false" ht="15" hidden="false" customHeight="false" outlineLevel="0" collapsed="false">
      <c r="A51" s="6" t="n">
        <v>43</v>
      </c>
      <c r="B51" s="6" t="n">
        <v>9268</v>
      </c>
      <c r="C51" s="7" t="s">
        <v>214</v>
      </c>
      <c r="D51" s="6" t="s">
        <v>215</v>
      </c>
      <c r="E51" s="6" t="s">
        <v>215</v>
      </c>
      <c r="F51" s="6" t="s">
        <v>98</v>
      </c>
      <c r="G51" s="8" t="n">
        <v>1</v>
      </c>
      <c r="H51" s="9" t="n">
        <v>8.09</v>
      </c>
      <c r="I51" s="9" t="n">
        <f aca="false">G51*H51</f>
        <v>8.09</v>
      </c>
      <c r="J51" s="6" t="s">
        <v>216</v>
      </c>
      <c r="K51" s="6"/>
    </row>
    <row r="52" customFormat="false" ht="15" hidden="false" customHeight="false" outlineLevel="0" collapsed="false">
      <c r="A52" s="6" t="n">
        <v>44</v>
      </c>
      <c r="B52" s="6" t="n">
        <v>4954</v>
      </c>
      <c r="C52" s="7" t="s">
        <v>217</v>
      </c>
      <c r="D52" s="6" t="s">
        <v>218</v>
      </c>
      <c r="E52" s="6" t="s">
        <v>219</v>
      </c>
      <c r="F52" s="6" t="s">
        <v>35</v>
      </c>
      <c r="G52" s="8" t="n">
        <v>16</v>
      </c>
      <c r="H52" s="9" t="n">
        <v>3.85</v>
      </c>
      <c r="I52" s="9" t="n">
        <f aca="false">G52*H52</f>
        <v>61.6</v>
      </c>
      <c r="J52" s="6" t="s">
        <v>220</v>
      </c>
      <c r="K52" s="6"/>
    </row>
    <row r="53" customFormat="false" ht="15" hidden="false" customHeight="false" outlineLevel="0" collapsed="false">
      <c r="A53" s="6" t="n">
        <v>45</v>
      </c>
      <c r="B53" s="6" t="n">
        <v>8333</v>
      </c>
      <c r="C53" s="7" t="s">
        <v>221</v>
      </c>
      <c r="D53" s="6" t="s">
        <v>222</v>
      </c>
      <c r="E53" s="6" t="s">
        <v>223</v>
      </c>
      <c r="F53" s="6" t="s">
        <v>188</v>
      </c>
      <c r="G53" s="8" t="n">
        <v>1</v>
      </c>
      <c r="H53" s="9" t="n">
        <v>24.5902</v>
      </c>
      <c r="I53" s="9" t="n">
        <f aca="false">G53*H53</f>
        <v>24.5902</v>
      </c>
      <c r="J53" s="6" t="s">
        <v>224</v>
      </c>
      <c r="K53" s="6"/>
    </row>
    <row r="54" customFormat="false" ht="15" hidden="false" customHeight="false" outlineLevel="0" collapsed="false">
      <c r="A54" s="6" t="n">
        <v>46</v>
      </c>
      <c r="B54" s="6" t="n">
        <v>1526</v>
      </c>
      <c r="C54" s="7" t="s">
        <v>225</v>
      </c>
      <c r="D54" s="6" t="s">
        <v>226</v>
      </c>
      <c r="E54" s="6" t="s">
        <v>227</v>
      </c>
      <c r="F54" s="6" t="s">
        <v>228</v>
      </c>
      <c r="G54" s="8" t="n">
        <v>7</v>
      </c>
      <c r="H54" s="9" t="n">
        <v>9.02</v>
      </c>
      <c r="I54" s="9" t="n">
        <f aca="false">G54*H54</f>
        <v>63.14</v>
      </c>
      <c r="J54" s="6" t="s">
        <v>229</v>
      </c>
      <c r="K54" s="6"/>
    </row>
    <row r="55" customFormat="false" ht="15" hidden="false" customHeight="false" outlineLevel="0" collapsed="false">
      <c r="A55" s="6" t="n">
        <v>47</v>
      </c>
      <c r="B55" s="6" t="n">
        <v>4513</v>
      </c>
      <c r="C55" s="7" t="s">
        <v>230</v>
      </c>
      <c r="D55" s="6" t="s">
        <v>231</v>
      </c>
      <c r="E55" s="6" t="s">
        <v>232</v>
      </c>
      <c r="F55" s="6" t="s">
        <v>233</v>
      </c>
      <c r="G55" s="8" t="n">
        <v>64</v>
      </c>
      <c r="H55" s="9" t="n">
        <v>6.82</v>
      </c>
      <c r="I55" s="9" t="n">
        <f aca="false">G55*H55</f>
        <v>436.48</v>
      </c>
      <c r="J55" s="6" t="s">
        <v>234</v>
      </c>
      <c r="K55" s="6"/>
    </row>
    <row r="56" customFormat="false" ht="15" hidden="false" customHeight="false" outlineLevel="0" collapsed="false">
      <c r="A56" s="6" t="n">
        <v>48</v>
      </c>
      <c r="B56" s="6" t="n">
        <v>543</v>
      </c>
      <c r="C56" s="7" t="s">
        <v>235</v>
      </c>
      <c r="D56" s="6" t="s">
        <v>236</v>
      </c>
      <c r="E56" s="6" t="s">
        <v>237</v>
      </c>
      <c r="F56" s="6" t="s">
        <v>122</v>
      </c>
      <c r="G56" s="8" t="n">
        <v>28</v>
      </c>
      <c r="H56" s="9" t="n">
        <v>2.05</v>
      </c>
      <c r="I56" s="9" t="n">
        <f aca="false">G56*H56</f>
        <v>57.4</v>
      </c>
      <c r="J56" s="6" t="s">
        <v>238</v>
      </c>
      <c r="K56" s="6" t="s">
        <v>239</v>
      </c>
    </row>
    <row r="57" customFormat="false" ht="15" hidden="false" customHeight="false" outlineLevel="0" collapsed="false">
      <c r="A57" s="6" t="n">
        <v>49</v>
      </c>
      <c r="B57" s="6" t="n">
        <v>5415</v>
      </c>
      <c r="C57" s="7" t="s">
        <v>240</v>
      </c>
      <c r="D57" s="6" t="s">
        <v>241</v>
      </c>
      <c r="E57" s="6" t="s">
        <v>242</v>
      </c>
      <c r="F57" s="6" t="s">
        <v>122</v>
      </c>
      <c r="G57" s="8" t="n">
        <v>33</v>
      </c>
      <c r="H57" s="9" t="n">
        <v>2.11</v>
      </c>
      <c r="I57" s="9" t="n">
        <f aca="false">G57*H57</f>
        <v>69.63</v>
      </c>
      <c r="J57" s="6" t="s">
        <v>243</v>
      </c>
      <c r="K57" s="6" t="s">
        <v>244</v>
      </c>
    </row>
    <row r="58" customFormat="false" ht="15" hidden="false" customHeight="false" outlineLevel="0" collapsed="false">
      <c r="A58" s="6" t="n">
        <v>50</v>
      </c>
      <c r="B58" s="6" t="n">
        <v>544</v>
      </c>
      <c r="C58" s="7" t="s">
        <v>245</v>
      </c>
      <c r="D58" s="6" t="s">
        <v>246</v>
      </c>
      <c r="E58" s="6" t="s">
        <v>247</v>
      </c>
      <c r="F58" s="6"/>
      <c r="G58" s="8" t="n">
        <v>1</v>
      </c>
      <c r="H58" s="9" t="n">
        <v>5.22</v>
      </c>
      <c r="I58" s="9" t="n">
        <f aca="false">G58*H58</f>
        <v>5.22</v>
      </c>
      <c r="J58" s="6" t="s">
        <v>248</v>
      </c>
      <c r="K58" s="6" t="s">
        <v>249</v>
      </c>
    </row>
    <row r="59" customFormat="false" ht="15" hidden="false" customHeight="false" outlineLevel="0" collapsed="false">
      <c r="A59" s="6" t="n">
        <v>51</v>
      </c>
      <c r="B59" s="6" t="n">
        <v>7916</v>
      </c>
      <c r="C59" s="7" t="s">
        <v>250</v>
      </c>
      <c r="D59" s="6" t="s">
        <v>251</v>
      </c>
      <c r="E59" s="6" t="s">
        <v>252</v>
      </c>
      <c r="F59" s="6" t="s">
        <v>40</v>
      </c>
      <c r="G59" s="8" t="n">
        <v>8</v>
      </c>
      <c r="H59" s="9" t="n">
        <v>11.27</v>
      </c>
      <c r="I59" s="9" t="n">
        <f aca="false">G59*H59</f>
        <v>90.16</v>
      </c>
      <c r="J59" s="6" t="s">
        <v>253</v>
      </c>
      <c r="K59" s="6"/>
    </row>
    <row r="60" customFormat="false" ht="15" hidden="false" customHeight="false" outlineLevel="0" collapsed="false">
      <c r="A60" s="6" t="n">
        <v>52</v>
      </c>
      <c r="B60" s="6" t="n">
        <v>6362</v>
      </c>
      <c r="C60" s="7" t="s">
        <v>254</v>
      </c>
      <c r="D60" s="6" t="s">
        <v>255</v>
      </c>
      <c r="E60" s="6" t="s">
        <v>255</v>
      </c>
      <c r="F60" s="6" t="s">
        <v>50</v>
      </c>
      <c r="G60" s="8" t="n">
        <v>1</v>
      </c>
      <c r="H60" s="9" t="n">
        <v>15.38</v>
      </c>
      <c r="I60" s="9" t="n">
        <f aca="false">G60*H60</f>
        <v>15.38</v>
      </c>
      <c r="J60" s="6" t="s">
        <v>256</v>
      </c>
      <c r="K60" s="6"/>
    </row>
    <row r="61" customFormat="false" ht="15" hidden="false" customHeight="false" outlineLevel="0" collapsed="false">
      <c r="A61" s="6" t="n">
        <v>53</v>
      </c>
      <c r="B61" s="6" t="n">
        <v>8003</v>
      </c>
      <c r="C61" s="7" t="s">
        <v>257</v>
      </c>
      <c r="D61" s="6" t="s">
        <v>258</v>
      </c>
      <c r="E61" s="6" t="s">
        <v>258</v>
      </c>
      <c r="F61" s="6"/>
      <c r="G61" s="8" t="n">
        <v>8</v>
      </c>
      <c r="H61" s="9" t="n">
        <v>9.14</v>
      </c>
      <c r="I61" s="9" t="n">
        <f aca="false">G61*H61</f>
        <v>73.12</v>
      </c>
      <c r="J61" s="6" t="s">
        <v>259</v>
      </c>
      <c r="K61" s="6"/>
    </row>
    <row r="62" customFormat="false" ht="15" hidden="false" customHeight="false" outlineLevel="0" collapsed="false">
      <c r="A62" s="6" t="n">
        <v>54</v>
      </c>
      <c r="B62" s="6" t="n">
        <v>5453</v>
      </c>
      <c r="C62" s="7" t="s">
        <v>260</v>
      </c>
      <c r="D62" s="6" t="s">
        <v>261</v>
      </c>
      <c r="E62" s="6" t="s">
        <v>261</v>
      </c>
      <c r="F62" s="6" t="s">
        <v>98</v>
      </c>
      <c r="G62" s="8" t="n">
        <v>2</v>
      </c>
      <c r="H62" s="9" t="n">
        <v>8.83</v>
      </c>
      <c r="I62" s="9" t="n">
        <f aca="false">G62*H62</f>
        <v>17.66</v>
      </c>
      <c r="J62" s="6" t="s">
        <v>262</v>
      </c>
      <c r="K62" s="6"/>
    </row>
    <row r="63" customFormat="false" ht="15" hidden="false" customHeight="false" outlineLevel="0" collapsed="false">
      <c r="A63" s="6" t="n">
        <v>55</v>
      </c>
      <c r="B63" s="6" t="n">
        <v>804</v>
      </c>
      <c r="C63" s="7" t="s">
        <v>263</v>
      </c>
      <c r="D63" s="6" t="s">
        <v>264</v>
      </c>
      <c r="E63" s="6" t="s">
        <v>265</v>
      </c>
      <c r="F63" s="6" t="s">
        <v>266</v>
      </c>
      <c r="G63" s="8" t="n">
        <v>2</v>
      </c>
      <c r="H63" s="9" t="n">
        <v>6.66</v>
      </c>
      <c r="I63" s="9" t="n">
        <f aca="false">G63*H63</f>
        <v>13.32</v>
      </c>
      <c r="J63" s="6" t="s">
        <v>267</v>
      </c>
      <c r="K63" s="6"/>
    </row>
    <row r="64" customFormat="false" ht="15" hidden="false" customHeight="false" outlineLevel="0" collapsed="false">
      <c r="A64" s="6" t="n">
        <v>56</v>
      </c>
      <c r="B64" s="6" t="n">
        <v>4856</v>
      </c>
      <c r="C64" s="7" t="s">
        <v>268</v>
      </c>
      <c r="D64" s="6" t="s">
        <v>269</v>
      </c>
      <c r="E64" s="6" t="s">
        <v>270</v>
      </c>
      <c r="F64" s="6" t="s">
        <v>266</v>
      </c>
      <c r="G64" s="8" t="n">
        <v>19</v>
      </c>
      <c r="H64" s="9" t="n">
        <v>4.05</v>
      </c>
      <c r="I64" s="9" t="n">
        <f aca="false">G64*H64</f>
        <v>76.95</v>
      </c>
      <c r="J64" s="6" t="s">
        <v>271</v>
      </c>
      <c r="K64" s="6"/>
    </row>
    <row r="65" customFormat="false" ht="15" hidden="false" customHeight="false" outlineLevel="0" collapsed="false">
      <c r="A65" s="6" t="n">
        <v>57</v>
      </c>
      <c r="B65" s="6" t="n">
        <v>5765</v>
      </c>
      <c r="C65" s="7" t="s">
        <v>272</v>
      </c>
      <c r="D65" s="6" t="s">
        <v>273</v>
      </c>
      <c r="E65" s="6" t="s">
        <v>274</v>
      </c>
      <c r="F65" s="6" t="s">
        <v>174</v>
      </c>
      <c r="G65" s="8" t="n">
        <v>5</v>
      </c>
      <c r="H65" s="9" t="n">
        <v>22.01</v>
      </c>
      <c r="I65" s="9" t="n">
        <f aca="false">G65*H65</f>
        <v>110.05</v>
      </c>
      <c r="J65" s="6" t="s">
        <v>275</v>
      </c>
      <c r="K65" s="6"/>
    </row>
    <row r="66" customFormat="false" ht="15" hidden="false" customHeight="false" outlineLevel="0" collapsed="false">
      <c r="A66" s="6" t="n">
        <v>58</v>
      </c>
      <c r="B66" s="6" t="n">
        <v>5401</v>
      </c>
      <c r="C66" s="7" t="s">
        <v>276</v>
      </c>
      <c r="D66" s="6" t="s">
        <v>277</v>
      </c>
      <c r="E66" s="6" t="s">
        <v>278</v>
      </c>
      <c r="F66" s="6" t="s">
        <v>30</v>
      </c>
      <c r="G66" s="8" t="n">
        <v>1</v>
      </c>
      <c r="H66" s="9" t="n">
        <v>2.55</v>
      </c>
      <c r="I66" s="9" t="n">
        <f aca="false">G66*H66</f>
        <v>2.55</v>
      </c>
      <c r="J66" s="6" t="s">
        <v>279</v>
      </c>
      <c r="K66" s="6"/>
    </row>
    <row r="67" customFormat="false" ht="15" hidden="false" customHeight="false" outlineLevel="0" collapsed="false">
      <c r="A67" s="6" t="n">
        <v>59</v>
      </c>
      <c r="B67" s="6" t="n">
        <v>2809</v>
      </c>
      <c r="C67" s="7" t="s">
        <v>280</v>
      </c>
      <c r="D67" s="6" t="s">
        <v>281</v>
      </c>
      <c r="E67" s="6" t="s">
        <v>282</v>
      </c>
      <c r="F67" s="6" t="s">
        <v>80</v>
      </c>
      <c r="G67" s="8" t="n">
        <v>1</v>
      </c>
      <c r="H67" s="9" t="n">
        <v>3.23</v>
      </c>
      <c r="I67" s="9" t="n">
        <f aca="false">G67*H67</f>
        <v>3.23</v>
      </c>
      <c r="J67" s="6" t="s">
        <v>283</v>
      </c>
      <c r="K67" s="6"/>
    </row>
    <row r="68" customFormat="false" ht="15" hidden="false" customHeight="false" outlineLevel="0" collapsed="false">
      <c r="A68" s="6" t="n">
        <v>60</v>
      </c>
      <c r="B68" s="6" t="n">
        <v>2316</v>
      </c>
      <c r="C68" s="7" t="s">
        <v>284</v>
      </c>
      <c r="D68" s="6" t="s">
        <v>285</v>
      </c>
      <c r="E68" s="6" t="s">
        <v>286</v>
      </c>
      <c r="F68" s="6" t="s">
        <v>35</v>
      </c>
      <c r="G68" s="8" t="n">
        <v>3</v>
      </c>
      <c r="H68" s="9" t="n">
        <v>14.92</v>
      </c>
      <c r="I68" s="9" t="n">
        <f aca="false">G68*H68</f>
        <v>44.76</v>
      </c>
      <c r="J68" s="6" t="s">
        <v>287</v>
      </c>
      <c r="K68" s="6"/>
    </row>
    <row r="69" customFormat="false" ht="15" hidden="false" customHeight="false" outlineLevel="0" collapsed="false">
      <c r="A69" s="6" t="n">
        <v>61</v>
      </c>
      <c r="B69" s="6" t="n">
        <v>3604</v>
      </c>
      <c r="C69" s="7" t="s">
        <v>288</v>
      </c>
      <c r="D69" s="6" t="s">
        <v>289</v>
      </c>
      <c r="E69" s="6" t="s">
        <v>290</v>
      </c>
      <c r="F69" s="6" t="s">
        <v>45</v>
      </c>
      <c r="G69" s="8" t="n">
        <v>6</v>
      </c>
      <c r="H69" s="9" t="n">
        <v>17.09</v>
      </c>
      <c r="I69" s="9" t="n">
        <f aca="false">G69*H69</f>
        <v>102.54</v>
      </c>
      <c r="J69" s="6" t="s">
        <v>291</v>
      </c>
      <c r="K69" s="6"/>
    </row>
    <row r="70" customFormat="false" ht="15" hidden="false" customHeight="false" outlineLevel="0" collapsed="false">
      <c r="A70" s="6" t="n">
        <v>62</v>
      </c>
      <c r="B70" s="6" t="n">
        <v>7830</v>
      </c>
      <c r="C70" s="7" t="s">
        <v>292</v>
      </c>
      <c r="D70" s="6" t="s">
        <v>293</v>
      </c>
      <c r="E70" s="6" t="s">
        <v>294</v>
      </c>
      <c r="F70" s="6" t="s">
        <v>295</v>
      </c>
      <c r="G70" s="8" t="n">
        <v>1</v>
      </c>
      <c r="H70" s="9" t="n">
        <v>3.24</v>
      </c>
      <c r="I70" s="9" t="n">
        <f aca="false">G70*H70</f>
        <v>3.24</v>
      </c>
      <c r="J70" s="6" t="s">
        <v>296</v>
      </c>
      <c r="K70" s="6"/>
    </row>
    <row r="71" customFormat="false" ht="15" hidden="false" customHeight="false" outlineLevel="0" collapsed="false">
      <c r="A71" s="6" t="n">
        <v>63</v>
      </c>
      <c r="B71" s="6" t="n">
        <v>6914</v>
      </c>
      <c r="C71" s="7" t="s">
        <v>297</v>
      </c>
      <c r="D71" s="6" t="s">
        <v>298</v>
      </c>
      <c r="E71" s="6" t="s">
        <v>299</v>
      </c>
      <c r="F71" s="6" t="s">
        <v>40</v>
      </c>
      <c r="G71" s="8" t="n">
        <v>1</v>
      </c>
      <c r="H71" s="9" t="n">
        <v>16.61</v>
      </c>
      <c r="I71" s="9" t="n">
        <f aca="false">G71*H71</f>
        <v>16.61</v>
      </c>
      <c r="J71" s="6" t="s">
        <v>300</v>
      </c>
      <c r="K71" s="6"/>
    </row>
    <row r="72" customFormat="false" ht="15" hidden="false" customHeight="false" outlineLevel="0" collapsed="false">
      <c r="A72" s="6" t="n">
        <v>64</v>
      </c>
      <c r="B72" s="6" t="n">
        <v>8879</v>
      </c>
      <c r="C72" s="7" t="s">
        <v>301</v>
      </c>
      <c r="D72" s="6" t="s">
        <v>302</v>
      </c>
      <c r="E72" s="6" t="s">
        <v>303</v>
      </c>
      <c r="F72" s="6" t="s">
        <v>30</v>
      </c>
      <c r="G72" s="8" t="n">
        <v>1</v>
      </c>
      <c r="H72" s="9" t="n">
        <v>22.26</v>
      </c>
      <c r="I72" s="9" t="n">
        <f aca="false">G72*H72</f>
        <v>22.26</v>
      </c>
      <c r="J72" s="6" t="s">
        <v>304</v>
      </c>
      <c r="K72" s="6"/>
    </row>
    <row r="73" customFormat="false" ht="15" hidden="false" customHeight="false" outlineLevel="0" collapsed="false">
      <c r="A73" s="6" t="n">
        <v>65</v>
      </c>
      <c r="B73" s="6" t="n">
        <v>3413</v>
      </c>
      <c r="C73" s="7" t="s">
        <v>305</v>
      </c>
      <c r="D73" s="6" t="s">
        <v>306</v>
      </c>
      <c r="E73" s="6" t="s">
        <v>307</v>
      </c>
      <c r="F73" s="6" t="s">
        <v>40</v>
      </c>
      <c r="G73" s="8" t="n">
        <v>12</v>
      </c>
      <c r="H73" s="9" t="n">
        <v>6.38</v>
      </c>
      <c r="I73" s="9" t="n">
        <f aca="false">G73*H73</f>
        <v>76.56</v>
      </c>
      <c r="J73" s="6" t="s">
        <v>308</v>
      </c>
      <c r="K73" s="6"/>
    </row>
    <row r="74" customFormat="false" ht="15" hidden="false" customHeight="false" outlineLevel="0" collapsed="false">
      <c r="A74" s="6" t="n">
        <v>66</v>
      </c>
      <c r="B74" s="6" t="n">
        <v>5615</v>
      </c>
      <c r="C74" s="7" t="s">
        <v>309</v>
      </c>
      <c r="D74" s="6" t="s">
        <v>310</v>
      </c>
      <c r="E74" s="6" t="s">
        <v>311</v>
      </c>
      <c r="F74" s="6" t="s">
        <v>50</v>
      </c>
      <c r="G74" s="8" t="n">
        <v>1</v>
      </c>
      <c r="H74" s="9" t="n">
        <v>40.66</v>
      </c>
      <c r="I74" s="9" t="n">
        <f aca="false">G74*H74</f>
        <v>40.66</v>
      </c>
      <c r="J74" s="6" t="s">
        <v>312</v>
      </c>
      <c r="K74" s="6"/>
    </row>
    <row r="75" customFormat="false" ht="15" hidden="false" customHeight="false" outlineLevel="0" collapsed="false">
      <c r="A75" s="6" t="n">
        <v>67</v>
      </c>
      <c r="B75" s="6" t="n">
        <v>3475</v>
      </c>
      <c r="C75" s="7" t="s">
        <v>313</v>
      </c>
      <c r="D75" s="6" t="s">
        <v>314</v>
      </c>
      <c r="E75" s="6" t="s">
        <v>314</v>
      </c>
      <c r="F75" s="6" t="s">
        <v>315</v>
      </c>
      <c r="G75" s="8" t="n">
        <v>2</v>
      </c>
      <c r="H75" s="9" t="n">
        <v>2.89</v>
      </c>
      <c r="I75" s="9" t="n">
        <f aca="false">G75*H75</f>
        <v>5.78</v>
      </c>
      <c r="J75" s="6" t="s">
        <v>316</v>
      </c>
      <c r="K75" s="6"/>
    </row>
    <row r="76" customFormat="false" ht="15" hidden="false" customHeight="false" outlineLevel="0" collapsed="false">
      <c r="A76" s="6" t="n">
        <v>68</v>
      </c>
      <c r="B76" s="6" t="n">
        <v>5616</v>
      </c>
      <c r="C76" s="7" t="s">
        <v>317</v>
      </c>
      <c r="D76" s="6" t="s">
        <v>318</v>
      </c>
      <c r="E76" s="6" t="s">
        <v>318</v>
      </c>
      <c r="F76" s="6" t="s">
        <v>50</v>
      </c>
      <c r="G76" s="8" t="n">
        <v>2</v>
      </c>
      <c r="H76" s="9" t="n">
        <v>14.64</v>
      </c>
      <c r="I76" s="9" t="n">
        <f aca="false">G76*H76</f>
        <v>29.28</v>
      </c>
      <c r="J76" s="6" t="s">
        <v>319</v>
      </c>
      <c r="K76" s="6"/>
    </row>
    <row r="77" customFormat="false" ht="15" hidden="false" customHeight="false" outlineLevel="0" collapsed="false">
      <c r="A77" s="6" t="n">
        <v>69</v>
      </c>
      <c r="B77" s="6" t="n">
        <v>8069</v>
      </c>
      <c r="C77" s="7" t="s">
        <v>320</v>
      </c>
      <c r="D77" s="6" t="s">
        <v>321</v>
      </c>
      <c r="E77" s="6" t="s">
        <v>321</v>
      </c>
      <c r="F77" s="6"/>
      <c r="G77" s="8" t="n">
        <v>6</v>
      </c>
      <c r="H77" s="9" t="n">
        <v>7.97</v>
      </c>
      <c r="I77" s="9" t="n">
        <f aca="false">G77*H77</f>
        <v>47.82</v>
      </c>
      <c r="J77" s="6" t="s">
        <v>322</v>
      </c>
      <c r="K77" s="6"/>
    </row>
    <row r="78" customFormat="false" ht="15" hidden="false" customHeight="false" outlineLevel="0" collapsed="false">
      <c r="A78" s="6" t="n">
        <v>70</v>
      </c>
      <c r="B78" s="6" t="n">
        <v>7229</v>
      </c>
      <c r="C78" s="7" t="s">
        <v>323</v>
      </c>
      <c r="D78" s="6" t="s">
        <v>324</v>
      </c>
      <c r="E78" s="6" t="s">
        <v>325</v>
      </c>
      <c r="F78" s="6"/>
      <c r="G78" s="8" t="n">
        <v>1</v>
      </c>
      <c r="H78" s="9" t="n">
        <v>6.37</v>
      </c>
      <c r="I78" s="9" t="n">
        <f aca="false">G78*H78</f>
        <v>6.37</v>
      </c>
      <c r="J78" s="6" t="s">
        <v>326</v>
      </c>
      <c r="K78" s="6"/>
    </row>
    <row r="79" customFormat="false" ht="15" hidden="false" customHeight="false" outlineLevel="0" collapsed="false">
      <c r="A79" s="6" t="n">
        <v>71</v>
      </c>
      <c r="B79" s="6" t="n">
        <v>795</v>
      </c>
      <c r="C79" s="7" t="s">
        <v>327</v>
      </c>
      <c r="D79" s="6" t="s">
        <v>328</v>
      </c>
      <c r="E79" s="6" t="s">
        <v>328</v>
      </c>
      <c r="F79" s="6" t="s">
        <v>329</v>
      </c>
      <c r="G79" s="8" t="n">
        <v>4</v>
      </c>
      <c r="H79" s="9" t="n">
        <v>3.38</v>
      </c>
      <c r="I79" s="9" t="n">
        <f aca="false">G79*H79</f>
        <v>13.52</v>
      </c>
      <c r="J79" s="6" t="s">
        <v>330</v>
      </c>
      <c r="K79" s="6"/>
    </row>
    <row r="80" customFormat="false" ht="15" hidden="false" customHeight="false" outlineLevel="0" collapsed="false">
      <c r="A80" s="6" t="n">
        <v>72</v>
      </c>
      <c r="B80" s="6" t="n">
        <v>7632</v>
      </c>
      <c r="C80" s="7" t="s">
        <v>331</v>
      </c>
      <c r="D80" s="6" t="s">
        <v>332</v>
      </c>
      <c r="E80" s="6" t="s">
        <v>332</v>
      </c>
      <c r="F80" s="6" t="s">
        <v>333</v>
      </c>
      <c r="G80" s="8" t="n">
        <v>17</v>
      </c>
      <c r="H80" s="9" t="n">
        <v>5</v>
      </c>
      <c r="I80" s="9" t="n">
        <f aca="false">G80*H80</f>
        <v>85</v>
      </c>
      <c r="J80" s="6" t="s">
        <v>334</v>
      </c>
      <c r="K80" s="6"/>
    </row>
    <row r="81" customFormat="false" ht="15" hidden="false" customHeight="false" outlineLevel="0" collapsed="false">
      <c r="A81" s="6" t="n">
        <v>73</v>
      </c>
      <c r="B81" s="6" t="n">
        <v>5033</v>
      </c>
      <c r="C81" s="7" t="s">
        <v>335</v>
      </c>
      <c r="D81" s="6" t="s">
        <v>336</v>
      </c>
      <c r="E81" s="6" t="s">
        <v>337</v>
      </c>
      <c r="F81" s="6" t="s">
        <v>338</v>
      </c>
      <c r="G81" s="8" t="n">
        <v>9</v>
      </c>
      <c r="H81" s="9" t="n">
        <v>5.24</v>
      </c>
      <c r="I81" s="9" t="n">
        <f aca="false">G81*H81</f>
        <v>47.16</v>
      </c>
      <c r="J81" s="6" t="s">
        <v>339</v>
      </c>
      <c r="K81" s="6"/>
    </row>
    <row r="82" customFormat="false" ht="15" hidden="false" customHeight="false" outlineLevel="0" collapsed="false">
      <c r="A82" s="6" t="n">
        <v>74</v>
      </c>
      <c r="B82" s="6" t="n">
        <v>3494</v>
      </c>
      <c r="C82" s="7" t="s">
        <v>340</v>
      </c>
      <c r="D82" s="6" t="s">
        <v>341</v>
      </c>
      <c r="E82" s="6" t="s">
        <v>342</v>
      </c>
      <c r="F82" s="6" t="s">
        <v>333</v>
      </c>
      <c r="G82" s="8" t="n">
        <v>2</v>
      </c>
      <c r="H82" s="9" t="n">
        <v>3.9</v>
      </c>
      <c r="I82" s="9" t="n">
        <f aca="false">G82*H82</f>
        <v>7.8</v>
      </c>
      <c r="J82" s="6" t="s">
        <v>343</v>
      </c>
      <c r="K82" s="6"/>
    </row>
    <row r="83" customFormat="false" ht="15" hidden="false" customHeight="false" outlineLevel="0" collapsed="false">
      <c r="A83" s="6" t="n">
        <v>75</v>
      </c>
      <c r="B83" s="6" t="n">
        <v>7359</v>
      </c>
      <c r="C83" s="7" t="s">
        <v>344</v>
      </c>
      <c r="D83" s="6" t="s">
        <v>345</v>
      </c>
      <c r="E83" s="6" t="s">
        <v>345</v>
      </c>
      <c r="F83" s="6" t="s">
        <v>109</v>
      </c>
      <c r="G83" s="8" t="n">
        <v>1</v>
      </c>
      <c r="H83" s="9" t="n">
        <v>0.56</v>
      </c>
      <c r="I83" s="9" t="n">
        <f aca="false">G83*H83</f>
        <v>0.56</v>
      </c>
      <c r="J83" s="6" t="s">
        <v>346</v>
      </c>
      <c r="K83" s="6"/>
    </row>
    <row r="84" customFormat="false" ht="15" hidden="false" customHeight="false" outlineLevel="0" collapsed="false">
      <c r="A84" s="6" t="n">
        <v>76</v>
      </c>
      <c r="B84" s="6" t="n">
        <v>4382</v>
      </c>
      <c r="C84" s="7" t="s">
        <v>347</v>
      </c>
      <c r="D84" s="6" t="s">
        <v>348</v>
      </c>
      <c r="E84" s="6" t="s">
        <v>348</v>
      </c>
      <c r="F84" s="6" t="s">
        <v>228</v>
      </c>
      <c r="G84" s="8" t="n">
        <v>844</v>
      </c>
      <c r="H84" s="9" t="n">
        <v>0.58</v>
      </c>
      <c r="I84" s="9" t="n">
        <f aca="false">G84*H84</f>
        <v>489.52</v>
      </c>
      <c r="J84" s="6" t="s">
        <v>349</v>
      </c>
      <c r="K84" s="6"/>
    </row>
    <row r="85" customFormat="false" ht="15" hidden="false" customHeight="false" outlineLevel="0" collapsed="false">
      <c r="A85" s="6" t="n">
        <v>77</v>
      </c>
      <c r="B85" s="6" t="n">
        <v>10103</v>
      </c>
      <c r="C85" s="7" t="s">
        <v>350</v>
      </c>
      <c r="D85" s="6" t="s">
        <v>351</v>
      </c>
      <c r="E85" s="6" t="s">
        <v>352</v>
      </c>
      <c r="F85" s="6" t="s">
        <v>353</v>
      </c>
      <c r="G85" s="8" t="n">
        <v>3</v>
      </c>
      <c r="H85" s="9" t="n">
        <v>24.08</v>
      </c>
      <c r="I85" s="9" t="n">
        <f aca="false">G85*H85</f>
        <v>72.24</v>
      </c>
      <c r="J85" s="6" t="s">
        <v>354</v>
      </c>
      <c r="K85" s="6"/>
    </row>
    <row r="86" customFormat="false" ht="15" hidden="false" customHeight="false" outlineLevel="0" collapsed="false">
      <c r="A86" s="6" t="n">
        <v>78</v>
      </c>
      <c r="B86" s="6" t="n">
        <v>7756</v>
      </c>
      <c r="C86" s="7" t="s">
        <v>355</v>
      </c>
      <c r="D86" s="6" t="s">
        <v>351</v>
      </c>
      <c r="E86" s="6" t="s">
        <v>351</v>
      </c>
      <c r="F86" s="6" t="s">
        <v>98</v>
      </c>
      <c r="G86" s="8" t="n">
        <v>1</v>
      </c>
      <c r="H86" s="9" t="n">
        <v>27.44</v>
      </c>
      <c r="I86" s="9" t="n">
        <f aca="false">G86*H86</f>
        <v>27.44</v>
      </c>
      <c r="J86" s="6" t="s">
        <v>356</v>
      </c>
      <c r="K86" s="6"/>
    </row>
    <row r="87" customFormat="false" ht="15" hidden="false" customHeight="false" outlineLevel="0" collapsed="false">
      <c r="A87" s="6" t="n">
        <v>79</v>
      </c>
      <c r="B87" s="6" t="n">
        <v>8152</v>
      </c>
      <c r="C87" s="7" t="s">
        <v>357</v>
      </c>
      <c r="D87" s="6" t="s">
        <v>358</v>
      </c>
      <c r="E87" s="6" t="s">
        <v>358</v>
      </c>
      <c r="F87" s="6" t="s">
        <v>98</v>
      </c>
      <c r="G87" s="8" t="n">
        <v>1</v>
      </c>
      <c r="H87" s="9" t="n">
        <v>31.71</v>
      </c>
      <c r="I87" s="9" t="n">
        <f aca="false">G87*H87</f>
        <v>31.71</v>
      </c>
      <c r="J87" s="6" t="s">
        <v>359</v>
      </c>
      <c r="K87" s="6"/>
    </row>
    <row r="88" customFormat="false" ht="15" hidden="false" customHeight="false" outlineLevel="0" collapsed="false">
      <c r="A88" s="6" t="n">
        <v>80</v>
      </c>
      <c r="B88" s="6" t="n">
        <v>1026</v>
      </c>
      <c r="C88" s="7" t="s">
        <v>360</v>
      </c>
      <c r="D88" s="6" t="s">
        <v>361</v>
      </c>
      <c r="E88" s="6" t="s">
        <v>361</v>
      </c>
      <c r="F88" s="6" t="s">
        <v>333</v>
      </c>
      <c r="G88" s="8" t="n">
        <v>2</v>
      </c>
      <c r="H88" s="9" t="n">
        <v>9.09</v>
      </c>
      <c r="I88" s="9" t="n">
        <f aca="false">G88*H88</f>
        <v>18.18</v>
      </c>
      <c r="J88" s="6" t="s">
        <v>362</v>
      </c>
      <c r="K88" s="6"/>
    </row>
    <row r="89" customFormat="false" ht="15" hidden="false" customHeight="false" outlineLevel="0" collapsed="false">
      <c r="A89" s="6" t="n">
        <v>81</v>
      </c>
      <c r="B89" s="6" t="n">
        <v>9826</v>
      </c>
      <c r="C89" s="7" t="s">
        <v>363</v>
      </c>
      <c r="D89" s="6" t="s">
        <v>364</v>
      </c>
      <c r="E89" s="6" t="s">
        <v>365</v>
      </c>
      <c r="F89" s="6" t="s">
        <v>366</v>
      </c>
      <c r="G89" s="8" t="n">
        <v>19</v>
      </c>
      <c r="H89" s="9" t="n">
        <v>1.42</v>
      </c>
      <c r="I89" s="9" t="n">
        <f aca="false">G89*H89</f>
        <v>26.98</v>
      </c>
      <c r="J89" s="6" t="s">
        <v>367</v>
      </c>
      <c r="K89" s="6" t="s">
        <v>368</v>
      </c>
    </row>
    <row r="90" customFormat="false" ht="15" hidden="false" customHeight="false" outlineLevel="0" collapsed="false">
      <c r="A90" s="6" t="n">
        <v>82</v>
      </c>
      <c r="B90" s="6" t="n">
        <v>9830</v>
      </c>
      <c r="C90" s="7" t="s">
        <v>369</v>
      </c>
      <c r="D90" s="6" t="s">
        <v>370</v>
      </c>
      <c r="E90" s="6" t="s">
        <v>371</v>
      </c>
      <c r="F90" s="6" t="s">
        <v>366</v>
      </c>
      <c r="G90" s="8" t="n">
        <v>3</v>
      </c>
      <c r="H90" s="9" t="n">
        <v>1.49</v>
      </c>
      <c r="I90" s="9" t="n">
        <f aca="false">G90*H90</f>
        <v>4.47</v>
      </c>
      <c r="J90" s="6" t="s">
        <v>372</v>
      </c>
      <c r="K90" s="6"/>
    </row>
    <row r="91" customFormat="false" ht="15" hidden="false" customHeight="false" outlineLevel="0" collapsed="false">
      <c r="A91" s="6" t="n">
        <v>83</v>
      </c>
      <c r="B91" s="6" t="n">
        <v>9825</v>
      </c>
      <c r="C91" s="7" t="s">
        <v>373</v>
      </c>
      <c r="D91" s="6" t="s">
        <v>374</v>
      </c>
      <c r="E91" s="6" t="s">
        <v>375</v>
      </c>
      <c r="F91" s="6" t="s">
        <v>366</v>
      </c>
      <c r="G91" s="8" t="n">
        <v>15</v>
      </c>
      <c r="H91" s="9" t="n">
        <v>1.42</v>
      </c>
      <c r="I91" s="9" t="n">
        <f aca="false">G91*H91</f>
        <v>21.3</v>
      </c>
      <c r="J91" s="6" t="s">
        <v>376</v>
      </c>
      <c r="K91" s="6"/>
    </row>
    <row r="92" customFormat="false" ht="15" hidden="false" customHeight="false" outlineLevel="0" collapsed="false">
      <c r="A92" s="6" t="n">
        <v>84</v>
      </c>
      <c r="B92" s="6" t="n">
        <v>9829</v>
      </c>
      <c r="C92" s="7" t="s">
        <v>377</v>
      </c>
      <c r="D92" s="6" t="s">
        <v>378</v>
      </c>
      <c r="E92" s="6" t="s">
        <v>379</v>
      </c>
      <c r="F92" s="6" t="s">
        <v>366</v>
      </c>
      <c r="G92" s="8" t="n">
        <v>2</v>
      </c>
      <c r="H92" s="9" t="n">
        <v>1.49</v>
      </c>
      <c r="I92" s="9" t="n">
        <f aca="false">G92*H92</f>
        <v>2.98</v>
      </c>
      <c r="J92" s="6" t="s">
        <v>380</v>
      </c>
      <c r="K92" s="6"/>
    </row>
    <row r="93" customFormat="false" ht="15" hidden="false" customHeight="false" outlineLevel="0" collapsed="false">
      <c r="A93" s="6" t="n">
        <v>85</v>
      </c>
      <c r="B93" s="6" t="n">
        <v>4525</v>
      </c>
      <c r="C93" s="7" t="s">
        <v>381</v>
      </c>
      <c r="D93" s="6" t="s">
        <v>382</v>
      </c>
      <c r="E93" s="6" t="s">
        <v>383</v>
      </c>
      <c r="F93" s="6"/>
      <c r="G93" s="8" t="n">
        <v>45</v>
      </c>
      <c r="H93" s="9" t="n">
        <v>2.01</v>
      </c>
      <c r="I93" s="9" t="n">
        <f aca="false">G93*H93</f>
        <v>90.45</v>
      </c>
      <c r="J93" s="6" t="s">
        <v>384</v>
      </c>
      <c r="K93" s="6" t="s">
        <v>385</v>
      </c>
    </row>
    <row r="94" customFormat="false" ht="15" hidden="false" customHeight="false" outlineLevel="0" collapsed="false">
      <c r="A94" s="6" t="n">
        <v>86</v>
      </c>
      <c r="B94" s="6" t="n">
        <v>9466</v>
      </c>
      <c r="C94" s="7" t="s">
        <v>386</v>
      </c>
      <c r="D94" s="6" t="s">
        <v>387</v>
      </c>
      <c r="E94" s="6" t="s">
        <v>388</v>
      </c>
      <c r="F94" s="6"/>
      <c r="G94" s="8" t="n">
        <v>2</v>
      </c>
      <c r="H94" s="9" t="n">
        <v>10.96</v>
      </c>
      <c r="I94" s="9" t="n">
        <f aca="false">G94*H94</f>
        <v>21.92</v>
      </c>
      <c r="J94" s="6" t="s">
        <v>389</v>
      </c>
      <c r="K94" s="6"/>
    </row>
    <row r="95" customFormat="false" ht="15" hidden="false" customHeight="false" outlineLevel="0" collapsed="false">
      <c r="A95" s="6" t="n">
        <v>87</v>
      </c>
      <c r="B95" s="6" t="n">
        <v>3940</v>
      </c>
      <c r="C95" s="7" t="s">
        <v>390</v>
      </c>
      <c r="D95" s="6" t="s">
        <v>391</v>
      </c>
      <c r="E95" s="6" t="s">
        <v>392</v>
      </c>
      <c r="F95" s="6"/>
      <c r="G95" s="8" t="n">
        <v>9</v>
      </c>
      <c r="H95" s="9" t="n">
        <v>8.32</v>
      </c>
      <c r="I95" s="9" t="n">
        <f aca="false">G95*H95</f>
        <v>74.88</v>
      </c>
      <c r="J95" s="6" t="s">
        <v>393</v>
      </c>
      <c r="K95" s="6"/>
    </row>
    <row r="96" customFormat="false" ht="15" hidden="false" customHeight="false" outlineLevel="0" collapsed="false">
      <c r="A96" s="6" t="n">
        <v>88</v>
      </c>
      <c r="B96" s="6" t="n">
        <v>3468</v>
      </c>
      <c r="C96" s="7" t="s">
        <v>394</v>
      </c>
      <c r="D96" s="6" t="s">
        <v>395</v>
      </c>
      <c r="E96" s="6" t="s">
        <v>396</v>
      </c>
      <c r="F96" s="6" t="s">
        <v>228</v>
      </c>
      <c r="G96" s="8" t="n">
        <v>7</v>
      </c>
      <c r="H96" s="9" t="n">
        <v>17.17</v>
      </c>
      <c r="I96" s="9" t="n">
        <f aca="false">G96*H96</f>
        <v>120.19</v>
      </c>
      <c r="J96" s="6" t="s">
        <v>397</v>
      </c>
      <c r="K96" s="6" t="s">
        <v>398</v>
      </c>
    </row>
    <row r="97" customFormat="false" ht="15" hidden="false" customHeight="false" outlineLevel="0" collapsed="false">
      <c r="A97" s="6" t="n">
        <v>89</v>
      </c>
      <c r="B97" s="6" t="n">
        <v>9877</v>
      </c>
      <c r="C97" s="7" t="s">
        <v>399</v>
      </c>
      <c r="D97" s="6" t="s">
        <v>400</v>
      </c>
      <c r="E97" s="6" t="s">
        <v>401</v>
      </c>
      <c r="F97" s="6" t="s">
        <v>122</v>
      </c>
      <c r="G97" s="8" t="n">
        <v>12</v>
      </c>
      <c r="H97" s="9" t="n">
        <v>3.23</v>
      </c>
      <c r="I97" s="9" t="n">
        <f aca="false">G97*H97</f>
        <v>38.76</v>
      </c>
      <c r="J97" s="6" t="s">
        <v>402</v>
      </c>
      <c r="K97" s="6" t="s">
        <v>403</v>
      </c>
    </row>
    <row r="98" customFormat="false" ht="15" hidden="false" customHeight="false" outlineLevel="0" collapsed="false">
      <c r="A98" s="6" t="n">
        <v>90</v>
      </c>
      <c r="B98" s="6" t="n">
        <v>9828</v>
      </c>
      <c r="C98" s="7" t="s">
        <v>404</v>
      </c>
      <c r="D98" s="6" t="s">
        <v>405</v>
      </c>
      <c r="E98" s="6" t="s">
        <v>406</v>
      </c>
      <c r="F98" s="6" t="s">
        <v>366</v>
      </c>
      <c r="G98" s="8" t="n">
        <v>23</v>
      </c>
      <c r="H98" s="9" t="n">
        <v>3.25</v>
      </c>
      <c r="I98" s="9" t="n">
        <f aca="false">G98*H98</f>
        <v>74.75</v>
      </c>
      <c r="J98" s="6" t="s">
        <v>407</v>
      </c>
      <c r="K98" s="6" t="s">
        <v>368</v>
      </c>
    </row>
    <row r="99" customFormat="false" ht="15" hidden="false" customHeight="false" outlineLevel="0" collapsed="false">
      <c r="A99" s="6" t="n">
        <v>91</v>
      </c>
      <c r="B99" s="6" t="n">
        <v>3235</v>
      </c>
      <c r="C99" s="7" t="s">
        <v>408</v>
      </c>
      <c r="D99" s="6" t="s">
        <v>409</v>
      </c>
      <c r="E99" s="6" t="s">
        <v>410</v>
      </c>
      <c r="F99" s="6"/>
      <c r="G99" s="8" t="n">
        <v>2</v>
      </c>
      <c r="H99" s="9" t="n">
        <v>5.42</v>
      </c>
      <c r="I99" s="9" t="n">
        <f aca="false">G99*H99</f>
        <v>10.84</v>
      </c>
      <c r="J99" s="6" t="s">
        <v>411</v>
      </c>
      <c r="K99" s="6"/>
    </row>
    <row r="100" customFormat="false" ht="15" hidden="false" customHeight="false" outlineLevel="0" collapsed="false">
      <c r="A100" s="6" t="n">
        <v>92</v>
      </c>
      <c r="B100" s="6" t="n">
        <v>10347</v>
      </c>
      <c r="C100" s="7" t="s">
        <v>412</v>
      </c>
      <c r="D100" s="6" t="s">
        <v>413</v>
      </c>
      <c r="E100" s="6" t="s">
        <v>414</v>
      </c>
      <c r="F100" s="6" t="s">
        <v>415</v>
      </c>
      <c r="G100" s="8" t="n">
        <v>1</v>
      </c>
      <c r="H100" s="9" t="n">
        <v>29.99</v>
      </c>
      <c r="I100" s="9" t="n">
        <f aca="false">G100*H100</f>
        <v>29.99</v>
      </c>
      <c r="J100" s="6" t="s">
        <v>416</v>
      </c>
      <c r="K100" s="6"/>
    </row>
    <row r="101" customFormat="false" ht="15" hidden="false" customHeight="false" outlineLevel="0" collapsed="false">
      <c r="A101" s="6" t="n">
        <v>93</v>
      </c>
      <c r="B101" s="6" t="n">
        <v>6114</v>
      </c>
      <c r="C101" s="7" t="s">
        <v>417</v>
      </c>
      <c r="D101" s="6" t="s">
        <v>418</v>
      </c>
      <c r="E101" s="6" t="s">
        <v>418</v>
      </c>
      <c r="F101" s="6" t="s">
        <v>419</v>
      </c>
      <c r="G101" s="8" t="n">
        <v>2</v>
      </c>
      <c r="H101" s="9" t="n">
        <v>42.53</v>
      </c>
      <c r="I101" s="9" t="n">
        <f aca="false">G101*H101</f>
        <v>85.06</v>
      </c>
      <c r="J101" s="6" t="s">
        <v>420</v>
      </c>
      <c r="K101" s="6"/>
    </row>
    <row r="102" customFormat="false" ht="15" hidden="false" customHeight="false" outlineLevel="0" collapsed="false">
      <c r="A102" s="6" t="n">
        <v>94</v>
      </c>
      <c r="B102" s="6" t="n">
        <v>6378</v>
      </c>
      <c r="C102" s="7" t="s">
        <v>421</v>
      </c>
      <c r="D102" s="6" t="s">
        <v>422</v>
      </c>
      <c r="E102" s="6" t="s">
        <v>423</v>
      </c>
      <c r="F102" s="6" t="s">
        <v>40</v>
      </c>
      <c r="G102" s="8" t="n">
        <v>2</v>
      </c>
      <c r="H102" s="9" t="n">
        <v>4.99</v>
      </c>
      <c r="I102" s="9" t="n">
        <f aca="false">G102*H102</f>
        <v>9.98</v>
      </c>
      <c r="J102" s="6" t="s">
        <v>424</v>
      </c>
      <c r="K102" s="6"/>
    </row>
    <row r="103" customFormat="false" ht="15" hidden="false" customHeight="false" outlineLevel="0" collapsed="false">
      <c r="A103" s="6" t="n">
        <v>95</v>
      </c>
      <c r="B103" s="6" t="n">
        <v>3270</v>
      </c>
      <c r="C103" s="7" t="s">
        <v>425</v>
      </c>
      <c r="D103" s="6" t="s">
        <v>426</v>
      </c>
      <c r="E103" s="6" t="s">
        <v>427</v>
      </c>
      <c r="F103" s="6" t="s">
        <v>40</v>
      </c>
      <c r="G103" s="8" t="n">
        <v>2</v>
      </c>
      <c r="H103" s="9" t="n">
        <v>12.77</v>
      </c>
      <c r="I103" s="9" t="n">
        <f aca="false">G103*H103</f>
        <v>25.54</v>
      </c>
      <c r="J103" s="6" t="s">
        <v>428</v>
      </c>
      <c r="K103" s="6"/>
    </row>
    <row r="104" customFormat="false" ht="15" hidden="false" customHeight="false" outlineLevel="0" collapsed="false">
      <c r="A104" s="6" t="n">
        <v>96</v>
      </c>
      <c r="B104" s="6" t="n">
        <v>2050</v>
      </c>
      <c r="C104" s="7" t="s">
        <v>429</v>
      </c>
      <c r="D104" s="6" t="s">
        <v>430</v>
      </c>
      <c r="E104" s="6" t="s">
        <v>431</v>
      </c>
      <c r="F104" s="6" t="s">
        <v>432</v>
      </c>
      <c r="G104" s="8" t="n">
        <v>6</v>
      </c>
      <c r="H104" s="9" t="n">
        <v>4.31</v>
      </c>
      <c r="I104" s="9" t="n">
        <f aca="false">G104*H104</f>
        <v>25.86</v>
      </c>
      <c r="J104" s="6" t="s">
        <v>433</v>
      </c>
      <c r="K104" s="6"/>
    </row>
    <row r="105" customFormat="false" ht="15" hidden="false" customHeight="false" outlineLevel="0" collapsed="false">
      <c r="A105" s="6" t="n">
        <v>97</v>
      </c>
      <c r="B105" s="6" t="n">
        <v>6752</v>
      </c>
      <c r="C105" s="7" t="s">
        <v>434</v>
      </c>
      <c r="D105" s="6" t="s">
        <v>435</v>
      </c>
      <c r="E105" s="6" t="s">
        <v>435</v>
      </c>
      <c r="F105" s="6"/>
      <c r="G105" s="8" t="n">
        <v>1</v>
      </c>
      <c r="H105" s="9" t="n">
        <v>29.33</v>
      </c>
      <c r="I105" s="9" t="n">
        <f aca="false">G105*H105</f>
        <v>29.33</v>
      </c>
      <c r="J105" s="6" t="s">
        <v>436</v>
      </c>
      <c r="K105" s="6"/>
    </row>
    <row r="106" customFormat="false" ht="15" hidden="false" customHeight="false" outlineLevel="0" collapsed="false">
      <c r="A106" s="6" t="n">
        <v>98</v>
      </c>
      <c r="B106" s="6" t="n">
        <v>5588</v>
      </c>
      <c r="C106" s="7" t="s">
        <v>437</v>
      </c>
      <c r="D106" s="6" t="s">
        <v>438</v>
      </c>
      <c r="E106" s="6" t="s">
        <v>439</v>
      </c>
      <c r="F106" s="6" t="s">
        <v>440</v>
      </c>
      <c r="G106" s="8" t="n">
        <v>1</v>
      </c>
      <c r="H106" s="9" t="n">
        <v>1.65</v>
      </c>
      <c r="I106" s="9" t="n">
        <f aca="false">G106*H106</f>
        <v>1.65</v>
      </c>
      <c r="J106" s="6" t="s">
        <v>441</v>
      </c>
      <c r="K106" s="6"/>
    </row>
    <row r="107" customFormat="false" ht="15" hidden="false" customHeight="false" outlineLevel="0" collapsed="false">
      <c r="A107" s="6" t="n">
        <v>99</v>
      </c>
      <c r="B107" s="6" t="n">
        <v>11281</v>
      </c>
      <c r="C107" s="7" t="s">
        <v>442</v>
      </c>
      <c r="D107" s="6" t="s">
        <v>443</v>
      </c>
      <c r="E107" s="6" t="s">
        <v>444</v>
      </c>
      <c r="F107" s="6" t="s">
        <v>445</v>
      </c>
      <c r="G107" s="8" t="n">
        <v>2</v>
      </c>
      <c r="H107" s="9" t="n">
        <v>9.73</v>
      </c>
      <c r="I107" s="9" t="n">
        <f aca="false">G107*H107</f>
        <v>19.46</v>
      </c>
      <c r="J107" s="6" t="s">
        <v>446</v>
      </c>
      <c r="K107" s="6"/>
    </row>
    <row r="108" customFormat="false" ht="15" hidden="false" customHeight="false" outlineLevel="0" collapsed="false">
      <c r="A108" s="6" t="n">
        <v>100</v>
      </c>
      <c r="B108" s="6" t="n">
        <v>3078</v>
      </c>
      <c r="C108" s="7" t="s">
        <v>447</v>
      </c>
      <c r="D108" s="6" t="s">
        <v>448</v>
      </c>
      <c r="E108" s="6" t="s">
        <v>449</v>
      </c>
      <c r="F108" s="6" t="s">
        <v>174</v>
      </c>
      <c r="G108" s="8" t="n">
        <v>1</v>
      </c>
      <c r="H108" s="9" t="n">
        <v>8.36</v>
      </c>
      <c r="I108" s="9" t="n">
        <f aca="false">G108*H108</f>
        <v>8.36</v>
      </c>
      <c r="J108" s="6" t="s">
        <v>450</v>
      </c>
      <c r="K108" s="6"/>
    </row>
    <row r="109" customFormat="false" ht="15" hidden="false" customHeight="false" outlineLevel="0" collapsed="false">
      <c r="A109" s="6" t="n">
        <v>101</v>
      </c>
      <c r="B109" s="6" t="n">
        <v>2029</v>
      </c>
      <c r="C109" s="7" t="s">
        <v>451</v>
      </c>
      <c r="D109" s="6" t="s">
        <v>452</v>
      </c>
      <c r="E109" s="6" t="s">
        <v>453</v>
      </c>
      <c r="F109" s="6" t="s">
        <v>454</v>
      </c>
      <c r="G109" s="8" t="n">
        <v>6</v>
      </c>
      <c r="H109" s="9" t="n">
        <v>1.88</v>
      </c>
      <c r="I109" s="9" t="n">
        <f aca="false">G109*H109</f>
        <v>11.28</v>
      </c>
      <c r="J109" s="6" t="s">
        <v>455</v>
      </c>
      <c r="K109" s="6"/>
    </row>
    <row r="110" customFormat="false" ht="15" hidden="false" customHeight="false" outlineLevel="0" collapsed="false">
      <c r="A110" s="6" t="n">
        <v>102</v>
      </c>
      <c r="B110" s="6" t="n">
        <v>4880</v>
      </c>
      <c r="C110" s="7" t="s">
        <v>456</v>
      </c>
      <c r="D110" s="6" t="s">
        <v>457</v>
      </c>
      <c r="E110" s="6" t="s">
        <v>458</v>
      </c>
      <c r="F110" s="6" t="s">
        <v>40</v>
      </c>
      <c r="G110" s="8" t="n">
        <v>14</v>
      </c>
      <c r="H110" s="9" t="n">
        <v>7.36</v>
      </c>
      <c r="I110" s="9" t="n">
        <f aca="false">G110*H110</f>
        <v>103.04</v>
      </c>
      <c r="J110" s="6" t="s">
        <v>459</v>
      </c>
      <c r="K110" s="6"/>
    </row>
    <row r="111" customFormat="false" ht="15" hidden="false" customHeight="false" outlineLevel="0" collapsed="false">
      <c r="A111" s="6" t="n">
        <v>103</v>
      </c>
      <c r="B111" s="6" t="n">
        <v>4444</v>
      </c>
      <c r="C111" s="7" t="s">
        <v>460</v>
      </c>
      <c r="D111" s="6" t="s">
        <v>461</v>
      </c>
      <c r="E111" s="6" t="s">
        <v>462</v>
      </c>
      <c r="F111" s="6" t="s">
        <v>40</v>
      </c>
      <c r="G111" s="8" t="n">
        <v>33</v>
      </c>
      <c r="H111" s="9" t="n">
        <v>2.43</v>
      </c>
      <c r="I111" s="9" t="n">
        <f aca="false">G111*H111</f>
        <v>80.19</v>
      </c>
      <c r="J111" s="6" t="s">
        <v>463</v>
      </c>
      <c r="K111" s="6"/>
    </row>
    <row r="112" customFormat="false" ht="15" hidden="false" customHeight="false" outlineLevel="0" collapsed="false">
      <c r="A112" s="6" t="n">
        <v>104</v>
      </c>
      <c r="B112" s="6" t="n">
        <v>8244</v>
      </c>
      <c r="C112" s="7" t="s">
        <v>464</v>
      </c>
      <c r="D112" s="6" t="s">
        <v>465</v>
      </c>
      <c r="E112" s="6" t="s">
        <v>466</v>
      </c>
      <c r="F112" s="6" t="s">
        <v>133</v>
      </c>
      <c r="G112" s="8" t="n">
        <v>3</v>
      </c>
      <c r="H112" s="9" t="n">
        <v>4.63</v>
      </c>
      <c r="I112" s="9" t="n">
        <f aca="false">G112*H112</f>
        <v>13.89</v>
      </c>
      <c r="J112" s="6" t="s">
        <v>467</v>
      </c>
      <c r="K112" s="6"/>
    </row>
    <row r="113" customFormat="false" ht="15" hidden="false" customHeight="false" outlineLevel="0" collapsed="false">
      <c r="A113" s="6" t="n">
        <v>105</v>
      </c>
      <c r="B113" s="6" t="n">
        <v>2454</v>
      </c>
      <c r="C113" s="7" t="s">
        <v>468</v>
      </c>
      <c r="D113" s="6" t="s">
        <v>469</v>
      </c>
      <c r="E113" s="6" t="s">
        <v>470</v>
      </c>
      <c r="F113" s="6" t="s">
        <v>138</v>
      </c>
      <c r="G113" s="8" t="n">
        <v>15</v>
      </c>
      <c r="H113" s="9" t="n">
        <v>10.49</v>
      </c>
      <c r="I113" s="9" t="n">
        <f aca="false">G113*H113</f>
        <v>157.35</v>
      </c>
      <c r="J113" s="6" t="s">
        <v>471</v>
      </c>
      <c r="K113" s="6"/>
    </row>
    <row r="114" customFormat="false" ht="15" hidden="false" customHeight="false" outlineLevel="0" collapsed="false">
      <c r="A114" s="6" t="n">
        <v>106</v>
      </c>
      <c r="B114" s="6" t="n">
        <v>7281</v>
      </c>
      <c r="C114" s="7" t="s">
        <v>472</v>
      </c>
      <c r="D114" s="6" t="s">
        <v>473</v>
      </c>
      <c r="E114" s="6" t="s">
        <v>474</v>
      </c>
      <c r="F114" s="6" t="s">
        <v>98</v>
      </c>
      <c r="G114" s="8" t="n">
        <v>3</v>
      </c>
      <c r="H114" s="9" t="n">
        <v>23.1</v>
      </c>
      <c r="I114" s="9" t="n">
        <f aca="false">G114*H114</f>
        <v>69.3</v>
      </c>
      <c r="J114" s="6" t="s">
        <v>475</v>
      </c>
      <c r="K114" s="6"/>
    </row>
    <row r="115" customFormat="false" ht="15" hidden="false" customHeight="false" outlineLevel="0" collapsed="false">
      <c r="A115" s="6" t="n">
        <v>107</v>
      </c>
      <c r="B115" s="6" t="n">
        <v>9027</v>
      </c>
      <c r="C115" s="7" t="s">
        <v>476</v>
      </c>
      <c r="D115" s="6" t="s">
        <v>477</v>
      </c>
      <c r="E115" s="6" t="s">
        <v>477</v>
      </c>
      <c r="F115" s="6" t="s">
        <v>54</v>
      </c>
      <c r="G115" s="8" t="n">
        <v>7</v>
      </c>
      <c r="H115" s="9" t="n">
        <v>5.11</v>
      </c>
      <c r="I115" s="9" t="n">
        <f aca="false">G115*H115</f>
        <v>35.77</v>
      </c>
      <c r="J115" s="6" t="s">
        <v>478</v>
      </c>
      <c r="K115" s="6"/>
    </row>
    <row r="116" customFormat="false" ht="15" hidden="false" customHeight="false" outlineLevel="0" collapsed="false">
      <c r="A116" s="6" t="n">
        <v>108</v>
      </c>
      <c r="B116" s="6" t="n">
        <v>270</v>
      </c>
      <c r="C116" s="7" t="s">
        <v>479</v>
      </c>
      <c r="D116" s="6" t="s">
        <v>480</v>
      </c>
      <c r="E116" s="6" t="s">
        <v>481</v>
      </c>
      <c r="F116" s="6" t="s">
        <v>482</v>
      </c>
      <c r="G116" s="8" t="n">
        <v>21</v>
      </c>
      <c r="H116" s="9" t="n">
        <v>10.66</v>
      </c>
      <c r="I116" s="9" t="n">
        <f aca="false">G116*H116</f>
        <v>223.86</v>
      </c>
      <c r="J116" s="6" t="s">
        <v>483</v>
      </c>
      <c r="K116" s="6"/>
    </row>
    <row r="117" customFormat="false" ht="15" hidden="false" customHeight="false" outlineLevel="0" collapsed="false">
      <c r="A117" s="6" t="n">
        <v>109</v>
      </c>
      <c r="B117" s="6" t="n">
        <v>8408</v>
      </c>
      <c r="C117" s="7" t="s">
        <v>484</v>
      </c>
      <c r="D117" s="6" t="s">
        <v>485</v>
      </c>
      <c r="E117" s="6" t="s">
        <v>486</v>
      </c>
      <c r="F117" s="6" t="s">
        <v>133</v>
      </c>
      <c r="G117" s="8" t="n">
        <v>42</v>
      </c>
      <c r="H117" s="9" t="n">
        <v>3.84</v>
      </c>
      <c r="I117" s="9" t="n">
        <f aca="false">G117*H117</f>
        <v>161.28</v>
      </c>
      <c r="J117" s="6" t="s">
        <v>487</v>
      </c>
      <c r="K117" s="6"/>
    </row>
    <row r="118" customFormat="false" ht="15" hidden="false" customHeight="false" outlineLevel="0" collapsed="false">
      <c r="A118" s="6" t="n">
        <v>110</v>
      </c>
      <c r="B118" s="6" t="n">
        <v>9340</v>
      </c>
      <c r="C118" s="7" t="s">
        <v>488</v>
      </c>
      <c r="D118" s="6" t="s">
        <v>489</v>
      </c>
      <c r="E118" s="6" t="s">
        <v>489</v>
      </c>
      <c r="F118" s="6"/>
      <c r="G118" s="8" t="n">
        <v>1</v>
      </c>
      <c r="H118" s="9" t="n">
        <v>16.4</v>
      </c>
      <c r="I118" s="9" t="n">
        <f aca="false">G118*H118</f>
        <v>16.4</v>
      </c>
      <c r="J118" s="6" t="s">
        <v>490</v>
      </c>
      <c r="K118" s="6"/>
    </row>
    <row r="119" customFormat="false" ht="15" hidden="false" customHeight="false" outlineLevel="0" collapsed="false">
      <c r="A119" s="6" t="n">
        <v>111</v>
      </c>
      <c r="B119" s="6" t="n">
        <v>232</v>
      </c>
      <c r="C119" s="7" t="s">
        <v>491</v>
      </c>
      <c r="D119" s="6" t="s">
        <v>492</v>
      </c>
      <c r="E119" s="6" t="s">
        <v>493</v>
      </c>
      <c r="F119" s="6" t="s">
        <v>494</v>
      </c>
      <c r="G119" s="8" t="n">
        <v>36</v>
      </c>
      <c r="H119" s="9" t="n">
        <v>2.83</v>
      </c>
      <c r="I119" s="9" t="n">
        <f aca="false">G119*H119</f>
        <v>101.88</v>
      </c>
      <c r="J119" s="6" t="s">
        <v>495</v>
      </c>
      <c r="K119" s="6"/>
    </row>
    <row r="120" customFormat="false" ht="15" hidden="false" customHeight="false" outlineLevel="0" collapsed="false">
      <c r="A120" s="6" t="n">
        <v>112</v>
      </c>
      <c r="B120" s="6" t="n">
        <v>229</v>
      </c>
      <c r="C120" s="7" t="s">
        <v>496</v>
      </c>
      <c r="D120" s="6" t="s">
        <v>497</v>
      </c>
      <c r="E120" s="6" t="s">
        <v>498</v>
      </c>
      <c r="F120" s="6" t="s">
        <v>228</v>
      </c>
      <c r="G120" s="8" t="n">
        <v>11</v>
      </c>
      <c r="H120" s="9" t="n">
        <v>12.33</v>
      </c>
      <c r="I120" s="9" t="n">
        <f aca="false">G120*H120</f>
        <v>135.63</v>
      </c>
      <c r="J120" s="6" t="s">
        <v>499</v>
      </c>
      <c r="K120" s="6"/>
    </row>
    <row r="121" customFormat="false" ht="15" hidden="false" customHeight="false" outlineLevel="0" collapsed="false">
      <c r="A121" s="6" t="n">
        <v>113</v>
      </c>
      <c r="B121" s="6" t="n">
        <v>231</v>
      </c>
      <c r="C121" s="7" t="s">
        <v>500</v>
      </c>
      <c r="D121" s="6" t="s">
        <v>501</v>
      </c>
      <c r="E121" s="6" t="s">
        <v>502</v>
      </c>
      <c r="F121" s="6" t="s">
        <v>228</v>
      </c>
      <c r="G121" s="8" t="n">
        <v>48</v>
      </c>
      <c r="H121" s="9" t="n">
        <v>2.15</v>
      </c>
      <c r="I121" s="9" t="n">
        <f aca="false">G121*H121</f>
        <v>103.2</v>
      </c>
      <c r="J121" s="6" t="s">
        <v>503</v>
      </c>
      <c r="K121" s="6"/>
    </row>
    <row r="122" customFormat="false" ht="15" hidden="false" customHeight="false" outlineLevel="0" collapsed="false">
      <c r="A122" s="6" t="n">
        <v>114</v>
      </c>
      <c r="B122" s="6" t="n">
        <v>230</v>
      </c>
      <c r="C122" s="7" t="s">
        <v>504</v>
      </c>
      <c r="D122" s="6" t="s">
        <v>505</v>
      </c>
      <c r="E122" s="6" t="s">
        <v>506</v>
      </c>
      <c r="F122" s="6" t="s">
        <v>228</v>
      </c>
      <c r="G122" s="8" t="n">
        <v>94</v>
      </c>
      <c r="H122" s="9" t="n">
        <v>3.71</v>
      </c>
      <c r="I122" s="9" t="n">
        <f aca="false">G122*H122</f>
        <v>348.74</v>
      </c>
      <c r="J122" s="6" t="s">
        <v>507</v>
      </c>
      <c r="K122" s="6"/>
    </row>
    <row r="123" customFormat="false" ht="15" hidden="false" customHeight="false" outlineLevel="0" collapsed="false">
      <c r="A123" s="6" t="n">
        <v>115</v>
      </c>
      <c r="B123" s="6" t="n">
        <v>2614</v>
      </c>
      <c r="C123" s="7" t="s">
        <v>508</v>
      </c>
      <c r="D123" s="6" t="s">
        <v>509</v>
      </c>
      <c r="E123" s="6" t="s">
        <v>510</v>
      </c>
      <c r="F123" s="6" t="s">
        <v>494</v>
      </c>
      <c r="G123" s="8" t="n">
        <v>5</v>
      </c>
      <c r="H123" s="9" t="n">
        <v>3.7</v>
      </c>
      <c r="I123" s="9" t="n">
        <f aca="false">G123*H123</f>
        <v>18.5</v>
      </c>
      <c r="J123" s="6" t="s">
        <v>511</v>
      </c>
      <c r="K123" s="6"/>
    </row>
    <row r="124" customFormat="false" ht="15" hidden="false" customHeight="false" outlineLevel="0" collapsed="false">
      <c r="A124" s="6" t="n">
        <v>116</v>
      </c>
      <c r="B124" s="6" t="n">
        <v>1049</v>
      </c>
      <c r="C124" s="7" t="s">
        <v>512</v>
      </c>
      <c r="D124" s="6" t="s">
        <v>513</v>
      </c>
      <c r="E124" s="6" t="s">
        <v>514</v>
      </c>
      <c r="F124" s="6" t="s">
        <v>228</v>
      </c>
      <c r="G124" s="8" t="n">
        <v>50</v>
      </c>
      <c r="H124" s="9" t="n">
        <v>5.98</v>
      </c>
      <c r="I124" s="9" t="n">
        <f aca="false">G124*H124</f>
        <v>299</v>
      </c>
      <c r="J124" s="6" t="s">
        <v>515</v>
      </c>
      <c r="K124" s="6"/>
    </row>
    <row r="125" customFormat="false" ht="15" hidden="false" customHeight="false" outlineLevel="0" collapsed="false">
      <c r="A125" s="6" t="n">
        <v>117</v>
      </c>
      <c r="B125" s="6" t="n">
        <v>4440</v>
      </c>
      <c r="C125" s="7" t="s">
        <v>516</v>
      </c>
      <c r="D125" s="6" t="s">
        <v>517</v>
      </c>
      <c r="E125" s="6" t="s">
        <v>518</v>
      </c>
      <c r="F125" s="6" t="s">
        <v>40</v>
      </c>
      <c r="G125" s="8" t="n">
        <v>6</v>
      </c>
      <c r="H125" s="9" t="n">
        <v>13.04</v>
      </c>
      <c r="I125" s="9" t="n">
        <f aca="false">G125*H125</f>
        <v>78.24</v>
      </c>
      <c r="J125" s="6" t="s">
        <v>519</v>
      </c>
      <c r="K125" s="6"/>
    </row>
    <row r="126" customFormat="false" ht="15" hidden="false" customHeight="false" outlineLevel="0" collapsed="false">
      <c r="A126" s="6" t="n">
        <v>118</v>
      </c>
      <c r="B126" s="6" t="n">
        <v>3430</v>
      </c>
      <c r="C126" s="7" t="s">
        <v>520</v>
      </c>
      <c r="D126" s="6" t="s">
        <v>521</v>
      </c>
      <c r="E126" s="6" t="s">
        <v>522</v>
      </c>
      <c r="F126" s="6" t="s">
        <v>35</v>
      </c>
      <c r="G126" s="8" t="n">
        <v>13</v>
      </c>
      <c r="H126" s="9" t="n">
        <v>7.77</v>
      </c>
      <c r="I126" s="9" t="n">
        <f aca="false">G126*H126</f>
        <v>101.01</v>
      </c>
      <c r="J126" s="6" t="s">
        <v>523</v>
      </c>
      <c r="K126" s="6" t="s">
        <v>524</v>
      </c>
    </row>
    <row r="127" customFormat="false" ht="15" hidden="false" customHeight="false" outlineLevel="0" collapsed="false">
      <c r="A127" s="6" t="n">
        <v>119</v>
      </c>
      <c r="B127" s="6" t="n">
        <v>1045</v>
      </c>
      <c r="C127" s="7" t="s">
        <v>525</v>
      </c>
      <c r="D127" s="6" t="s">
        <v>526</v>
      </c>
      <c r="E127" s="6" t="s">
        <v>527</v>
      </c>
      <c r="F127" s="6" t="s">
        <v>494</v>
      </c>
      <c r="G127" s="8" t="n">
        <v>54</v>
      </c>
      <c r="H127" s="9" t="n">
        <v>2.23</v>
      </c>
      <c r="I127" s="9" t="n">
        <f aca="false">G127*H127</f>
        <v>120.42</v>
      </c>
      <c r="J127" s="6" t="s">
        <v>528</v>
      </c>
      <c r="K127" s="6"/>
    </row>
    <row r="128" customFormat="false" ht="15" hidden="false" customHeight="false" outlineLevel="0" collapsed="false">
      <c r="A128" s="6" t="n">
        <v>120</v>
      </c>
      <c r="B128" s="6" t="n">
        <v>1047</v>
      </c>
      <c r="C128" s="7" t="s">
        <v>529</v>
      </c>
      <c r="D128" s="6" t="s">
        <v>530</v>
      </c>
      <c r="E128" s="6" t="s">
        <v>531</v>
      </c>
      <c r="F128" s="6" t="s">
        <v>494</v>
      </c>
      <c r="G128" s="8" t="n">
        <v>129</v>
      </c>
      <c r="H128" s="9" t="n">
        <v>3.17</v>
      </c>
      <c r="I128" s="9" t="n">
        <f aca="false">G128*H128</f>
        <v>408.93</v>
      </c>
      <c r="J128" s="6" t="s">
        <v>532</v>
      </c>
      <c r="K128" s="6"/>
    </row>
    <row r="129" customFormat="false" ht="15" hidden="false" customHeight="false" outlineLevel="0" collapsed="false">
      <c r="A129" s="6" t="n">
        <v>121</v>
      </c>
      <c r="B129" s="6" t="n">
        <v>7377</v>
      </c>
      <c r="C129" s="7" t="s">
        <v>533</v>
      </c>
      <c r="D129" s="6" t="s">
        <v>534</v>
      </c>
      <c r="E129" s="6" t="s">
        <v>535</v>
      </c>
      <c r="F129" s="6" t="s">
        <v>195</v>
      </c>
      <c r="G129" s="8" t="n">
        <v>2</v>
      </c>
      <c r="H129" s="9" t="n">
        <v>19.34</v>
      </c>
      <c r="I129" s="9" t="n">
        <f aca="false">G129*H129</f>
        <v>38.68</v>
      </c>
      <c r="J129" s="6" t="s">
        <v>536</v>
      </c>
      <c r="K129" s="6"/>
    </row>
    <row r="130" customFormat="false" ht="15" hidden="false" customHeight="false" outlineLevel="0" collapsed="false">
      <c r="A130" s="6" t="n">
        <v>122</v>
      </c>
      <c r="B130" s="6" t="n">
        <v>9465</v>
      </c>
      <c r="C130" s="7" t="s">
        <v>537</v>
      </c>
      <c r="D130" s="6" t="s">
        <v>538</v>
      </c>
      <c r="E130" s="6" t="s">
        <v>538</v>
      </c>
      <c r="F130" s="6" t="s">
        <v>195</v>
      </c>
      <c r="G130" s="8" t="n">
        <v>3</v>
      </c>
      <c r="H130" s="9" t="n">
        <v>19.79</v>
      </c>
      <c r="I130" s="9" t="n">
        <f aca="false">G130*H130</f>
        <v>59.37</v>
      </c>
      <c r="J130" s="6" t="s">
        <v>539</v>
      </c>
      <c r="K130" s="6"/>
    </row>
    <row r="131" customFormat="false" ht="15" hidden="false" customHeight="false" outlineLevel="0" collapsed="false">
      <c r="A131" s="6" t="n">
        <v>123</v>
      </c>
      <c r="B131" s="6" t="n">
        <v>9464</v>
      </c>
      <c r="C131" s="7" t="s">
        <v>540</v>
      </c>
      <c r="D131" s="6" t="s">
        <v>534</v>
      </c>
      <c r="E131" s="6" t="s">
        <v>534</v>
      </c>
      <c r="F131" s="6" t="s">
        <v>195</v>
      </c>
      <c r="G131" s="8" t="n">
        <v>7</v>
      </c>
      <c r="H131" s="9" t="n">
        <v>19.79</v>
      </c>
      <c r="I131" s="9" t="n">
        <f aca="false">G131*H131</f>
        <v>138.53</v>
      </c>
      <c r="J131" s="6" t="s">
        <v>541</v>
      </c>
      <c r="K131" s="6"/>
    </row>
    <row r="132" customFormat="false" ht="15" hidden="false" customHeight="false" outlineLevel="0" collapsed="false">
      <c r="A132" s="6" t="n">
        <v>124</v>
      </c>
      <c r="B132" s="6" t="n">
        <v>7307</v>
      </c>
      <c r="C132" s="7" t="s">
        <v>542</v>
      </c>
      <c r="D132" s="6" t="s">
        <v>543</v>
      </c>
      <c r="E132" s="6" t="s">
        <v>544</v>
      </c>
      <c r="F132" s="6" t="s">
        <v>545</v>
      </c>
      <c r="G132" s="8" t="n">
        <v>4</v>
      </c>
      <c r="H132" s="9" t="n">
        <v>19.6</v>
      </c>
      <c r="I132" s="9" t="n">
        <f aca="false">G132*H132</f>
        <v>78.4</v>
      </c>
      <c r="J132" s="6" t="s">
        <v>546</v>
      </c>
      <c r="K132" s="6"/>
    </row>
    <row r="133" customFormat="false" ht="15" hidden="false" customHeight="false" outlineLevel="0" collapsed="false">
      <c r="A133" s="6" t="n">
        <v>125</v>
      </c>
      <c r="B133" s="6" t="n">
        <v>1046</v>
      </c>
      <c r="C133" s="7" t="s">
        <v>547</v>
      </c>
      <c r="D133" s="6" t="s">
        <v>548</v>
      </c>
      <c r="E133" s="6" t="s">
        <v>549</v>
      </c>
      <c r="F133" s="6" t="s">
        <v>494</v>
      </c>
      <c r="G133" s="8" t="n">
        <v>65</v>
      </c>
      <c r="H133" s="9" t="n">
        <v>1.86</v>
      </c>
      <c r="I133" s="9" t="n">
        <f aca="false">G133*H133</f>
        <v>120.9</v>
      </c>
      <c r="J133" s="6" t="s">
        <v>550</v>
      </c>
      <c r="K133" s="6"/>
    </row>
    <row r="134" customFormat="false" ht="15" hidden="false" customHeight="false" outlineLevel="0" collapsed="false">
      <c r="A134" s="6" t="n">
        <v>126</v>
      </c>
      <c r="B134" s="6" t="n">
        <v>5393</v>
      </c>
      <c r="C134" s="7" t="s">
        <v>551</v>
      </c>
      <c r="D134" s="6" t="s">
        <v>552</v>
      </c>
      <c r="E134" s="6" t="s">
        <v>553</v>
      </c>
      <c r="F134" s="6" t="s">
        <v>494</v>
      </c>
      <c r="G134" s="8" t="n">
        <v>9</v>
      </c>
      <c r="H134" s="9" t="n">
        <v>2.55</v>
      </c>
      <c r="I134" s="9" t="n">
        <f aca="false">G134*H134</f>
        <v>22.95</v>
      </c>
      <c r="J134" s="6" t="s">
        <v>554</v>
      </c>
      <c r="K134" s="6"/>
    </row>
    <row r="135" customFormat="false" ht="15" hidden="false" customHeight="false" outlineLevel="0" collapsed="false">
      <c r="A135" s="6" t="n">
        <v>127</v>
      </c>
      <c r="B135" s="6" t="n">
        <v>1048</v>
      </c>
      <c r="C135" s="7" t="s">
        <v>555</v>
      </c>
      <c r="D135" s="6" t="s">
        <v>556</v>
      </c>
      <c r="E135" s="6" t="s">
        <v>557</v>
      </c>
      <c r="F135" s="6" t="s">
        <v>494</v>
      </c>
      <c r="G135" s="8" t="n">
        <v>21</v>
      </c>
      <c r="H135" s="9" t="n">
        <v>8.1</v>
      </c>
      <c r="I135" s="9" t="n">
        <f aca="false">G135*H135</f>
        <v>170.1</v>
      </c>
      <c r="J135" s="6" t="s">
        <v>558</v>
      </c>
      <c r="K135" s="6"/>
    </row>
    <row r="136" customFormat="false" ht="15" hidden="false" customHeight="false" outlineLevel="0" collapsed="false">
      <c r="A136" s="6" t="n">
        <v>128</v>
      </c>
      <c r="B136" s="6" t="n">
        <v>942</v>
      </c>
      <c r="C136" s="7" t="s">
        <v>559</v>
      </c>
      <c r="D136" s="6" t="s">
        <v>560</v>
      </c>
      <c r="E136" s="6" t="s">
        <v>561</v>
      </c>
      <c r="F136" s="6" t="s">
        <v>494</v>
      </c>
      <c r="G136" s="8" t="n">
        <v>77</v>
      </c>
      <c r="H136" s="9" t="n">
        <v>5.02</v>
      </c>
      <c r="I136" s="9" t="n">
        <f aca="false">G136*H136</f>
        <v>386.54</v>
      </c>
      <c r="J136" s="6" t="s">
        <v>562</v>
      </c>
      <c r="K136" s="6"/>
    </row>
    <row r="137" customFormat="false" ht="15" hidden="false" customHeight="false" outlineLevel="0" collapsed="false">
      <c r="A137" s="6" t="n">
        <v>129</v>
      </c>
      <c r="B137" s="6" t="n">
        <v>2233</v>
      </c>
      <c r="C137" s="7" t="s">
        <v>563</v>
      </c>
      <c r="D137" s="6" t="s">
        <v>564</v>
      </c>
      <c r="E137" s="6" t="s">
        <v>565</v>
      </c>
      <c r="F137" s="6" t="s">
        <v>566</v>
      </c>
      <c r="G137" s="8" t="n">
        <v>1</v>
      </c>
      <c r="H137" s="9" t="n">
        <v>1.35</v>
      </c>
      <c r="I137" s="9" t="n">
        <f aca="false">G137*H137</f>
        <v>1.35</v>
      </c>
      <c r="J137" s="6" t="s">
        <v>567</v>
      </c>
      <c r="K137" s="6"/>
    </row>
    <row r="138" customFormat="false" ht="15" hidden="false" customHeight="false" outlineLevel="0" collapsed="false">
      <c r="A138" s="6" t="n">
        <v>130</v>
      </c>
      <c r="B138" s="6" t="n">
        <v>8096</v>
      </c>
      <c r="C138" s="7" t="s">
        <v>568</v>
      </c>
      <c r="D138" s="6" t="s">
        <v>569</v>
      </c>
      <c r="E138" s="6" t="s">
        <v>570</v>
      </c>
      <c r="F138" s="6" t="s">
        <v>35</v>
      </c>
      <c r="G138" s="8" t="n">
        <v>3</v>
      </c>
      <c r="H138" s="9" t="n">
        <v>5.52</v>
      </c>
      <c r="I138" s="9" t="n">
        <f aca="false">G138*H138</f>
        <v>16.56</v>
      </c>
      <c r="J138" s="6" t="s">
        <v>571</v>
      </c>
      <c r="K138" s="6"/>
    </row>
    <row r="139" customFormat="false" ht="15" hidden="false" customHeight="false" outlineLevel="0" collapsed="false">
      <c r="A139" s="6" t="n">
        <v>131</v>
      </c>
      <c r="B139" s="6" t="n">
        <v>3263</v>
      </c>
      <c r="C139" s="7" t="s">
        <v>572</v>
      </c>
      <c r="D139" s="6" t="s">
        <v>573</v>
      </c>
      <c r="E139" s="6" t="s">
        <v>574</v>
      </c>
      <c r="F139" s="6" t="s">
        <v>174</v>
      </c>
      <c r="G139" s="8" t="n">
        <v>7</v>
      </c>
      <c r="H139" s="9" t="n">
        <v>2.87</v>
      </c>
      <c r="I139" s="9" t="n">
        <f aca="false">G139*H139</f>
        <v>20.09</v>
      </c>
      <c r="J139" s="6" t="s">
        <v>575</v>
      </c>
      <c r="K139" s="6"/>
    </row>
    <row r="140" customFormat="false" ht="15" hidden="false" customHeight="false" outlineLevel="0" collapsed="false">
      <c r="A140" s="6" t="n">
        <v>132</v>
      </c>
      <c r="B140" s="6" t="n">
        <v>2156</v>
      </c>
      <c r="C140" s="7" t="s">
        <v>576</v>
      </c>
      <c r="D140" s="6" t="s">
        <v>577</v>
      </c>
      <c r="E140" s="6" t="s">
        <v>578</v>
      </c>
      <c r="F140" s="6" t="s">
        <v>45</v>
      </c>
      <c r="G140" s="8" t="n">
        <v>13</v>
      </c>
      <c r="H140" s="9" t="n">
        <v>2.49</v>
      </c>
      <c r="I140" s="9" t="n">
        <f aca="false">G140*H140</f>
        <v>32.37</v>
      </c>
      <c r="J140" s="6" t="s">
        <v>579</v>
      </c>
      <c r="K140" s="6"/>
    </row>
    <row r="141" customFormat="false" ht="15" hidden="false" customHeight="false" outlineLevel="0" collapsed="false">
      <c r="A141" s="6" t="n">
        <v>133</v>
      </c>
      <c r="B141" s="6" t="n">
        <v>1499</v>
      </c>
      <c r="C141" s="7" t="s">
        <v>580</v>
      </c>
      <c r="D141" s="6" t="s">
        <v>581</v>
      </c>
      <c r="E141" s="6" t="s">
        <v>582</v>
      </c>
      <c r="F141" s="6" t="s">
        <v>454</v>
      </c>
      <c r="G141" s="8" t="n">
        <v>24</v>
      </c>
      <c r="H141" s="9" t="n">
        <v>10.84</v>
      </c>
      <c r="I141" s="9" t="n">
        <f aca="false">G141*H141</f>
        <v>260.16</v>
      </c>
      <c r="J141" s="6" t="s">
        <v>583</v>
      </c>
      <c r="K141" s="6"/>
    </row>
    <row r="142" customFormat="false" ht="15" hidden="false" customHeight="false" outlineLevel="0" collapsed="false">
      <c r="A142" s="6" t="n">
        <v>134</v>
      </c>
      <c r="B142" s="6" t="n">
        <v>7829</v>
      </c>
      <c r="C142" s="7" t="s">
        <v>584</v>
      </c>
      <c r="D142" s="6" t="s">
        <v>585</v>
      </c>
      <c r="E142" s="6" t="s">
        <v>586</v>
      </c>
      <c r="F142" s="6" t="s">
        <v>454</v>
      </c>
      <c r="G142" s="8" t="n">
        <v>3</v>
      </c>
      <c r="H142" s="9" t="n">
        <v>8.53</v>
      </c>
      <c r="I142" s="9" t="n">
        <f aca="false">G142*H142</f>
        <v>25.59</v>
      </c>
      <c r="J142" s="6" t="s">
        <v>587</v>
      </c>
      <c r="K142" s="6"/>
    </row>
    <row r="143" customFormat="false" ht="15" hidden="false" customHeight="false" outlineLevel="0" collapsed="false">
      <c r="A143" s="6" t="n">
        <v>135</v>
      </c>
      <c r="B143" s="6" t="n">
        <v>9871</v>
      </c>
      <c r="C143" s="7" t="s">
        <v>588</v>
      </c>
      <c r="D143" s="6" t="s">
        <v>589</v>
      </c>
      <c r="E143" s="6" t="s">
        <v>590</v>
      </c>
      <c r="F143" s="6" t="s">
        <v>591</v>
      </c>
      <c r="G143" s="8" t="n">
        <v>1</v>
      </c>
      <c r="H143" s="9" t="n">
        <v>23.43</v>
      </c>
      <c r="I143" s="9" t="n">
        <f aca="false">G143*H143</f>
        <v>23.43</v>
      </c>
      <c r="J143" s="6" t="s">
        <v>592</v>
      </c>
      <c r="K143" s="6"/>
    </row>
    <row r="144" customFormat="false" ht="15" hidden="false" customHeight="false" outlineLevel="0" collapsed="false">
      <c r="A144" s="6" t="n">
        <v>136</v>
      </c>
      <c r="B144" s="6" t="n">
        <v>4710</v>
      </c>
      <c r="C144" s="7" t="s">
        <v>593</v>
      </c>
      <c r="D144" s="6" t="s">
        <v>594</v>
      </c>
      <c r="E144" s="6" t="s">
        <v>595</v>
      </c>
      <c r="F144" s="6" t="s">
        <v>591</v>
      </c>
      <c r="G144" s="8" t="n">
        <v>2</v>
      </c>
      <c r="H144" s="9" t="n">
        <v>3.38</v>
      </c>
      <c r="I144" s="9" t="n">
        <f aca="false">G144*H144</f>
        <v>6.76</v>
      </c>
      <c r="J144" s="6" t="s">
        <v>596</v>
      </c>
      <c r="K144" s="6"/>
    </row>
    <row r="145" customFormat="false" ht="15" hidden="false" customHeight="false" outlineLevel="0" collapsed="false">
      <c r="A145" s="6" t="n">
        <v>137</v>
      </c>
      <c r="B145" s="6" t="n">
        <v>9806</v>
      </c>
      <c r="C145" s="7" t="s">
        <v>597</v>
      </c>
      <c r="D145" s="6" t="s">
        <v>598</v>
      </c>
      <c r="E145" s="6" t="s">
        <v>599</v>
      </c>
      <c r="F145" s="6" t="s">
        <v>591</v>
      </c>
      <c r="G145" s="8" t="n">
        <v>2</v>
      </c>
      <c r="H145" s="9" t="n">
        <v>23.44</v>
      </c>
      <c r="I145" s="9" t="n">
        <f aca="false">G145*H145</f>
        <v>46.88</v>
      </c>
      <c r="J145" s="6" t="s">
        <v>600</v>
      </c>
      <c r="K145" s="6"/>
    </row>
    <row r="146" customFormat="false" ht="15" hidden="false" customHeight="false" outlineLevel="0" collapsed="false">
      <c r="A146" s="6" t="n">
        <v>138</v>
      </c>
      <c r="B146" s="6" t="n">
        <v>9931</v>
      </c>
      <c r="C146" s="7" t="s">
        <v>601</v>
      </c>
      <c r="D146" s="6" t="s">
        <v>602</v>
      </c>
      <c r="E146" s="6" t="s">
        <v>603</v>
      </c>
      <c r="F146" s="6" t="s">
        <v>591</v>
      </c>
      <c r="G146" s="8" t="n">
        <v>1</v>
      </c>
      <c r="H146" s="9" t="n">
        <v>23.31</v>
      </c>
      <c r="I146" s="9" t="n">
        <f aca="false">G146*H146</f>
        <v>23.31</v>
      </c>
      <c r="J146" s="6" t="s">
        <v>604</v>
      </c>
      <c r="K146" s="6"/>
    </row>
    <row r="147" customFormat="false" ht="15" hidden="false" customHeight="false" outlineLevel="0" collapsed="false">
      <c r="A147" s="6" t="n">
        <v>139</v>
      </c>
      <c r="B147" s="6" t="n">
        <v>4709</v>
      </c>
      <c r="C147" s="7" t="s">
        <v>605</v>
      </c>
      <c r="D147" s="6" t="s">
        <v>606</v>
      </c>
      <c r="E147" s="6" t="s">
        <v>607</v>
      </c>
      <c r="F147" s="6" t="s">
        <v>591</v>
      </c>
      <c r="G147" s="8" t="n">
        <v>3</v>
      </c>
      <c r="H147" s="9" t="n">
        <v>3.38</v>
      </c>
      <c r="I147" s="9" t="n">
        <f aca="false">G147*H147</f>
        <v>10.14</v>
      </c>
      <c r="J147" s="6" t="s">
        <v>608</v>
      </c>
      <c r="K147" s="6"/>
    </row>
    <row r="148" customFormat="false" ht="15" hidden="false" customHeight="false" outlineLevel="0" collapsed="false">
      <c r="A148" s="6" t="n">
        <v>140</v>
      </c>
      <c r="B148" s="6" t="n">
        <v>1951</v>
      </c>
      <c r="C148" s="7" t="s">
        <v>609</v>
      </c>
      <c r="D148" s="6" t="s">
        <v>610</v>
      </c>
      <c r="E148" s="6" t="s">
        <v>611</v>
      </c>
      <c r="F148" s="6" t="s">
        <v>591</v>
      </c>
      <c r="G148" s="8" t="n">
        <v>3</v>
      </c>
      <c r="H148" s="9" t="n">
        <v>6.66</v>
      </c>
      <c r="I148" s="9" t="n">
        <f aca="false">G148*H148</f>
        <v>19.98</v>
      </c>
      <c r="J148" s="6" t="s">
        <v>612</v>
      </c>
      <c r="K148" s="6"/>
    </row>
    <row r="149" customFormat="false" ht="15" hidden="false" customHeight="false" outlineLevel="0" collapsed="false">
      <c r="A149" s="6" t="n">
        <v>141</v>
      </c>
      <c r="B149" s="6" t="n">
        <v>5735</v>
      </c>
      <c r="C149" s="7" t="s">
        <v>613</v>
      </c>
      <c r="D149" s="6" t="s">
        <v>614</v>
      </c>
      <c r="E149" s="6" t="s">
        <v>615</v>
      </c>
      <c r="F149" s="6" t="s">
        <v>591</v>
      </c>
      <c r="G149" s="8" t="n">
        <v>1</v>
      </c>
      <c r="H149" s="9" t="n">
        <v>16.94</v>
      </c>
      <c r="I149" s="9" t="n">
        <f aca="false">G149*H149</f>
        <v>16.94</v>
      </c>
      <c r="J149" s="6" t="s">
        <v>616</v>
      </c>
      <c r="K149" s="6"/>
    </row>
    <row r="150" customFormat="false" ht="15" hidden="false" customHeight="false" outlineLevel="0" collapsed="false">
      <c r="A150" s="6" t="n">
        <v>142</v>
      </c>
      <c r="B150" s="6" t="n">
        <v>10354</v>
      </c>
      <c r="C150" s="7" t="s">
        <v>617</v>
      </c>
      <c r="D150" s="6" t="s">
        <v>618</v>
      </c>
      <c r="E150" s="6" t="s">
        <v>619</v>
      </c>
      <c r="F150" s="6"/>
      <c r="G150" s="8" t="n">
        <v>4</v>
      </c>
      <c r="H150" s="9" t="n">
        <v>6.25</v>
      </c>
      <c r="I150" s="9" t="n">
        <f aca="false">G150*H150</f>
        <v>25</v>
      </c>
      <c r="J150" s="6" t="s">
        <v>620</v>
      </c>
      <c r="K150" s="6"/>
    </row>
    <row r="151" customFormat="false" ht="15" hidden="false" customHeight="false" outlineLevel="0" collapsed="false">
      <c r="A151" s="6" t="n">
        <v>143</v>
      </c>
      <c r="B151" s="6" t="n">
        <v>7189</v>
      </c>
      <c r="C151" s="7" t="s">
        <v>621</v>
      </c>
      <c r="D151" s="6" t="s">
        <v>622</v>
      </c>
      <c r="E151" s="6" t="s">
        <v>623</v>
      </c>
      <c r="F151" s="6" t="s">
        <v>624</v>
      </c>
      <c r="G151" s="8" t="n">
        <v>7</v>
      </c>
      <c r="H151" s="9" t="n">
        <v>4.46</v>
      </c>
      <c r="I151" s="9" t="n">
        <f aca="false">G151*H151</f>
        <v>31.22</v>
      </c>
      <c r="J151" s="6" t="s">
        <v>625</v>
      </c>
      <c r="K151" s="6"/>
    </row>
    <row r="152" customFormat="false" ht="15" hidden="false" customHeight="false" outlineLevel="0" collapsed="false">
      <c r="A152" s="6" t="n">
        <v>144</v>
      </c>
      <c r="B152" s="6" t="n">
        <v>7193</v>
      </c>
      <c r="C152" s="7" t="s">
        <v>626</v>
      </c>
      <c r="D152" s="6" t="s">
        <v>627</v>
      </c>
      <c r="E152" s="6" t="s">
        <v>627</v>
      </c>
      <c r="F152" s="6" t="s">
        <v>624</v>
      </c>
      <c r="G152" s="8" t="n">
        <v>7</v>
      </c>
      <c r="H152" s="9" t="n">
        <v>3.95</v>
      </c>
      <c r="I152" s="9" t="n">
        <f aca="false">G152*H152</f>
        <v>27.65</v>
      </c>
      <c r="J152" s="6" t="s">
        <v>628</v>
      </c>
      <c r="K152" s="6"/>
    </row>
    <row r="153" customFormat="false" ht="15" hidden="false" customHeight="false" outlineLevel="0" collapsed="false">
      <c r="A153" s="6" t="n">
        <v>145</v>
      </c>
      <c r="B153" s="6" t="n">
        <v>7191</v>
      </c>
      <c r="C153" s="7" t="s">
        <v>629</v>
      </c>
      <c r="D153" s="6" t="s">
        <v>630</v>
      </c>
      <c r="E153" s="6" t="s">
        <v>630</v>
      </c>
      <c r="F153" s="6" t="s">
        <v>624</v>
      </c>
      <c r="G153" s="8" t="n">
        <v>8</v>
      </c>
      <c r="H153" s="9" t="n">
        <v>4.38</v>
      </c>
      <c r="I153" s="9" t="n">
        <f aca="false">G153*H153</f>
        <v>35.04</v>
      </c>
      <c r="J153" s="6" t="s">
        <v>631</v>
      </c>
      <c r="K153" s="6"/>
    </row>
    <row r="154" customFormat="false" ht="15" hidden="false" customHeight="false" outlineLevel="0" collapsed="false">
      <c r="A154" s="6" t="n">
        <v>146</v>
      </c>
      <c r="B154" s="6" t="n">
        <v>9398</v>
      </c>
      <c r="C154" s="7" t="s">
        <v>632</v>
      </c>
      <c r="D154" s="6" t="s">
        <v>633</v>
      </c>
      <c r="E154" s="6" t="s">
        <v>633</v>
      </c>
      <c r="F154" s="6" t="s">
        <v>624</v>
      </c>
      <c r="G154" s="8" t="n">
        <v>16</v>
      </c>
      <c r="H154" s="9" t="n">
        <v>3.7</v>
      </c>
      <c r="I154" s="9" t="n">
        <f aca="false">G154*H154</f>
        <v>59.2</v>
      </c>
      <c r="J154" s="6" t="s">
        <v>634</v>
      </c>
      <c r="K154" s="6"/>
    </row>
    <row r="155" customFormat="false" ht="15" hidden="false" customHeight="false" outlineLevel="0" collapsed="false">
      <c r="A155" s="6" t="n">
        <v>147</v>
      </c>
      <c r="B155" s="6" t="n">
        <v>7199</v>
      </c>
      <c r="C155" s="7" t="s">
        <v>635</v>
      </c>
      <c r="D155" s="6" t="s">
        <v>636</v>
      </c>
      <c r="E155" s="6" t="s">
        <v>637</v>
      </c>
      <c r="F155" s="6" t="s">
        <v>624</v>
      </c>
      <c r="G155" s="8" t="n">
        <v>2</v>
      </c>
      <c r="H155" s="9" t="n">
        <v>4.04</v>
      </c>
      <c r="I155" s="9" t="n">
        <f aca="false">G155*H155</f>
        <v>8.08</v>
      </c>
      <c r="J155" s="6" t="s">
        <v>638</v>
      </c>
      <c r="K155" s="6"/>
    </row>
    <row r="156" customFormat="false" ht="15" hidden="false" customHeight="false" outlineLevel="0" collapsed="false">
      <c r="A156" s="6" t="n">
        <v>148</v>
      </c>
      <c r="B156" s="6" t="n">
        <v>7202</v>
      </c>
      <c r="C156" s="7" t="s">
        <v>639</v>
      </c>
      <c r="D156" s="6" t="s">
        <v>640</v>
      </c>
      <c r="E156" s="6" t="s">
        <v>641</v>
      </c>
      <c r="F156" s="6" t="s">
        <v>624</v>
      </c>
      <c r="G156" s="8" t="n">
        <v>2</v>
      </c>
      <c r="H156" s="9" t="n">
        <v>4.45</v>
      </c>
      <c r="I156" s="9" t="n">
        <f aca="false">G156*H156</f>
        <v>8.9</v>
      </c>
      <c r="J156" s="6" t="s">
        <v>642</v>
      </c>
      <c r="K156" s="6"/>
    </row>
    <row r="157" customFormat="false" ht="15" hidden="false" customHeight="false" outlineLevel="0" collapsed="false">
      <c r="A157" s="6" t="n">
        <v>149</v>
      </c>
      <c r="B157" s="6" t="n">
        <v>8354</v>
      </c>
      <c r="C157" s="7" t="s">
        <v>643</v>
      </c>
      <c r="D157" s="6" t="s">
        <v>644</v>
      </c>
      <c r="E157" s="6" t="s">
        <v>644</v>
      </c>
      <c r="F157" s="6" t="s">
        <v>624</v>
      </c>
      <c r="G157" s="8" t="n">
        <v>13</v>
      </c>
      <c r="H157" s="9" t="n">
        <v>4.36</v>
      </c>
      <c r="I157" s="9" t="n">
        <f aca="false">G157*H157</f>
        <v>56.68</v>
      </c>
      <c r="J157" s="6" t="s">
        <v>645</v>
      </c>
      <c r="K157" s="6"/>
    </row>
    <row r="158" customFormat="false" ht="15" hidden="false" customHeight="false" outlineLevel="0" collapsed="false">
      <c r="A158" s="6" t="n">
        <v>150</v>
      </c>
      <c r="B158" s="6" t="n">
        <v>7195</v>
      </c>
      <c r="C158" s="7" t="s">
        <v>646</v>
      </c>
      <c r="D158" s="6" t="s">
        <v>647</v>
      </c>
      <c r="E158" s="6" t="s">
        <v>647</v>
      </c>
      <c r="F158" s="6" t="s">
        <v>624</v>
      </c>
      <c r="G158" s="8" t="n">
        <v>4</v>
      </c>
      <c r="H158" s="9" t="n">
        <v>3.72</v>
      </c>
      <c r="I158" s="9" t="n">
        <f aca="false">G158*H158</f>
        <v>14.88</v>
      </c>
      <c r="J158" s="6" t="s">
        <v>648</v>
      </c>
      <c r="K158" s="6"/>
    </row>
    <row r="159" customFormat="false" ht="15" hidden="false" customHeight="false" outlineLevel="0" collapsed="false">
      <c r="A159" s="6" t="n">
        <v>151</v>
      </c>
      <c r="B159" s="6" t="n">
        <v>7190</v>
      </c>
      <c r="C159" s="7" t="s">
        <v>649</v>
      </c>
      <c r="D159" s="6" t="s">
        <v>650</v>
      </c>
      <c r="E159" s="6" t="s">
        <v>650</v>
      </c>
      <c r="F159" s="6" t="s">
        <v>624</v>
      </c>
      <c r="G159" s="8" t="n">
        <v>5</v>
      </c>
      <c r="H159" s="9" t="n">
        <v>4.39</v>
      </c>
      <c r="I159" s="9" t="n">
        <f aca="false">G159*H159</f>
        <v>21.95</v>
      </c>
      <c r="J159" s="6" t="s">
        <v>651</v>
      </c>
      <c r="K159" s="6"/>
    </row>
    <row r="160" customFormat="false" ht="15" hidden="false" customHeight="false" outlineLevel="0" collapsed="false">
      <c r="A160" s="6" t="n">
        <v>152</v>
      </c>
      <c r="B160" s="6" t="n">
        <v>7196</v>
      </c>
      <c r="C160" s="7" t="s">
        <v>652</v>
      </c>
      <c r="D160" s="6" t="s">
        <v>653</v>
      </c>
      <c r="E160" s="6" t="s">
        <v>653</v>
      </c>
      <c r="F160" s="6" t="s">
        <v>624</v>
      </c>
      <c r="G160" s="8" t="n">
        <v>1</v>
      </c>
      <c r="H160" s="9" t="n">
        <v>3.68</v>
      </c>
      <c r="I160" s="9" t="n">
        <f aca="false">G160*H160</f>
        <v>3.68</v>
      </c>
      <c r="J160" s="6" t="s">
        <v>654</v>
      </c>
      <c r="K160" s="6"/>
    </row>
    <row r="161" customFormat="false" ht="15" hidden="false" customHeight="false" outlineLevel="0" collapsed="false">
      <c r="A161" s="6" t="n">
        <v>153</v>
      </c>
      <c r="B161" s="6" t="n">
        <v>7197</v>
      </c>
      <c r="C161" s="7" t="s">
        <v>655</v>
      </c>
      <c r="D161" s="6" t="s">
        <v>656</v>
      </c>
      <c r="E161" s="6" t="s">
        <v>656</v>
      </c>
      <c r="F161" s="6"/>
      <c r="G161" s="8" t="n">
        <v>1</v>
      </c>
      <c r="H161" s="9" t="n">
        <v>3.96</v>
      </c>
      <c r="I161" s="9" t="n">
        <f aca="false">G161*H161</f>
        <v>3.96</v>
      </c>
      <c r="J161" s="6" t="s">
        <v>657</v>
      </c>
      <c r="K161" s="6"/>
    </row>
    <row r="162" customFormat="false" ht="15" hidden="false" customHeight="false" outlineLevel="0" collapsed="false">
      <c r="A162" s="6" t="n">
        <v>154</v>
      </c>
      <c r="B162" s="6" t="n">
        <v>7192</v>
      </c>
      <c r="C162" s="7" t="s">
        <v>658</v>
      </c>
      <c r="D162" s="6" t="s">
        <v>659</v>
      </c>
      <c r="E162" s="6" t="s">
        <v>659</v>
      </c>
      <c r="F162" s="6" t="s">
        <v>624</v>
      </c>
      <c r="G162" s="8" t="n">
        <v>7</v>
      </c>
      <c r="H162" s="9" t="n">
        <v>3.72</v>
      </c>
      <c r="I162" s="9" t="n">
        <f aca="false">G162*H162</f>
        <v>26.04</v>
      </c>
      <c r="J162" s="6" t="s">
        <v>660</v>
      </c>
      <c r="K162" s="6"/>
    </row>
    <row r="163" customFormat="false" ht="15" hidden="false" customHeight="false" outlineLevel="0" collapsed="false">
      <c r="A163" s="6" t="n">
        <v>155</v>
      </c>
      <c r="B163" s="6" t="n">
        <v>2578</v>
      </c>
      <c r="C163" s="7" t="s">
        <v>661</v>
      </c>
      <c r="D163" s="6" t="s">
        <v>662</v>
      </c>
      <c r="E163" s="6" t="s">
        <v>663</v>
      </c>
      <c r="F163" s="6" t="s">
        <v>35</v>
      </c>
      <c r="G163" s="8" t="n">
        <v>9</v>
      </c>
      <c r="H163" s="9" t="n">
        <v>10.19</v>
      </c>
      <c r="I163" s="9" t="n">
        <f aca="false">G163*H163</f>
        <v>91.71</v>
      </c>
      <c r="J163" s="6" t="s">
        <v>664</v>
      </c>
      <c r="K163" s="6"/>
    </row>
    <row r="164" customFormat="false" ht="15" hidden="false" customHeight="false" outlineLevel="0" collapsed="false">
      <c r="A164" s="6" t="n">
        <v>156</v>
      </c>
      <c r="B164" s="6" t="n">
        <v>1067</v>
      </c>
      <c r="C164" s="7" t="s">
        <v>665</v>
      </c>
      <c r="D164" s="6" t="s">
        <v>666</v>
      </c>
      <c r="E164" s="6" t="s">
        <v>667</v>
      </c>
      <c r="F164" s="6" t="s">
        <v>122</v>
      </c>
      <c r="G164" s="8" t="n">
        <v>1</v>
      </c>
      <c r="H164" s="9" t="n">
        <v>1.78</v>
      </c>
      <c r="I164" s="9" t="n">
        <f aca="false">G164*H164</f>
        <v>1.78</v>
      </c>
      <c r="J164" s="6" t="s">
        <v>668</v>
      </c>
      <c r="K164" s="6"/>
    </row>
    <row r="165" customFormat="false" ht="15" hidden="false" customHeight="false" outlineLevel="0" collapsed="false">
      <c r="A165" s="6" t="n">
        <v>157</v>
      </c>
      <c r="B165" s="6" t="n">
        <v>8367</v>
      </c>
      <c r="C165" s="7" t="s">
        <v>669</v>
      </c>
      <c r="D165" s="6" t="s">
        <v>670</v>
      </c>
      <c r="E165" s="6" t="s">
        <v>671</v>
      </c>
      <c r="F165" s="6" t="s">
        <v>40</v>
      </c>
      <c r="G165" s="8" t="n">
        <v>10</v>
      </c>
      <c r="H165" s="9" t="n">
        <v>13.36</v>
      </c>
      <c r="I165" s="9" t="n">
        <f aca="false">G165*H165</f>
        <v>133.6</v>
      </c>
      <c r="J165" s="6" t="s">
        <v>672</v>
      </c>
      <c r="K165" s="6"/>
    </row>
    <row r="166" customFormat="false" ht="15" hidden="false" customHeight="false" outlineLevel="0" collapsed="false">
      <c r="A166" s="6" t="n">
        <v>158</v>
      </c>
      <c r="B166" s="6" t="n">
        <v>5586</v>
      </c>
      <c r="C166" s="7" t="s">
        <v>673</v>
      </c>
      <c r="D166" s="6" t="s">
        <v>674</v>
      </c>
      <c r="E166" s="6" t="s">
        <v>675</v>
      </c>
      <c r="F166" s="6" t="s">
        <v>676</v>
      </c>
      <c r="G166" s="8" t="n">
        <v>5</v>
      </c>
      <c r="H166" s="9" t="n">
        <v>8.36</v>
      </c>
      <c r="I166" s="9" t="n">
        <f aca="false">G166*H166</f>
        <v>41.8</v>
      </c>
      <c r="J166" s="6" t="s">
        <v>677</v>
      </c>
      <c r="K166" s="6"/>
    </row>
    <row r="167" customFormat="false" ht="15" hidden="false" customHeight="false" outlineLevel="0" collapsed="false">
      <c r="A167" s="6" t="n">
        <v>159</v>
      </c>
      <c r="B167" s="6" t="n">
        <v>311</v>
      </c>
      <c r="C167" s="7" t="s">
        <v>678</v>
      </c>
      <c r="D167" s="6" t="s">
        <v>679</v>
      </c>
      <c r="E167" s="6" t="s">
        <v>680</v>
      </c>
      <c r="F167" s="6" t="s">
        <v>98</v>
      </c>
      <c r="G167" s="8" t="n">
        <v>16</v>
      </c>
      <c r="H167" s="9" t="n">
        <v>11.45</v>
      </c>
      <c r="I167" s="9" t="n">
        <f aca="false">G167*H167</f>
        <v>183.2</v>
      </c>
      <c r="J167" s="6" t="s">
        <v>681</v>
      </c>
      <c r="K167" s="6"/>
    </row>
    <row r="168" customFormat="false" ht="15" hidden="false" customHeight="false" outlineLevel="0" collapsed="false">
      <c r="A168" s="6" t="n">
        <v>160</v>
      </c>
      <c r="B168" s="6" t="n">
        <v>276</v>
      </c>
      <c r="C168" s="7" t="s">
        <v>682</v>
      </c>
      <c r="D168" s="6" t="s">
        <v>683</v>
      </c>
      <c r="E168" s="6" t="s">
        <v>684</v>
      </c>
      <c r="F168" s="6" t="s">
        <v>98</v>
      </c>
      <c r="G168" s="8" t="n">
        <v>6</v>
      </c>
      <c r="H168" s="9" t="n">
        <v>11.71</v>
      </c>
      <c r="I168" s="9" t="n">
        <f aca="false">G168*H168</f>
        <v>70.26</v>
      </c>
      <c r="J168" s="6" t="s">
        <v>685</v>
      </c>
      <c r="K168" s="6"/>
    </row>
    <row r="169" customFormat="false" ht="15" hidden="false" customHeight="false" outlineLevel="0" collapsed="false">
      <c r="A169" s="6" t="n">
        <v>161</v>
      </c>
      <c r="B169" s="6" t="n">
        <v>717</v>
      </c>
      <c r="C169" s="7" t="s">
        <v>686</v>
      </c>
      <c r="D169" s="6" t="s">
        <v>687</v>
      </c>
      <c r="E169" s="6" t="s">
        <v>688</v>
      </c>
      <c r="F169" s="6" t="s">
        <v>98</v>
      </c>
      <c r="G169" s="8" t="n">
        <v>6</v>
      </c>
      <c r="H169" s="9" t="n">
        <v>11.97</v>
      </c>
      <c r="I169" s="9" t="n">
        <f aca="false">G169*H169</f>
        <v>71.82</v>
      </c>
      <c r="J169" s="6" t="s">
        <v>689</v>
      </c>
      <c r="K169" s="6"/>
    </row>
    <row r="170" customFormat="false" ht="15" hidden="false" customHeight="false" outlineLevel="0" collapsed="false">
      <c r="A170" s="6" t="n">
        <v>162</v>
      </c>
      <c r="B170" s="6" t="n">
        <v>312</v>
      </c>
      <c r="C170" s="7" t="s">
        <v>690</v>
      </c>
      <c r="D170" s="6" t="s">
        <v>691</v>
      </c>
      <c r="E170" s="6" t="s">
        <v>692</v>
      </c>
      <c r="F170" s="6" t="s">
        <v>98</v>
      </c>
      <c r="G170" s="8" t="n">
        <v>10</v>
      </c>
      <c r="H170" s="9" t="n">
        <v>11.87</v>
      </c>
      <c r="I170" s="9" t="n">
        <f aca="false">G170*H170</f>
        <v>118.7</v>
      </c>
      <c r="J170" s="6" t="s">
        <v>693</v>
      </c>
      <c r="K170" s="6"/>
    </row>
    <row r="171" customFormat="false" ht="15" hidden="false" customHeight="false" outlineLevel="0" collapsed="false">
      <c r="A171" s="6" t="n">
        <v>163</v>
      </c>
      <c r="B171" s="6" t="n">
        <v>4655</v>
      </c>
      <c r="C171" s="7" t="s">
        <v>694</v>
      </c>
      <c r="D171" s="6" t="s">
        <v>695</v>
      </c>
      <c r="E171" s="6" t="s">
        <v>696</v>
      </c>
      <c r="F171" s="6" t="s">
        <v>40</v>
      </c>
      <c r="G171" s="8" t="n">
        <v>4</v>
      </c>
      <c r="H171" s="9" t="n">
        <v>40.86</v>
      </c>
      <c r="I171" s="9" t="n">
        <f aca="false">G171*H171</f>
        <v>163.44</v>
      </c>
      <c r="J171" s="6" t="s">
        <v>697</v>
      </c>
      <c r="K171" s="6"/>
    </row>
    <row r="172" customFormat="false" ht="15" hidden="false" customHeight="false" outlineLevel="0" collapsed="false">
      <c r="A172" s="6" t="n">
        <v>164</v>
      </c>
      <c r="B172" s="6" t="n">
        <v>2749</v>
      </c>
      <c r="C172" s="7" t="s">
        <v>698</v>
      </c>
      <c r="D172" s="6" t="s">
        <v>699</v>
      </c>
      <c r="E172" s="6" t="s">
        <v>699</v>
      </c>
      <c r="F172" s="6"/>
      <c r="G172" s="8" t="n">
        <v>3</v>
      </c>
      <c r="H172" s="9" t="n">
        <v>6.79</v>
      </c>
      <c r="I172" s="9" t="n">
        <f aca="false">G172*H172</f>
        <v>20.37</v>
      </c>
      <c r="J172" s="6" t="s">
        <v>700</v>
      </c>
      <c r="K172" s="6"/>
    </row>
    <row r="173" customFormat="false" ht="15" hidden="false" customHeight="false" outlineLevel="0" collapsed="false">
      <c r="A173" s="6" t="n">
        <v>165</v>
      </c>
      <c r="B173" s="6" t="n">
        <v>379</v>
      </c>
      <c r="C173" s="7" t="s">
        <v>701</v>
      </c>
      <c r="D173" s="6" t="s">
        <v>702</v>
      </c>
      <c r="E173" s="6" t="s">
        <v>702</v>
      </c>
      <c r="F173" s="6" t="s">
        <v>703</v>
      </c>
      <c r="G173" s="8" t="n">
        <v>12</v>
      </c>
      <c r="H173" s="9" t="n">
        <v>8.1</v>
      </c>
      <c r="I173" s="9" t="n">
        <f aca="false">G173*H173</f>
        <v>97.2</v>
      </c>
      <c r="J173" s="6" t="s">
        <v>704</v>
      </c>
      <c r="K173" s="6"/>
    </row>
    <row r="174" customFormat="false" ht="15" hidden="false" customHeight="false" outlineLevel="0" collapsed="false">
      <c r="A174" s="6" t="n">
        <v>166</v>
      </c>
      <c r="B174" s="6" t="n">
        <v>5933</v>
      </c>
      <c r="C174" s="7" t="s">
        <v>705</v>
      </c>
      <c r="D174" s="6" t="s">
        <v>706</v>
      </c>
      <c r="E174" s="6" t="s">
        <v>707</v>
      </c>
      <c r="F174" s="6" t="s">
        <v>98</v>
      </c>
      <c r="G174" s="8" t="n">
        <v>18</v>
      </c>
      <c r="H174" s="9" t="n">
        <v>13.76</v>
      </c>
      <c r="I174" s="9" t="n">
        <f aca="false">G174*H174</f>
        <v>247.68</v>
      </c>
      <c r="J174" s="6" t="s">
        <v>708</v>
      </c>
      <c r="K174" s="6"/>
    </row>
    <row r="175" customFormat="false" ht="15" hidden="false" customHeight="false" outlineLevel="0" collapsed="false">
      <c r="A175" s="6" t="n">
        <v>167</v>
      </c>
      <c r="B175" s="6" t="n">
        <v>4809</v>
      </c>
      <c r="C175" s="7" t="s">
        <v>709</v>
      </c>
      <c r="D175" s="6" t="s">
        <v>710</v>
      </c>
      <c r="E175" s="6" t="s">
        <v>711</v>
      </c>
      <c r="F175" s="6" t="s">
        <v>98</v>
      </c>
      <c r="G175" s="8" t="n">
        <v>1</v>
      </c>
      <c r="H175" s="9" t="n">
        <v>13.75</v>
      </c>
      <c r="I175" s="9" t="n">
        <f aca="false">G175*H175</f>
        <v>13.75</v>
      </c>
      <c r="J175" s="6" t="s">
        <v>712</v>
      </c>
      <c r="K175" s="6"/>
    </row>
    <row r="176" customFormat="false" ht="15" hidden="false" customHeight="false" outlineLevel="0" collapsed="false">
      <c r="A176" s="6" t="n">
        <v>168</v>
      </c>
      <c r="B176" s="6" t="n">
        <v>9870</v>
      </c>
      <c r="C176" s="7" t="s">
        <v>713</v>
      </c>
      <c r="D176" s="6" t="s">
        <v>714</v>
      </c>
      <c r="E176" s="6" t="s">
        <v>715</v>
      </c>
      <c r="F176" s="6" t="s">
        <v>545</v>
      </c>
      <c r="G176" s="8" t="n">
        <v>1</v>
      </c>
      <c r="H176" s="9" t="n">
        <v>135.39</v>
      </c>
      <c r="I176" s="9" t="n">
        <f aca="false">G176*H176</f>
        <v>135.39</v>
      </c>
      <c r="J176" s="6" t="s">
        <v>716</v>
      </c>
      <c r="K176" s="6"/>
    </row>
    <row r="177" customFormat="false" ht="15" hidden="false" customHeight="false" outlineLevel="0" collapsed="false">
      <c r="A177" s="6" t="n">
        <v>169</v>
      </c>
      <c r="B177" s="6" t="n">
        <v>3581</v>
      </c>
      <c r="C177" s="7" t="s">
        <v>717</v>
      </c>
      <c r="D177" s="6" t="s">
        <v>718</v>
      </c>
      <c r="E177" s="6" t="s">
        <v>719</v>
      </c>
      <c r="F177" s="6" t="s">
        <v>30</v>
      </c>
      <c r="G177" s="8" t="n">
        <v>8</v>
      </c>
      <c r="H177" s="9" t="n">
        <v>2.11</v>
      </c>
      <c r="I177" s="9" t="n">
        <f aca="false">G177*H177</f>
        <v>16.88</v>
      </c>
      <c r="J177" s="6" t="s">
        <v>720</v>
      </c>
      <c r="K177" s="6"/>
    </row>
    <row r="178" customFormat="false" ht="15" hidden="false" customHeight="false" outlineLevel="0" collapsed="false">
      <c r="A178" s="6" t="n">
        <v>170</v>
      </c>
      <c r="B178" s="6" t="n">
        <v>510</v>
      </c>
      <c r="C178" s="7" t="s">
        <v>721</v>
      </c>
      <c r="D178" s="6" t="s">
        <v>722</v>
      </c>
      <c r="E178" s="6" t="s">
        <v>723</v>
      </c>
      <c r="F178" s="6" t="s">
        <v>133</v>
      </c>
      <c r="G178" s="8" t="n">
        <v>30</v>
      </c>
      <c r="H178" s="9" t="n">
        <v>2.3</v>
      </c>
      <c r="I178" s="9" t="n">
        <f aca="false">G178*H178</f>
        <v>69</v>
      </c>
      <c r="J178" s="6" t="s">
        <v>724</v>
      </c>
      <c r="K178" s="6"/>
    </row>
    <row r="179" customFormat="false" ht="15" hidden="false" customHeight="false" outlineLevel="0" collapsed="false">
      <c r="A179" s="6" t="n">
        <v>171</v>
      </c>
      <c r="B179" s="6" t="n">
        <v>3082</v>
      </c>
      <c r="C179" s="7" t="s">
        <v>725</v>
      </c>
      <c r="D179" s="6" t="s">
        <v>726</v>
      </c>
      <c r="E179" s="6" t="s">
        <v>727</v>
      </c>
      <c r="F179" s="6" t="s">
        <v>728</v>
      </c>
      <c r="G179" s="8" t="n">
        <v>4</v>
      </c>
      <c r="H179" s="9" t="n">
        <v>21.59</v>
      </c>
      <c r="I179" s="9" t="n">
        <f aca="false">G179*H179</f>
        <v>86.36</v>
      </c>
      <c r="J179" s="6" t="s">
        <v>729</v>
      </c>
      <c r="K179" s="6"/>
    </row>
    <row r="180" customFormat="false" ht="15" hidden="false" customHeight="false" outlineLevel="0" collapsed="false">
      <c r="A180" s="6" t="n">
        <v>172</v>
      </c>
      <c r="B180" s="6" t="n">
        <v>613</v>
      </c>
      <c r="C180" s="7" t="s">
        <v>730</v>
      </c>
      <c r="D180" s="6" t="s">
        <v>731</v>
      </c>
      <c r="E180" s="6" t="s">
        <v>732</v>
      </c>
      <c r="F180" s="6" t="s">
        <v>169</v>
      </c>
      <c r="G180" s="8" t="n">
        <v>4</v>
      </c>
      <c r="H180" s="9" t="n">
        <v>20.64</v>
      </c>
      <c r="I180" s="9" t="n">
        <f aca="false">G180*H180</f>
        <v>82.56</v>
      </c>
      <c r="J180" s="6" t="s">
        <v>733</v>
      </c>
      <c r="K180" s="6"/>
    </row>
    <row r="181" customFormat="false" ht="15" hidden="false" customHeight="false" outlineLevel="0" collapsed="false">
      <c r="A181" s="6" t="n">
        <v>173</v>
      </c>
      <c r="B181" s="6" t="n">
        <v>8568</v>
      </c>
      <c r="C181" s="7" t="s">
        <v>734</v>
      </c>
      <c r="D181" s="6" t="s">
        <v>735</v>
      </c>
      <c r="E181" s="6" t="s">
        <v>735</v>
      </c>
      <c r="F181" s="6" t="s">
        <v>315</v>
      </c>
      <c r="G181" s="8" t="n">
        <v>3</v>
      </c>
      <c r="H181" s="9" t="n">
        <v>9.43</v>
      </c>
      <c r="I181" s="9" t="n">
        <f aca="false">G181*H181</f>
        <v>28.29</v>
      </c>
      <c r="J181" s="6" t="s">
        <v>736</v>
      </c>
      <c r="K181" s="6"/>
    </row>
    <row r="182" customFormat="false" ht="15" hidden="false" customHeight="false" outlineLevel="0" collapsed="false">
      <c r="A182" s="6" t="n">
        <v>174</v>
      </c>
      <c r="B182" s="6" t="n">
        <v>4677</v>
      </c>
      <c r="C182" s="7" t="s">
        <v>737</v>
      </c>
      <c r="D182" s="6" t="s">
        <v>738</v>
      </c>
      <c r="E182" s="6" t="s">
        <v>739</v>
      </c>
      <c r="F182" s="6" t="s">
        <v>728</v>
      </c>
      <c r="G182" s="8" t="n">
        <v>5</v>
      </c>
      <c r="H182" s="9" t="n">
        <v>25.31</v>
      </c>
      <c r="I182" s="9" t="n">
        <f aca="false">G182*H182</f>
        <v>126.55</v>
      </c>
      <c r="J182" s="6" t="s">
        <v>740</v>
      </c>
      <c r="K182" s="6"/>
    </row>
    <row r="183" customFormat="false" ht="15" hidden="false" customHeight="false" outlineLevel="0" collapsed="false">
      <c r="A183" s="6" t="n">
        <v>175</v>
      </c>
      <c r="B183" s="6" t="n">
        <v>8859</v>
      </c>
      <c r="C183" s="7" t="s">
        <v>741</v>
      </c>
      <c r="D183" s="6" t="s">
        <v>742</v>
      </c>
      <c r="E183" s="6" t="s">
        <v>743</v>
      </c>
      <c r="F183" s="6"/>
      <c r="G183" s="8" t="n">
        <v>5</v>
      </c>
      <c r="H183" s="9" t="n">
        <v>1.79</v>
      </c>
      <c r="I183" s="9" t="n">
        <f aca="false">G183*H183</f>
        <v>8.95</v>
      </c>
      <c r="J183" s="6" t="s">
        <v>744</v>
      </c>
      <c r="K183" s="6"/>
    </row>
    <row r="184" customFormat="false" ht="15" hidden="false" customHeight="false" outlineLevel="0" collapsed="false">
      <c r="A184" s="6" t="n">
        <v>176</v>
      </c>
      <c r="B184" s="6" t="n">
        <v>3942</v>
      </c>
      <c r="C184" s="7" t="s">
        <v>745</v>
      </c>
      <c r="D184" s="6" t="s">
        <v>746</v>
      </c>
      <c r="E184" s="6" t="s">
        <v>747</v>
      </c>
      <c r="F184" s="6" t="s">
        <v>748</v>
      </c>
      <c r="G184" s="8" t="n">
        <v>17</v>
      </c>
      <c r="H184" s="9" t="n">
        <v>2.98</v>
      </c>
      <c r="I184" s="9" t="n">
        <f aca="false">G184*H184</f>
        <v>50.66</v>
      </c>
      <c r="J184" s="6" t="s">
        <v>749</v>
      </c>
      <c r="K184" s="6"/>
    </row>
    <row r="185" customFormat="false" ht="15" hidden="false" customHeight="false" outlineLevel="0" collapsed="false">
      <c r="A185" s="6" t="n">
        <v>177</v>
      </c>
      <c r="B185" s="6" t="n">
        <v>9880</v>
      </c>
      <c r="C185" s="7" t="s">
        <v>750</v>
      </c>
      <c r="D185" s="6" t="s">
        <v>443</v>
      </c>
      <c r="E185" s="6" t="s">
        <v>443</v>
      </c>
      <c r="F185" s="6" t="s">
        <v>30</v>
      </c>
      <c r="G185" s="8" t="n">
        <v>1</v>
      </c>
      <c r="H185" s="9" t="n">
        <v>10.79</v>
      </c>
      <c r="I185" s="9" t="n">
        <f aca="false">G185*H185</f>
        <v>10.79</v>
      </c>
      <c r="J185" s="6" t="s">
        <v>751</v>
      </c>
      <c r="K185" s="6"/>
    </row>
    <row r="186" customFormat="false" ht="15" hidden="false" customHeight="false" outlineLevel="0" collapsed="false">
      <c r="A186" s="6" t="n">
        <v>178</v>
      </c>
      <c r="B186" s="6" t="n">
        <v>7721</v>
      </c>
      <c r="C186" s="7" t="s">
        <v>752</v>
      </c>
      <c r="D186" s="6" t="s">
        <v>753</v>
      </c>
      <c r="E186" s="6" t="s">
        <v>754</v>
      </c>
      <c r="F186" s="6" t="s">
        <v>755</v>
      </c>
      <c r="G186" s="8" t="n">
        <v>1</v>
      </c>
      <c r="H186" s="9" t="n">
        <v>13.49</v>
      </c>
      <c r="I186" s="9" t="n">
        <f aca="false">G186*H186</f>
        <v>13.49</v>
      </c>
      <c r="J186" s="6" t="s">
        <v>756</v>
      </c>
      <c r="K186" s="6"/>
    </row>
    <row r="187" customFormat="false" ht="15" hidden="false" customHeight="false" outlineLevel="0" collapsed="false">
      <c r="A187" s="6" t="n">
        <v>179</v>
      </c>
      <c r="B187" s="6" t="n">
        <v>3490</v>
      </c>
      <c r="C187" s="7" t="s">
        <v>757</v>
      </c>
      <c r="D187" s="6" t="s">
        <v>758</v>
      </c>
      <c r="E187" s="6" t="s">
        <v>759</v>
      </c>
      <c r="F187" s="6" t="s">
        <v>133</v>
      </c>
      <c r="G187" s="8" t="n">
        <v>2</v>
      </c>
      <c r="H187" s="9" t="n">
        <v>38.21</v>
      </c>
      <c r="I187" s="9" t="n">
        <f aca="false">G187*H187</f>
        <v>76.42</v>
      </c>
      <c r="J187" s="6" t="s">
        <v>760</v>
      </c>
      <c r="K187" s="6"/>
    </row>
    <row r="188" customFormat="false" ht="15" hidden="false" customHeight="false" outlineLevel="0" collapsed="false">
      <c r="A188" s="6" t="n">
        <v>180</v>
      </c>
      <c r="B188" s="6" t="n">
        <v>931</v>
      </c>
      <c r="C188" s="7" t="s">
        <v>761</v>
      </c>
      <c r="D188" s="6" t="s">
        <v>762</v>
      </c>
      <c r="E188" s="6" t="s">
        <v>763</v>
      </c>
      <c r="F188" s="6" t="s">
        <v>80</v>
      </c>
      <c r="G188" s="8" t="n">
        <v>59</v>
      </c>
      <c r="H188" s="9" t="n">
        <v>1.76</v>
      </c>
      <c r="I188" s="9" t="n">
        <f aca="false">G188*H188</f>
        <v>103.84</v>
      </c>
      <c r="J188" s="6" t="s">
        <v>764</v>
      </c>
      <c r="K188" s="6"/>
    </row>
    <row r="189" customFormat="false" ht="15" hidden="false" customHeight="false" outlineLevel="0" collapsed="false">
      <c r="A189" s="6" t="n">
        <v>181</v>
      </c>
      <c r="B189" s="6" t="n">
        <v>6347</v>
      </c>
      <c r="C189" s="7" t="s">
        <v>765</v>
      </c>
      <c r="D189" s="6" t="s">
        <v>766</v>
      </c>
      <c r="E189" s="6" t="s">
        <v>767</v>
      </c>
      <c r="F189" s="6" t="s">
        <v>174</v>
      </c>
      <c r="G189" s="8" t="n">
        <v>8</v>
      </c>
      <c r="H189" s="9" t="n">
        <v>12.14</v>
      </c>
      <c r="I189" s="9" t="n">
        <f aca="false">G189*H189</f>
        <v>97.12</v>
      </c>
      <c r="J189" s="6" t="s">
        <v>768</v>
      </c>
      <c r="K189" s="6"/>
    </row>
    <row r="190" customFormat="false" ht="15" hidden="false" customHeight="false" outlineLevel="0" collapsed="false">
      <c r="A190" s="6" t="n">
        <v>182</v>
      </c>
      <c r="B190" s="6" t="n">
        <v>8810</v>
      </c>
      <c r="C190" s="7" t="s">
        <v>769</v>
      </c>
      <c r="D190" s="6" t="s">
        <v>770</v>
      </c>
      <c r="E190" s="6" t="s">
        <v>770</v>
      </c>
      <c r="F190" s="6" t="s">
        <v>771</v>
      </c>
      <c r="G190" s="8" t="n">
        <v>8</v>
      </c>
      <c r="H190" s="9" t="n">
        <v>26.33</v>
      </c>
      <c r="I190" s="9" t="n">
        <f aca="false">G190*H190</f>
        <v>210.64</v>
      </c>
      <c r="J190" s="6" t="s">
        <v>772</v>
      </c>
      <c r="K190" s="6"/>
    </row>
    <row r="191" customFormat="false" ht="15" hidden="false" customHeight="false" outlineLevel="0" collapsed="false">
      <c r="A191" s="6" t="n">
        <v>183</v>
      </c>
      <c r="B191" s="6" t="n">
        <v>8809</v>
      </c>
      <c r="C191" s="7" t="s">
        <v>773</v>
      </c>
      <c r="D191" s="6" t="s">
        <v>774</v>
      </c>
      <c r="E191" s="6" t="s">
        <v>774</v>
      </c>
      <c r="F191" s="6"/>
      <c r="G191" s="8" t="n">
        <v>8</v>
      </c>
      <c r="H191" s="9" t="n">
        <v>26.33</v>
      </c>
      <c r="I191" s="9" t="n">
        <f aca="false">G191*H191</f>
        <v>210.64</v>
      </c>
      <c r="J191" s="6" t="s">
        <v>775</v>
      </c>
      <c r="K191" s="6"/>
    </row>
    <row r="192" customFormat="false" ht="15" hidden="false" customHeight="false" outlineLevel="0" collapsed="false">
      <c r="A192" s="6" t="n">
        <v>184</v>
      </c>
      <c r="B192" s="6" t="n">
        <v>8871</v>
      </c>
      <c r="C192" s="7" t="s">
        <v>776</v>
      </c>
      <c r="D192" s="6" t="s">
        <v>777</v>
      </c>
      <c r="E192" s="6" t="s">
        <v>777</v>
      </c>
      <c r="F192" s="6"/>
      <c r="G192" s="8" t="n">
        <v>5</v>
      </c>
      <c r="H192" s="9" t="n">
        <v>26.17</v>
      </c>
      <c r="I192" s="9" t="n">
        <f aca="false">G192*H192</f>
        <v>130.85</v>
      </c>
      <c r="J192" s="6" t="s">
        <v>778</v>
      </c>
      <c r="K192" s="6"/>
    </row>
    <row r="193" customFormat="false" ht="15" hidden="false" customHeight="false" outlineLevel="0" collapsed="false">
      <c r="A193" s="6" t="n">
        <v>185</v>
      </c>
      <c r="B193" s="6" t="n">
        <v>7719</v>
      </c>
      <c r="C193" s="7" t="s">
        <v>779</v>
      </c>
      <c r="D193" s="6" t="s">
        <v>780</v>
      </c>
      <c r="E193" s="6" t="s">
        <v>781</v>
      </c>
      <c r="F193" s="6" t="s">
        <v>66</v>
      </c>
      <c r="G193" s="8" t="n">
        <v>14</v>
      </c>
      <c r="H193" s="9" t="n">
        <v>16.03</v>
      </c>
      <c r="I193" s="9" t="n">
        <f aca="false">G193*H193</f>
        <v>224.42</v>
      </c>
      <c r="J193" s="6" t="s">
        <v>782</v>
      </c>
      <c r="K193" s="6"/>
    </row>
    <row r="194" customFormat="false" ht="15" hidden="false" customHeight="false" outlineLevel="0" collapsed="false">
      <c r="A194" s="6" t="n">
        <v>186</v>
      </c>
      <c r="B194" s="6" t="n">
        <v>5231</v>
      </c>
      <c r="C194" s="7" t="s">
        <v>783</v>
      </c>
      <c r="D194" s="6" t="s">
        <v>784</v>
      </c>
      <c r="E194" s="6" t="s">
        <v>785</v>
      </c>
      <c r="F194" s="6" t="s">
        <v>50</v>
      </c>
      <c r="G194" s="8" t="n">
        <v>3</v>
      </c>
      <c r="H194" s="9" t="n">
        <v>19.64</v>
      </c>
      <c r="I194" s="9" t="n">
        <f aca="false">G194*H194</f>
        <v>58.92</v>
      </c>
      <c r="J194" s="6" t="s">
        <v>786</v>
      </c>
      <c r="K194" s="6"/>
    </row>
    <row r="195" customFormat="false" ht="15" hidden="false" customHeight="false" outlineLevel="0" collapsed="false">
      <c r="A195" s="6" t="n">
        <v>187</v>
      </c>
      <c r="B195" s="6" t="n">
        <v>3783</v>
      </c>
      <c r="C195" s="7" t="s">
        <v>787</v>
      </c>
      <c r="D195" s="6" t="s">
        <v>788</v>
      </c>
      <c r="E195" s="6" t="s">
        <v>789</v>
      </c>
      <c r="F195" s="6" t="s">
        <v>45</v>
      </c>
      <c r="G195" s="8" t="n">
        <v>15</v>
      </c>
      <c r="H195" s="9" t="n">
        <v>4.5</v>
      </c>
      <c r="I195" s="9" t="n">
        <f aca="false">G195*H195</f>
        <v>67.5</v>
      </c>
      <c r="J195" s="6" t="s">
        <v>790</v>
      </c>
      <c r="K195" s="6"/>
    </row>
    <row r="196" customFormat="false" ht="15" hidden="false" customHeight="false" outlineLevel="0" collapsed="false">
      <c r="A196" s="6" t="n">
        <v>188</v>
      </c>
      <c r="B196" s="6" t="n">
        <v>8328</v>
      </c>
      <c r="C196" s="7" t="s">
        <v>791</v>
      </c>
      <c r="D196" s="6" t="s">
        <v>792</v>
      </c>
      <c r="E196" s="6" t="s">
        <v>792</v>
      </c>
      <c r="F196" s="6" t="s">
        <v>188</v>
      </c>
      <c r="G196" s="8" t="n">
        <v>2</v>
      </c>
      <c r="H196" s="9" t="n">
        <v>23.7735</v>
      </c>
      <c r="I196" s="9" t="n">
        <f aca="false">G196*H196</f>
        <v>47.547</v>
      </c>
      <c r="J196" s="6" t="s">
        <v>793</v>
      </c>
      <c r="K196" s="6"/>
    </row>
    <row r="197" customFormat="false" ht="15" hidden="false" customHeight="false" outlineLevel="0" collapsed="false">
      <c r="A197" s="6" t="n">
        <v>189</v>
      </c>
      <c r="B197" s="6" t="n">
        <v>1030</v>
      </c>
      <c r="C197" s="7" t="s">
        <v>794</v>
      </c>
      <c r="D197" s="6" t="s">
        <v>795</v>
      </c>
      <c r="E197" s="6" t="s">
        <v>796</v>
      </c>
      <c r="F197" s="6" t="s">
        <v>98</v>
      </c>
      <c r="G197" s="8" t="n">
        <v>1</v>
      </c>
      <c r="H197" s="9" t="n">
        <v>27.17</v>
      </c>
      <c r="I197" s="9" t="n">
        <f aca="false">G197*H197</f>
        <v>27.17</v>
      </c>
      <c r="J197" s="6" t="s">
        <v>797</v>
      </c>
      <c r="K197" s="6"/>
    </row>
    <row r="198" customFormat="false" ht="15" hidden="false" customHeight="false" outlineLevel="0" collapsed="false">
      <c r="A198" s="6" t="n">
        <v>190</v>
      </c>
      <c r="B198" s="6" t="n">
        <v>315</v>
      </c>
      <c r="C198" s="7" t="s">
        <v>798</v>
      </c>
      <c r="D198" s="6" t="s">
        <v>799</v>
      </c>
      <c r="E198" s="6" t="s">
        <v>800</v>
      </c>
      <c r="F198" s="6" t="s">
        <v>98</v>
      </c>
      <c r="G198" s="8" t="n">
        <v>40</v>
      </c>
      <c r="H198" s="9" t="n">
        <v>2.22</v>
      </c>
      <c r="I198" s="9" t="n">
        <f aca="false">G198*H198</f>
        <v>88.8</v>
      </c>
      <c r="J198" s="6" t="s">
        <v>801</v>
      </c>
      <c r="K198" s="6"/>
    </row>
    <row r="199" customFormat="false" ht="15" hidden="false" customHeight="false" outlineLevel="0" collapsed="false">
      <c r="A199" s="6" t="n">
        <v>191</v>
      </c>
      <c r="B199" s="6" t="n">
        <v>10745</v>
      </c>
      <c r="C199" s="7" t="s">
        <v>802</v>
      </c>
      <c r="D199" s="6" t="s">
        <v>803</v>
      </c>
      <c r="E199" s="6" t="s">
        <v>803</v>
      </c>
      <c r="F199" s="6"/>
      <c r="G199" s="8" t="n">
        <v>2</v>
      </c>
      <c r="H199" s="9" t="n">
        <v>17.73</v>
      </c>
      <c r="I199" s="9" t="n">
        <f aca="false">G199*H199</f>
        <v>35.46</v>
      </c>
      <c r="J199" s="6" t="s">
        <v>804</v>
      </c>
      <c r="K199" s="6"/>
    </row>
    <row r="200" customFormat="false" ht="15" hidden="false" customHeight="false" outlineLevel="0" collapsed="false">
      <c r="A200" s="6" t="n">
        <v>192</v>
      </c>
      <c r="B200" s="6" t="n">
        <v>11166</v>
      </c>
      <c r="C200" s="7" t="s">
        <v>805</v>
      </c>
      <c r="D200" s="6" t="s">
        <v>806</v>
      </c>
      <c r="E200" s="6" t="s">
        <v>807</v>
      </c>
      <c r="F200" s="6" t="s">
        <v>808</v>
      </c>
      <c r="G200" s="8" t="n">
        <v>1</v>
      </c>
      <c r="H200" s="9" t="n">
        <v>58.32</v>
      </c>
      <c r="I200" s="9" t="n">
        <f aca="false">G200*H200</f>
        <v>58.32</v>
      </c>
      <c r="J200" s="6" t="s">
        <v>809</v>
      </c>
      <c r="K200" s="6"/>
    </row>
    <row r="201" customFormat="false" ht="15" hidden="false" customHeight="false" outlineLevel="0" collapsed="false">
      <c r="A201" s="6" t="n">
        <v>193</v>
      </c>
      <c r="B201" s="6" t="n">
        <v>11167</v>
      </c>
      <c r="C201" s="7" t="s">
        <v>810</v>
      </c>
      <c r="D201" s="6" t="s">
        <v>811</v>
      </c>
      <c r="E201" s="6" t="s">
        <v>812</v>
      </c>
      <c r="F201" s="6" t="s">
        <v>808</v>
      </c>
      <c r="G201" s="8" t="n">
        <v>2</v>
      </c>
      <c r="H201" s="9" t="n">
        <v>58.32</v>
      </c>
      <c r="I201" s="9" t="n">
        <f aca="false">G201*H201</f>
        <v>116.64</v>
      </c>
      <c r="J201" s="6" t="s">
        <v>813</v>
      </c>
      <c r="K201" s="6"/>
    </row>
    <row r="202" customFormat="false" ht="15" hidden="false" customHeight="false" outlineLevel="0" collapsed="false">
      <c r="A202" s="6" t="n">
        <v>194</v>
      </c>
      <c r="B202" s="6" t="n">
        <v>8926</v>
      </c>
      <c r="C202" s="7" t="s">
        <v>814</v>
      </c>
      <c r="D202" s="6" t="s">
        <v>815</v>
      </c>
      <c r="E202" s="6" t="s">
        <v>816</v>
      </c>
      <c r="F202" s="6" t="s">
        <v>703</v>
      </c>
      <c r="G202" s="8" t="n">
        <v>3</v>
      </c>
      <c r="H202" s="9" t="n">
        <v>10.61</v>
      </c>
      <c r="I202" s="9" t="n">
        <f aca="false">G202*H202</f>
        <v>31.83</v>
      </c>
      <c r="J202" s="6" t="s">
        <v>817</v>
      </c>
      <c r="K202" s="6"/>
    </row>
    <row r="203" customFormat="false" ht="15" hidden="false" customHeight="false" outlineLevel="0" collapsed="false">
      <c r="A203" s="6" t="n">
        <v>195</v>
      </c>
      <c r="B203" s="6" t="n">
        <v>4729</v>
      </c>
      <c r="C203" s="7" t="s">
        <v>818</v>
      </c>
      <c r="D203" s="6" t="s">
        <v>819</v>
      </c>
      <c r="E203" s="6" t="s">
        <v>819</v>
      </c>
      <c r="F203" s="6"/>
      <c r="G203" s="8" t="n">
        <v>2</v>
      </c>
      <c r="H203" s="9" t="n">
        <v>13.22</v>
      </c>
      <c r="I203" s="9" t="n">
        <f aca="false">G203*H203</f>
        <v>26.44</v>
      </c>
      <c r="J203" s="6" t="s">
        <v>820</v>
      </c>
      <c r="K203" s="6"/>
    </row>
    <row r="204" customFormat="false" ht="15" hidden="false" customHeight="false" outlineLevel="0" collapsed="false">
      <c r="A204" s="6" t="n">
        <v>196</v>
      </c>
      <c r="B204" s="6" t="n">
        <v>625</v>
      </c>
      <c r="C204" s="7" t="s">
        <v>821</v>
      </c>
      <c r="D204" s="6" t="s">
        <v>822</v>
      </c>
      <c r="E204" s="6" t="s">
        <v>823</v>
      </c>
      <c r="F204" s="6" t="s">
        <v>482</v>
      </c>
      <c r="G204" s="8" t="n">
        <v>6</v>
      </c>
      <c r="H204" s="9" t="n">
        <v>15.82</v>
      </c>
      <c r="I204" s="9" t="n">
        <f aca="false">G204*H204</f>
        <v>94.92</v>
      </c>
      <c r="J204" s="6" t="s">
        <v>824</v>
      </c>
      <c r="K204" s="6"/>
    </row>
    <row r="205" customFormat="false" ht="15" hidden="false" customHeight="false" outlineLevel="0" collapsed="false">
      <c r="A205" s="6" t="n">
        <v>197</v>
      </c>
      <c r="B205" s="6" t="n">
        <v>201</v>
      </c>
      <c r="C205" s="7" t="s">
        <v>825</v>
      </c>
      <c r="D205" s="6" t="s">
        <v>826</v>
      </c>
      <c r="E205" s="6" t="s">
        <v>826</v>
      </c>
      <c r="F205" s="6" t="s">
        <v>827</v>
      </c>
      <c r="G205" s="8" t="n">
        <v>1</v>
      </c>
      <c r="H205" s="9" t="n">
        <v>10.3</v>
      </c>
      <c r="I205" s="9" t="n">
        <f aca="false">G205*H205</f>
        <v>10.3</v>
      </c>
      <c r="J205" s="6" t="s">
        <v>828</v>
      </c>
      <c r="K205" s="6"/>
    </row>
    <row r="206" customFormat="false" ht="15" hidden="false" customHeight="false" outlineLevel="0" collapsed="false">
      <c r="A206" s="6" t="n">
        <v>198</v>
      </c>
      <c r="B206" s="6" t="n">
        <v>5738</v>
      </c>
      <c r="C206" s="7" t="s">
        <v>829</v>
      </c>
      <c r="D206" s="6" t="s">
        <v>830</v>
      </c>
      <c r="E206" s="6" t="s">
        <v>831</v>
      </c>
      <c r="F206" s="6" t="s">
        <v>188</v>
      </c>
      <c r="G206" s="8" t="n">
        <v>8</v>
      </c>
      <c r="H206" s="9" t="n">
        <v>37.8859</v>
      </c>
      <c r="I206" s="9" t="n">
        <f aca="false">G206*H206</f>
        <v>303.0872</v>
      </c>
      <c r="J206" s="6" t="s">
        <v>832</v>
      </c>
      <c r="K206" s="6"/>
    </row>
    <row r="207" customFormat="false" ht="15" hidden="false" customHeight="false" outlineLevel="0" collapsed="false">
      <c r="A207" s="6" t="n">
        <v>199</v>
      </c>
      <c r="B207" s="6" t="n">
        <v>7656</v>
      </c>
      <c r="C207" s="7" t="s">
        <v>833</v>
      </c>
      <c r="D207" s="6" t="s">
        <v>834</v>
      </c>
      <c r="E207" s="6" t="s">
        <v>835</v>
      </c>
      <c r="F207" s="6" t="s">
        <v>188</v>
      </c>
      <c r="G207" s="8" t="n">
        <v>9</v>
      </c>
      <c r="H207" s="9" t="n">
        <v>11.4769</v>
      </c>
      <c r="I207" s="9" t="n">
        <f aca="false">G207*H207</f>
        <v>103.2921</v>
      </c>
      <c r="J207" s="6" t="s">
        <v>836</v>
      </c>
      <c r="K207" s="6"/>
    </row>
    <row r="208" customFormat="false" ht="15" hidden="false" customHeight="false" outlineLevel="0" collapsed="false">
      <c r="A208" s="6" t="n">
        <v>200</v>
      </c>
      <c r="B208" s="6" t="n">
        <v>222</v>
      </c>
      <c r="C208" s="7" t="s">
        <v>837</v>
      </c>
      <c r="D208" s="6" t="s">
        <v>838</v>
      </c>
      <c r="E208" s="6" t="s">
        <v>839</v>
      </c>
      <c r="F208" s="6" t="s">
        <v>122</v>
      </c>
      <c r="G208" s="8" t="n">
        <v>2</v>
      </c>
      <c r="H208" s="9" t="n">
        <v>0.79</v>
      </c>
      <c r="I208" s="9" t="n">
        <f aca="false">G208*H208</f>
        <v>1.58</v>
      </c>
      <c r="J208" s="6" t="s">
        <v>840</v>
      </c>
      <c r="K208" s="6"/>
    </row>
    <row r="209" customFormat="false" ht="15" hidden="false" customHeight="false" outlineLevel="0" collapsed="false">
      <c r="A209" s="6" t="n">
        <v>201</v>
      </c>
      <c r="B209" s="6" t="n">
        <v>2132</v>
      </c>
      <c r="C209" s="7" t="s">
        <v>841</v>
      </c>
      <c r="D209" s="6" t="s">
        <v>842</v>
      </c>
      <c r="E209" s="6" t="s">
        <v>843</v>
      </c>
      <c r="F209" s="6" t="s">
        <v>98</v>
      </c>
      <c r="G209" s="8" t="n">
        <v>7</v>
      </c>
      <c r="H209" s="9" t="n">
        <v>9.12</v>
      </c>
      <c r="I209" s="9" t="n">
        <f aca="false">G209*H209</f>
        <v>63.84</v>
      </c>
      <c r="J209" s="6" t="s">
        <v>844</v>
      </c>
      <c r="K209" s="6"/>
    </row>
    <row r="210" customFormat="false" ht="15" hidden="false" customHeight="false" outlineLevel="0" collapsed="false">
      <c r="A210" s="6" t="n">
        <v>202</v>
      </c>
      <c r="B210" s="6" t="n">
        <v>9980</v>
      </c>
      <c r="C210" s="7" t="s">
        <v>845</v>
      </c>
      <c r="D210" s="6" t="s">
        <v>846</v>
      </c>
      <c r="E210" s="6" t="s">
        <v>846</v>
      </c>
      <c r="F210" s="6" t="s">
        <v>98</v>
      </c>
      <c r="G210" s="8" t="n">
        <v>1</v>
      </c>
      <c r="H210" s="9" t="n">
        <v>6.4</v>
      </c>
      <c r="I210" s="9" t="n">
        <f aca="false">G210*H210</f>
        <v>6.4</v>
      </c>
      <c r="J210" s="6" t="s">
        <v>847</v>
      </c>
      <c r="K210" s="6"/>
    </row>
    <row r="211" customFormat="false" ht="15" hidden="false" customHeight="false" outlineLevel="0" collapsed="false">
      <c r="A211" s="6" t="n">
        <v>203</v>
      </c>
      <c r="B211" s="6" t="n">
        <v>4638</v>
      </c>
      <c r="C211" s="7" t="s">
        <v>848</v>
      </c>
      <c r="D211" s="6" t="s">
        <v>849</v>
      </c>
      <c r="E211" s="6" t="s">
        <v>849</v>
      </c>
      <c r="F211" s="6" t="s">
        <v>98</v>
      </c>
      <c r="G211" s="8" t="n">
        <v>1</v>
      </c>
      <c r="H211" s="9" t="n">
        <v>4.98</v>
      </c>
      <c r="I211" s="9" t="n">
        <f aca="false">G211*H211</f>
        <v>4.98</v>
      </c>
      <c r="J211" s="6" t="s">
        <v>850</v>
      </c>
      <c r="K211" s="6"/>
    </row>
    <row r="212" customFormat="false" ht="15" hidden="false" customHeight="false" outlineLevel="0" collapsed="false">
      <c r="A212" s="6" t="n">
        <v>204</v>
      </c>
      <c r="B212" s="6" t="n">
        <v>1650</v>
      </c>
      <c r="C212" s="7" t="s">
        <v>851</v>
      </c>
      <c r="D212" s="6" t="s">
        <v>852</v>
      </c>
      <c r="E212" s="6" t="s">
        <v>853</v>
      </c>
      <c r="F212" s="6" t="s">
        <v>854</v>
      </c>
      <c r="G212" s="8" t="n">
        <v>12</v>
      </c>
      <c r="H212" s="9" t="n">
        <v>10.78</v>
      </c>
      <c r="I212" s="9" t="n">
        <f aca="false">G212*H212</f>
        <v>129.36</v>
      </c>
      <c r="J212" s="6" t="s">
        <v>855</v>
      </c>
      <c r="K212" s="6"/>
    </row>
    <row r="213" customFormat="false" ht="15" hidden="false" customHeight="false" outlineLevel="0" collapsed="false">
      <c r="A213" s="6" t="n">
        <v>205</v>
      </c>
      <c r="B213" s="6" t="n">
        <v>1356</v>
      </c>
      <c r="C213" s="7" t="s">
        <v>856</v>
      </c>
      <c r="D213" s="6" t="s">
        <v>857</v>
      </c>
      <c r="E213" s="6" t="s">
        <v>858</v>
      </c>
      <c r="F213" s="6" t="s">
        <v>80</v>
      </c>
      <c r="G213" s="8" t="n">
        <v>5</v>
      </c>
      <c r="H213" s="9" t="n">
        <v>4.04</v>
      </c>
      <c r="I213" s="9" t="n">
        <f aca="false">G213*H213</f>
        <v>20.2</v>
      </c>
      <c r="J213" s="6" t="s">
        <v>859</v>
      </c>
      <c r="K213" s="6"/>
    </row>
    <row r="214" customFormat="false" ht="15" hidden="false" customHeight="false" outlineLevel="0" collapsed="false">
      <c r="A214" s="6" t="n">
        <v>206</v>
      </c>
      <c r="B214" s="6" t="n">
        <v>1219</v>
      </c>
      <c r="C214" s="7" t="s">
        <v>860</v>
      </c>
      <c r="D214" s="6" t="s">
        <v>861</v>
      </c>
      <c r="E214" s="6" t="s">
        <v>862</v>
      </c>
      <c r="F214" s="6" t="s">
        <v>133</v>
      </c>
      <c r="G214" s="8" t="n">
        <v>1</v>
      </c>
      <c r="H214" s="9" t="n">
        <v>1.42</v>
      </c>
      <c r="I214" s="9" t="n">
        <f aca="false">G214*H214</f>
        <v>1.42</v>
      </c>
      <c r="J214" s="6" t="s">
        <v>863</v>
      </c>
      <c r="K214" s="6"/>
    </row>
    <row r="215" customFormat="false" ht="15" hidden="false" customHeight="false" outlineLevel="0" collapsed="false">
      <c r="A215" s="6" t="n">
        <v>207</v>
      </c>
      <c r="B215" s="6" t="n">
        <v>6085</v>
      </c>
      <c r="C215" s="7" t="s">
        <v>864</v>
      </c>
      <c r="D215" s="6" t="s">
        <v>865</v>
      </c>
      <c r="E215" s="6" t="s">
        <v>866</v>
      </c>
      <c r="F215" s="6" t="s">
        <v>40</v>
      </c>
      <c r="G215" s="8" t="n">
        <v>3</v>
      </c>
      <c r="H215" s="9" t="n">
        <v>9.99</v>
      </c>
      <c r="I215" s="9" t="n">
        <f aca="false">G215*H215</f>
        <v>29.97</v>
      </c>
      <c r="J215" s="6" t="s">
        <v>867</v>
      </c>
      <c r="K215" s="6" t="s">
        <v>368</v>
      </c>
    </row>
    <row r="216" customFormat="false" ht="15" hidden="false" customHeight="false" outlineLevel="0" collapsed="false">
      <c r="A216" s="6" t="n">
        <v>208</v>
      </c>
      <c r="B216" s="6" t="n">
        <v>2761</v>
      </c>
      <c r="C216" s="7" t="s">
        <v>868</v>
      </c>
      <c r="D216" s="6" t="s">
        <v>869</v>
      </c>
      <c r="E216" s="6" t="s">
        <v>870</v>
      </c>
      <c r="F216" s="6" t="s">
        <v>45</v>
      </c>
      <c r="G216" s="8" t="n">
        <v>10</v>
      </c>
      <c r="H216" s="9" t="n">
        <v>8.53</v>
      </c>
      <c r="I216" s="9" t="n">
        <f aca="false">G216*H216</f>
        <v>85.3</v>
      </c>
      <c r="J216" s="6" t="s">
        <v>871</v>
      </c>
      <c r="K216" s="6"/>
    </row>
    <row r="217" customFormat="false" ht="15" hidden="false" customHeight="false" outlineLevel="0" collapsed="false">
      <c r="A217" s="6" t="n">
        <v>209</v>
      </c>
      <c r="B217" s="6" t="n">
        <v>77</v>
      </c>
      <c r="C217" s="7" t="s">
        <v>872</v>
      </c>
      <c r="D217" s="6" t="s">
        <v>873</v>
      </c>
      <c r="E217" s="6" t="s">
        <v>874</v>
      </c>
      <c r="F217" s="6" t="s">
        <v>30</v>
      </c>
      <c r="G217" s="8" t="n">
        <v>1</v>
      </c>
      <c r="H217" s="9" t="n">
        <v>8.15</v>
      </c>
      <c r="I217" s="9" t="n">
        <f aca="false">G217*H217</f>
        <v>8.15</v>
      </c>
      <c r="J217" s="6" t="s">
        <v>875</v>
      </c>
      <c r="K217" s="6"/>
    </row>
    <row r="218" customFormat="false" ht="15" hidden="false" customHeight="false" outlineLevel="0" collapsed="false">
      <c r="A218" s="6" t="n">
        <v>210</v>
      </c>
      <c r="B218" s="6" t="n">
        <v>2629</v>
      </c>
      <c r="C218" s="7" t="s">
        <v>876</v>
      </c>
      <c r="D218" s="6" t="s">
        <v>877</v>
      </c>
      <c r="E218" s="6" t="s">
        <v>877</v>
      </c>
      <c r="F218" s="6"/>
      <c r="G218" s="8" t="n">
        <v>2</v>
      </c>
      <c r="H218" s="9" t="n">
        <v>7.59</v>
      </c>
      <c r="I218" s="9" t="n">
        <f aca="false">G218*H218</f>
        <v>15.18</v>
      </c>
      <c r="J218" s="6" t="s">
        <v>878</v>
      </c>
      <c r="K218" s="6"/>
    </row>
    <row r="219" customFormat="false" ht="15" hidden="false" customHeight="false" outlineLevel="0" collapsed="false">
      <c r="A219" s="6" t="n">
        <v>211</v>
      </c>
      <c r="B219" s="6" t="n">
        <v>4214</v>
      </c>
      <c r="C219" s="7" t="s">
        <v>879</v>
      </c>
      <c r="D219" s="6" t="s">
        <v>880</v>
      </c>
      <c r="E219" s="6" t="s">
        <v>880</v>
      </c>
      <c r="F219" s="6" t="s">
        <v>881</v>
      </c>
      <c r="G219" s="8" t="n">
        <v>8</v>
      </c>
      <c r="H219" s="9" t="n">
        <v>11.21</v>
      </c>
      <c r="I219" s="9" t="n">
        <f aca="false">G219*H219</f>
        <v>89.68</v>
      </c>
      <c r="J219" s="6" t="s">
        <v>882</v>
      </c>
      <c r="K219" s="6"/>
    </row>
    <row r="220" customFormat="false" ht="15" hidden="false" customHeight="false" outlineLevel="0" collapsed="false">
      <c r="A220" s="6" t="n">
        <v>212</v>
      </c>
      <c r="B220" s="6" t="n">
        <v>9599</v>
      </c>
      <c r="C220" s="7" t="s">
        <v>883</v>
      </c>
      <c r="D220" s="6" t="s">
        <v>884</v>
      </c>
      <c r="E220" s="6" t="s">
        <v>885</v>
      </c>
      <c r="F220" s="6" t="s">
        <v>886</v>
      </c>
      <c r="G220" s="8" t="n">
        <v>30</v>
      </c>
      <c r="H220" s="9" t="n">
        <v>3.6</v>
      </c>
      <c r="I220" s="9" t="n">
        <f aca="false">G220*H220</f>
        <v>108</v>
      </c>
      <c r="J220" s="6" t="s">
        <v>887</v>
      </c>
      <c r="K220" s="6"/>
    </row>
    <row r="221" customFormat="false" ht="15" hidden="false" customHeight="false" outlineLevel="0" collapsed="false">
      <c r="A221" s="6" t="n">
        <v>213</v>
      </c>
      <c r="B221" s="6" t="n">
        <v>9598</v>
      </c>
      <c r="C221" s="7" t="s">
        <v>888</v>
      </c>
      <c r="D221" s="6" t="s">
        <v>889</v>
      </c>
      <c r="E221" s="6" t="s">
        <v>890</v>
      </c>
      <c r="F221" s="6" t="s">
        <v>886</v>
      </c>
      <c r="G221" s="8" t="n">
        <v>5</v>
      </c>
      <c r="H221" s="9" t="n">
        <v>5.58</v>
      </c>
      <c r="I221" s="9" t="n">
        <f aca="false">G221*H221</f>
        <v>27.9</v>
      </c>
      <c r="J221" s="6" t="s">
        <v>891</v>
      </c>
      <c r="K221" s="6"/>
    </row>
    <row r="222" customFormat="false" ht="15" hidden="false" customHeight="false" outlineLevel="0" collapsed="false">
      <c r="A222" s="6" t="n">
        <v>214</v>
      </c>
      <c r="B222" s="6" t="n">
        <v>7541</v>
      </c>
      <c r="C222" s="7" t="s">
        <v>892</v>
      </c>
      <c r="D222" s="6" t="s">
        <v>893</v>
      </c>
      <c r="E222" s="6" t="s">
        <v>894</v>
      </c>
      <c r="F222" s="6" t="s">
        <v>895</v>
      </c>
      <c r="G222" s="8" t="n">
        <v>9</v>
      </c>
      <c r="H222" s="9" t="n">
        <v>8.67</v>
      </c>
      <c r="I222" s="9" t="n">
        <f aca="false">G222*H222</f>
        <v>78.03</v>
      </c>
      <c r="J222" s="6" t="s">
        <v>896</v>
      </c>
      <c r="K222" s="6"/>
    </row>
    <row r="223" customFormat="false" ht="15" hidden="false" customHeight="false" outlineLevel="0" collapsed="false">
      <c r="A223" s="6" t="n">
        <v>215</v>
      </c>
      <c r="B223" s="6" t="n">
        <v>7968</v>
      </c>
      <c r="C223" s="7" t="s">
        <v>897</v>
      </c>
      <c r="D223" s="6" t="s">
        <v>898</v>
      </c>
      <c r="E223" s="6" t="s">
        <v>899</v>
      </c>
      <c r="F223" s="6" t="s">
        <v>45</v>
      </c>
      <c r="G223" s="8" t="n">
        <v>8</v>
      </c>
      <c r="H223" s="9" t="n">
        <v>7.35</v>
      </c>
      <c r="I223" s="9" t="n">
        <f aca="false">G223*H223</f>
        <v>58.8</v>
      </c>
      <c r="J223" s="6" t="s">
        <v>900</v>
      </c>
      <c r="K223" s="6"/>
    </row>
    <row r="224" customFormat="false" ht="15" hidden="false" customHeight="false" outlineLevel="0" collapsed="false">
      <c r="A224" s="6" t="n">
        <v>216</v>
      </c>
      <c r="B224" s="6" t="n">
        <v>152</v>
      </c>
      <c r="C224" s="7" t="s">
        <v>901</v>
      </c>
      <c r="D224" s="6" t="s">
        <v>898</v>
      </c>
      <c r="E224" s="6" t="s">
        <v>898</v>
      </c>
      <c r="F224" s="6" t="s">
        <v>66</v>
      </c>
      <c r="G224" s="8" t="n">
        <v>13</v>
      </c>
      <c r="H224" s="9" t="n">
        <v>5.05</v>
      </c>
      <c r="I224" s="9" t="n">
        <f aca="false">G224*H224</f>
        <v>65.65</v>
      </c>
      <c r="J224" s="6" t="s">
        <v>902</v>
      </c>
      <c r="K224" s="6"/>
    </row>
    <row r="225" customFormat="false" ht="15" hidden="false" customHeight="false" outlineLevel="0" collapsed="false">
      <c r="A225" s="6" t="n">
        <v>217</v>
      </c>
      <c r="B225" s="6" t="n">
        <v>3857</v>
      </c>
      <c r="C225" s="7" t="s">
        <v>903</v>
      </c>
      <c r="D225" s="6" t="s">
        <v>904</v>
      </c>
      <c r="E225" s="6" t="s">
        <v>905</v>
      </c>
      <c r="F225" s="6" t="s">
        <v>906</v>
      </c>
      <c r="G225" s="8" t="n">
        <v>4</v>
      </c>
      <c r="H225" s="9" t="n">
        <v>6.07</v>
      </c>
      <c r="I225" s="9" t="n">
        <f aca="false">G225*H225</f>
        <v>24.28</v>
      </c>
      <c r="J225" s="6" t="s">
        <v>907</v>
      </c>
      <c r="K225" s="6"/>
    </row>
    <row r="226" customFormat="false" ht="15" hidden="false" customHeight="false" outlineLevel="0" collapsed="false">
      <c r="A226" s="6" t="n">
        <v>218</v>
      </c>
      <c r="B226" s="6" t="n">
        <v>7658</v>
      </c>
      <c r="C226" s="7" t="s">
        <v>908</v>
      </c>
      <c r="D226" s="6" t="s">
        <v>909</v>
      </c>
      <c r="E226" s="6" t="s">
        <v>910</v>
      </c>
      <c r="F226" s="6" t="s">
        <v>40</v>
      </c>
      <c r="G226" s="8" t="n">
        <v>18</v>
      </c>
      <c r="H226" s="9" t="n">
        <v>14.52</v>
      </c>
      <c r="I226" s="9" t="n">
        <f aca="false">G226*H226</f>
        <v>261.36</v>
      </c>
      <c r="J226" s="6" t="s">
        <v>911</v>
      </c>
      <c r="K226" s="6"/>
    </row>
    <row r="227" customFormat="false" ht="15" hidden="false" customHeight="false" outlineLevel="0" collapsed="false">
      <c r="A227" s="6" t="n">
        <v>219</v>
      </c>
      <c r="B227" s="6" t="n">
        <v>1748</v>
      </c>
      <c r="C227" s="7" t="s">
        <v>912</v>
      </c>
      <c r="D227" s="6" t="s">
        <v>913</v>
      </c>
      <c r="E227" s="6" t="s">
        <v>914</v>
      </c>
      <c r="F227" s="6" t="s">
        <v>138</v>
      </c>
      <c r="G227" s="8" t="n">
        <v>1</v>
      </c>
      <c r="H227" s="9" t="n">
        <v>4.74</v>
      </c>
      <c r="I227" s="9" t="n">
        <f aca="false">G227*H227</f>
        <v>4.74</v>
      </c>
      <c r="J227" s="6" t="s">
        <v>915</v>
      </c>
      <c r="K227" s="6"/>
    </row>
    <row r="228" customFormat="false" ht="15" hidden="false" customHeight="false" outlineLevel="0" collapsed="false">
      <c r="A228" s="6" t="n">
        <v>220</v>
      </c>
      <c r="B228" s="6" t="n">
        <v>153</v>
      </c>
      <c r="C228" s="7" t="s">
        <v>916</v>
      </c>
      <c r="D228" s="6" t="s">
        <v>917</v>
      </c>
      <c r="E228" s="6" t="s">
        <v>918</v>
      </c>
      <c r="F228" s="6" t="s">
        <v>66</v>
      </c>
      <c r="G228" s="8" t="n">
        <v>33</v>
      </c>
      <c r="H228" s="9" t="n">
        <v>6.34</v>
      </c>
      <c r="I228" s="9" t="n">
        <f aca="false">G228*H228</f>
        <v>209.22</v>
      </c>
      <c r="J228" s="6" t="s">
        <v>919</v>
      </c>
      <c r="K228" s="6"/>
    </row>
    <row r="229" customFormat="false" ht="15" hidden="false" customHeight="false" outlineLevel="0" collapsed="false">
      <c r="A229" s="6" t="n">
        <v>221</v>
      </c>
      <c r="B229" s="6" t="n">
        <v>7802</v>
      </c>
      <c r="C229" s="7" t="s">
        <v>920</v>
      </c>
      <c r="D229" s="6" t="s">
        <v>921</v>
      </c>
      <c r="E229" s="6" t="s">
        <v>922</v>
      </c>
      <c r="F229" s="6" t="s">
        <v>881</v>
      </c>
      <c r="G229" s="8" t="n">
        <v>3</v>
      </c>
      <c r="H229" s="9" t="n">
        <v>10.1</v>
      </c>
      <c r="I229" s="9" t="n">
        <f aca="false">G229*H229</f>
        <v>30.3</v>
      </c>
      <c r="J229" s="6" t="s">
        <v>923</v>
      </c>
      <c r="K229" s="6"/>
    </row>
    <row r="230" customFormat="false" ht="15" hidden="false" customHeight="false" outlineLevel="0" collapsed="false">
      <c r="A230" s="6" t="n">
        <v>222</v>
      </c>
      <c r="B230" s="6" t="n">
        <v>3109</v>
      </c>
      <c r="C230" s="7" t="s">
        <v>924</v>
      </c>
      <c r="D230" s="6" t="s">
        <v>925</v>
      </c>
      <c r="E230" s="6" t="s">
        <v>926</v>
      </c>
      <c r="F230" s="6" t="s">
        <v>98</v>
      </c>
      <c r="G230" s="8" t="n">
        <v>6</v>
      </c>
      <c r="H230" s="9" t="n">
        <v>9</v>
      </c>
      <c r="I230" s="9" t="n">
        <f aca="false">G230*H230</f>
        <v>54</v>
      </c>
      <c r="J230" s="6" t="s">
        <v>927</v>
      </c>
      <c r="K230" s="6"/>
    </row>
    <row r="231" customFormat="false" ht="15" hidden="false" customHeight="false" outlineLevel="0" collapsed="false">
      <c r="A231" s="6" t="n">
        <v>223</v>
      </c>
      <c r="B231" s="6" t="n">
        <v>7284</v>
      </c>
      <c r="C231" s="7" t="s">
        <v>928</v>
      </c>
      <c r="D231" s="6" t="s">
        <v>929</v>
      </c>
      <c r="E231" s="6" t="s">
        <v>929</v>
      </c>
      <c r="F231" s="6"/>
      <c r="G231" s="8" t="n">
        <v>3</v>
      </c>
      <c r="H231" s="9" t="n">
        <v>7.74</v>
      </c>
      <c r="I231" s="9" t="n">
        <f aca="false">G231*H231</f>
        <v>23.22</v>
      </c>
      <c r="J231" s="6" t="s">
        <v>930</v>
      </c>
      <c r="K231" s="6"/>
    </row>
    <row r="232" customFormat="false" ht="15" hidden="false" customHeight="false" outlineLevel="0" collapsed="false">
      <c r="A232" s="6" t="n">
        <v>224</v>
      </c>
      <c r="B232" s="6" t="n">
        <v>155</v>
      </c>
      <c r="C232" s="7" t="s">
        <v>931</v>
      </c>
      <c r="D232" s="6" t="s">
        <v>932</v>
      </c>
      <c r="E232" s="6" t="s">
        <v>933</v>
      </c>
      <c r="F232" s="6" t="s">
        <v>66</v>
      </c>
      <c r="G232" s="8" t="n">
        <v>7</v>
      </c>
      <c r="H232" s="9" t="n">
        <v>2.96</v>
      </c>
      <c r="I232" s="9" t="n">
        <f aca="false">G232*H232</f>
        <v>20.72</v>
      </c>
      <c r="J232" s="6" t="s">
        <v>934</v>
      </c>
      <c r="K232" s="6"/>
    </row>
    <row r="233" customFormat="false" ht="15" hidden="false" customHeight="false" outlineLevel="0" collapsed="false">
      <c r="A233" s="6" t="n">
        <v>225</v>
      </c>
      <c r="B233" s="6" t="n">
        <v>6841</v>
      </c>
      <c r="C233" s="7" t="s">
        <v>935</v>
      </c>
      <c r="D233" s="6" t="s">
        <v>936</v>
      </c>
      <c r="E233" s="6" t="s">
        <v>936</v>
      </c>
      <c r="F233" s="6"/>
      <c r="G233" s="8" t="n">
        <v>3</v>
      </c>
      <c r="H233" s="9" t="n">
        <v>6.59</v>
      </c>
      <c r="I233" s="9" t="n">
        <f aca="false">G233*H233</f>
        <v>19.77</v>
      </c>
      <c r="J233" s="6" t="s">
        <v>937</v>
      </c>
      <c r="K233" s="6"/>
    </row>
    <row r="234" customFormat="false" ht="15" hidden="false" customHeight="false" outlineLevel="0" collapsed="false">
      <c r="A234" s="6" t="n">
        <v>226</v>
      </c>
      <c r="B234" s="6" t="n">
        <v>2965</v>
      </c>
      <c r="C234" s="7" t="s">
        <v>938</v>
      </c>
      <c r="D234" s="6" t="s">
        <v>939</v>
      </c>
      <c r="E234" s="6" t="s">
        <v>940</v>
      </c>
      <c r="F234" s="6" t="s">
        <v>881</v>
      </c>
      <c r="G234" s="8" t="n">
        <v>9</v>
      </c>
      <c r="H234" s="9" t="n">
        <v>6.02</v>
      </c>
      <c r="I234" s="9" t="n">
        <f aca="false">G234*H234</f>
        <v>54.18</v>
      </c>
      <c r="J234" s="6" t="s">
        <v>941</v>
      </c>
      <c r="K234" s="6"/>
    </row>
    <row r="235" customFormat="false" ht="15" hidden="false" customHeight="false" outlineLevel="0" collapsed="false">
      <c r="A235" s="6" t="n">
        <v>227</v>
      </c>
      <c r="B235" s="6" t="n">
        <v>8454</v>
      </c>
      <c r="C235" s="7" t="s">
        <v>942</v>
      </c>
      <c r="D235" s="6" t="s">
        <v>943</v>
      </c>
      <c r="E235" s="6" t="s">
        <v>944</v>
      </c>
      <c r="F235" s="6"/>
      <c r="G235" s="8" t="n">
        <v>3</v>
      </c>
      <c r="H235" s="9" t="n">
        <v>11.84</v>
      </c>
      <c r="I235" s="9" t="n">
        <f aca="false">G235*H235</f>
        <v>35.52</v>
      </c>
      <c r="J235" s="6" t="s">
        <v>945</v>
      </c>
      <c r="K235" s="6"/>
    </row>
    <row r="236" customFormat="false" ht="15" hidden="false" customHeight="false" outlineLevel="0" collapsed="false">
      <c r="A236" s="6" t="n">
        <v>228</v>
      </c>
      <c r="B236" s="6" t="n">
        <v>8453</v>
      </c>
      <c r="C236" s="7" t="s">
        <v>946</v>
      </c>
      <c r="D236" s="6" t="s">
        <v>947</v>
      </c>
      <c r="E236" s="6" t="s">
        <v>948</v>
      </c>
      <c r="F236" s="6"/>
      <c r="G236" s="8" t="n">
        <v>1</v>
      </c>
      <c r="H236" s="9" t="n">
        <v>11.84</v>
      </c>
      <c r="I236" s="9" t="n">
        <f aca="false">G236*H236</f>
        <v>11.84</v>
      </c>
      <c r="J236" s="6" t="s">
        <v>949</v>
      </c>
      <c r="K236" s="6"/>
    </row>
    <row r="237" customFormat="false" ht="15" hidden="false" customHeight="false" outlineLevel="0" collapsed="false">
      <c r="A237" s="6" t="n">
        <v>229</v>
      </c>
      <c r="B237" s="6" t="n">
        <v>3806</v>
      </c>
      <c r="C237" s="7" t="s">
        <v>950</v>
      </c>
      <c r="D237" s="6" t="s">
        <v>951</v>
      </c>
      <c r="E237" s="6" t="s">
        <v>952</v>
      </c>
      <c r="F237" s="6" t="s">
        <v>30</v>
      </c>
      <c r="G237" s="8" t="n">
        <v>1</v>
      </c>
      <c r="H237" s="9" t="n">
        <v>10.79</v>
      </c>
      <c r="I237" s="9" t="n">
        <f aca="false">G237*H237</f>
        <v>10.79</v>
      </c>
      <c r="J237" s="6" t="s">
        <v>953</v>
      </c>
      <c r="K237" s="6"/>
    </row>
    <row r="238" customFormat="false" ht="15" hidden="false" customHeight="false" outlineLevel="0" collapsed="false">
      <c r="A238" s="6" t="n">
        <v>230</v>
      </c>
      <c r="B238" s="6" t="n">
        <v>810</v>
      </c>
      <c r="C238" s="7" t="s">
        <v>954</v>
      </c>
      <c r="D238" s="6" t="s">
        <v>955</v>
      </c>
      <c r="E238" s="6" t="s">
        <v>956</v>
      </c>
      <c r="F238" s="6" t="s">
        <v>228</v>
      </c>
      <c r="G238" s="8" t="n">
        <v>6</v>
      </c>
      <c r="H238" s="9" t="n">
        <v>4.71</v>
      </c>
      <c r="I238" s="9" t="n">
        <f aca="false">G238*H238</f>
        <v>28.26</v>
      </c>
      <c r="J238" s="6" t="s">
        <v>957</v>
      </c>
      <c r="K238" s="6"/>
    </row>
    <row r="239" customFormat="false" ht="15" hidden="false" customHeight="false" outlineLevel="0" collapsed="false">
      <c r="A239" s="6" t="n">
        <v>231</v>
      </c>
      <c r="B239" s="6" t="n">
        <v>7628</v>
      </c>
      <c r="C239" s="7" t="s">
        <v>958</v>
      </c>
      <c r="D239" s="6" t="s">
        <v>959</v>
      </c>
      <c r="E239" s="6" t="s">
        <v>959</v>
      </c>
      <c r="F239" s="6" t="s">
        <v>50</v>
      </c>
      <c r="G239" s="8" t="n">
        <v>1</v>
      </c>
      <c r="H239" s="9" t="n">
        <v>13.29</v>
      </c>
      <c r="I239" s="9" t="n">
        <f aca="false">G239*H239</f>
        <v>13.29</v>
      </c>
      <c r="J239" s="6" t="s">
        <v>960</v>
      </c>
      <c r="K239" s="6"/>
    </row>
    <row r="240" customFormat="false" ht="15" hidden="false" customHeight="false" outlineLevel="0" collapsed="false">
      <c r="A240" s="6" t="n">
        <v>232</v>
      </c>
      <c r="B240" s="6" t="n">
        <v>1212</v>
      </c>
      <c r="C240" s="7" t="s">
        <v>961</v>
      </c>
      <c r="D240" s="6" t="s">
        <v>962</v>
      </c>
      <c r="E240" s="6" t="s">
        <v>963</v>
      </c>
      <c r="F240" s="6"/>
      <c r="G240" s="8" t="n">
        <v>3</v>
      </c>
      <c r="H240" s="9" t="n">
        <v>24.29</v>
      </c>
      <c r="I240" s="9" t="n">
        <f aca="false">G240*H240</f>
        <v>72.87</v>
      </c>
      <c r="J240" s="6" t="s">
        <v>964</v>
      </c>
      <c r="K240" s="6"/>
    </row>
    <row r="241" customFormat="false" ht="15" hidden="false" customHeight="false" outlineLevel="0" collapsed="false">
      <c r="A241" s="6" t="n">
        <v>233</v>
      </c>
      <c r="B241" s="6" t="n">
        <v>794</v>
      </c>
      <c r="C241" s="7" t="s">
        <v>965</v>
      </c>
      <c r="D241" s="6" t="s">
        <v>966</v>
      </c>
      <c r="E241" s="6" t="s">
        <v>967</v>
      </c>
      <c r="F241" s="6" t="s">
        <v>228</v>
      </c>
      <c r="G241" s="8" t="n">
        <v>6</v>
      </c>
      <c r="H241" s="9" t="n">
        <v>33.75</v>
      </c>
      <c r="I241" s="9" t="n">
        <f aca="false">G241*H241</f>
        <v>202.5</v>
      </c>
      <c r="J241" s="6" t="s">
        <v>968</v>
      </c>
      <c r="K241" s="6"/>
    </row>
    <row r="242" customFormat="false" ht="15" hidden="false" customHeight="false" outlineLevel="0" collapsed="false">
      <c r="A242" s="6" t="n">
        <v>234</v>
      </c>
      <c r="B242" s="6" t="n">
        <v>5043</v>
      </c>
      <c r="C242" s="7" t="s">
        <v>969</v>
      </c>
      <c r="D242" s="6" t="s">
        <v>970</v>
      </c>
      <c r="E242" s="6" t="s">
        <v>971</v>
      </c>
      <c r="F242" s="6" t="s">
        <v>972</v>
      </c>
      <c r="G242" s="8" t="n">
        <v>7</v>
      </c>
      <c r="H242" s="9" t="n">
        <v>4.32</v>
      </c>
      <c r="I242" s="9" t="n">
        <f aca="false">G242*H242</f>
        <v>30.24</v>
      </c>
      <c r="J242" s="6" t="s">
        <v>973</v>
      </c>
      <c r="K242" s="6"/>
    </row>
    <row r="243" customFormat="false" ht="15" hidden="false" customHeight="false" outlineLevel="0" collapsed="false">
      <c r="A243" s="6" t="n">
        <v>235</v>
      </c>
      <c r="B243" s="6" t="n">
        <v>7367</v>
      </c>
      <c r="C243" s="7" t="s">
        <v>974</v>
      </c>
      <c r="D243" s="6" t="s">
        <v>975</v>
      </c>
      <c r="E243" s="6" t="s">
        <v>976</v>
      </c>
      <c r="F243" s="6" t="s">
        <v>591</v>
      </c>
      <c r="G243" s="8" t="n">
        <v>3</v>
      </c>
      <c r="H243" s="9" t="n">
        <v>4.47</v>
      </c>
      <c r="I243" s="9" t="n">
        <f aca="false">G243*H243</f>
        <v>13.41</v>
      </c>
      <c r="J243" s="6" t="s">
        <v>977</v>
      </c>
      <c r="K243" s="6"/>
    </row>
    <row r="244" customFormat="false" ht="15" hidden="false" customHeight="false" outlineLevel="0" collapsed="false">
      <c r="A244" s="6" t="n">
        <v>236</v>
      </c>
      <c r="B244" s="6" t="n">
        <v>2461</v>
      </c>
      <c r="C244" s="7" t="s">
        <v>978</v>
      </c>
      <c r="D244" s="6" t="s">
        <v>979</v>
      </c>
      <c r="E244" s="6" t="s">
        <v>980</v>
      </c>
      <c r="F244" s="6" t="s">
        <v>138</v>
      </c>
      <c r="G244" s="8" t="n">
        <v>12</v>
      </c>
      <c r="H244" s="9" t="n">
        <v>6.92</v>
      </c>
      <c r="I244" s="9" t="n">
        <f aca="false">G244*H244</f>
        <v>83.04</v>
      </c>
      <c r="J244" s="6" t="s">
        <v>981</v>
      </c>
      <c r="K244" s="6"/>
    </row>
    <row r="245" customFormat="false" ht="15" hidden="false" customHeight="false" outlineLevel="0" collapsed="false">
      <c r="A245" s="6" t="n">
        <v>237</v>
      </c>
      <c r="B245" s="6" t="n">
        <v>3471</v>
      </c>
      <c r="C245" s="7" t="s">
        <v>982</v>
      </c>
      <c r="D245" s="6" t="s">
        <v>983</v>
      </c>
      <c r="E245" s="6" t="s">
        <v>984</v>
      </c>
      <c r="F245" s="6" t="s">
        <v>122</v>
      </c>
      <c r="G245" s="8" t="n">
        <v>2</v>
      </c>
      <c r="H245" s="9" t="n">
        <v>17.22</v>
      </c>
      <c r="I245" s="9" t="n">
        <f aca="false">G245*H245</f>
        <v>34.44</v>
      </c>
      <c r="J245" s="6" t="s">
        <v>985</v>
      </c>
      <c r="K245" s="6" t="s">
        <v>986</v>
      </c>
    </row>
    <row r="246" customFormat="false" ht="15" hidden="false" customHeight="false" outlineLevel="0" collapsed="false">
      <c r="A246" s="6" t="n">
        <v>238</v>
      </c>
      <c r="B246" s="6" t="n">
        <v>11164</v>
      </c>
      <c r="C246" s="7" t="s">
        <v>987</v>
      </c>
      <c r="D246" s="6" t="s">
        <v>988</v>
      </c>
      <c r="E246" s="6" t="s">
        <v>989</v>
      </c>
      <c r="F246" s="6" t="s">
        <v>808</v>
      </c>
      <c r="G246" s="8" t="n">
        <v>1</v>
      </c>
      <c r="H246" s="9" t="n">
        <v>41.31</v>
      </c>
      <c r="I246" s="9" t="n">
        <f aca="false">G246*H246</f>
        <v>41.31</v>
      </c>
      <c r="J246" s="6" t="s">
        <v>990</v>
      </c>
      <c r="K246" s="6"/>
    </row>
    <row r="247" customFormat="false" ht="15" hidden="false" customHeight="false" outlineLevel="0" collapsed="false">
      <c r="A247" s="6" t="n">
        <v>239</v>
      </c>
      <c r="B247" s="6" t="n">
        <v>8400</v>
      </c>
      <c r="C247" s="7" t="s">
        <v>991</v>
      </c>
      <c r="D247" s="6" t="s">
        <v>992</v>
      </c>
      <c r="E247" s="6" t="s">
        <v>993</v>
      </c>
      <c r="F247" s="6" t="s">
        <v>174</v>
      </c>
      <c r="G247" s="8" t="n">
        <v>8</v>
      </c>
      <c r="H247" s="9" t="n">
        <v>5.25</v>
      </c>
      <c r="I247" s="9" t="n">
        <f aca="false">G247*H247</f>
        <v>42</v>
      </c>
      <c r="J247" s="6" t="s">
        <v>994</v>
      </c>
      <c r="K247" s="6"/>
    </row>
    <row r="248" customFormat="false" ht="15" hidden="false" customHeight="false" outlineLevel="0" collapsed="false">
      <c r="A248" s="6" t="n">
        <v>240</v>
      </c>
      <c r="B248" s="6" t="n">
        <v>9484</v>
      </c>
      <c r="C248" s="7" t="s">
        <v>995</v>
      </c>
      <c r="D248" s="6" t="s">
        <v>996</v>
      </c>
      <c r="E248" s="6" t="s">
        <v>997</v>
      </c>
      <c r="F248" s="6" t="s">
        <v>755</v>
      </c>
      <c r="G248" s="8" t="n">
        <v>5</v>
      </c>
      <c r="H248" s="9" t="n">
        <v>11.99</v>
      </c>
      <c r="I248" s="9" t="n">
        <f aca="false">G248*H248</f>
        <v>59.95</v>
      </c>
      <c r="J248" s="6" t="s">
        <v>998</v>
      </c>
      <c r="K248" s="6"/>
    </row>
    <row r="249" customFormat="false" ht="15" hidden="false" customHeight="false" outlineLevel="0" collapsed="false">
      <c r="A249" s="6" t="n">
        <v>241</v>
      </c>
      <c r="B249" s="6" t="n">
        <v>8366</v>
      </c>
      <c r="C249" s="7" t="s">
        <v>999</v>
      </c>
      <c r="D249" s="6" t="s">
        <v>1000</v>
      </c>
      <c r="E249" s="6" t="s">
        <v>1001</v>
      </c>
      <c r="F249" s="6" t="s">
        <v>40</v>
      </c>
      <c r="G249" s="8" t="n">
        <v>2</v>
      </c>
      <c r="H249" s="9" t="n">
        <v>12.04</v>
      </c>
      <c r="I249" s="9" t="n">
        <f aca="false">G249*H249</f>
        <v>24.08</v>
      </c>
      <c r="J249" s="6" t="s">
        <v>1002</v>
      </c>
      <c r="K249" s="6"/>
    </row>
    <row r="250" customFormat="false" ht="15" hidden="false" customHeight="false" outlineLevel="0" collapsed="false">
      <c r="A250" s="6" t="n">
        <v>242</v>
      </c>
      <c r="B250" s="6" t="n">
        <v>8774</v>
      </c>
      <c r="C250" s="7" t="s">
        <v>1003</v>
      </c>
      <c r="D250" s="6" t="s">
        <v>1004</v>
      </c>
      <c r="E250" s="6" t="s">
        <v>1005</v>
      </c>
      <c r="F250" s="6" t="s">
        <v>1006</v>
      </c>
      <c r="G250" s="8" t="n">
        <v>1</v>
      </c>
      <c r="H250" s="9" t="n">
        <v>20.61</v>
      </c>
      <c r="I250" s="9" t="n">
        <f aca="false">G250*H250</f>
        <v>20.61</v>
      </c>
      <c r="J250" s="6" t="s">
        <v>1007</v>
      </c>
      <c r="K250" s="6"/>
    </row>
    <row r="251" customFormat="false" ht="15" hidden="false" customHeight="false" outlineLevel="0" collapsed="false">
      <c r="A251" s="6" t="n">
        <v>243</v>
      </c>
      <c r="B251" s="6" t="n">
        <v>7989</v>
      </c>
      <c r="C251" s="7" t="s">
        <v>1008</v>
      </c>
      <c r="D251" s="6" t="s">
        <v>1009</v>
      </c>
      <c r="E251" s="6" t="s">
        <v>1010</v>
      </c>
      <c r="F251" s="6" t="s">
        <v>40</v>
      </c>
      <c r="G251" s="8" t="n">
        <v>2</v>
      </c>
      <c r="H251" s="9" t="n">
        <v>31.94</v>
      </c>
      <c r="I251" s="9" t="n">
        <f aca="false">G251*H251</f>
        <v>63.88</v>
      </c>
      <c r="J251" s="6" t="s">
        <v>1011</v>
      </c>
      <c r="K251" s="6"/>
    </row>
    <row r="252" customFormat="false" ht="15" hidden="false" customHeight="false" outlineLevel="0" collapsed="false">
      <c r="A252" s="6" t="n">
        <v>244</v>
      </c>
      <c r="B252" s="6" t="n">
        <v>3642</v>
      </c>
      <c r="C252" s="7" t="s">
        <v>1012</v>
      </c>
      <c r="D252" s="6" t="s">
        <v>1013</v>
      </c>
      <c r="E252" s="6" t="s">
        <v>1014</v>
      </c>
      <c r="F252" s="6" t="s">
        <v>45</v>
      </c>
      <c r="G252" s="8" t="n">
        <v>1</v>
      </c>
      <c r="H252" s="9" t="n">
        <v>5.29</v>
      </c>
      <c r="I252" s="9" t="n">
        <f aca="false">G252*H252</f>
        <v>5.29</v>
      </c>
      <c r="J252" s="6" t="s">
        <v>1015</v>
      </c>
      <c r="K252" s="6"/>
    </row>
    <row r="253" customFormat="false" ht="15" hidden="false" customHeight="false" outlineLevel="0" collapsed="false">
      <c r="A253" s="6" t="n">
        <v>245</v>
      </c>
      <c r="B253" s="6" t="n">
        <v>8919</v>
      </c>
      <c r="C253" s="7" t="s">
        <v>1016</v>
      </c>
      <c r="D253" s="6" t="s">
        <v>1017</v>
      </c>
      <c r="E253" s="6" t="s">
        <v>1018</v>
      </c>
      <c r="F253" s="6" t="s">
        <v>45</v>
      </c>
      <c r="G253" s="8" t="n">
        <v>2</v>
      </c>
      <c r="H253" s="9" t="n">
        <v>25.35</v>
      </c>
      <c r="I253" s="9" t="n">
        <f aca="false">G253*H253</f>
        <v>50.7</v>
      </c>
      <c r="J253" s="6" t="s">
        <v>1019</v>
      </c>
      <c r="K253" s="6"/>
    </row>
    <row r="254" customFormat="false" ht="15" hidden="false" customHeight="false" outlineLevel="0" collapsed="false">
      <c r="A254" s="6" t="n">
        <v>246</v>
      </c>
      <c r="B254" s="6" t="n">
        <v>5388</v>
      </c>
      <c r="C254" s="7" t="s">
        <v>1020</v>
      </c>
      <c r="D254" s="6" t="s">
        <v>1021</v>
      </c>
      <c r="E254" s="6" t="s">
        <v>1022</v>
      </c>
      <c r="F254" s="6" t="s">
        <v>50</v>
      </c>
      <c r="G254" s="8" t="n">
        <v>1</v>
      </c>
      <c r="H254" s="9" t="n">
        <v>26.53</v>
      </c>
      <c r="I254" s="9" t="n">
        <f aca="false">G254*H254</f>
        <v>26.53</v>
      </c>
      <c r="J254" s="6" t="s">
        <v>1023</v>
      </c>
      <c r="K254" s="6"/>
    </row>
    <row r="255" customFormat="false" ht="15" hidden="false" customHeight="false" outlineLevel="0" collapsed="false">
      <c r="A255" s="6" t="n">
        <v>247</v>
      </c>
      <c r="B255" s="6" t="n">
        <v>3336</v>
      </c>
      <c r="C255" s="7" t="s">
        <v>1024</v>
      </c>
      <c r="D255" s="6" t="s">
        <v>1025</v>
      </c>
      <c r="E255" s="6" t="s">
        <v>1026</v>
      </c>
      <c r="F255" s="6" t="s">
        <v>40</v>
      </c>
      <c r="G255" s="8" t="n">
        <v>1</v>
      </c>
      <c r="H255" s="9" t="n">
        <v>18.29</v>
      </c>
      <c r="I255" s="9" t="n">
        <f aca="false">G255*H255</f>
        <v>18.29</v>
      </c>
      <c r="J255" s="6" t="s">
        <v>1027</v>
      </c>
      <c r="K255" s="6"/>
    </row>
    <row r="256" customFormat="false" ht="15" hidden="false" customHeight="false" outlineLevel="0" collapsed="false">
      <c r="A256" s="6" t="n">
        <v>248</v>
      </c>
      <c r="B256" s="6" t="n">
        <v>6891</v>
      </c>
      <c r="C256" s="7" t="s">
        <v>1028</v>
      </c>
      <c r="D256" s="6" t="s">
        <v>1029</v>
      </c>
      <c r="E256" s="6" t="s">
        <v>1030</v>
      </c>
      <c r="F256" s="6" t="s">
        <v>174</v>
      </c>
      <c r="G256" s="8" t="n">
        <v>1</v>
      </c>
      <c r="H256" s="9" t="n">
        <v>4.74</v>
      </c>
      <c r="I256" s="9" t="n">
        <f aca="false">G256*H256</f>
        <v>4.74</v>
      </c>
      <c r="J256" s="6" t="s">
        <v>1031</v>
      </c>
      <c r="K256" s="6"/>
    </row>
    <row r="257" customFormat="false" ht="15" hidden="false" customHeight="false" outlineLevel="0" collapsed="false">
      <c r="A257" s="6" t="n">
        <v>249</v>
      </c>
      <c r="B257" s="6" t="n">
        <v>9078</v>
      </c>
      <c r="C257" s="7" t="s">
        <v>1032</v>
      </c>
      <c r="D257" s="6" t="s">
        <v>1033</v>
      </c>
      <c r="E257" s="6" t="s">
        <v>1034</v>
      </c>
      <c r="F257" s="6" t="s">
        <v>133</v>
      </c>
      <c r="G257" s="8" t="n">
        <v>1</v>
      </c>
      <c r="H257" s="9" t="n">
        <v>5.99</v>
      </c>
      <c r="I257" s="9" t="n">
        <f aca="false">G257*H257</f>
        <v>5.99</v>
      </c>
      <c r="J257" s="6" t="s">
        <v>1035</v>
      </c>
      <c r="K257" s="6"/>
    </row>
    <row r="258" customFormat="false" ht="15" hidden="false" customHeight="false" outlineLevel="0" collapsed="false">
      <c r="A258" s="6" t="n">
        <v>250</v>
      </c>
      <c r="B258" s="6" t="n">
        <v>8121</v>
      </c>
      <c r="C258" s="7" t="s">
        <v>1036</v>
      </c>
      <c r="D258" s="6" t="s">
        <v>1037</v>
      </c>
      <c r="E258" s="6" t="s">
        <v>1037</v>
      </c>
      <c r="F258" s="6"/>
      <c r="G258" s="8" t="n">
        <v>6</v>
      </c>
      <c r="H258" s="9" t="n">
        <v>4.09</v>
      </c>
      <c r="I258" s="9" t="n">
        <f aca="false">G258*H258</f>
        <v>24.54</v>
      </c>
      <c r="J258" s="6" t="s">
        <v>1038</v>
      </c>
      <c r="K258" s="6"/>
    </row>
    <row r="259" customFormat="false" ht="15" hidden="false" customHeight="false" outlineLevel="0" collapsed="false">
      <c r="A259" s="6" t="n">
        <v>251</v>
      </c>
      <c r="B259" s="6" t="n">
        <v>7213</v>
      </c>
      <c r="C259" s="7" t="s">
        <v>1039</v>
      </c>
      <c r="D259" s="6" t="s">
        <v>1040</v>
      </c>
      <c r="E259" s="6" t="s">
        <v>1041</v>
      </c>
      <c r="F259" s="6"/>
      <c r="G259" s="8" t="n">
        <v>2</v>
      </c>
      <c r="H259" s="9" t="n">
        <v>3.34</v>
      </c>
      <c r="I259" s="9" t="n">
        <f aca="false">G259*H259</f>
        <v>6.68</v>
      </c>
      <c r="J259" s="6" t="s">
        <v>1042</v>
      </c>
      <c r="K259" s="6"/>
    </row>
    <row r="260" customFormat="false" ht="15" hidden="false" customHeight="false" outlineLevel="0" collapsed="false">
      <c r="A260" s="6" t="n">
        <v>252</v>
      </c>
      <c r="B260" s="6" t="n">
        <v>7212</v>
      </c>
      <c r="C260" s="7" t="s">
        <v>1043</v>
      </c>
      <c r="D260" s="6" t="s">
        <v>1044</v>
      </c>
      <c r="E260" s="6" t="s">
        <v>1045</v>
      </c>
      <c r="F260" s="6"/>
      <c r="G260" s="8" t="n">
        <v>1</v>
      </c>
      <c r="H260" s="9" t="n">
        <v>3.36</v>
      </c>
      <c r="I260" s="9" t="n">
        <f aca="false">G260*H260</f>
        <v>3.36</v>
      </c>
      <c r="J260" s="6" t="s">
        <v>1046</v>
      </c>
      <c r="K260" s="6"/>
    </row>
    <row r="261" customFormat="false" ht="15" hidden="false" customHeight="false" outlineLevel="0" collapsed="false">
      <c r="A261" s="6" t="n">
        <v>253</v>
      </c>
      <c r="B261" s="6" t="n">
        <v>7206</v>
      </c>
      <c r="C261" s="7" t="s">
        <v>1047</v>
      </c>
      <c r="D261" s="6" t="s">
        <v>1048</v>
      </c>
      <c r="E261" s="6" t="s">
        <v>1049</v>
      </c>
      <c r="F261" s="6"/>
      <c r="G261" s="8" t="n">
        <v>3</v>
      </c>
      <c r="H261" s="9" t="n">
        <v>3.36</v>
      </c>
      <c r="I261" s="9" t="n">
        <f aca="false">G261*H261</f>
        <v>10.08</v>
      </c>
      <c r="J261" s="6" t="s">
        <v>1050</v>
      </c>
      <c r="K261" s="6"/>
    </row>
    <row r="262" customFormat="false" ht="15" hidden="false" customHeight="false" outlineLevel="0" collapsed="false">
      <c r="A262" s="6" t="n">
        <v>254</v>
      </c>
      <c r="B262" s="6" t="n">
        <v>8122</v>
      </c>
      <c r="C262" s="7" t="s">
        <v>1051</v>
      </c>
      <c r="D262" s="6" t="s">
        <v>1052</v>
      </c>
      <c r="E262" s="6" t="s">
        <v>1053</v>
      </c>
      <c r="F262" s="6"/>
      <c r="G262" s="8" t="n">
        <v>1</v>
      </c>
      <c r="H262" s="9" t="n">
        <v>3.35</v>
      </c>
      <c r="I262" s="9" t="n">
        <f aca="false">G262*H262</f>
        <v>3.35</v>
      </c>
      <c r="J262" s="6" t="s">
        <v>1054</v>
      </c>
      <c r="K262" s="6"/>
    </row>
    <row r="263" customFormat="false" ht="15" hidden="false" customHeight="false" outlineLevel="0" collapsed="false">
      <c r="A263" s="6" t="n">
        <v>255</v>
      </c>
      <c r="B263" s="6" t="n">
        <v>8845</v>
      </c>
      <c r="C263" s="7" t="s">
        <v>1055</v>
      </c>
      <c r="D263" s="6" t="s">
        <v>1056</v>
      </c>
      <c r="E263" s="6" t="s">
        <v>1057</v>
      </c>
      <c r="F263" s="6" t="s">
        <v>1058</v>
      </c>
      <c r="G263" s="8" t="n">
        <v>4</v>
      </c>
      <c r="H263" s="9" t="n">
        <v>0.3</v>
      </c>
      <c r="I263" s="9" t="n">
        <f aca="false">G263*H263</f>
        <v>1.2</v>
      </c>
      <c r="J263" s="6" t="s">
        <v>1059</v>
      </c>
      <c r="K263" s="6"/>
    </row>
    <row r="264" customFormat="false" ht="15" hidden="false" customHeight="false" outlineLevel="0" collapsed="false">
      <c r="A264" s="6" t="n">
        <v>256</v>
      </c>
      <c r="B264" s="6" t="n">
        <v>5921</v>
      </c>
      <c r="C264" s="7" t="s">
        <v>1060</v>
      </c>
      <c r="D264" s="6" t="s">
        <v>1061</v>
      </c>
      <c r="E264" s="6" t="s">
        <v>1062</v>
      </c>
      <c r="F264" s="6" t="s">
        <v>1063</v>
      </c>
      <c r="G264" s="8" t="n">
        <v>53</v>
      </c>
      <c r="H264" s="9" t="n">
        <v>2.86</v>
      </c>
      <c r="I264" s="9" t="n">
        <f aca="false">G264*H264</f>
        <v>151.58</v>
      </c>
      <c r="J264" s="6" t="s">
        <v>1064</v>
      </c>
      <c r="K264" s="6"/>
    </row>
    <row r="265" customFormat="false" ht="15" hidden="false" customHeight="false" outlineLevel="0" collapsed="false">
      <c r="A265" s="6" t="n">
        <v>257</v>
      </c>
      <c r="B265" s="6" t="n">
        <v>5072</v>
      </c>
      <c r="C265" s="7" t="s">
        <v>1065</v>
      </c>
      <c r="D265" s="6" t="s">
        <v>1066</v>
      </c>
      <c r="E265" s="6" t="s">
        <v>1067</v>
      </c>
      <c r="F265" s="6" t="s">
        <v>1068</v>
      </c>
      <c r="G265" s="8" t="n">
        <v>94</v>
      </c>
      <c r="H265" s="9" t="n">
        <v>0.33</v>
      </c>
      <c r="I265" s="9" t="n">
        <f aca="false">G265*H265</f>
        <v>31.02</v>
      </c>
      <c r="J265" s="6" t="s">
        <v>1069</v>
      </c>
      <c r="K265" s="6" t="s">
        <v>368</v>
      </c>
    </row>
    <row r="266" customFormat="false" ht="15" hidden="false" customHeight="false" outlineLevel="0" collapsed="false">
      <c r="A266" s="6" t="n">
        <v>258</v>
      </c>
      <c r="B266" s="6" t="n">
        <v>3550</v>
      </c>
      <c r="C266" s="7" t="s">
        <v>1070</v>
      </c>
      <c r="D266" s="6" t="s">
        <v>1071</v>
      </c>
      <c r="E266" s="6" t="s">
        <v>1072</v>
      </c>
      <c r="F266" s="6" t="s">
        <v>30</v>
      </c>
      <c r="G266" s="8" t="n">
        <v>20</v>
      </c>
      <c r="H266" s="9" t="n">
        <v>2.97</v>
      </c>
      <c r="I266" s="9" t="n">
        <f aca="false">G266*H266</f>
        <v>59.4</v>
      </c>
      <c r="J266" s="6" t="s">
        <v>1073</v>
      </c>
      <c r="K266" s="6"/>
    </row>
    <row r="267" customFormat="false" ht="15" hidden="false" customHeight="false" outlineLevel="0" collapsed="false">
      <c r="A267" s="6" t="n">
        <v>259</v>
      </c>
      <c r="B267" s="6" t="n">
        <v>2245</v>
      </c>
      <c r="C267" s="7" t="s">
        <v>1074</v>
      </c>
      <c r="D267" s="6" t="s">
        <v>1075</v>
      </c>
      <c r="E267" s="6" t="s">
        <v>1076</v>
      </c>
      <c r="F267" s="6" t="s">
        <v>174</v>
      </c>
      <c r="G267" s="8" t="n">
        <v>2</v>
      </c>
      <c r="H267" s="9" t="n">
        <v>2.69</v>
      </c>
      <c r="I267" s="9" t="n">
        <f aca="false">G267*H267</f>
        <v>5.38</v>
      </c>
      <c r="J267" s="6" t="s">
        <v>1077</v>
      </c>
      <c r="K267" s="6"/>
    </row>
    <row r="268" customFormat="false" ht="15" hidden="false" customHeight="false" outlineLevel="0" collapsed="false">
      <c r="A268" s="6" t="n">
        <v>260</v>
      </c>
      <c r="B268" s="6" t="n">
        <v>718</v>
      </c>
      <c r="C268" s="7" t="s">
        <v>1078</v>
      </c>
      <c r="D268" s="6" t="s">
        <v>1079</v>
      </c>
      <c r="E268" s="6" t="s">
        <v>1080</v>
      </c>
      <c r="F268" s="6" t="s">
        <v>62</v>
      </c>
      <c r="G268" s="8" t="n">
        <v>4</v>
      </c>
      <c r="H268" s="9" t="n">
        <v>3.07</v>
      </c>
      <c r="I268" s="9" t="n">
        <f aca="false">G268*H268</f>
        <v>12.28</v>
      </c>
      <c r="J268" s="6" t="s">
        <v>1081</v>
      </c>
      <c r="K268" s="6"/>
    </row>
    <row r="269" customFormat="false" ht="15" hidden="false" customHeight="false" outlineLevel="0" collapsed="false">
      <c r="A269" s="6" t="n">
        <v>261</v>
      </c>
      <c r="B269" s="6" t="n">
        <v>7576</v>
      </c>
      <c r="C269" s="7" t="s">
        <v>1082</v>
      </c>
      <c r="D269" s="6" t="s">
        <v>1079</v>
      </c>
      <c r="E269" s="6" t="s">
        <v>1083</v>
      </c>
      <c r="F269" s="6"/>
      <c r="G269" s="8" t="n">
        <v>5</v>
      </c>
      <c r="H269" s="9" t="n">
        <v>3.23</v>
      </c>
      <c r="I269" s="9" t="n">
        <f aca="false">G269*H269</f>
        <v>16.15</v>
      </c>
      <c r="J269" s="6" t="s">
        <v>1084</v>
      </c>
      <c r="K269" s="6"/>
    </row>
    <row r="270" customFormat="false" ht="15" hidden="false" customHeight="false" outlineLevel="0" collapsed="false">
      <c r="A270" s="6" t="n">
        <v>262</v>
      </c>
      <c r="B270" s="6" t="n">
        <v>321</v>
      </c>
      <c r="C270" s="7" t="s">
        <v>1085</v>
      </c>
      <c r="D270" s="6" t="s">
        <v>1086</v>
      </c>
      <c r="E270" s="6" t="s">
        <v>1087</v>
      </c>
      <c r="F270" s="6" t="s">
        <v>228</v>
      </c>
      <c r="G270" s="8" t="n">
        <v>71</v>
      </c>
      <c r="H270" s="9" t="n">
        <v>2.39</v>
      </c>
      <c r="I270" s="9" t="n">
        <f aca="false">G270*H270</f>
        <v>169.69</v>
      </c>
      <c r="J270" s="6" t="s">
        <v>1088</v>
      </c>
      <c r="K270" s="6"/>
    </row>
    <row r="271" customFormat="false" ht="15" hidden="false" customHeight="false" outlineLevel="0" collapsed="false">
      <c r="A271" s="6" t="n">
        <v>263</v>
      </c>
      <c r="B271" s="6" t="n">
        <v>809</v>
      </c>
      <c r="C271" s="7" t="s">
        <v>1089</v>
      </c>
      <c r="D271" s="6" t="s">
        <v>1086</v>
      </c>
      <c r="E271" s="6" t="s">
        <v>1090</v>
      </c>
      <c r="F271" s="6" t="s">
        <v>66</v>
      </c>
      <c r="G271" s="8" t="n">
        <v>60</v>
      </c>
      <c r="H271" s="9" t="n">
        <v>2.28</v>
      </c>
      <c r="I271" s="9" t="n">
        <f aca="false">G271*H271</f>
        <v>136.8</v>
      </c>
      <c r="J271" s="6" t="s">
        <v>1091</v>
      </c>
      <c r="K271" s="6"/>
    </row>
    <row r="272" customFormat="false" ht="15" hidden="false" customHeight="false" outlineLevel="0" collapsed="false">
      <c r="A272" s="6" t="n">
        <v>264</v>
      </c>
      <c r="B272" s="6" t="n">
        <v>5242</v>
      </c>
      <c r="C272" s="7" t="s">
        <v>1092</v>
      </c>
      <c r="D272" s="6" t="s">
        <v>1093</v>
      </c>
      <c r="E272" s="6" t="s">
        <v>1093</v>
      </c>
      <c r="F272" s="6" t="s">
        <v>50</v>
      </c>
      <c r="G272" s="8" t="n">
        <v>1</v>
      </c>
      <c r="H272" s="9" t="n">
        <v>21.47</v>
      </c>
      <c r="I272" s="9" t="n">
        <f aca="false">G272*H272</f>
        <v>21.47</v>
      </c>
      <c r="J272" s="6" t="s">
        <v>1094</v>
      </c>
      <c r="K272" s="6"/>
    </row>
    <row r="273" customFormat="false" ht="15" hidden="false" customHeight="false" outlineLevel="0" collapsed="false">
      <c r="A273" s="6" t="n">
        <v>265</v>
      </c>
      <c r="B273" s="6" t="n">
        <v>2530</v>
      </c>
      <c r="C273" s="7" t="s">
        <v>1095</v>
      </c>
      <c r="D273" s="6" t="s">
        <v>1096</v>
      </c>
      <c r="E273" s="6" t="s">
        <v>1097</v>
      </c>
      <c r="F273" s="6" t="s">
        <v>35</v>
      </c>
      <c r="G273" s="8" t="n">
        <v>6</v>
      </c>
      <c r="H273" s="9" t="n">
        <v>7.9</v>
      </c>
      <c r="I273" s="9" t="n">
        <f aca="false">G273*H273</f>
        <v>47.4</v>
      </c>
      <c r="J273" s="6" t="s">
        <v>1098</v>
      </c>
      <c r="K273" s="6"/>
    </row>
    <row r="274" customFormat="false" ht="15" hidden="false" customHeight="false" outlineLevel="0" collapsed="false">
      <c r="A274" s="6" t="n">
        <v>266</v>
      </c>
      <c r="B274" s="6" t="n">
        <v>3202</v>
      </c>
      <c r="C274" s="7" t="s">
        <v>1099</v>
      </c>
      <c r="D274" s="6" t="s">
        <v>1100</v>
      </c>
      <c r="E274" s="6" t="s">
        <v>1101</v>
      </c>
      <c r="F274" s="6" t="s">
        <v>45</v>
      </c>
      <c r="G274" s="8" t="n">
        <v>4</v>
      </c>
      <c r="H274" s="9" t="n">
        <v>5.2</v>
      </c>
      <c r="I274" s="9" t="n">
        <f aca="false">G274*H274</f>
        <v>20.8</v>
      </c>
      <c r="J274" s="6" t="s">
        <v>1102</v>
      </c>
      <c r="K274" s="6"/>
    </row>
    <row r="275" customFormat="false" ht="15" hidden="false" customHeight="false" outlineLevel="0" collapsed="false">
      <c r="A275" s="6" t="n">
        <v>267</v>
      </c>
      <c r="B275" s="6" t="n">
        <v>3419</v>
      </c>
      <c r="C275" s="7" t="s">
        <v>1103</v>
      </c>
      <c r="D275" s="6" t="s">
        <v>1104</v>
      </c>
      <c r="E275" s="6" t="s">
        <v>1105</v>
      </c>
      <c r="F275" s="6" t="s">
        <v>45</v>
      </c>
      <c r="G275" s="8" t="n">
        <v>12</v>
      </c>
      <c r="H275" s="9" t="n">
        <v>5.93</v>
      </c>
      <c r="I275" s="9" t="n">
        <f aca="false">G275*H275</f>
        <v>71.16</v>
      </c>
      <c r="J275" s="6" t="s">
        <v>1106</v>
      </c>
      <c r="K275" s="6"/>
    </row>
    <row r="276" customFormat="false" ht="15" hidden="false" customHeight="false" outlineLevel="0" collapsed="false">
      <c r="A276" s="6" t="n">
        <v>268</v>
      </c>
      <c r="B276" s="6" t="n">
        <v>1422</v>
      </c>
      <c r="C276" s="7" t="s">
        <v>1107</v>
      </c>
      <c r="D276" s="6" t="s">
        <v>1108</v>
      </c>
      <c r="E276" s="6" t="s">
        <v>1108</v>
      </c>
      <c r="F276" s="6" t="s">
        <v>329</v>
      </c>
      <c r="G276" s="8" t="n">
        <v>17</v>
      </c>
      <c r="H276" s="9" t="n">
        <v>4.37</v>
      </c>
      <c r="I276" s="9" t="n">
        <f aca="false">G276*H276</f>
        <v>74.29</v>
      </c>
      <c r="J276" s="6" t="s">
        <v>1109</v>
      </c>
      <c r="K276" s="6"/>
    </row>
    <row r="277" customFormat="false" ht="15" hidden="false" customHeight="false" outlineLevel="0" collapsed="false">
      <c r="A277" s="6" t="n">
        <v>269</v>
      </c>
      <c r="B277" s="6" t="n">
        <v>4762</v>
      </c>
      <c r="C277" s="7" t="s">
        <v>1110</v>
      </c>
      <c r="D277" s="6" t="s">
        <v>1111</v>
      </c>
      <c r="E277" s="6" t="s">
        <v>1112</v>
      </c>
      <c r="F277" s="6" t="s">
        <v>228</v>
      </c>
      <c r="G277" s="8" t="n">
        <v>1</v>
      </c>
      <c r="H277" s="9" t="n">
        <v>13.33</v>
      </c>
      <c r="I277" s="9" t="n">
        <f aca="false">G277*H277</f>
        <v>13.33</v>
      </c>
      <c r="J277" s="6" t="s">
        <v>1113</v>
      </c>
      <c r="K277" s="6"/>
    </row>
    <row r="278" customFormat="false" ht="15" hidden="false" customHeight="false" outlineLevel="0" collapsed="false">
      <c r="A278" s="6" t="n">
        <v>270</v>
      </c>
      <c r="B278" s="6" t="n">
        <v>271</v>
      </c>
      <c r="C278" s="7" t="s">
        <v>1114</v>
      </c>
      <c r="D278" s="6" t="s">
        <v>1115</v>
      </c>
      <c r="E278" s="6" t="s">
        <v>1116</v>
      </c>
      <c r="F278" s="6" t="s">
        <v>228</v>
      </c>
      <c r="G278" s="8" t="n">
        <v>4</v>
      </c>
      <c r="H278" s="9" t="n">
        <v>1.69</v>
      </c>
      <c r="I278" s="9" t="n">
        <f aca="false">G278*H278</f>
        <v>6.76</v>
      </c>
      <c r="J278" s="6" t="s">
        <v>1117</v>
      </c>
      <c r="K278" s="6"/>
    </row>
    <row r="279" customFormat="false" ht="15" hidden="false" customHeight="false" outlineLevel="0" collapsed="false">
      <c r="A279" s="6" t="n">
        <v>271</v>
      </c>
      <c r="B279" s="6" t="n">
        <v>8482</v>
      </c>
      <c r="C279" s="7" t="s">
        <v>1118</v>
      </c>
      <c r="D279" s="6" t="s">
        <v>1119</v>
      </c>
      <c r="E279" s="6" t="s">
        <v>1119</v>
      </c>
      <c r="F279" s="6" t="s">
        <v>98</v>
      </c>
      <c r="G279" s="8" t="n">
        <v>6</v>
      </c>
      <c r="H279" s="9" t="n">
        <v>8.09</v>
      </c>
      <c r="I279" s="9" t="n">
        <f aca="false">G279*H279</f>
        <v>48.54</v>
      </c>
      <c r="J279" s="6" t="s">
        <v>1120</v>
      </c>
      <c r="K279" s="6"/>
    </row>
    <row r="280" customFormat="false" ht="15" hidden="false" customHeight="false" outlineLevel="0" collapsed="false">
      <c r="A280" s="6" t="n">
        <v>272</v>
      </c>
      <c r="B280" s="6" t="n">
        <v>2435</v>
      </c>
      <c r="C280" s="7" t="s">
        <v>1121</v>
      </c>
      <c r="D280" s="6" t="s">
        <v>1122</v>
      </c>
      <c r="E280" s="6" t="s">
        <v>1123</v>
      </c>
      <c r="F280" s="6" t="s">
        <v>138</v>
      </c>
      <c r="G280" s="8" t="n">
        <v>5</v>
      </c>
      <c r="H280" s="9" t="n">
        <v>25.17</v>
      </c>
      <c r="I280" s="9" t="n">
        <f aca="false">G280*H280</f>
        <v>125.85</v>
      </c>
      <c r="J280" s="6" t="s">
        <v>1124</v>
      </c>
      <c r="K280" s="6"/>
    </row>
    <row r="281" customFormat="false" ht="15" hidden="false" customHeight="false" outlineLevel="0" collapsed="false">
      <c r="A281" s="6" t="n">
        <v>273</v>
      </c>
      <c r="B281" s="6" t="n">
        <v>8636</v>
      </c>
      <c r="C281" s="7" t="s">
        <v>1125</v>
      </c>
      <c r="D281" s="6" t="s">
        <v>1126</v>
      </c>
      <c r="E281" s="6" t="s">
        <v>1126</v>
      </c>
      <c r="F281" s="6" t="s">
        <v>98</v>
      </c>
      <c r="G281" s="8" t="n">
        <v>3</v>
      </c>
      <c r="H281" s="9" t="n">
        <v>6.37</v>
      </c>
      <c r="I281" s="9" t="n">
        <f aca="false">G281*H281</f>
        <v>19.11</v>
      </c>
      <c r="J281" s="6" t="s">
        <v>1127</v>
      </c>
      <c r="K281" s="6"/>
    </row>
    <row r="282" customFormat="false" ht="15" hidden="false" customHeight="false" outlineLevel="0" collapsed="false">
      <c r="A282" s="6" t="n">
        <v>274</v>
      </c>
      <c r="B282" s="6" t="n">
        <v>177</v>
      </c>
      <c r="C282" s="7" t="s">
        <v>1128</v>
      </c>
      <c r="D282" s="6" t="s">
        <v>1129</v>
      </c>
      <c r="E282" s="6" t="s">
        <v>1129</v>
      </c>
      <c r="F282" s="6" t="s">
        <v>66</v>
      </c>
      <c r="G282" s="8" t="n">
        <v>8</v>
      </c>
      <c r="H282" s="9" t="n">
        <v>4.31</v>
      </c>
      <c r="I282" s="9" t="n">
        <f aca="false">G282*H282</f>
        <v>34.48</v>
      </c>
      <c r="J282" s="6" t="s">
        <v>1130</v>
      </c>
      <c r="K282" s="6"/>
    </row>
    <row r="283" customFormat="false" ht="15" hidden="false" customHeight="false" outlineLevel="0" collapsed="false">
      <c r="A283" s="6" t="n">
        <v>275</v>
      </c>
      <c r="B283" s="6" t="n">
        <v>3415</v>
      </c>
      <c r="C283" s="7" t="s">
        <v>1131</v>
      </c>
      <c r="D283" s="6" t="s">
        <v>1132</v>
      </c>
      <c r="E283" s="6" t="s">
        <v>1133</v>
      </c>
      <c r="F283" s="6" t="s">
        <v>40</v>
      </c>
      <c r="G283" s="8" t="n">
        <v>1</v>
      </c>
      <c r="H283" s="9" t="n">
        <v>7.3</v>
      </c>
      <c r="I283" s="9" t="n">
        <f aca="false">G283*H283</f>
        <v>7.3</v>
      </c>
      <c r="J283" s="6" t="s">
        <v>1134</v>
      </c>
      <c r="K283" s="6"/>
    </row>
    <row r="284" customFormat="false" ht="15" hidden="false" customHeight="false" outlineLevel="0" collapsed="false">
      <c r="A284" s="6" t="n">
        <v>276</v>
      </c>
      <c r="B284" s="6" t="n">
        <v>3126</v>
      </c>
      <c r="C284" s="7" t="s">
        <v>1135</v>
      </c>
      <c r="D284" s="6" t="s">
        <v>1136</v>
      </c>
      <c r="E284" s="6" t="s">
        <v>1137</v>
      </c>
      <c r="F284" s="6" t="s">
        <v>66</v>
      </c>
      <c r="G284" s="8" t="n">
        <v>20</v>
      </c>
      <c r="H284" s="9" t="n">
        <v>13.08</v>
      </c>
      <c r="I284" s="9" t="n">
        <f aca="false">G284*H284</f>
        <v>261.6</v>
      </c>
      <c r="J284" s="6" t="s">
        <v>1138</v>
      </c>
      <c r="K284" s="6"/>
    </row>
    <row r="285" customFormat="false" ht="15" hidden="false" customHeight="false" outlineLevel="0" collapsed="false">
      <c r="A285" s="6" t="n">
        <v>277</v>
      </c>
      <c r="B285" s="6" t="n">
        <v>3156</v>
      </c>
      <c r="C285" s="7" t="s">
        <v>1139</v>
      </c>
      <c r="D285" s="6" t="s">
        <v>1140</v>
      </c>
      <c r="E285" s="6" t="s">
        <v>1141</v>
      </c>
      <c r="F285" s="6" t="s">
        <v>138</v>
      </c>
      <c r="G285" s="8" t="n">
        <v>3</v>
      </c>
      <c r="H285" s="9" t="n">
        <v>25.39</v>
      </c>
      <c r="I285" s="9" t="n">
        <f aca="false">G285*H285</f>
        <v>76.17</v>
      </c>
      <c r="J285" s="6" t="s">
        <v>1142</v>
      </c>
      <c r="K285" s="6"/>
    </row>
    <row r="286" customFormat="false" ht="15" hidden="false" customHeight="false" outlineLevel="0" collapsed="false">
      <c r="A286" s="6" t="n">
        <v>278</v>
      </c>
      <c r="B286" s="6" t="n">
        <v>1176</v>
      </c>
      <c r="C286" s="7" t="s">
        <v>1143</v>
      </c>
      <c r="D286" s="6" t="s">
        <v>1144</v>
      </c>
      <c r="E286" s="6" t="s">
        <v>1145</v>
      </c>
      <c r="F286" s="6" t="s">
        <v>98</v>
      </c>
      <c r="G286" s="8" t="n">
        <v>2</v>
      </c>
      <c r="H286" s="9" t="n">
        <v>31.63</v>
      </c>
      <c r="I286" s="9" t="n">
        <f aca="false">G286*H286</f>
        <v>63.26</v>
      </c>
      <c r="J286" s="6" t="s">
        <v>1146</v>
      </c>
      <c r="K286" s="6"/>
    </row>
    <row r="287" customFormat="false" ht="15" hidden="false" customHeight="false" outlineLevel="0" collapsed="false">
      <c r="A287" s="6" t="n">
        <v>279</v>
      </c>
      <c r="B287" s="6" t="n">
        <v>163</v>
      </c>
      <c r="C287" s="7" t="s">
        <v>1147</v>
      </c>
      <c r="D287" s="6" t="s">
        <v>1148</v>
      </c>
      <c r="E287" s="6" t="s">
        <v>1148</v>
      </c>
      <c r="F287" s="6" t="s">
        <v>66</v>
      </c>
      <c r="G287" s="8" t="n">
        <v>10</v>
      </c>
      <c r="H287" s="9" t="n">
        <v>5.26</v>
      </c>
      <c r="I287" s="9" t="n">
        <f aca="false">G287*H287</f>
        <v>52.6</v>
      </c>
      <c r="J287" s="6" t="s">
        <v>1149</v>
      </c>
      <c r="K287" s="6"/>
    </row>
    <row r="288" customFormat="false" ht="15" hidden="false" customHeight="false" outlineLevel="0" collapsed="false">
      <c r="A288" s="6" t="n">
        <v>280</v>
      </c>
      <c r="B288" s="6" t="n">
        <v>851</v>
      </c>
      <c r="C288" s="7" t="s">
        <v>1150</v>
      </c>
      <c r="D288" s="6" t="s">
        <v>1151</v>
      </c>
      <c r="E288" s="6" t="s">
        <v>1152</v>
      </c>
      <c r="F288" s="6" t="s">
        <v>66</v>
      </c>
      <c r="G288" s="8" t="n">
        <v>14</v>
      </c>
      <c r="H288" s="9" t="n">
        <v>4.79</v>
      </c>
      <c r="I288" s="9" t="n">
        <f aca="false">G288*H288</f>
        <v>67.06</v>
      </c>
      <c r="J288" s="6" t="s">
        <v>1153</v>
      </c>
      <c r="K288" s="6"/>
    </row>
    <row r="289" customFormat="false" ht="15" hidden="false" customHeight="false" outlineLevel="0" collapsed="false">
      <c r="A289" s="6" t="n">
        <v>281</v>
      </c>
      <c r="B289" s="6" t="n">
        <v>8090</v>
      </c>
      <c r="C289" s="7" t="s">
        <v>1154</v>
      </c>
      <c r="D289" s="6" t="s">
        <v>1155</v>
      </c>
      <c r="E289" s="6" t="s">
        <v>1156</v>
      </c>
      <c r="F289" s="6" t="s">
        <v>35</v>
      </c>
      <c r="G289" s="8" t="n">
        <v>4</v>
      </c>
      <c r="H289" s="9" t="n">
        <v>3.69</v>
      </c>
      <c r="I289" s="9" t="n">
        <f aca="false">G289*H289</f>
        <v>14.76</v>
      </c>
      <c r="J289" s="6" t="s">
        <v>1157</v>
      </c>
      <c r="K289" s="6"/>
    </row>
    <row r="290" customFormat="false" ht="15" hidden="false" customHeight="false" outlineLevel="0" collapsed="false">
      <c r="A290" s="6" t="n">
        <v>282</v>
      </c>
      <c r="B290" s="6" t="n">
        <v>8626</v>
      </c>
      <c r="C290" s="7" t="s">
        <v>1158</v>
      </c>
      <c r="D290" s="6" t="s">
        <v>1159</v>
      </c>
      <c r="E290" s="6" t="s">
        <v>1160</v>
      </c>
      <c r="F290" s="6" t="s">
        <v>98</v>
      </c>
      <c r="G290" s="8" t="n">
        <v>2</v>
      </c>
      <c r="H290" s="9" t="n">
        <v>18.2</v>
      </c>
      <c r="I290" s="9" t="n">
        <f aca="false">G290*H290</f>
        <v>36.4</v>
      </c>
      <c r="J290" s="6" t="s">
        <v>1161</v>
      </c>
      <c r="K290" s="6"/>
    </row>
    <row r="291" customFormat="false" ht="15" hidden="false" customHeight="false" outlineLevel="0" collapsed="false">
      <c r="A291" s="6" t="n">
        <v>283</v>
      </c>
      <c r="B291" s="6" t="n">
        <v>5251</v>
      </c>
      <c r="C291" s="7" t="s">
        <v>1162</v>
      </c>
      <c r="D291" s="6" t="s">
        <v>1163</v>
      </c>
      <c r="E291" s="6" t="s">
        <v>1164</v>
      </c>
      <c r="F291" s="6"/>
      <c r="G291" s="8" t="n">
        <v>1</v>
      </c>
      <c r="H291" s="9" t="n">
        <v>15.36</v>
      </c>
      <c r="I291" s="9" t="n">
        <f aca="false">G291*H291</f>
        <v>15.36</v>
      </c>
      <c r="J291" s="6" t="s">
        <v>1165</v>
      </c>
      <c r="K291" s="6"/>
    </row>
    <row r="292" customFormat="false" ht="15" hidden="false" customHeight="false" outlineLevel="0" collapsed="false">
      <c r="A292" s="6" t="n">
        <v>284</v>
      </c>
      <c r="B292" s="6" t="n">
        <v>8611</v>
      </c>
      <c r="C292" s="7" t="s">
        <v>1166</v>
      </c>
      <c r="D292" s="6" t="s">
        <v>1167</v>
      </c>
      <c r="E292" s="6" t="s">
        <v>1167</v>
      </c>
      <c r="F292" s="6" t="s">
        <v>98</v>
      </c>
      <c r="G292" s="8" t="n">
        <v>5</v>
      </c>
      <c r="H292" s="9" t="n">
        <v>15.82</v>
      </c>
      <c r="I292" s="9" t="n">
        <f aca="false">G292*H292</f>
        <v>79.1</v>
      </c>
      <c r="J292" s="6" t="s">
        <v>1168</v>
      </c>
      <c r="K292" s="6"/>
    </row>
    <row r="293" customFormat="false" ht="15" hidden="false" customHeight="false" outlineLevel="0" collapsed="false">
      <c r="A293" s="6" t="n">
        <v>285</v>
      </c>
      <c r="B293" s="6" t="n">
        <v>8092</v>
      </c>
      <c r="C293" s="7" t="s">
        <v>1169</v>
      </c>
      <c r="D293" s="6" t="s">
        <v>1170</v>
      </c>
      <c r="E293" s="6" t="s">
        <v>1171</v>
      </c>
      <c r="F293" s="6" t="s">
        <v>35</v>
      </c>
      <c r="G293" s="8" t="n">
        <v>3</v>
      </c>
      <c r="H293" s="9" t="n">
        <v>7.99</v>
      </c>
      <c r="I293" s="9" t="n">
        <f aca="false">G293*H293</f>
        <v>23.97</v>
      </c>
      <c r="J293" s="6" t="s">
        <v>1172</v>
      </c>
      <c r="K293" s="6"/>
    </row>
    <row r="294" customFormat="false" ht="15" hidden="false" customHeight="false" outlineLevel="0" collapsed="false">
      <c r="A294" s="6" t="n">
        <v>286</v>
      </c>
      <c r="B294" s="6" t="n">
        <v>4416</v>
      </c>
      <c r="C294" s="7" t="s">
        <v>1173</v>
      </c>
      <c r="D294" s="6" t="s">
        <v>1174</v>
      </c>
      <c r="E294" s="6" t="s">
        <v>1175</v>
      </c>
      <c r="F294" s="6" t="s">
        <v>972</v>
      </c>
      <c r="G294" s="8" t="n">
        <v>1</v>
      </c>
      <c r="H294" s="9" t="n">
        <v>4.56</v>
      </c>
      <c r="I294" s="9" t="n">
        <f aca="false">G294*H294</f>
        <v>4.56</v>
      </c>
      <c r="J294" s="6" t="s">
        <v>1176</v>
      </c>
      <c r="K294" s="6"/>
    </row>
    <row r="295" customFormat="false" ht="15" hidden="false" customHeight="false" outlineLevel="0" collapsed="false">
      <c r="A295" s="6" t="n">
        <v>287</v>
      </c>
      <c r="B295" s="6" t="n">
        <v>5255</v>
      </c>
      <c r="C295" s="7" t="s">
        <v>1177</v>
      </c>
      <c r="D295" s="6" t="s">
        <v>1178</v>
      </c>
      <c r="E295" s="6" t="s">
        <v>1178</v>
      </c>
      <c r="F295" s="6" t="s">
        <v>50</v>
      </c>
      <c r="G295" s="8" t="n">
        <v>1</v>
      </c>
      <c r="H295" s="9" t="n">
        <v>26.69</v>
      </c>
      <c r="I295" s="9" t="n">
        <f aca="false">G295*H295</f>
        <v>26.69</v>
      </c>
      <c r="J295" s="6" t="s">
        <v>1179</v>
      </c>
      <c r="K295" s="6"/>
    </row>
    <row r="296" customFormat="false" ht="15" hidden="false" customHeight="false" outlineLevel="0" collapsed="false">
      <c r="A296" s="6" t="n">
        <v>288</v>
      </c>
      <c r="B296" s="6" t="n">
        <v>1915</v>
      </c>
      <c r="C296" s="7" t="s">
        <v>1180</v>
      </c>
      <c r="D296" s="6" t="s">
        <v>1181</v>
      </c>
      <c r="E296" s="6" t="s">
        <v>1181</v>
      </c>
      <c r="F296" s="6" t="s">
        <v>98</v>
      </c>
      <c r="G296" s="8" t="n">
        <v>4</v>
      </c>
      <c r="H296" s="9" t="n">
        <v>6.04</v>
      </c>
      <c r="I296" s="9" t="n">
        <f aca="false">G296*H296</f>
        <v>24.16</v>
      </c>
      <c r="J296" s="6" t="s">
        <v>1182</v>
      </c>
      <c r="K296" s="6"/>
    </row>
    <row r="297" customFormat="false" ht="15" hidden="false" customHeight="false" outlineLevel="0" collapsed="false">
      <c r="A297" s="10"/>
      <c r="B297" s="10"/>
      <c r="C297" s="10"/>
      <c r="D297" s="11" t="s">
        <v>1183</v>
      </c>
      <c r="E297" s="10"/>
      <c r="F297" s="11" t="str">
        <f aca="false">COUNT(A9:A296)&amp;" itens"</f>
        <v>288 itens</v>
      </c>
      <c r="G297" s="12" t="n">
        <f aca="false">SUM(G9:G296)</f>
        <v>3587</v>
      </c>
      <c r="H297" s="10"/>
      <c r="I297" s="13" t="n">
        <f aca="false">SUM(I9:I296)</f>
        <v>17360.9985</v>
      </c>
      <c r="J297" s="10"/>
      <c r="K297" s="10"/>
    </row>
    <row r="299" customFormat="false" ht="15" hidden="false" customHeight="false" outlineLevel="0" collapsed="false">
      <c r="A299" s="2" t="s">
        <v>1184</v>
      </c>
    </row>
    <row r="300" customFormat="false" ht="15" hidden="false" customHeight="false" outlineLevel="0" collapsed="false">
      <c r="A300" s="3" t="s">
        <v>1185</v>
      </c>
    </row>
    <row r="301" customFormat="false" ht="15" hidden="false" customHeight="false" outlineLevel="0" collapsed="false">
      <c r="A301" s="3" t="s">
        <v>1186</v>
      </c>
    </row>
    <row r="302" customFormat="false" ht="15" hidden="false" customHeight="false" outlineLevel="0" collapsed="false">
      <c r="A302" s="3" t="s">
        <v>1187</v>
      </c>
    </row>
    <row r="303" customFormat="false" ht="15" hidden="false" customHeight="false" outlineLevel="0" collapsed="false">
      <c r="A303" s="3" t="s">
        <v>1188</v>
      </c>
    </row>
  </sheetData>
  <autoFilter ref="A8:K29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2026-10-20T18:57:50Z</dcterms:created>
  <dc:creator>openpyxl</dc:creator>
  <dc:description/>
  <dc:language>en-US</dc:language>
  <cp:lastModifiedBy/>
  <dcterms:modified xsi:type="dcterms:W3CDTF">2026-10-20T18:57:50Z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