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o" sheetId="1" state="visible" r:id="rId1"/>
  </sheets>
  <definedNames>
    <definedName name="_xlnm._FilterDatabase" localSheetId="0" hidden="1">'Comparativo'!$A$13:$R$745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-#,##0.00;&quot;-&quot;"/>
    <numFmt numFmtId="165" formatCode="0.0%"/>
    <numFmt numFmtId="166" formatCode="+0.0%;[Red]-0.0%;0.0%"/>
  </numFmts>
  <fonts count="6">
    <font>
      <name val="Calibri"/>
      <family val="2"/>
      <color theme="1"/>
      <sz val="11"/>
      <scheme val="minor"/>
    </font>
    <font>
      <name val="Arial"/>
      <b val="1"/>
      <color rgb="001565C0"/>
      <sz val="16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3" fillId="0" borderId="0" applyAlignment="1" pivotButton="0" quotePrefix="0" xfId="0">
      <alignment horizontal="right"/>
    </xf>
    <xf numFmtId="0" fontId="4" fillId="0" borderId="0" pivotButton="0" quotePrefix="0" xfId="0"/>
    <xf numFmtId="49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49" fontId="4" fillId="0" borderId="1" applyAlignment="1" pivotButton="0" quotePrefix="0" xfId="0">
      <alignment horizontal="center"/>
    </xf>
    <xf numFmtId="165" fontId="4" fillId="0" borderId="1" pivotButton="0" quotePrefix="0" xfId="0"/>
    <xf numFmtId="166" fontId="4" fillId="0" borderId="1" pivotButton="0" quotePrefix="0" xfId="0"/>
  </cellXfs>
  <cellStyles count="1">
    <cellStyle name="Normal" xfId="0" builtinId="0" hidden="0"/>
  </cellStyles>
  <dxfs count="6">
    <dxf>
      <fill>
        <patternFill patternType="solid">
          <fgColor rgb="00C8E6C9"/>
        </patternFill>
      </fill>
    </dxf>
    <dxf>
      <fill>
        <patternFill patternType="solid">
          <fgColor rgb="00FFCDD2"/>
        </patternFill>
      </fill>
    </dxf>
    <dxf>
      <fill>
        <patternFill patternType="solid">
          <fgColor rgb="00FFF59D"/>
        </patternFill>
      </fill>
    </dxf>
    <dxf>
      <font>
        <b val="1"/>
        <color rgb="00C62828"/>
      </font>
    </dxf>
    <dxf>
      <font>
        <color rgb="00C62828"/>
      </font>
    </dxf>
    <dxf>
      <font>
        <color rgb="002E7D3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5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4" customWidth="1" min="2" max="2"/>
    <col width="14" customWidth="1" min="3" max="3"/>
    <col width="5" customWidth="1" min="4" max="4"/>
    <col width="8" customWidth="1" min="5" max="5"/>
    <col width="7" customWidth="1" min="6" max="6"/>
    <col width="11" customWidth="1" min="7" max="7"/>
    <col width="26" customWidth="1" min="8" max="8"/>
    <col width="15" customWidth="1" min="9" max="9"/>
    <col width="44" customWidth="1" min="10" max="10"/>
    <col width="10" customWidth="1" min="11" max="11"/>
    <col width="7" customWidth="1" min="12" max="12"/>
    <col width="10" customWidth="1" min="13" max="13"/>
    <col width="9" customWidth="1" min="14" max="14"/>
    <col width="9" customWidth="1" min="15" max="15"/>
    <col width="11" customWidth="1" min="16" max="16"/>
    <col width="12" customWidth="1" min="17" max="17"/>
    <col width="22" customWidth="1" min="18" max="18"/>
  </cols>
  <sheetData>
    <row r="1">
      <c r="A1" s="1" t="inlineStr">
        <is>
          <t>COMPARATIVO DE PREÇOS — Distribuidor 712093</t>
        </is>
      </c>
    </row>
    <row r="2">
      <c r="A2" s="2" t="inlineStr">
        <is>
          <t>Base: embalagem de compra (custo atual = Custo un × Un/Cx do controle). Preço líquido = preço tabela à vista × (1 − desconto). Tabela sem ST informada (LIQ_COM_ST vazio).</t>
        </is>
      </c>
    </row>
    <row r="4">
      <c r="A4" s="3" t="inlineStr">
        <is>
          <t>Produtos na lista</t>
        </is>
      </c>
      <c r="E4" s="4">
        <f>COUNTA(A14:A745)</f>
        <v/>
      </c>
    </row>
    <row r="5">
      <c r="A5" s="3" t="inlineStr">
        <is>
          <t>Com preço comparável</t>
        </is>
      </c>
      <c r="E5" s="4">
        <f>COUNTIFS(M14:M745,"&lt;&gt;",R14:R745,"")</f>
        <v/>
      </c>
    </row>
    <row r="6">
      <c r="A6" s="5" t="inlineStr">
        <is>
          <t xml:space="preserve">  • mais baratos que o custo atual</t>
        </is>
      </c>
      <c r="E6" s="4">
        <f>COUNTIF(Q14:Q745,"Mais barato")</f>
        <v/>
      </c>
    </row>
    <row r="7">
      <c r="A7" s="5" t="inlineStr">
        <is>
          <t xml:space="preserve">  • mais caros que o custo atual</t>
        </is>
      </c>
      <c r="E7" s="4">
        <f>COUNTIF(Q14:Q745,"Mais caro")</f>
        <v/>
      </c>
    </row>
    <row r="8">
      <c r="A8" s="3" t="inlineStr">
        <is>
          <t>Conferir embalagem / sem preço / não encontrado</t>
        </is>
      </c>
      <c r="E8" s="6">
        <f>COUNTIF(R14:R745,"Conferir*")&amp;" / "&amp;COUNTIF(R14:R745,"Sem preço")&amp;" / "&amp;COUNTIF(R14:R745,"Não encontrado")</f>
        <v/>
      </c>
    </row>
    <row r="9">
      <c r="A9" s="3" t="inlineStr">
        <is>
          <t>Economia potencial comprando só os mais baratos (R$)</t>
        </is>
      </c>
      <c r="E9" s="7">
        <f>SUMIF(P14:P745,"&gt;0")</f>
        <v/>
      </c>
    </row>
    <row r="10">
      <c r="A10" s="3" t="inlineStr">
        <is>
          <t>Saldo se comprar todos os comparáveis aqui (R$)</t>
        </is>
      </c>
      <c r="E10" s="7">
        <f>SUM(P14:P745)</f>
        <v/>
      </c>
    </row>
    <row r="13" ht="32" customHeight="1">
      <c r="A13" s="8" t="inlineStr">
        <is>
          <t>Cód. Rocha</t>
        </is>
      </c>
      <c r="B13" s="8" t="inlineStr">
        <is>
          <t>Produto</t>
        </is>
      </c>
      <c r="C13" s="8" t="inlineStr">
        <is>
          <t>Grupo</t>
        </is>
      </c>
      <c r="D13" s="8" t="inlineStr">
        <is>
          <t>ABC</t>
        </is>
      </c>
      <c r="E13" s="8" t="inlineStr">
        <is>
          <t>Qtde (emb.)</t>
        </is>
      </c>
      <c r="F13" s="8" t="inlineStr">
        <is>
          <t>Un/emb.</t>
        </is>
      </c>
      <c r="G13" s="8" t="inlineStr">
        <is>
          <t>Custo atual (emb.)</t>
        </is>
      </c>
      <c r="H13" s="8" t="inlineStr">
        <is>
          <t>Fornecedor atual</t>
        </is>
      </c>
      <c r="I13" s="8" t="inlineStr">
        <is>
          <t>EAN cotado</t>
        </is>
      </c>
      <c r="J13" s="8" t="inlineStr">
        <is>
          <t>Descrição no distribuidor</t>
        </is>
      </c>
      <c r="K13" s="8" t="inlineStr">
        <is>
          <t>Preço tabela</t>
        </is>
      </c>
      <c r="L13" s="8" t="inlineStr">
        <is>
          <t>Desc. %</t>
        </is>
      </c>
      <c r="M13" s="8" t="inlineStr">
        <is>
          <t>Preço líquido</t>
        </is>
      </c>
      <c r="N13" s="8" t="inlineStr">
        <is>
          <t>Estoque distrib.</t>
        </is>
      </c>
      <c r="O13" s="8" t="inlineStr">
        <is>
          <t>Dif. % vs custo</t>
        </is>
      </c>
      <c r="P13" s="8" t="inlineStr">
        <is>
          <t>Economia (R$)</t>
        </is>
      </c>
      <c r="Q13" s="8" t="inlineStr">
        <is>
          <t>Situação</t>
        </is>
      </c>
      <c r="R13" s="8" t="inlineStr">
        <is>
          <t>Obs.</t>
        </is>
      </c>
    </row>
    <row r="14">
      <c r="A14" s="9" t="n">
        <v>599171</v>
      </c>
      <c r="B14" s="10" t="inlineStr">
        <is>
          <t>20 BI CX 5 CAP</t>
        </is>
      </c>
      <c r="C14" s="10" t="inlineStr">
        <is>
          <t>RX</t>
        </is>
      </c>
      <c r="D14" s="9" t="inlineStr">
        <is>
          <t>A</t>
        </is>
      </c>
      <c r="E14" s="9" t="n">
        <v>3</v>
      </c>
      <c r="F14" s="9" t="n">
        <v>1</v>
      </c>
      <c r="G14" s="11" t="n">
        <v>49.61</v>
      </c>
      <c r="H14" s="10" t="inlineStr">
        <is>
          <t>SC DISTRIBUICAO LTDA</t>
        </is>
      </c>
      <c r="I14" s="12" t="inlineStr">
        <is>
          <t>7891317031268</t>
        </is>
      </c>
      <c r="J14" s="10" t="inlineStr">
        <is>
          <t>20 BI C/05 CAPSULAS</t>
        </is>
      </c>
      <c r="K14" s="11" t="n">
        <v>60.68</v>
      </c>
      <c r="L14" s="13" t="n">
        <v>0</v>
      </c>
      <c r="M14" s="11">
        <f>IF(K14="","",ROUND(K14*(1-L14),2))</f>
        <v/>
      </c>
      <c r="N14" s="9" t="n">
        <v>126</v>
      </c>
      <c r="O14" s="14">
        <f>IF(OR(M14="",R14&lt;&gt;""),"",M14/G14-1)</f>
        <v/>
      </c>
      <c r="P14" s="11">
        <f>IF(OR(M14="",R14&lt;&gt;""),"",(G14-M14)*E14)</f>
        <v/>
      </c>
      <c r="Q14" s="9">
        <f>IF(R14&lt;&gt;"","—",IF(M14&lt;G14,"Mais barato",IF(M14&gt;G14,"Mais caro","Igual")))</f>
        <v/>
      </c>
      <c r="R14" s="10" t="n"/>
    </row>
    <row r="15">
      <c r="A15" s="9" t="n">
        <v>594151</v>
      </c>
      <c r="B15" s="10" t="inlineStr">
        <is>
          <t>AAS 100MG CX 30 COMP</t>
        </is>
      </c>
      <c r="C15" s="10" t="inlineStr">
        <is>
          <t>RX - OTC</t>
        </is>
      </c>
      <c r="D15" s="9" t="inlineStr">
        <is>
          <t>A</t>
        </is>
      </c>
      <c r="E15" s="9" t="n">
        <v>10</v>
      </c>
      <c r="F15" s="9" t="n">
        <v>1</v>
      </c>
      <c r="G15" s="11" t="n">
        <v>19.6711</v>
      </c>
      <c r="H15" s="10" t="inlineStr">
        <is>
          <t>SC DISTRIBUICAO LTDA</t>
        </is>
      </c>
      <c r="I15" s="12" t="inlineStr">
        <is>
          <t>7896094928107</t>
        </is>
      </c>
      <c r="J15" s="10" t="inlineStr">
        <is>
          <t>AAS INFANTIL C/30 COMPRIMIDOS</t>
        </is>
      </c>
      <c r="K15" s="11" t="n">
        <v>20.76</v>
      </c>
      <c r="L15" s="13" t="n">
        <v>0.035</v>
      </c>
      <c r="M15" s="11">
        <f>IF(K15="","",ROUND(K15*(1-L15),2))</f>
        <v/>
      </c>
      <c r="N15" s="9" t="n">
        <v>668</v>
      </c>
      <c r="O15" s="14">
        <f>IF(OR(M15="",R15&lt;&gt;""),"",M15/G15-1)</f>
        <v/>
      </c>
      <c r="P15" s="11">
        <f>IF(OR(M15="",R15&lt;&gt;""),"",(G15-M15)*E15)</f>
        <v/>
      </c>
      <c r="Q15" s="9">
        <f>IF(R15&lt;&gt;"","—",IF(M15&lt;G15,"Mais barato",IF(M15&gt;G15,"Mais caro","Igual")))</f>
        <v/>
      </c>
      <c r="R15" s="10" t="n"/>
    </row>
    <row r="16">
      <c r="A16" s="9" t="n">
        <v>13841</v>
      </c>
      <c r="B16" s="10" t="inlineStr">
        <is>
          <t>AAS PROTECT 100MG CX 30 COMP REV</t>
        </is>
      </c>
      <c r="C16" s="10" t="inlineStr">
        <is>
          <t>RX</t>
        </is>
      </c>
      <c r="D16" s="9" t="inlineStr">
        <is>
          <t>A</t>
        </is>
      </c>
      <c r="E16" s="9" t="n">
        <v>1</v>
      </c>
      <c r="F16" s="9" t="n">
        <v>1</v>
      </c>
      <c r="G16" s="11" t="n">
        <v>14.22</v>
      </c>
      <c r="H16" s="10" t="inlineStr">
        <is>
          <t>SC DISTRIBUICAO LTDA</t>
        </is>
      </c>
      <c r="I16" s="12" t="inlineStr">
        <is>
          <t>7896094928046</t>
        </is>
      </c>
      <c r="J16" s="10" t="inlineStr">
        <is>
          <t>AAS PROTECT 100MG C/30 COMPRIMIDOS</t>
        </is>
      </c>
      <c r="K16" s="11" t="n">
        <v>17.15</v>
      </c>
      <c r="L16" s="13" t="n">
        <v>0.035</v>
      </c>
      <c r="M16" s="11">
        <f>IF(K16="","",ROUND(K16*(1-L16),2))</f>
        <v/>
      </c>
      <c r="N16" s="9" t="n">
        <v>1449</v>
      </c>
      <c r="O16" s="14">
        <f>IF(OR(M16="",R16&lt;&gt;""),"",M16/G16-1)</f>
        <v/>
      </c>
      <c r="P16" s="11">
        <f>IF(OR(M16="",R16&lt;&gt;""),"",(G16-M16)*E16)</f>
        <v/>
      </c>
      <c r="Q16" s="9">
        <f>IF(R16&lt;&gt;"","—",IF(M16&lt;G16,"Mais barato",IF(M16&gt;G16,"Mais caro","Igual")))</f>
        <v/>
      </c>
      <c r="R16" s="10" t="n"/>
    </row>
    <row r="17">
      <c r="A17" s="9" t="n">
        <v>274461</v>
      </c>
      <c r="B17" s="10" t="inlineStr">
        <is>
          <t>ABRILAR 7MG XPE FR 100ML+CM</t>
        </is>
      </c>
      <c r="C17" s="10" t="inlineStr">
        <is>
          <t>RX</t>
        </is>
      </c>
      <c r="D17" s="9" t="inlineStr">
        <is>
          <t>A</t>
        </is>
      </c>
      <c r="E17" s="9" t="n">
        <v>4</v>
      </c>
      <c r="F17" s="9" t="n">
        <v>1</v>
      </c>
      <c r="G17" s="11" t="n">
        <v>42.64</v>
      </c>
      <c r="H17" s="10" t="inlineStr">
        <is>
          <t>SC DISTRIBUICAO LTDA</t>
        </is>
      </c>
      <c r="I17" s="12" t="inlineStr">
        <is>
          <t>7898040320973</t>
        </is>
      </c>
      <c r="J17" s="10" t="inlineStr">
        <is>
          <t>XAROPE ABRILAR 100ML</t>
        </is>
      </c>
      <c r="K17" s="11" t="n">
        <v>41.46</v>
      </c>
      <c r="L17" s="13" t="n">
        <v>0.04</v>
      </c>
      <c r="M17" s="11">
        <f>IF(K17="","",ROUND(K17*(1-L17),2))</f>
        <v/>
      </c>
      <c r="N17" s="9" t="n">
        <v>1755</v>
      </c>
      <c r="O17" s="14">
        <f>IF(OR(M17="",R17&lt;&gt;""),"",M17/G17-1)</f>
        <v/>
      </c>
      <c r="P17" s="11">
        <f>IF(OR(M17="",R17&lt;&gt;""),"",(G17-M17)*E17)</f>
        <v/>
      </c>
      <c r="Q17" s="9">
        <f>IF(R17&lt;&gt;"","—",IF(M17&lt;G17,"Mais barato",IF(M17&gt;G17,"Mais caro","Igual")))</f>
        <v/>
      </c>
      <c r="R17" s="10" t="n"/>
    </row>
    <row r="18">
      <c r="A18" s="9" t="n">
        <v>618411</v>
      </c>
      <c r="B18" s="10" t="inlineStr">
        <is>
          <t>ACTINE GEL DE LIMP 140G</t>
        </is>
      </c>
      <c r="C18" s="10" t="inlineStr">
        <is>
          <t>RX - DERMO</t>
        </is>
      </c>
      <c r="D18" s="9" t="inlineStr">
        <is>
          <t>A</t>
        </is>
      </c>
      <c r="E18" s="9" t="n">
        <v>2</v>
      </c>
      <c r="F18" s="9" t="n">
        <v>1</v>
      </c>
      <c r="G18" s="11" t="n">
        <v>34.9867</v>
      </c>
      <c r="H18" s="10" t="inlineStr">
        <is>
          <t>SC DISTRIBUICAO LTDA</t>
        </is>
      </c>
      <c r="I18" s="12" t="inlineStr">
        <is>
          <t>3282770153477</t>
        </is>
      </c>
      <c r="J18" s="10" t="inlineStr">
        <is>
          <t>GEL DE LIMPEZA ACTINE DARROW 140G</t>
        </is>
      </c>
      <c r="K18" s="11" t="n">
        <v>50.27</v>
      </c>
      <c r="L18" s="13" t="n">
        <v>0</v>
      </c>
      <c r="M18" s="11">
        <f>IF(K18="","",ROUND(K18*(1-L18),2))</f>
        <v/>
      </c>
      <c r="N18" s="9" t="n">
        <v>2378</v>
      </c>
      <c r="O18" s="14">
        <f>IF(OR(M18="",R18&lt;&gt;""),"",M18/G18-1)</f>
        <v/>
      </c>
      <c r="P18" s="11">
        <f>IF(OR(M18="",R18&lt;&gt;""),"",(G18-M18)*E18)</f>
        <v/>
      </c>
      <c r="Q18" s="9">
        <f>IF(R18&lt;&gt;"","—",IF(M18&lt;G18,"Mais barato",IF(M18&gt;G18,"Mais caro","Igual")))</f>
        <v/>
      </c>
      <c r="R18" s="10" t="n"/>
    </row>
    <row r="19">
      <c r="A19" s="9" t="n">
        <v>621431</v>
      </c>
      <c r="B19" s="10" t="inlineStr">
        <is>
          <t>ACTINE PROT SOLAR FPS60 40G</t>
        </is>
      </c>
      <c r="C19" s="10" t="inlineStr">
        <is>
          <t>RX - DERMO</t>
        </is>
      </c>
      <c r="D19" s="9" t="inlineStr">
        <is>
          <t>B</t>
        </is>
      </c>
      <c r="E19" s="9" t="n">
        <v>2</v>
      </c>
      <c r="F19" s="9" t="n">
        <v>1</v>
      </c>
      <c r="G19" s="11" t="n">
        <v>54.63</v>
      </c>
      <c r="H19" s="10" t="inlineStr">
        <is>
          <t>SC DISTRIBUICAO LTDA</t>
        </is>
      </c>
      <c r="I19" s="12" t="inlineStr">
        <is>
          <t>3282770206036</t>
        </is>
      </c>
      <c r="J19" s="10" t="inlineStr">
        <is>
          <t>PROTETOR SOLAR ACTINE FPS60 DARROW 40G</t>
        </is>
      </c>
      <c r="K19" s="11" t="n">
        <v>56.86</v>
      </c>
      <c r="L19" s="13" t="n">
        <v>0</v>
      </c>
      <c r="M19" s="11">
        <f>IF(K19="","",ROUND(K19*(1-L19),2))</f>
        <v/>
      </c>
      <c r="N19" s="9" t="n">
        <v>193</v>
      </c>
      <c r="O19" s="14">
        <f>IF(OR(M19="",R19&lt;&gt;""),"",M19/G19-1)</f>
        <v/>
      </c>
      <c r="P19" s="11">
        <f>IF(OR(M19="",R19&lt;&gt;""),"",(G19-M19)*E19)</f>
        <v/>
      </c>
      <c r="Q19" s="9">
        <f>IF(R19&lt;&gt;"","—",IF(M19&lt;G19,"Mais barato",IF(M19&gt;G19,"Mais caro","Igual")))</f>
        <v/>
      </c>
      <c r="R19" s="10" t="n"/>
    </row>
    <row r="20">
      <c r="A20" s="9" t="n">
        <v>621421</v>
      </c>
      <c r="B20" s="10" t="inlineStr">
        <is>
          <t>ACTINE PROT SOLAR FPS60 COR 40G</t>
        </is>
      </c>
      <c r="C20" s="10" t="inlineStr">
        <is>
          <t>RX - DERMO</t>
        </is>
      </c>
      <c r="D20" s="9" t="inlineStr">
        <is>
          <t>B</t>
        </is>
      </c>
      <c r="E20" s="9" t="n">
        <v>1</v>
      </c>
      <c r="F20" s="9" t="n">
        <v>1</v>
      </c>
      <c r="G20" s="11" t="n">
        <v>54.91</v>
      </c>
      <c r="H20" s="10" t="inlineStr">
        <is>
          <t>SC DISTRIBUICAO LTDA</t>
        </is>
      </c>
      <c r="I20" s="12" t="inlineStr">
        <is>
          <t>3282770206050</t>
        </is>
      </c>
      <c r="J20" s="10" t="inlineStr">
        <is>
          <t>PROTETOR SOLAR ACTINE COM COR FPS60 DARROW 40G</t>
        </is>
      </c>
      <c r="K20" s="11" t="n">
        <v>56.86</v>
      </c>
      <c r="L20" s="13" t="n">
        <v>0</v>
      </c>
      <c r="M20" s="11">
        <f>IF(K20="","",ROUND(K20*(1-L20),2))</f>
        <v/>
      </c>
      <c r="N20" s="9" t="n">
        <v>265</v>
      </c>
      <c r="O20" s="14">
        <f>IF(OR(M20="",R20&lt;&gt;""),"",M20/G20-1)</f>
        <v/>
      </c>
      <c r="P20" s="11">
        <f>IF(OR(M20="",R20&lt;&gt;""),"",(G20-M20)*E20)</f>
        <v/>
      </c>
      <c r="Q20" s="9">
        <f>IF(R20&lt;&gt;"","—",IF(M20&lt;G20,"Mais barato",IF(M20&gt;G20,"Mais caro","Igual")))</f>
        <v/>
      </c>
      <c r="R20" s="10" t="n"/>
    </row>
    <row r="21">
      <c r="A21" s="9" t="n">
        <v>558461</v>
      </c>
      <c r="B21" s="10" t="inlineStr">
        <is>
          <t>AD-TIL SOL GOTAS 20ML</t>
        </is>
      </c>
      <c r="C21" s="10" t="inlineStr">
        <is>
          <t>RX</t>
        </is>
      </c>
      <c r="D21" s="9" t="inlineStr">
        <is>
          <t>A</t>
        </is>
      </c>
      <c r="E21" s="9" t="n">
        <v>3</v>
      </c>
      <c r="F21" s="9" t="n">
        <v>1</v>
      </c>
      <c r="G21" s="11" t="n">
        <v>18.2069</v>
      </c>
      <c r="H21" s="10" t="inlineStr">
        <is>
          <t>SC DISTRIBUICAO LTDA</t>
        </is>
      </c>
      <c r="I21" s="12" t="inlineStr">
        <is>
          <t>7896094925144</t>
        </is>
      </c>
      <c r="J21" s="10" t="inlineStr">
        <is>
          <t>AD-TIL GOTAS 20ML</t>
        </is>
      </c>
      <c r="K21" s="11" t="n">
        <v>16.91</v>
      </c>
      <c r="L21" s="13" t="n">
        <v>0.035</v>
      </c>
      <c r="M21" s="11">
        <f>IF(K21="","",ROUND(K21*(1-L21),2))</f>
        <v/>
      </c>
      <c r="N21" s="9" t="n">
        <v>1469</v>
      </c>
      <c r="O21" s="14">
        <f>IF(OR(M21="",R21&lt;&gt;""),"",M21/G21-1)</f>
        <v/>
      </c>
      <c r="P21" s="11">
        <f>IF(OR(M21="",R21&lt;&gt;""),"",(G21-M21)*E21)</f>
        <v/>
      </c>
      <c r="Q21" s="9">
        <f>IF(R21&lt;&gt;"","—",IF(M21&lt;G21,"Mais barato",IF(M21&gt;G21,"Mais caro","Igual")))</f>
        <v/>
      </c>
      <c r="R21" s="10" t="n"/>
    </row>
    <row r="22">
      <c r="A22" s="9" t="n">
        <v>642771</v>
      </c>
      <c r="B22" s="10" t="inlineStr">
        <is>
          <t>ADEFORTE ORAL 01 AMP</t>
        </is>
      </c>
      <c r="C22" s="10" t="inlineStr">
        <is>
          <t>RX - OTC</t>
        </is>
      </c>
      <c r="D22" s="9" t="inlineStr">
        <is>
          <t>A</t>
        </is>
      </c>
      <c r="E22" s="9" t="n">
        <v>7</v>
      </c>
      <c r="F22" s="9" t="n">
        <v>1</v>
      </c>
      <c r="G22" s="11" t="n">
        <v>24.86</v>
      </c>
      <c r="H22" s="10" t="inlineStr">
        <is>
          <t>SC DISTRIBUICAO LTDA</t>
        </is>
      </c>
      <c r="I22" s="12" t="inlineStr">
        <is>
          <t>7892828001016</t>
        </is>
      </c>
      <c r="J22" s="10" t="inlineStr">
        <is>
          <t>ADEFORTE 8.000UI C/1 AMPOLA 3ML</t>
        </is>
      </c>
      <c r="K22" s="11" t="n">
        <v>21.42</v>
      </c>
      <c r="L22" s="13" t="n">
        <v>0</v>
      </c>
      <c r="M22" s="11">
        <f>IF(K22="","",ROUND(K22*(1-L22),2))</f>
        <v/>
      </c>
      <c r="N22" s="9" t="n">
        <v>3721</v>
      </c>
      <c r="O22" s="14">
        <f>IF(OR(M22="",R22&lt;&gt;""),"",M22/G22-1)</f>
        <v/>
      </c>
      <c r="P22" s="11">
        <f>IF(OR(M22="",R22&lt;&gt;""),"",(G22-M22)*E22)</f>
        <v/>
      </c>
      <c r="Q22" s="9">
        <f>IF(R22&lt;&gt;"","—",IF(M22&lt;G22,"Mais barato",IF(M22&gt;G22,"Mais caro","Igual")))</f>
        <v/>
      </c>
      <c r="R22" s="10" t="n"/>
    </row>
    <row r="23">
      <c r="A23" s="9" t="n">
        <v>884</v>
      </c>
      <c r="B23" s="10" t="inlineStr">
        <is>
          <t>ADEFORTE TURBO USO ORAL 2AMP 3ML</t>
        </is>
      </c>
      <c r="C23" s="10" t="inlineStr">
        <is>
          <t>RX</t>
        </is>
      </c>
      <c r="D23" s="9" t="inlineStr">
        <is>
          <t>A</t>
        </is>
      </c>
      <c r="E23" s="9" t="n">
        <v>34</v>
      </c>
      <c r="F23" s="9" t="n">
        <v>1</v>
      </c>
      <c r="G23" s="11" t="n">
        <v>42.5506</v>
      </c>
      <c r="H23" s="10" t="inlineStr">
        <is>
          <t>SB COMERCIO LTDA 0179-15</t>
        </is>
      </c>
      <c r="I23" s="12" t="n"/>
      <c r="J23" s="10" t="n"/>
      <c r="K23" s="11" t="n"/>
      <c r="L23" s="13" t="n"/>
      <c r="M23" s="11">
        <f>IF(K23="","",ROUND(K23*(1-L23),2))</f>
        <v/>
      </c>
      <c r="N23" s="9" t="n"/>
      <c r="O23" s="14">
        <f>IF(OR(M23="",R23&lt;&gt;""),"",M23/G23-1)</f>
        <v/>
      </c>
      <c r="P23" s="11">
        <f>IF(OR(M23="",R23&lt;&gt;""),"",(G23-M23)*E23)</f>
        <v/>
      </c>
      <c r="Q23" s="9">
        <f>IF(R23&lt;&gt;"","—",IF(M23&lt;G23,"Mais barato",IF(M23&gt;G23,"Mais caro","Igual")))</f>
        <v/>
      </c>
      <c r="R23" s="10" t="inlineStr">
        <is>
          <t>Sem preço</t>
        </is>
      </c>
    </row>
    <row r="24">
      <c r="A24" s="9" t="n">
        <v>296361</v>
      </c>
      <c r="B24" s="10" t="inlineStr">
        <is>
          <t>ADVIL 400MG CARTELA C/ 3 CAPSULAS</t>
        </is>
      </c>
      <c r="C24" s="10" t="inlineStr">
        <is>
          <t>RX</t>
        </is>
      </c>
      <c r="D24" s="9" t="inlineStr">
        <is>
          <t>A</t>
        </is>
      </c>
      <c r="E24" s="9" t="n">
        <v>3</v>
      </c>
      <c r="F24" s="9" t="n">
        <v>10</v>
      </c>
      <c r="G24" s="11" t="n">
        <v>67.3523</v>
      </c>
      <c r="H24" s="10" t="inlineStr">
        <is>
          <t>SC DISTRIBUICAO LTDA</t>
        </is>
      </c>
      <c r="I24" s="12" t="inlineStr">
        <is>
          <t>7896090611775</t>
        </is>
      </c>
      <c r="J24" s="10" t="inlineStr">
        <is>
          <t>ADVIL 400MG COM 30 CAPSULAS MOLES</t>
        </is>
      </c>
      <c r="K24" s="11" t="n">
        <v>72.34999999999999</v>
      </c>
      <c r="L24" s="13" t="n">
        <v>0.04</v>
      </c>
      <c r="M24" s="11">
        <f>IF(K24="","",ROUND(K24*(1-L24),2))</f>
        <v/>
      </c>
      <c r="N24" s="9" t="n">
        <v>5720</v>
      </c>
      <c r="O24" s="14">
        <f>IF(OR(M24="",R24&lt;&gt;""),"",M24/G24-1)</f>
        <v/>
      </c>
      <c r="P24" s="11">
        <f>IF(OR(M24="",R24&lt;&gt;""),"",(G24-M24)*E24)</f>
        <v/>
      </c>
      <c r="Q24" s="9">
        <f>IF(R24&lt;&gt;"","—",IF(M24&lt;G24,"Mais barato",IF(M24&gt;G24,"Mais caro","Igual")))</f>
        <v/>
      </c>
      <c r="R24" s="10" t="n"/>
    </row>
    <row r="25">
      <c r="A25" s="9" t="n">
        <v>612801</v>
      </c>
      <c r="B25" s="10" t="inlineStr">
        <is>
          <t>ADVIL FRACAO BL X 8 CAP</t>
        </is>
      </c>
      <c r="C25" s="10" t="inlineStr">
        <is>
          <t>RX</t>
        </is>
      </c>
      <c r="D25" s="9" t="inlineStr">
        <is>
          <t>A</t>
        </is>
      </c>
      <c r="E25" s="9" t="n">
        <v>2</v>
      </c>
      <c r="F25" s="9" t="n">
        <v>10</v>
      </c>
      <c r="G25" s="11" t="n">
        <v>154.67</v>
      </c>
      <c r="H25" s="10" t="inlineStr">
        <is>
          <t>SC DISTRIBUICAO LTDA</t>
        </is>
      </c>
      <c r="I25" s="12" t="inlineStr">
        <is>
          <t>7896090611799</t>
        </is>
      </c>
      <c r="J25" s="10" t="inlineStr">
        <is>
          <t>ADVIL 400MG COM 80 CAPSULAS MOLES</t>
        </is>
      </c>
      <c r="K25" s="11" t="n">
        <v>166.14</v>
      </c>
      <c r="L25" s="13" t="n">
        <v>0.04</v>
      </c>
      <c r="M25" s="11">
        <f>IF(K25="","",ROUND(K25*(1-L25),2))</f>
        <v/>
      </c>
      <c r="N25" s="9" t="n">
        <v>121</v>
      </c>
      <c r="O25" s="14">
        <f>IF(OR(M25="",R25&lt;&gt;""),"",M25/G25-1)</f>
        <v/>
      </c>
      <c r="P25" s="11">
        <f>IF(OR(M25="",R25&lt;&gt;""),"",(G25-M25)*E25)</f>
        <v/>
      </c>
      <c r="Q25" s="9">
        <f>IF(R25&lt;&gt;"","—",IF(M25&lt;G25,"Mais barato",IF(M25&gt;G25,"Mais caro","Igual")))</f>
        <v/>
      </c>
      <c r="R25" s="10" t="n"/>
    </row>
    <row r="26">
      <c r="A26" s="9" t="n">
        <v>566661</v>
      </c>
      <c r="B26" s="10" t="inlineStr">
        <is>
          <t>AIDE 3 200UI SOL OR FR 10ML</t>
        </is>
      </c>
      <c r="C26" s="10" t="inlineStr">
        <is>
          <t>RX - OTC</t>
        </is>
      </c>
      <c r="D26" s="9" t="inlineStr">
        <is>
          <t>A</t>
        </is>
      </c>
      <c r="E26" s="9" t="n">
        <v>1</v>
      </c>
      <c r="F26" s="9" t="n">
        <v>1</v>
      </c>
      <c r="G26" s="11" t="n">
        <v>44.56</v>
      </c>
      <c r="H26" s="10" t="inlineStr">
        <is>
          <t>SC DISTRIBUICAO LTDA</t>
        </is>
      </c>
      <c r="I26" s="12" t="inlineStr">
        <is>
          <t>7891317144166</t>
        </is>
      </c>
      <c r="J26" s="10" t="inlineStr">
        <is>
          <t>AIDE 3 SUPLEMENTO VITAMINA D SOLUCAO ORAL 10ML</t>
        </is>
      </c>
      <c r="K26" s="11" t="n">
        <v>50.13</v>
      </c>
      <c r="L26" s="13" t="n">
        <v>0</v>
      </c>
      <c r="M26" s="11">
        <f>IF(K26="","",ROUND(K26*(1-L26),2))</f>
        <v/>
      </c>
      <c r="N26" s="9" t="n">
        <v>52</v>
      </c>
      <c r="O26" s="14">
        <f>IF(OR(M26="",R26&lt;&gt;""),"",M26/G26-1)</f>
        <v/>
      </c>
      <c r="P26" s="11">
        <f>IF(OR(M26="",R26&lt;&gt;""),"",(G26-M26)*E26)</f>
        <v/>
      </c>
      <c r="Q26" s="9">
        <f>IF(R26&lt;&gt;"","—",IF(M26&lt;G26,"Mais barato",IF(M26&gt;G26,"Mais caro","Igual")))</f>
        <v/>
      </c>
      <c r="R26" s="10" t="n"/>
    </row>
    <row r="27">
      <c r="A27" s="9" t="n">
        <v>607471</v>
      </c>
      <c r="B27" s="10" t="inlineStr">
        <is>
          <t>ALEKTOS PED SOL ORAL FR 120ML + COP</t>
        </is>
      </c>
      <c r="C27" s="10" t="inlineStr">
        <is>
          <t>RX</t>
        </is>
      </c>
      <c r="D27" s="9" t="inlineStr">
        <is>
          <t>A</t>
        </is>
      </c>
      <c r="E27" s="9" t="n">
        <v>4</v>
      </c>
      <c r="F27" s="9" t="n">
        <v>1</v>
      </c>
      <c r="G27" s="11" t="n">
        <v>56.85</v>
      </c>
      <c r="H27" s="10" t="inlineStr">
        <is>
          <t>SB COMERCIO LTDA 0179-15</t>
        </is>
      </c>
      <c r="I27" s="12" t="inlineStr">
        <is>
          <t>7896094925137</t>
        </is>
      </c>
      <c r="J27" s="10" t="inlineStr">
        <is>
          <t>ALEKTOS 2,5MG PEDIATRICO SOLUCAO ORAL 120ML</t>
        </is>
      </c>
      <c r="K27" s="11" t="n">
        <v>68.56999999999999</v>
      </c>
      <c r="L27" s="13" t="n">
        <v>0.035</v>
      </c>
      <c r="M27" s="11">
        <f>IF(K27="","",ROUND(K27*(1-L27),2))</f>
        <v/>
      </c>
      <c r="N27" s="9" t="n"/>
      <c r="O27" s="14">
        <f>IF(OR(M27="",R27&lt;&gt;""),"",M27/G27-1)</f>
        <v/>
      </c>
      <c r="P27" s="11">
        <f>IF(OR(M27="",R27&lt;&gt;""),"",(G27-M27)*E27)</f>
        <v/>
      </c>
      <c r="Q27" s="9">
        <f>IF(R27&lt;&gt;"","—",IF(M27&lt;G27,"Mais barato",IF(M27&gt;G27,"Mais caro","Igual")))</f>
        <v/>
      </c>
      <c r="R27" s="10" t="n"/>
    </row>
    <row r="28">
      <c r="A28" s="9" t="n">
        <v>257641</v>
      </c>
      <c r="B28" s="10" t="inlineStr">
        <is>
          <t>ALENIA 6/200MCG FRX60 REFIL</t>
        </is>
      </c>
      <c r="C28" s="10" t="inlineStr">
        <is>
          <t>RX</t>
        </is>
      </c>
      <c r="D28" s="9" t="inlineStr">
        <is>
          <t>A</t>
        </is>
      </c>
      <c r="E28" s="9" t="n">
        <v>4</v>
      </c>
      <c r="F28" s="9" t="n">
        <v>1</v>
      </c>
      <c r="G28" s="11" t="n">
        <v>86.11</v>
      </c>
      <c r="H28" s="10" t="inlineStr">
        <is>
          <t>SC DISTRIBUICAO LTDA</t>
        </is>
      </c>
      <c r="I28" s="12" t="inlineStr">
        <is>
          <t>7896181905288</t>
        </is>
      </c>
      <c r="J28" s="10" t="inlineStr">
        <is>
          <t>ALENIA 06/200MCG C/60 CAPSULAS REFIL</t>
        </is>
      </c>
      <c r="K28" s="11" t="n">
        <v>84.64</v>
      </c>
      <c r="L28" s="13" t="n">
        <v>0.05</v>
      </c>
      <c r="M28" s="11">
        <f>IF(K28="","",ROUND(K28*(1-L28),2))</f>
        <v/>
      </c>
      <c r="N28" s="9" t="n">
        <v>454</v>
      </c>
      <c r="O28" s="14">
        <f>IF(OR(M28="",R28&lt;&gt;""),"",M28/G28-1)</f>
        <v/>
      </c>
      <c r="P28" s="11">
        <f>IF(OR(M28="",R28&lt;&gt;""),"",(G28-M28)*E28)</f>
        <v/>
      </c>
      <c r="Q28" s="9">
        <f>IF(R28&lt;&gt;"","—",IF(M28&lt;G28,"Mais barato",IF(M28&gt;G28,"Mais caro","Igual")))</f>
        <v/>
      </c>
      <c r="R28" s="10" t="n"/>
    </row>
    <row r="29">
      <c r="A29" s="9" t="n">
        <v>644491</v>
      </c>
      <c r="B29" s="10" t="inlineStr">
        <is>
          <t>ALGIE 150MG CX 10 COMP LIB PROL</t>
        </is>
      </c>
      <c r="C29" s="10" t="inlineStr">
        <is>
          <t>RX</t>
        </is>
      </c>
      <c r="D29" s="9" t="inlineStr">
        <is>
          <t>B</t>
        </is>
      </c>
      <c r="E29" s="9" t="n">
        <v>2</v>
      </c>
      <c r="F29" s="9" t="n">
        <v>1</v>
      </c>
      <c r="G29" s="11" t="n">
        <v>40.07</v>
      </c>
      <c r="H29" s="10" t="inlineStr">
        <is>
          <t>SC DISTRIBUICAO LTDA</t>
        </is>
      </c>
      <c r="I29" s="12" t="inlineStr">
        <is>
          <t>7891317013844</t>
        </is>
      </c>
      <c r="J29" s="10" t="inlineStr">
        <is>
          <t>ALGIE 150MG C/10 COMPRIMIDOS</t>
        </is>
      </c>
      <c r="K29" s="11" t="n">
        <v>40.92</v>
      </c>
      <c r="L29" s="13" t="n">
        <v>0.04</v>
      </c>
      <c r="M29" s="11">
        <f>IF(K29="","",ROUND(K29*(1-L29),2))</f>
        <v/>
      </c>
      <c r="N29" s="9" t="n">
        <v>135</v>
      </c>
      <c r="O29" s="14">
        <f>IF(OR(M29="",R29&lt;&gt;""),"",M29/G29-1)</f>
        <v/>
      </c>
      <c r="P29" s="11">
        <f>IF(OR(M29="",R29&lt;&gt;""),"",(G29-M29)*E29)</f>
        <v/>
      </c>
      <c r="Q29" s="9">
        <f>IF(R29&lt;&gt;"","—",IF(M29&lt;G29,"Mais barato",IF(M29&gt;G29,"Mais caro","Igual")))</f>
        <v/>
      </c>
      <c r="R29" s="10" t="n"/>
    </row>
    <row r="30">
      <c r="A30" s="9" t="n">
        <v>650561</v>
      </c>
      <c r="B30" s="10" t="inlineStr">
        <is>
          <t>ALGILIVE 160MG CX 10 CAP</t>
        </is>
      </c>
      <c r="C30" s="10" t="inlineStr">
        <is>
          <t>RX</t>
        </is>
      </c>
      <c r="D30" s="9" t="inlineStr">
        <is>
          <t>B</t>
        </is>
      </c>
      <c r="E30" s="9" t="n">
        <v>5</v>
      </c>
      <c r="F30" s="9" t="n">
        <v>1</v>
      </c>
      <c r="G30" s="11" t="n">
        <v>24.92</v>
      </c>
      <c r="H30" s="10" t="inlineStr">
        <is>
          <t>SC DISTRIBUICAO LTDA</t>
        </is>
      </c>
      <c r="I30" s="12" t="inlineStr">
        <is>
          <t>7896658039454</t>
        </is>
      </c>
      <c r="J30" s="10" t="inlineStr">
        <is>
          <t>ALGILIVE 160MG C/10 CAPSULAS DE LIBERAÇAO PROLONGADA</t>
        </is>
      </c>
      <c r="K30" s="11" t="n">
        <v>24.23</v>
      </c>
      <c r="L30" s="13" t="n">
        <v>0.04</v>
      </c>
      <c r="M30" s="11">
        <f>IF(K30="","",ROUND(K30*(1-L30),2))</f>
        <v/>
      </c>
      <c r="N30" s="9" t="n">
        <v>35</v>
      </c>
      <c r="O30" s="14">
        <f>IF(OR(M30="",R30&lt;&gt;""),"",M30/G30-1)</f>
        <v/>
      </c>
      <c r="P30" s="11">
        <f>IF(OR(M30="",R30&lt;&gt;""),"",(G30-M30)*E30)</f>
        <v/>
      </c>
      <c r="Q30" s="9">
        <f>IF(R30&lt;&gt;"","—",IF(M30&lt;G30,"Mais barato",IF(M30&gt;G30,"Mais caro","Igual")))</f>
        <v/>
      </c>
      <c r="R30" s="10" t="n"/>
    </row>
    <row r="31">
      <c r="A31" s="9" t="n">
        <v>367361</v>
      </c>
      <c r="B31" s="10" t="inlineStr">
        <is>
          <t>ALGINAC 1,0+100,0+100,0MG CX 10 COMP REV LIB RETARD</t>
        </is>
      </c>
      <c r="C31" s="10" t="inlineStr">
        <is>
          <t>RX</t>
        </is>
      </c>
      <c r="D31" s="9" t="inlineStr">
        <is>
          <t>A</t>
        </is>
      </c>
      <c r="E31" s="9" t="n">
        <v>10</v>
      </c>
      <c r="F31" s="9" t="n">
        <v>1</v>
      </c>
      <c r="G31" s="11" t="n">
        <v>51.9467</v>
      </c>
      <c r="H31" s="10" t="inlineStr">
        <is>
          <t>SC DISTRIBUICAO LTDA</t>
        </is>
      </c>
      <c r="I31" s="12" t="inlineStr">
        <is>
          <t>7891721023965</t>
        </is>
      </c>
      <c r="J31" s="10" t="inlineStr">
        <is>
          <t>ALGINAC RETARD C/10 COMPRIMIDOS</t>
        </is>
      </c>
      <c r="K31" s="11" t="n">
        <v>53.32</v>
      </c>
      <c r="L31" s="13" t="n">
        <v>0.04</v>
      </c>
      <c r="M31" s="11">
        <f>IF(K31="","",ROUND(K31*(1-L31),2))</f>
        <v/>
      </c>
      <c r="N31" s="9" t="n">
        <v>601</v>
      </c>
      <c r="O31" s="14">
        <f>IF(OR(M31="",R31&lt;&gt;""),"",M31/G31-1)</f>
        <v/>
      </c>
      <c r="P31" s="11">
        <f>IF(OR(M31="",R31&lt;&gt;""),"",(G31-M31)*E31)</f>
        <v/>
      </c>
      <c r="Q31" s="9">
        <f>IF(R31&lt;&gt;"","—",IF(M31&lt;G31,"Mais barato",IF(M31&gt;G31,"Mais caro","Igual")))</f>
        <v/>
      </c>
      <c r="R31" s="10" t="n"/>
    </row>
    <row r="32">
      <c r="A32" s="9" t="n">
        <v>367401</v>
      </c>
      <c r="B32" s="10" t="inlineStr">
        <is>
          <t>ALGINAC 1,0+50,0+50,0MG CX 15 COMP</t>
        </is>
      </c>
      <c r="C32" s="10" t="inlineStr">
        <is>
          <t>RX</t>
        </is>
      </c>
      <c r="D32" s="9" t="inlineStr">
        <is>
          <t>A</t>
        </is>
      </c>
      <c r="E32" s="9" t="n">
        <v>48</v>
      </c>
      <c r="F32" s="9" t="n">
        <v>1</v>
      </c>
      <c r="G32" s="11" t="n">
        <v>25.7888</v>
      </c>
      <c r="H32" s="10" t="inlineStr">
        <is>
          <t>SC DISTRIBUICAO LTDA</t>
        </is>
      </c>
      <c r="I32" s="12" t="inlineStr">
        <is>
          <t>7500435260527</t>
        </is>
      </c>
      <c r="J32" s="10" t="inlineStr">
        <is>
          <t>ALGINAC 1MG C/15 COMPRIMIDOS</t>
        </is>
      </c>
      <c r="K32" s="11" t="n">
        <v>27.07</v>
      </c>
      <c r="L32" s="13" t="n">
        <v>0.04</v>
      </c>
      <c r="M32" s="11">
        <f>IF(K32="","",ROUND(K32*(1-L32),2))</f>
        <v/>
      </c>
      <c r="N32" s="9" t="n">
        <v>10747</v>
      </c>
      <c r="O32" s="14">
        <f>IF(OR(M32="",R32&lt;&gt;""),"",M32/G32-1)</f>
        <v/>
      </c>
      <c r="P32" s="11">
        <f>IF(OR(M32="",R32&lt;&gt;""),"",(G32-M32)*E32)</f>
        <v/>
      </c>
      <c r="Q32" s="9">
        <f>IF(R32&lt;&gt;"","—",IF(M32&lt;G32,"Mais barato",IF(M32&gt;G32,"Mais caro","Igual")))</f>
        <v/>
      </c>
      <c r="R32" s="10" t="n"/>
    </row>
    <row r="33">
      <c r="A33" s="9" t="n">
        <v>367421</v>
      </c>
      <c r="B33" s="10" t="inlineStr">
        <is>
          <t>ALGINAC 1,0+50,0+50,0MG CX 30 CP</t>
        </is>
      </c>
      <c r="C33" s="10" t="inlineStr">
        <is>
          <t>RX</t>
        </is>
      </c>
      <c r="D33" s="9" t="inlineStr">
        <is>
          <t>B</t>
        </is>
      </c>
      <c r="E33" s="9" t="n">
        <v>1</v>
      </c>
      <c r="F33" s="9" t="n">
        <v>1</v>
      </c>
      <c r="G33" s="11" t="n">
        <v>50.34</v>
      </c>
      <c r="H33" s="10" t="inlineStr">
        <is>
          <t>SC DISTRIBUICAO LTDA</t>
        </is>
      </c>
      <c r="I33" s="12" t="n"/>
      <c r="J33" s="10" t="n"/>
      <c r="K33" s="11" t="n"/>
      <c r="L33" s="13" t="n"/>
      <c r="M33" s="11">
        <f>IF(K33="","",ROUND(K33*(1-L33),2))</f>
        <v/>
      </c>
      <c r="N33" s="9" t="n"/>
      <c r="O33" s="14">
        <f>IF(OR(M33="",R33&lt;&gt;""),"",M33/G33-1)</f>
        <v/>
      </c>
      <c r="P33" s="11">
        <f>IF(OR(M33="",R33&lt;&gt;""),"",(G33-M33)*E33)</f>
        <v/>
      </c>
      <c r="Q33" s="9">
        <f>IF(R33&lt;&gt;"","—",IF(M33&lt;G33,"Mais barato",IF(M33&gt;G33,"Mais caro","Igual")))</f>
        <v/>
      </c>
      <c r="R33" s="10" t="inlineStr">
        <is>
          <t>Não encontrado</t>
        </is>
      </c>
    </row>
    <row r="34">
      <c r="A34" s="9" t="n">
        <v>210641</v>
      </c>
      <c r="B34" s="10" t="inlineStr">
        <is>
          <t>ALGINAC 50,0+50,0MG/ML SOL INJ 3 AMP 2ML+3 AMP 1ML</t>
        </is>
      </c>
      <c r="C34" s="10" t="inlineStr">
        <is>
          <t>RX</t>
        </is>
      </c>
      <c r="D34" s="9" t="inlineStr">
        <is>
          <t>B</t>
        </is>
      </c>
      <c r="E34" s="9" t="n">
        <v>2</v>
      </c>
      <c r="F34" s="9" t="n">
        <v>1</v>
      </c>
      <c r="G34" s="11" t="n">
        <v>26.23</v>
      </c>
      <c r="H34" s="10" t="inlineStr">
        <is>
          <t>NAZARIA DISTRIBUIDORA DE PRODUTOS FARMACEUTICOS LTDA</t>
        </is>
      </c>
      <c r="I34" s="12" t="n"/>
      <c r="J34" s="10" t="n"/>
      <c r="K34" s="11" t="n"/>
      <c r="L34" s="13" t="n"/>
      <c r="M34" s="11">
        <f>IF(K34="","",ROUND(K34*(1-L34),2))</f>
        <v/>
      </c>
      <c r="N34" s="9" t="n"/>
      <c r="O34" s="14">
        <f>IF(OR(M34="",R34&lt;&gt;""),"",M34/G34-1)</f>
        <v/>
      </c>
      <c r="P34" s="11">
        <f>IF(OR(M34="",R34&lt;&gt;""),"",(G34-M34)*E34)</f>
        <v/>
      </c>
      <c r="Q34" s="9">
        <f>IF(R34&lt;&gt;"","—",IF(M34&lt;G34,"Mais barato",IF(M34&gt;G34,"Mais caro","Igual")))</f>
        <v/>
      </c>
      <c r="R34" s="10" t="inlineStr">
        <is>
          <t>Não encontrado</t>
        </is>
      </c>
    </row>
    <row r="35">
      <c r="A35" s="9" t="n">
        <v>295401</v>
      </c>
      <c r="B35" s="10" t="inlineStr">
        <is>
          <t>ALIVIUM 400MG CX 10 CAP</t>
        </is>
      </c>
      <c r="C35" s="10" t="inlineStr">
        <is>
          <t>RX - OTC</t>
        </is>
      </c>
      <c r="D35" s="9" t="inlineStr">
        <is>
          <t>B</t>
        </is>
      </c>
      <c r="E35" s="9" t="n">
        <v>1</v>
      </c>
      <c r="F35" s="9" t="n">
        <v>1</v>
      </c>
      <c r="G35" s="11" t="n">
        <v>20.215</v>
      </c>
      <c r="H35" s="10" t="inlineStr">
        <is>
          <t>SB COMERCIO LTDA 0179-15</t>
        </is>
      </c>
      <c r="I35" s="12" t="inlineStr">
        <is>
          <t>7891142982407</t>
        </is>
      </c>
      <c r="J35" s="10" t="inlineStr">
        <is>
          <t>ALIVIUM 400MG C/10 CAPSULAS GEL</t>
        </is>
      </c>
      <c r="K35" s="11" t="n">
        <v>24.39</v>
      </c>
      <c r="L35" s="13" t="n">
        <v>0.035</v>
      </c>
      <c r="M35" s="11">
        <f>IF(K35="","",ROUND(K35*(1-L35),2))</f>
        <v/>
      </c>
      <c r="N35" s="9" t="n">
        <v>112</v>
      </c>
      <c r="O35" s="14">
        <f>IF(OR(M35="",R35&lt;&gt;""),"",M35/G35-1)</f>
        <v/>
      </c>
      <c r="P35" s="11">
        <f>IF(OR(M35="",R35&lt;&gt;""),"",(G35-M35)*E35)</f>
        <v/>
      </c>
      <c r="Q35" s="9">
        <f>IF(R35&lt;&gt;"","—",IF(M35&lt;G35,"Mais barato",IF(M35&gt;G35,"Mais caro","Igual")))</f>
        <v/>
      </c>
      <c r="R35" s="10" t="n"/>
    </row>
    <row r="36">
      <c r="A36" s="9" t="n">
        <v>526161</v>
      </c>
      <c r="B36" s="10" t="inlineStr">
        <is>
          <t>ALIVIUM GC SUSP GTS 200MG/ML OR 20ML</t>
        </is>
      </c>
      <c r="C36" s="10" t="inlineStr">
        <is>
          <t>RX</t>
        </is>
      </c>
      <c r="D36" s="9" t="inlineStr">
        <is>
          <t>A</t>
        </is>
      </c>
      <c r="E36" s="9" t="n">
        <v>3</v>
      </c>
      <c r="F36" s="9" t="n">
        <v>1</v>
      </c>
      <c r="G36" s="11" t="n">
        <v>34.82</v>
      </c>
      <c r="H36" s="10" t="inlineStr">
        <is>
          <t>SB COMERCIO LTDA 0179-15</t>
        </is>
      </c>
      <c r="I36" s="12" t="inlineStr">
        <is>
          <t>7891142205490</t>
        </is>
      </c>
      <c r="J36" s="10" t="inlineStr">
        <is>
          <t>ALIVIUM GC 200MG SUSPENSAO GOTAS 20ML</t>
        </is>
      </c>
      <c r="K36" s="11" t="n">
        <v>46.67</v>
      </c>
      <c r="L36" s="13" t="n">
        <v>0.035</v>
      </c>
      <c r="M36" s="11">
        <f>IF(K36="","",ROUND(K36*(1-L36),2))</f>
        <v/>
      </c>
      <c r="N36" s="9" t="n">
        <v>450</v>
      </c>
      <c r="O36" s="14">
        <f>IF(OR(M36="",R36&lt;&gt;""),"",M36/G36-1)</f>
        <v/>
      </c>
      <c r="P36" s="11">
        <f>IF(OR(M36="",R36&lt;&gt;""),"",(G36-M36)*E36)</f>
        <v/>
      </c>
      <c r="Q36" s="9">
        <f>IF(R36&lt;&gt;"","—",IF(M36&lt;G36,"Mais barato",IF(M36&gt;G36,"Mais caro","Igual")))</f>
        <v/>
      </c>
      <c r="R36" s="10" t="n"/>
    </row>
    <row r="37">
      <c r="A37" s="9" t="n">
        <v>146461</v>
      </c>
      <c r="B37" s="10" t="inlineStr">
        <is>
          <t>ALLEGRA 60MG CX 10 COMP REV</t>
        </is>
      </c>
      <c r="C37" s="10" t="inlineStr">
        <is>
          <t>RX - OTC</t>
        </is>
      </c>
      <c r="D37" s="9" t="inlineStr">
        <is>
          <t>A</t>
        </is>
      </c>
      <c r="E37" s="9" t="n">
        <v>3</v>
      </c>
      <c r="F37" s="9" t="n">
        <v>1</v>
      </c>
      <c r="G37" s="11" t="n">
        <v>20.875</v>
      </c>
      <c r="H37" s="10" t="inlineStr">
        <is>
          <t>SB COMERCIO LTDA 0179-15</t>
        </is>
      </c>
      <c r="I37" s="12" t="inlineStr">
        <is>
          <t>7891058024314</t>
        </is>
      </c>
      <c r="J37" s="10" t="inlineStr">
        <is>
          <t>ALLEGRA 60MG C/10 COMPRIMIDOS</t>
        </is>
      </c>
      <c r="K37" s="11" t="n">
        <v>22.12</v>
      </c>
      <c r="L37" s="13" t="n">
        <v>0.02</v>
      </c>
      <c r="M37" s="11">
        <f>IF(K37="","",ROUND(K37*(1-L37),2))</f>
        <v/>
      </c>
      <c r="N37" s="9" t="n">
        <v>310</v>
      </c>
      <c r="O37" s="14">
        <f>IF(OR(M37="",R37&lt;&gt;""),"",M37/G37-1)</f>
        <v/>
      </c>
      <c r="P37" s="11">
        <f>IF(OR(M37="",R37&lt;&gt;""),"",(G37-M37)*E37)</f>
        <v/>
      </c>
      <c r="Q37" s="9">
        <f>IF(R37&lt;&gt;"","—",IF(M37&lt;G37,"Mais barato",IF(M37&gt;G37,"Mais caro","Igual")))</f>
        <v/>
      </c>
      <c r="R37" s="10" t="n"/>
    </row>
    <row r="38">
      <c r="A38" s="9" t="n">
        <v>258861</v>
      </c>
      <c r="B38" s="10" t="inlineStr">
        <is>
          <t>AMOME 50MCG SPR NAS 120 ACIONAMENTOS</t>
        </is>
      </c>
      <c r="C38" s="10" t="inlineStr">
        <is>
          <t>RX</t>
        </is>
      </c>
      <c r="D38" s="9" t="inlineStr">
        <is>
          <t>A</t>
        </is>
      </c>
      <c r="E38" s="9" t="n">
        <v>1</v>
      </c>
      <c r="F38" s="9" t="n">
        <v>1</v>
      </c>
      <c r="G38" s="11" t="n">
        <v>46.1325</v>
      </c>
      <c r="H38" s="10" t="inlineStr">
        <is>
          <t>SB COMERCIO LTDA 0179-15</t>
        </is>
      </c>
      <c r="I38" s="12" t="inlineStr">
        <is>
          <t>7896094921375</t>
        </is>
      </c>
      <c r="J38" s="10" t="inlineStr">
        <is>
          <t>AMOME SPRAY NASAL C/120 ACIONAMENTOS</t>
        </is>
      </c>
      <c r="K38" s="11" t="n">
        <v>53.55</v>
      </c>
      <c r="L38" s="13" t="n">
        <v>0.035</v>
      </c>
      <c r="M38" s="11">
        <f>IF(K38="","",ROUND(K38*(1-L38),2))</f>
        <v/>
      </c>
      <c r="N38" s="9" t="n">
        <v>251</v>
      </c>
      <c r="O38" s="14">
        <f>IF(OR(M38="",R38&lt;&gt;""),"",M38/G38-1)</f>
        <v/>
      </c>
      <c r="P38" s="11">
        <f>IF(OR(M38="",R38&lt;&gt;""),"",(G38-M38)*E38)</f>
        <v/>
      </c>
      <c r="Q38" s="9">
        <f>IF(R38&lt;&gt;"","—",IF(M38&lt;G38,"Mais barato",IF(M38&gt;G38,"Mais caro","Igual")))</f>
        <v/>
      </c>
      <c r="R38" s="10" t="n"/>
    </row>
    <row r="39">
      <c r="A39" s="9" t="n">
        <v>5261</v>
      </c>
      <c r="B39" s="10" t="inlineStr">
        <is>
          <t>AMORA 2,0+0,03MG CX 21 COMP REV</t>
        </is>
      </c>
      <c r="C39" s="10" t="inlineStr">
        <is>
          <t>RX</t>
        </is>
      </c>
      <c r="D39" s="9" t="inlineStr">
        <is>
          <t>A</t>
        </is>
      </c>
      <c r="E39" s="9" t="n">
        <v>3</v>
      </c>
      <c r="F39" s="9" t="n">
        <v>1</v>
      </c>
      <c r="G39" s="11" t="n">
        <v>36.38</v>
      </c>
      <c r="H39" s="10" t="inlineStr">
        <is>
          <t>SC DISTRIBUICAO LTDA</t>
        </is>
      </c>
      <c r="I39" s="12" t="inlineStr">
        <is>
          <t>7891317004040</t>
        </is>
      </c>
      <c r="J39" s="10" t="inlineStr">
        <is>
          <t>AMORA 2MG + 0,03MG C/21 COMPRIMIDOS REV</t>
        </is>
      </c>
      <c r="K39" s="11" t="n">
        <v>36.13</v>
      </c>
      <c r="L39" s="13" t="n">
        <v>0.04</v>
      </c>
      <c r="M39" s="11">
        <f>IF(K39="","",ROUND(K39*(1-L39),2))</f>
        <v/>
      </c>
      <c r="N39" s="9" t="n">
        <v>433</v>
      </c>
      <c r="O39" s="14">
        <f>IF(OR(M39="",R39&lt;&gt;""),"",M39/G39-1)</f>
        <v/>
      </c>
      <c r="P39" s="11">
        <f>IF(OR(M39="",R39&lt;&gt;""),"",(G39-M39)*E39)</f>
        <v/>
      </c>
      <c r="Q39" s="9">
        <f>IF(R39&lt;&gt;"","—",IF(M39&lt;G39,"Mais barato",IF(M39&gt;G39,"Mais caro","Igual")))</f>
        <v/>
      </c>
      <c r="R39" s="10" t="n"/>
    </row>
    <row r="40">
      <c r="A40" s="9" t="n">
        <v>71981</v>
      </c>
      <c r="B40" s="10" t="inlineStr">
        <is>
          <t>ANA-FLEX 35+300+50MG CX 200 COMP</t>
        </is>
      </c>
      <c r="C40" s="10" t="inlineStr">
        <is>
          <t>RX</t>
        </is>
      </c>
      <c r="D40" s="9" t="inlineStr">
        <is>
          <t>C</t>
        </is>
      </c>
      <c r="E40" s="9" t="n">
        <v>1</v>
      </c>
      <c r="F40" s="9" t="n">
        <v>20</v>
      </c>
      <c r="G40" s="11" t="n">
        <v>99.01000000000001</v>
      </c>
      <c r="H40" s="10" t="inlineStr">
        <is>
          <t>SC DISTRIBUICAO LTDA</t>
        </is>
      </c>
      <c r="I40" s="12" t="n"/>
      <c r="J40" s="10" t="n"/>
      <c r="K40" s="11" t="n"/>
      <c r="L40" s="13" t="n"/>
      <c r="M40" s="11">
        <f>IF(K40="","",ROUND(K40*(1-L40),2))</f>
        <v/>
      </c>
      <c r="N40" s="9" t="n"/>
      <c r="O40" s="14">
        <f>IF(OR(M40="",R40&lt;&gt;""),"",M40/G40-1)</f>
        <v/>
      </c>
      <c r="P40" s="11">
        <f>IF(OR(M40="",R40&lt;&gt;""),"",(G40-M40)*E40)</f>
        <v/>
      </c>
      <c r="Q40" s="9">
        <f>IF(R40&lt;&gt;"","—",IF(M40&lt;G40,"Mais barato",IF(M40&gt;G40,"Mais caro","Igual")))</f>
        <v/>
      </c>
      <c r="R40" s="10" t="inlineStr">
        <is>
          <t>Não encontrado</t>
        </is>
      </c>
    </row>
    <row r="41">
      <c r="A41" s="9" t="n">
        <v>124481</v>
      </c>
      <c r="B41" s="10" t="inlineStr">
        <is>
          <t>ANCORON 200MG CX 30 COMP REV</t>
        </is>
      </c>
      <c r="C41" s="10" t="inlineStr">
        <is>
          <t>RX</t>
        </is>
      </c>
      <c r="D41" s="9" t="inlineStr">
        <is>
          <t>B</t>
        </is>
      </c>
      <c r="E41" s="9" t="n">
        <v>1</v>
      </c>
      <c r="F41" s="9" t="n">
        <v>1</v>
      </c>
      <c r="G41" s="11" t="n">
        <v>50.26</v>
      </c>
      <c r="H41" s="10" t="inlineStr">
        <is>
          <t>SC DISTRIBUICAO LTDA</t>
        </is>
      </c>
      <c r="I41" s="12" t="inlineStr">
        <is>
          <t>7896094207851</t>
        </is>
      </c>
      <c r="J41" s="10" t="inlineStr">
        <is>
          <t>ANCORON 200MG C/30 COMPRIMIDOS</t>
        </is>
      </c>
      <c r="K41" s="11" t="n">
        <v>48.36</v>
      </c>
      <c r="L41" s="13" t="n">
        <v>0.03</v>
      </c>
      <c r="M41" s="11">
        <f>IF(K41="","",ROUND(K41*(1-L41),2))</f>
        <v/>
      </c>
      <c r="N41" s="9" t="n">
        <v>179</v>
      </c>
      <c r="O41" s="14">
        <f>IF(OR(M41="",R41&lt;&gt;""),"",M41/G41-1)</f>
        <v/>
      </c>
      <c r="P41" s="11">
        <f>IF(OR(M41="",R41&lt;&gt;""),"",(G41-M41)*E41)</f>
        <v/>
      </c>
      <c r="Q41" s="9">
        <f>IF(R41&lt;&gt;"","—",IF(M41&lt;G41,"Mais barato",IF(M41&gt;G41,"Mais caro","Igual")))</f>
        <v/>
      </c>
      <c r="R41" s="10" t="n"/>
    </row>
    <row r="42">
      <c r="A42" s="9" t="n">
        <v>469661</v>
      </c>
      <c r="B42" s="10" t="inlineStr">
        <is>
          <t>ANDOLBA 4,5%+0,5%+0,5% AER TOP TB 43G</t>
        </is>
      </c>
      <c r="C42" s="10" t="inlineStr">
        <is>
          <t>RX</t>
        </is>
      </c>
      <c r="D42" s="9" t="inlineStr">
        <is>
          <t>C</t>
        </is>
      </c>
      <c r="E42" s="9" t="n">
        <v>2</v>
      </c>
      <c r="F42" s="9" t="n">
        <v>1</v>
      </c>
      <c r="G42" s="11" t="n">
        <v>28.045</v>
      </c>
      <c r="H42" s="10" t="inlineStr">
        <is>
          <t>SC DISTRIBUICAO LTDA</t>
        </is>
      </c>
      <c r="I42" s="12" t="n"/>
      <c r="J42" s="10" t="n"/>
      <c r="K42" s="11" t="n"/>
      <c r="L42" s="13" t="n"/>
      <c r="M42" s="11">
        <f>IF(K42="","",ROUND(K42*(1-L42),2))</f>
        <v/>
      </c>
      <c r="N42" s="9" t="n"/>
      <c r="O42" s="14">
        <f>IF(OR(M42="",R42&lt;&gt;""),"",M42/G42-1)</f>
        <v/>
      </c>
      <c r="P42" s="11">
        <f>IF(OR(M42="",R42&lt;&gt;""),"",(G42-M42)*E42)</f>
        <v/>
      </c>
      <c r="Q42" s="9">
        <f>IF(R42&lt;&gt;"","—",IF(M42&lt;G42,"Mais barato",IF(M42&gt;G42,"Mais caro","Igual")))</f>
        <v/>
      </c>
      <c r="R42" s="10" t="inlineStr">
        <is>
          <t>Não encontrado</t>
        </is>
      </c>
    </row>
    <row r="43">
      <c r="A43" s="9" t="n">
        <v>414061</v>
      </c>
      <c r="B43" s="10" t="inlineStr">
        <is>
          <t>ANDRIODERMOL SOL TOP FR 50ML</t>
        </is>
      </c>
      <c r="C43" s="10" t="inlineStr">
        <is>
          <t>RX - OTC</t>
        </is>
      </c>
      <c r="D43" s="9" t="inlineStr">
        <is>
          <t>A</t>
        </is>
      </c>
      <c r="E43" s="9" t="n">
        <v>7</v>
      </c>
      <c r="F43" s="9" t="n">
        <v>1</v>
      </c>
      <c r="G43" s="11" t="n">
        <v>17.73</v>
      </c>
      <c r="H43" s="10" t="inlineStr">
        <is>
          <t>SC DISTRIBUICAO LTDA</t>
        </is>
      </c>
      <c r="I43" s="12" t="inlineStr">
        <is>
          <t>7896006214007</t>
        </is>
      </c>
      <c r="J43" s="10" t="inlineStr">
        <is>
          <t>ANDRIODERMOL SOLUCAO TOPICA 50ML</t>
        </is>
      </c>
      <c r="K43" s="11" t="n">
        <v>20</v>
      </c>
      <c r="L43" s="13" t="n">
        <v>0.03</v>
      </c>
      <c r="M43" s="11">
        <f>IF(K43="","",ROUND(K43*(1-L43),2))</f>
        <v/>
      </c>
      <c r="N43" s="9" t="n">
        <v>442</v>
      </c>
      <c r="O43" s="14">
        <f>IF(OR(M43="",R43&lt;&gt;""),"",M43/G43-1)</f>
        <v/>
      </c>
      <c r="P43" s="11">
        <f>IF(OR(M43="",R43&lt;&gt;""),"",(G43-M43)*E43)</f>
        <v/>
      </c>
      <c r="Q43" s="9">
        <f>IF(R43&lt;&gt;"","—",IF(M43&lt;G43,"Mais barato",IF(M43&gt;G43,"Mais caro","Igual")))</f>
        <v/>
      </c>
      <c r="R43" s="10" t="n"/>
    </row>
    <row r="44">
      <c r="A44" s="9" t="n">
        <v>364341</v>
      </c>
      <c r="B44" s="10" t="inlineStr">
        <is>
          <t>ANNITA 20MG/ML PO SUS ORAL FR 100ML</t>
        </is>
      </c>
      <c r="C44" s="10" t="inlineStr">
        <is>
          <t>RX</t>
        </is>
      </c>
      <c r="D44" s="9" t="inlineStr">
        <is>
          <t>A</t>
        </is>
      </c>
      <c r="E44" s="9" t="n">
        <v>3</v>
      </c>
      <c r="F44" s="9" t="n">
        <v>1</v>
      </c>
      <c r="G44" s="11" t="n">
        <v>53.99</v>
      </c>
      <c r="H44" s="10" t="inlineStr">
        <is>
          <t>SC DISTRIBUICAO LTDA</t>
        </is>
      </c>
      <c r="I44" s="12" t="inlineStr">
        <is>
          <t>7898040321505</t>
        </is>
      </c>
      <c r="J44" s="10" t="inlineStr">
        <is>
          <t>ANNITA 20MG SUSPENSAO 100ML</t>
        </is>
      </c>
      <c r="K44" s="11" t="n">
        <v>56.33</v>
      </c>
      <c r="L44" s="13" t="n">
        <v>0.04</v>
      </c>
      <c r="M44" s="11">
        <f>IF(K44="","",ROUND(K44*(1-L44),2))</f>
        <v/>
      </c>
      <c r="N44" s="9" t="n">
        <v>2353</v>
      </c>
      <c r="O44" s="14">
        <f>IF(OR(M44="",R44&lt;&gt;""),"",M44/G44-1)</f>
        <v/>
      </c>
      <c r="P44" s="11">
        <f>IF(OR(M44="",R44&lt;&gt;""),"",(G44-M44)*E44)</f>
        <v/>
      </c>
      <c r="Q44" s="9">
        <f>IF(R44&lt;&gt;"","—",IF(M44&lt;G44,"Mais barato",IF(M44&gt;G44,"Mais caro","Igual")))</f>
        <v/>
      </c>
      <c r="R44" s="10" t="n"/>
    </row>
    <row r="45">
      <c r="A45" s="9" t="n">
        <v>364361</v>
      </c>
      <c r="B45" s="10" t="inlineStr">
        <is>
          <t>ANNITA 20MG/ML PO SUS ORAL FR 45ML</t>
        </is>
      </c>
      <c r="C45" s="10" t="inlineStr">
        <is>
          <t>RX</t>
        </is>
      </c>
      <c r="D45" s="9" t="inlineStr">
        <is>
          <t>A</t>
        </is>
      </c>
      <c r="E45" s="9" t="n">
        <v>15</v>
      </c>
      <c r="F45" s="9" t="n">
        <v>1</v>
      </c>
      <c r="G45" s="11" t="n">
        <v>25.125</v>
      </c>
      <c r="H45" s="10" t="inlineStr">
        <is>
          <t>SC DISTRIBUICAO LTDA</t>
        </is>
      </c>
      <c r="I45" s="12" t="inlineStr">
        <is>
          <t>7898040321420</t>
        </is>
      </c>
      <c r="J45" s="10" t="inlineStr">
        <is>
          <t>ANNITA 20MG SUSPENSAO 45ML</t>
        </is>
      </c>
      <c r="K45" s="11" t="n">
        <v>24.69</v>
      </c>
      <c r="L45" s="13" t="n">
        <v>0.04</v>
      </c>
      <c r="M45" s="11">
        <f>IF(K45="","",ROUND(K45*(1-L45),2))</f>
        <v/>
      </c>
      <c r="N45" s="9" t="n">
        <v>10058</v>
      </c>
      <c r="O45" s="14">
        <f>IF(OR(M45="",R45&lt;&gt;""),"",M45/G45-1)</f>
        <v/>
      </c>
      <c r="P45" s="11">
        <f>IF(OR(M45="",R45&lt;&gt;""),"",(G45-M45)*E45)</f>
        <v/>
      </c>
      <c r="Q45" s="9">
        <f>IF(R45&lt;&gt;"","—",IF(M45&lt;G45,"Mais barato",IF(M45&gt;G45,"Mais caro","Igual")))</f>
        <v/>
      </c>
      <c r="R45" s="10" t="n"/>
    </row>
    <row r="46">
      <c r="A46" s="9" t="n">
        <v>364321</v>
      </c>
      <c r="B46" s="10" t="inlineStr">
        <is>
          <t>ANNITA 500MG CX 6 COMP</t>
        </is>
      </c>
      <c r="C46" s="10" t="inlineStr">
        <is>
          <t>RX</t>
        </is>
      </c>
      <c r="D46" s="9" t="inlineStr">
        <is>
          <t>A</t>
        </is>
      </c>
      <c r="E46" s="9" t="n">
        <v>4</v>
      </c>
      <c r="F46" s="9" t="n">
        <v>1</v>
      </c>
      <c r="G46" s="11" t="n">
        <v>50.9</v>
      </c>
      <c r="H46" s="10" t="inlineStr">
        <is>
          <t>SC DISTRIBUICAO LTDA</t>
        </is>
      </c>
      <c r="I46" s="12" t="inlineStr">
        <is>
          <t>7898040321512</t>
        </is>
      </c>
      <c r="J46" s="10" t="inlineStr">
        <is>
          <t>ANNITA 500MG C/6 COMPRIMIDOS</t>
        </is>
      </c>
      <c r="K46" s="11" t="n">
        <v>61.99</v>
      </c>
      <c r="L46" s="13" t="n">
        <v>0.04</v>
      </c>
      <c r="M46" s="11">
        <f>IF(K46="","",ROUND(K46*(1-L46),2))</f>
        <v/>
      </c>
      <c r="N46" s="9" t="n">
        <v>5183</v>
      </c>
      <c r="O46" s="14">
        <f>IF(OR(M46="",R46&lt;&gt;""),"",M46/G46-1)</f>
        <v/>
      </c>
      <c r="P46" s="11">
        <f>IF(OR(M46="",R46&lt;&gt;""),"",(G46-M46)*E46)</f>
        <v/>
      </c>
      <c r="Q46" s="9">
        <f>IF(R46&lt;&gt;"","—",IF(M46&lt;G46,"Mais barato",IF(M46&gt;G46,"Mais caro","Igual")))</f>
        <v/>
      </c>
      <c r="R46" s="10" t="n"/>
    </row>
    <row r="47">
      <c r="A47" s="9" t="n">
        <v>131861</v>
      </c>
      <c r="B47" s="10" t="inlineStr">
        <is>
          <t>ANSITEC 5MG CX 20 COMP</t>
        </is>
      </c>
      <c r="C47" s="10" t="inlineStr">
        <is>
          <t>RX - SIMILAR - CONTROLE</t>
        </is>
      </c>
      <c r="D47" s="9" t="inlineStr">
        <is>
          <t>C</t>
        </is>
      </c>
      <c r="E47" s="9" t="n">
        <v>1</v>
      </c>
      <c r="F47" s="9" t="n">
        <v>1</v>
      </c>
      <c r="G47" s="11" t="n">
        <v>27.07</v>
      </c>
      <c r="H47" s="10" t="inlineStr">
        <is>
          <t>SC DISTRIBUICAO LTDA</t>
        </is>
      </c>
      <c r="I47" s="12" t="n"/>
      <c r="J47" s="10" t="n"/>
      <c r="K47" s="11" t="n"/>
      <c r="L47" s="13" t="n"/>
      <c r="M47" s="11">
        <f>IF(K47="","",ROUND(K47*(1-L47),2))</f>
        <v/>
      </c>
      <c r="N47" s="9" t="n"/>
      <c r="O47" s="14">
        <f>IF(OR(M47="",R47&lt;&gt;""),"",M47/G47-1)</f>
        <v/>
      </c>
      <c r="P47" s="11">
        <f>IF(OR(M47="",R47&lt;&gt;""),"",(G47-M47)*E47)</f>
        <v/>
      </c>
      <c r="Q47" s="9">
        <f>IF(R47&lt;&gt;"","—",IF(M47&lt;G47,"Mais barato",IF(M47&gt;G47,"Mais caro","Igual")))</f>
        <v/>
      </c>
      <c r="R47" s="10" t="inlineStr">
        <is>
          <t>Não encontrado</t>
        </is>
      </c>
    </row>
    <row r="48">
      <c r="A48" s="9" t="n">
        <v>624171</v>
      </c>
      <c r="B48" s="10" t="inlineStr">
        <is>
          <t>ANTHELIOS LRP AIRLIC FL FPS50 S/COR 40ML</t>
        </is>
      </c>
      <c r="C48" s="10" t="inlineStr">
        <is>
          <t>RX - DERMO</t>
        </is>
      </c>
      <c r="D48" s="9" t="inlineStr">
        <is>
          <t>C</t>
        </is>
      </c>
      <c r="E48" s="9" t="n">
        <v>1</v>
      </c>
      <c r="F48" s="9" t="n">
        <v>1</v>
      </c>
      <c r="G48" s="11" t="n">
        <v>88.16</v>
      </c>
      <c r="H48" s="10" t="inlineStr">
        <is>
          <t>SC DISTRIBUICAO LTDA</t>
        </is>
      </c>
      <c r="I48" s="12" t="inlineStr">
        <is>
          <t>7899706195089</t>
        </is>
      </c>
      <c r="J48" s="10" t="inlineStr">
        <is>
          <t>ANTHELIOS PROTETOR SOLAR FACIAL AIR FLUIDO FPS50 40ML</t>
        </is>
      </c>
      <c r="K48" s="11" t="n">
        <v>86.40000000000001</v>
      </c>
      <c r="L48" s="13" t="n">
        <v>0</v>
      </c>
      <c r="M48" s="11">
        <f>IF(K48="","",ROUND(K48*(1-L48),2))</f>
        <v/>
      </c>
      <c r="N48" s="9" t="n"/>
      <c r="O48" s="14">
        <f>IF(OR(M48="",R48&lt;&gt;""),"",M48/G48-1)</f>
        <v/>
      </c>
      <c r="P48" s="11">
        <f>IF(OR(M48="",R48&lt;&gt;""),"",(G48-M48)*E48)</f>
        <v/>
      </c>
      <c r="Q48" s="9">
        <f>IF(R48&lt;&gt;"","—",IF(M48&lt;G48,"Mais barato",IF(M48&gt;G48,"Mais caro","Igual")))</f>
        <v/>
      </c>
      <c r="R48" s="10" t="n"/>
    </row>
    <row r="49">
      <c r="A49" s="9" t="n">
        <v>618051</v>
      </c>
      <c r="B49" s="10" t="inlineStr">
        <is>
          <t>ANTHELIOS LRP AIRLIC FPS70 2.0 40G+NECESSARIE</t>
        </is>
      </c>
      <c r="C49" s="10" t="inlineStr">
        <is>
          <t>RX - DERMO</t>
        </is>
      </c>
      <c r="D49" s="9" t="inlineStr">
        <is>
          <t>C</t>
        </is>
      </c>
      <c r="E49" s="9" t="n">
        <v>1</v>
      </c>
      <c r="F49" s="9" t="n">
        <v>1</v>
      </c>
      <c r="G49" s="11" t="n">
        <v>75.47499999999999</v>
      </c>
      <c r="H49" s="10" t="inlineStr">
        <is>
          <t>NAZARIA DISTRIBUIDORA DE PRODUTOS FARMACEUTICOS LTDA</t>
        </is>
      </c>
      <c r="I49" s="12" t="n"/>
      <c r="J49" s="10" t="n"/>
      <c r="K49" s="11" t="n"/>
      <c r="L49" s="13" t="n"/>
      <c r="M49" s="11">
        <f>IF(K49="","",ROUND(K49*(1-L49),2))</f>
        <v/>
      </c>
      <c r="N49" s="9" t="n"/>
      <c r="O49" s="14">
        <f>IF(OR(M49="",R49&lt;&gt;""),"",M49/G49-1)</f>
        <v/>
      </c>
      <c r="P49" s="11">
        <f>IF(OR(M49="",R49&lt;&gt;""),"",(G49-M49)*E49)</f>
        <v/>
      </c>
      <c r="Q49" s="9">
        <f>IF(R49&lt;&gt;"","—",IF(M49&lt;G49,"Mais barato",IF(M49&gt;G49,"Mais caro","Igual")))</f>
        <v/>
      </c>
      <c r="R49" s="10" t="inlineStr">
        <is>
          <t>Não encontrado</t>
        </is>
      </c>
    </row>
    <row r="50">
      <c r="A50" s="9" t="n">
        <v>648861</v>
      </c>
      <c r="B50" s="10" t="inlineStr">
        <is>
          <t>ANTHELIOS LRP AIRLIC+FLUIDO FPS50+EFFACL CONC 50G</t>
        </is>
      </c>
      <c r="C50" s="10" t="inlineStr">
        <is>
          <t>RX - DERMO</t>
        </is>
      </c>
      <c r="D50" s="9" t="inlineStr">
        <is>
          <t>B</t>
        </is>
      </c>
      <c r="E50" s="9" t="n">
        <v>1</v>
      </c>
      <c r="F50" s="9" t="n">
        <v>1</v>
      </c>
      <c r="G50" s="11" t="n">
        <v>112.82</v>
      </c>
      <c r="H50" s="10" t="inlineStr">
        <is>
          <t>NAZARIA DISTRIBUIDORA DE PRODUTOS FARMACEUTICOS LTDA</t>
        </is>
      </c>
      <c r="I50" s="12" t="inlineStr">
        <is>
          <t>7908615038384</t>
        </is>
      </c>
      <c r="J50" s="10" t="inlineStr">
        <is>
          <t>PACK LA ROCHE-POSAY PROTETOR SOLAR FACIAL ANTHELIOS AIRLICIUM+ FPS50 SEM COR 40ML + GEL DE LIMPEZA EFFACLAR CONCENTRADO 50G</t>
        </is>
      </c>
      <c r="K50" s="11" t="n">
        <v>80.13</v>
      </c>
      <c r="L50" s="13" t="n">
        <v>0</v>
      </c>
      <c r="M50" s="11">
        <f>IF(K50="","",ROUND(K50*(1-L50),2))</f>
        <v/>
      </c>
      <c r="N50" s="9" t="n"/>
      <c r="O50" s="14">
        <f>IF(OR(M50="",R50&lt;&gt;""),"",M50/G50-1)</f>
        <v/>
      </c>
      <c r="P50" s="11">
        <f>IF(OR(M50="",R50&lt;&gt;""),"",(G50-M50)*E50)</f>
        <v/>
      </c>
      <c r="Q50" s="9">
        <f>IF(R50&lt;&gt;"","—",IF(M50&lt;G50,"Mais barato",IF(M50&gt;G50,"Mais caro","Igual")))</f>
        <v/>
      </c>
      <c r="R50" s="10" t="n"/>
    </row>
    <row r="51">
      <c r="A51" s="9" t="n">
        <v>624211</v>
      </c>
      <c r="B51" s="10" t="inlineStr">
        <is>
          <t>ANTHELIOS LRP ULTRA COVER FPS60 COR4.0 30G</t>
        </is>
      </c>
      <c r="C51" s="10" t="inlineStr">
        <is>
          <t>RX - DERMO</t>
        </is>
      </c>
      <c r="D51" s="9" t="inlineStr">
        <is>
          <t>A</t>
        </is>
      </c>
      <c r="E51" s="9" t="n">
        <v>1</v>
      </c>
      <c r="F51" s="9" t="n">
        <v>1</v>
      </c>
      <c r="G51" s="11" t="n">
        <v>77.73999999999999</v>
      </c>
      <c r="H51" s="10" t="inlineStr">
        <is>
          <t>SC DISTRIBUICAO LTDA</t>
        </is>
      </c>
      <c r="I51" s="12" t="inlineStr">
        <is>
          <t>7899706185868</t>
        </is>
      </c>
      <c r="J51" s="10" t="inlineStr">
        <is>
          <t>ANTHELIOS PROTETOR SOLAR FACIAL ULT COVER FPS60 COR 4.0 30G</t>
        </is>
      </c>
      <c r="K51" s="11" t="n">
        <v>70.68000000000001</v>
      </c>
      <c r="L51" s="13" t="n">
        <v>0</v>
      </c>
      <c r="M51" s="11">
        <f>IF(K51="","",ROUND(K51*(1-L51),2))</f>
        <v/>
      </c>
      <c r="N51" s="9" t="n">
        <v>144</v>
      </c>
      <c r="O51" s="14">
        <f>IF(OR(M51="",R51&lt;&gt;""),"",M51/G51-1)</f>
        <v/>
      </c>
      <c r="P51" s="11">
        <f>IF(OR(M51="",R51&lt;&gt;""),"",(G51-M51)*E51)</f>
        <v/>
      </c>
      <c r="Q51" s="9">
        <f>IF(R51&lt;&gt;"","—",IF(M51&lt;G51,"Mais barato",IF(M51&gt;G51,"Mais caro","Igual")))</f>
        <v/>
      </c>
      <c r="R51" s="10" t="n"/>
    </row>
    <row r="52">
      <c r="A52" s="9" t="n">
        <v>624351</v>
      </c>
      <c r="B52" s="10" t="inlineStr">
        <is>
          <t>ANTHELIOS LRP XL FPS70 PROTECT 120ML</t>
        </is>
      </c>
      <c r="C52" s="10" t="inlineStr">
        <is>
          <t>RX - DERMO</t>
        </is>
      </c>
      <c r="D52" s="9" t="inlineStr">
        <is>
          <t>C</t>
        </is>
      </c>
      <c r="E52" s="9" t="n">
        <v>1</v>
      </c>
      <c r="F52" s="9" t="n">
        <v>1</v>
      </c>
      <c r="G52" s="11" t="n">
        <v>95.345</v>
      </c>
      <c r="H52" s="10" t="inlineStr">
        <is>
          <t>NAZARIA DISTRIBUIDORA DE PRODUTOS FARMACEUTICOS LTDA</t>
        </is>
      </c>
      <c r="I52" s="12" t="inlineStr">
        <is>
          <t>7899706134231</t>
        </is>
      </c>
      <c r="J52" s="10" t="inlineStr">
        <is>
          <t>ANTHELIOS PROTETOR SOLAR CORPORAL XL FPS70 120ML</t>
        </is>
      </c>
      <c r="K52" s="11" t="n">
        <v>102.13</v>
      </c>
      <c r="L52" s="13" t="n">
        <v>0</v>
      </c>
      <c r="M52" s="11">
        <f>IF(K52="","",ROUND(K52*(1-L52),2))</f>
        <v/>
      </c>
      <c r="N52" s="9" t="n"/>
      <c r="O52" s="14">
        <f>IF(OR(M52="",R52&lt;&gt;""),"",M52/G52-1)</f>
        <v/>
      </c>
      <c r="P52" s="11">
        <f>IF(OR(M52="",R52&lt;&gt;""),"",(G52-M52)*E52)</f>
        <v/>
      </c>
      <c r="Q52" s="9">
        <f>IF(R52&lt;&gt;"","—",IF(M52&lt;G52,"Mais barato",IF(M52&gt;G52,"Mais caro","Igual")))</f>
        <v/>
      </c>
      <c r="R52" s="10" t="n"/>
    </row>
    <row r="53">
      <c r="A53" s="9" t="n">
        <v>666011</v>
      </c>
      <c r="B53" s="10" t="inlineStr">
        <is>
          <t>APAR PRES DIG HOME GP200 G-TECH-DEMAIS PROD</t>
        </is>
      </c>
      <c r="C53" s="10" t="inlineStr">
        <is>
          <t>RX - DIABETES</t>
        </is>
      </c>
      <c r="D53" s="9" t="inlineStr">
        <is>
          <t>C</t>
        </is>
      </c>
      <c r="E53" s="9" t="n">
        <v>2</v>
      </c>
      <c r="F53" s="9" t="n">
        <v>1</v>
      </c>
      <c r="G53" s="11" t="n">
        <v>73.03830000000001</v>
      </c>
      <c r="H53" s="10" t="inlineStr">
        <is>
          <t>SC DISTRIBUICAO LTDA</t>
        </is>
      </c>
      <c r="I53" s="12" t="n"/>
      <c r="J53" s="10" t="n"/>
      <c r="K53" s="11" t="n"/>
      <c r="L53" s="13" t="n"/>
      <c r="M53" s="11">
        <f>IF(K53="","",ROUND(K53*(1-L53),2))</f>
        <v/>
      </c>
      <c r="N53" s="9" t="n"/>
      <c r="O53" s="14">
        <f>IF(OR(M53="",R53&lt;&gt;""),"",M53/G53-1)</f>
        <v/>
      </c>
      <c r="P53" s="11">
        <f>IF(OR(M53="",R53&lt;&gt;""),"",(G53-M53)*E53)</f>
        <v/>
      </c>
      <c r="Q53" s="9">
        <f>IF(R53&lt;&gt;"","—",IF(M53&lt;G53,"Mais barato",IF(M53&gt;G53,"Mais caro","Igual")))</f>
        <v/>
      </c>
      <c r="R53" s="10" t="inlineStr">
        <is>
          <t>Não encontrado</t>
        </is>
      </c>
    </row>
    <row r="54">
      <c r="A54" s="9" t="n">
        <v>634561</v>
      </c>
      <c r="B54" s="10" t="inlineStr">
        <is>
          <t>APARELHO DE PRESSAO DIGITAL DE PULSO PREMIUM</t>
        </is>
      </c>
      <c r="C54" s="10" t="inlineStr">
        <is>
          <t>RX - OTC</t>
        </is>
      </c>
      <c r="D54" s="9" t="inlineStr">
        <is>
          <t>A</t>
        </is>
      </c>
      <c r="E54" s="9" t="n">
        <v>1</v>
      </c>
      <c r="F54" s="9" t="n">
        <v>1</v>
      </c>
      <c r="G54" s="11" t="n">
        <v>73.90000000000001</v>
      </c>
      <c r="H54" s="10" t="inlineStr">
        <is>
          <t>SC DISTRIBUICAO LTDA</t>
        </is>
      </c>
      <c r="I54" s="12" t="inlineStr">
        <is>
          <t>7898639690524</t>
        </is>
      </c>
      <c r="J54" s="10" t="inlineStr">
        <is>
          <t>APARELHO DE PRESSAO DIGITAL AUTOM PREMIUM</t>
        </is>
      </c>
      <c r="K54" s="11" t="n">
        <v>79.36</v>
      </c>
      <c r="L54" s="13" t="n">
        <v>0</v>
      </c>
      <c r="M54" s="11">
        <f>IF(K54="","",ROUND(K54*(1-L54),2))</f>
        <v/>
      </c>
      <c r="N54" s="9" t="n">
        <v>158</v>
      </c>
      <c r="O54" s="14">
        <f>IF(OR(M54="",R54&lt;&gt;""),"",M54/G54-1)</f>
        <v/>
      </c>
      <c r="P54" s="11">
        <f>IF(OR(M54="",R54&lt;&gt;""),"",(G54-M54)*E54)</f>
        <v/>
      </c>
      <c r="Q54" s="9">
        <f>IF(R54&lt;&gt;"","—",IF(M54&lt;G54,"Mais barato",IF(M54&gt;G54,"Mais caro","Igual")))</f>
        <v/>
      </c>
      <c r="R54" s="10" t="n"/>
    </row>
    <row r="55">
      <c r="A55" s="9" t="n">
        <v>330021</v>
      </c>
      <c r="B55" s="10" t="inlineStr">
        <is>
          <t>APRACUR 1+100+50MG CARTELA C/ 6CP</t>
        </is>
      </c>
      <c r="C55" s="10" t="inlineStr">
        <is>
          <t>RX - OTC</t>
        </is>
      </c>
      <c r="D55" s="9" t="inlineStr">
        <is>
          <t>A</t>
        </is>
      </c>
      <c r="E55" s="9" t="n">
        <v>1</v>
      </c>
      <c r="F55" s="9" t="n">
        <v>25</v>
      </c>
      <c r="G55" s="11" t="n">
        <v>176.36</v>
      </c>
      <c r="H55" s="10" t="inlineStr">
        <is>
          <t>SC DISTRIBUICAO LTDA</t>
        </is>
      </c>
      <c r="I55" s="12" t="inlineStr">
        <is>
          <t>7891104193087</t>
        </is>
      </c>
      <c r="J55" s="10" t="inlineStr">
        <is>
          <t>APRACUR C/25X6 COMPRIMIDOS</t>
        </is>
      </c>
      <c r="K55" s="11" t="n">
        <v>236.38</v>
      </c>
      <c r="L55" s="13" t="n">
        <v>0.035</v>
      </c>
      <c r="M55" s="11">
        <f>IF(K55="","",ROUND(K55*(1-L55),2))</f>
        <v/>
      </c>
      <c r="N55" s="9" t="n">
        <v>214</v>
      </c>
      <c r="O55" s="14">
        <f>IF(OR(M55="",R55&lt;&gt;""),"",M55/G55-1)</f>
        <v/>
      </c>
      <c r="P55" s="11">
        <f>IF(OR(M55="",R55&lt;&gt;""),"",(G55-M55)*E55)</f>
        <v/>
      </c>
      <c r="Q55" s="9">
        <f>IF(R55&lt;&gt;"","—",IF(M55&lt;G55,"Mais barato",IF(M55&gt;G55,"Mais caro","Igual")))</f>
        <v/>
      </c>
      <c r="R55" s="10" t="n"/>
    </row>
    <row r="56">
      <c r="A56" s="9" t="n">
        <v>225181</v>
      </c>
      <c r="B56" s="10" t="inlineStr">
        <is>
          <t>APRACUR DUO 250MG+30MG VER 250MG+2MG AMAR COMP REV X 12</t>
        </is>
      </c>
      <c r="C56" s="10" t="inlineStr">
        <is>
          <t>RX - OTC</t>
        </is>
      </c>
      <c r="D56" s="9" t="inlineStr">
        <is>
          <t>C</t>
        </is>
      </c>
      <c r="E56" s="9" t="n">
        <v>1</v>
      </c>
      <c r="F56" s="9" t="n">
        <v>1</v>
      </c>
      <c r="G56" s="11" t="n">
        <v>8.800000000000001</v>
      </c>
      <c r="H56" s="10" t="inlineStr">
        <is>
          <t>SB COMERCIO LTDA 0179-15</t>
        </is>
      </c>
      <c r="I56" s="12" t="n"/>
      <c r="J56" s="10" t="n"/>
      <c r="K56" s="11" t="n"/>
      <c r="L56" s="13" t="n"/>
      <c r="M56" s="11">
        <f>IF(K56="","",ROUND(K56*(1-L56),2))</f>
        <v/>
      </c>
      <c r="N56" s="9" t="n"/>
      <c r="O56" s="14">
        <f>IF(OR(M56="",R56&lt;&gt;""),"",M56/G56-1)</f>
        <v/>
      </c>
      <c r="P56" s="11">
        <f>IF(OR(M56="",R56&lt;&gt;""),"",(G56-M56)*E56)</f>
        <v/>
      </c>
      <c r="Q56" s="9">
        <f>IF(R56&lt;&gt;"","—",IF(M56&lt;G56,"Mais barato",IF(M56&gt;G56,"Mais caro","Igual")))</f>
        <v/>
      </c>
      <c r="R56" s="10" t="inlineStr">
        <is>
          <t>Não encontrado</t>
        </is>
      </c>
    </row>
    <row r="57">
      <c r="A57" s="9" t="n">
        <v>149961</v>
      </c>
      <c r="B57" s="10" t="inlineStr">
        <is>
          <t>APRESOLINA 50MG CX 20 DRG</t>
        </is>
      </c>
      <c r="C57" s="10" t="inlineStr">
        <is>
          <t>RX</t>
        </is>
      </c>
      <c r="D57" s="9" t="inlineStr">
        <is>
          <t>A</t>
        </is>
      </c>
      <c r="E57" s="9" t="n">
        <v>6</v>
      </c>
      <c r="F57" s="9" t="n">
        <v>1</v>
      </c>
      <c r="G57" s="11" t="n">
        <v>9.93</v>
      </c>
      <c r="H57" s="10" t="inlineStr">
        <is>
          <t>SC DISTRIBUICAO LTDA</t>
        </is>
      </c>
      <c r="I57" s="12" t="inlineStr">
        <is>
          <t>7896006220510</t>
        </is>
      </c>
      <c r="J57" s="10" t="inlineStr">
        <is>
          <t>APRESOLINA 50MG C/20 COMP</t>
        </is>
      </c>
      <c r="K57" s="11" t="n">
        <v>10.14</v>
      </c>
      <c r="L57" s="13" t="n">
        <v>0.04</v>
      </c>
      <c r="M57" s="11">
        <f>IF(K57="","",ROUND(K57*(1-L57),2))</f>
        <v/>
      </c>
      <c r="N57" s="9" t="n">
        <v>1282</v>
      </c>
      <c r="O57" s="14">
        <f>IF(OR(M57="",R57&lt;&gt;""),"",M57/G57-1)</f>
        <v/>
      </c>
      <c r="P57" s="11">
        <f>IF(OR(M57="",R57&lt;&gt;""),"",(G57-M57)*E57)</f>
        <v/>
      </c>
      <c r="Q57" s="9">
        <f>IF(R57&lt;&gt;"","—",IF(M57&lt;G57,"Mais barato",IF(M57&gt;G57,"Mais caro","Igual")))</f>
        <v/>
      </c>
      <c r="R57" s="10" t="n"/>
    </row>
    <row r="58">
      <c r="A58" s="9" t="n">
        <v>515261</v>
      </c>
      <c r="B58" s="10" t="inlineStr">
        <is>
          <t>APRESOLINA 50MG CX 60 DRG</t>
        </is>
      </c>
      <c r="C58" s="10" t="inlineStr">
        <is>
          <t>RX</t>
        </is>
      </c>
      <c r="D58" s="9" t="inlineStr">
        <is>
          <t>B</t>
        </is>
      </c>
      <c r="E58" s="9" t="n">
        <v>1</v>
      </c>
      <c r="F58" s="9" t="n">
        <v>1</v>
      </c>
      <c r="G58" s="11" t="n">
        <v>29.83</v>
      </c>
      <c r="H58" s="10" t="inlineStr">
        <is>
          <t>SC DISTRIBUICAO LTDA</t>
        </is>
      </c>
      <c r="I58" s="12" t="inlineStr">
        <is>
          <t>7896006220503</t>
        </is>
      </c>
      <c r="J58" s="10" t="inlineStr">
        <is>
          <t>APRESOLINA 50MG C/60 DRAGEAS</t>
        </is>
      </c>
      <c r="K58" s="11" t="n">
        <v>30.46</v>
      </c>
      <c r="L58" s="13" t="n">
        <v>0.04</v>
      </c>
      <c r="M58" s="11">
        <f>IF(K58="","",ROUND(K58*(1-L58),2))</f>
        <v/>
      </c>
      <c r="N58" s="9" t="n">
        <v>270</v>
      </c>
      <c r="O58" s="14">
        <f>IF(OR(M58="",R58&lt;&gt;""),"",M58/G58-1)</f>
        <v/>
      </c>
      <c r="P58" s="11">
        <f>IF(OR(M58="",R58&lt;&gt;""),"",(G58-M58)*E58)</f>
        <v/>
      </c>
      <c r="Q58" s="9">
        <f>IF(R58&lt;&gt;"","—",IF(M58&lt;G58,"Mais barato",IF(M58&gt;G58,"Mais caro","Igual")))</f>
        <v/>
      </c>
      <c r="R58" s="10" t="n"/>
    </row>
    <row r="59">
      <c r="A59" s="9" t="n">
        <v>326161</v>
      </c>
      <c r="B59" s="10" t="inlineStr">
        <is>
          <t>ARADOIS 50MG CX 30 COMP REV</t>
        </is>
      </c>
      <c r="C59" s="10" t="inlineStr">
        <is>
          <t>RX</t>
        </is>
      </c>
      <c r="D59" s="9" t="inlineStr">
        <is>
          <t>A</t>
        </is>
      </c>
      <c r="E59" s="9" t="n">
        <v>13</v>
      </c>
      <c r="F59" s="9" t="n">
        <v>1</v>
      </c>
      <c r="G59" s="11" t="n">
        <v>4.288</v>
      </c>
      <c r="H59" s="10" t="inlineStr">
        <is>
          <t>SB COMERCIO LTDA 0179-15</t>
        </is>
      </c>
      <c r="I59" s="12" t="inlineStr">
        <is>
          <t>7896112486787</t>
        </is>
      </c>
      <c r="J59" s="10" t="inlineStr">
        <is>
          <t>ARADOIS 50MG C/30 COMPRIMIDOS</t>
        </is>
      </c>
      <c r="K59" s="11" t="n">
        <v>40.74</v>
      </c>
      <c r="L59" s="13" t="n">
        <v>0.05</v>
      </c>
      <c r="M59" s="11">
        <f>IF(K59="","",ROUND(K59*(1-L59),2))</f>
        <v/>
      </c>
      <c r="N59" s="9" t="n">
        <v>12184</v>
      </c>
      <c r="O59" s="14">
        <f>IF(OR(M59="",R59&lt;&gt;""),"",M59/G59-1)</f>
        <v/>
      </c>
      <c r="P59" s="11">
        <f>IF(OR(M59="",R59&lt;&gt;""),"",(G59-M59)*E59)</f>
        <v/>
      </c>
      <c r="Q59" s="9">
        <f>IF(R59&lt;&gt;"","—",IF(M59&lt;G59,"Mais barato",IF(M59&gt;G59,"Mais caro","Igual")))</f>
        <v/>
      </c>
      <c r="R59" s="10" t="inlineStr">
        <is>
          <t>Conferir embalagem/EAN</t>
        </is>
      </c>
    </row>
    <row r="60">
      <c r="A60" s="9" t="n">
        <v>241121</v>
      </c>
      <c r="B60" s="10" t="inlineStr">
        <is>
          <t>ARCOXIA 90MG CX 7 COMP</t>
        </is>
      </c>
      <c r="C60" s="10" t="inlineStr">
        <is>
          <t>RX - REFERENCIA - CONTROLE</t>
        </is>
      </c>
      <c r="D60" s="9" t="inlineStr">
        <is>
          <t>A</t>
        </is>
      </c>
      <c r="E60" s="9" t="n">
        <v>5</v>
      </c>
      <c r="F60" s="9" t="n">
        <v>1</v>
      </c>
      <c r="G60" s="11" t="n">
        <v>62.92</v>
      </c>
      <c r="H60" s="10" t="inlineStr">
        <is>
          <t>SC DISTRIBUICAO LTDA</t>
        </is>
      </c>
      <c r="I60" s="12" t="inlineStr">
        <is>
          <t>7897337704984</t>
        </is>
      </c>
      <c r="J60" s="10" t="inlineStr">
        <is>
          <t>ARCOXIA 90MG C/07 COMPRIMIDOS C1</t>
        </is>
      </c>
      <c r="K60" s="11" t="n">
        <v>61.85</v>
      </c>
      <c r="L60" s="13" t="n">
        <v>0.05</v>
      </c>
      <c r="M60" s="11">
        <f>IF(K60="","",ROUND(K60*(1-L60),2))</f>
        <v/>
      </c>
      <c r="N60" s="9" t="n">
        <v>118</v>
      </c>
      <c r="O60" s="14">
        <f>IF(OR(M60="",R60&lt;&gt;""),"",M60/G60-1)</f>
        <v/>
      </c>
      <c r="P60" s="11">
        <f>IF(OR(M60="",R60&lt;&gt;""),"",(G60-M60)*E60)</f>
        <v/>
      </c>
      <c r="Q60" s="9">
        <f>IF(R60&lt;&gt;"","—",IF(M60&lt;G60,"Mais barato",IF(M60&gt;G60,"Mais caro","Igual")))</f>
        <v/>
      </c>
      <c r="R60" s="10" t="n"/>
    </row>
    <row r="61">
      <c r="A61" s="9" t="n">
        <v>361441</v>
      </c>
      <c r="B61" s="10" t="inlineStr">
        <is>
          <t>ARFLEX RETARD 200MG CX 12 CAP</t>
        </is>
      </c>
      <c r="C61" s="10" t="inlineStr">
        <is>
          <t>RX</t>
        </is>
      </c>
      <c r="D61" s="9" t="inlineStr">
        <is>
          <t>A</t>
        </is>
      </c>
      <c r="E61" s="9" t="n">
        <v>1</v>
      </c>
      <c r="F61" s="9" t="n">
        <v>1</v>
      </c>
      <c r="G61" s="11" t="n">
        <v>67.75</v>
      </c>
      <c r="H61" s="10" t="inlineStr">
        <is>
          <t>SC DISTRIBUICAO LTDA</t>
        </is>
      </c>
      <c r="I61" s="12" t="inlineStr">
        <is>
          <t>7898096577857</t>
        </is>
      </c>
      <c r="J61" s="10" t="inlineStr">
        <is>
          <t>ARFLEX 200MG C/12 CAPSULAS</t>
        </is>
      </c>
      <c r="K61" s="11" t="n">
        <v>66.69</v>
      </c>
      <c r="L61" s="13" t="n">
        <v>0.11</v>
      </c>
      <c r="M61" s="11">
        <f>IF(K61="","",ROUND(K61*(1-L61),2))</f>
        <v/>
      </c>
      <c r="N61" s="9" t="n">
        <v>55</v>
      </c>
      <c r="O61" s="14">
        <f>IF(OR(M61="",R61&lt;&gt;""),"",M61/G61-1)</f>
        <v/>
      </c>
      <c r="P61" s="11">
        <f>IF(OR(M61="",R61&lt;&gt;""),"",(G61-M61)*E61)</f>
        <v/>
      </c>
      <c r="Q61" s="9">
        <f>IF(R61&lt;&gt;"","—",IF(M61&lt;G61,"Mais barato",IF(M61&gt;G61,"Mais caro","Igual")))</f>
        <v/>
      </c>
      <c r="R61" s="10" t="n"/>
    </row>
    <row r="62">
      <c r="A62" s="9" t="n">
        <v>645341</v>
      </c>
      <c r="B62" s="10" t="inlineStr">
        <is>
          <t>ARTROFLAN 150MG CX 40 COMP REV</t>
        </is>
      </c>
      <c r="C62" s="10" t="inlineStr">
        <is>
          <t>RX - OTC</t>
        </is>
      </c>
      <c r="D62" s="9" t="inlineStr">
        <is>
          <t>A</t>
        </is>
      </c>
      <c r="E62" s="9" t="n">
        <v>1</v>
      </c>
      <c r="F62" s="9" t="n">
        <v>1</v>
      </c>
      <c r="G62" s="11" t="n">
        <v>160.2</v>
      </c>
      <c r="H62" s="10" t="inlineStr">
        <is>
          <t>SC DISTRIBUICAO LTDA</t>
        </is>
      </c>
      <c r="I62" s="12" t="inlineStr">
        <is>
          <t>7896094918443</t>
        </is>
      </c>
      <c r="J62" s="10" t="inlineStr">
        <is>
          <t>ARTROFLAN 150MG C/40 COMPRIMIDOS</t>
        </is>
      </c>
      <c r="K62" s="11" t="n">
        <v>160.2</v>
      </c>
      <c r="L62" s="13" t="n">
        <v>0.035</v>
      </c>
      <c r="M62" s="11">
        <f>IF(K62="","",ROUND(K62*(1-L62),2))</f>
        <v/>
      </c>
      <c r="N62" s="9" t="n"/>
      <c r="O62" s="14">
        <f>IF(OR(M62="",R62&lt;&gt;""),"",M62/G62-1)</f>
        <v/>
      </c>
      <c r="P62" s="11">
        <f>IF(OR(M62="",R62&lt;&gt;""),"",(G62-M62)*E62)</f>
        <v/>
      </c>
      <c r="Q62" s="9">
        <f>IF(R62&lt;&gt;"","—",IF(M62&lt;G62,"Mais barato",IF(M62&gt;G62,"Mais caro","Igual")))</f>
        <v/>
      </c>
      <c r="R62" s="10" t="n"/>
    </row>
    <row r="63">
      <c r="A63" s="9" t="n">
        <v>619611</v>
      </c>
      <c r="B63" s="10" t="inlineStr">
        <is>
          <t>ASEPXIA PO COMPA MARFIM 10G</t>
        </is>
      </c>
      <c r="C63" s="10" t="inlineStr">
        <is>
          <t>RX - DERMO</t>
        </is>
      </c>
      <c r="D63" s="9" t="inlineStr">
        <is>
          <t>C</t>
        </is>
      </c>
      <c r="E63" s="9" t="n">
        <v>1</v>
      </c>
      <c r="F63" s="9" t="n">
        <v>1</v>
      </c>
      <c r="G63" s="11" t="n">
        <v>36.43</v>
      </c>
      <c r="H63" s="10" t="inlineStr">
        <is>
          <t>NAZARIA DISTRIBUIDORA DE PRODUTOS FARMACEUTICOS LTDA</t>
        </is>
      </c>
      <c r="I63" s="12" t="n"/>
      <c r="J63" s="10" t="n"/>
      <c r="K63" s="11" t="n"/>
      <c r="L63" s="13" t="n"/>
      <c r="M63" s="11">
        <f>IF(K63="","",ROUND(K63*(1-L63),2))</f>
        <v/>
      </c>
      <c r="N63" s="9" t="n"/>
      <c r="O63" s="14">
        <f>IF(OR(M63="",R63&lt;&gt;""),"",M63/G63-1)</f>
        <v/>
      </c>
      <c r="P63" s="11">
        <f>IF(OR(M63="",R63&lt;&gt;""),"",(G63-M63)*E63)</f>
        <v/>
      </c>
      <c r="Q63" s="9">
        <f>IF(R63&lt;&gt;"","—",IF(M63&lt;G63,"Mais barato",IF(M63&gt;G63,"Mais caro","Igual")))</f>
        <v/>
      </c>
      <c r="R63" s="10" t="inlineStr">
        <is>
          <t>Não encontrado</t>
        </is>
      </c>
    </row>
    <row r="64">
      <c r="A64" s="9" t="n">
        <v>13921</v>
      </c>
      <c r="B64" s="10" t="inlineStr">
        <is>
          <t>ASPIRINA 500MG CX 100 COMP ACLAR</t>
        </is>
      </c>
      <c r="C64" s="10" t="inlineStr">
        <is>
          <t>RX - OTC</t>
        </is>
      </c>
      <c r="D64" s="9" t="inlineStr">
        <is>
          <t>C</t>
        </is>
      </c>
      <c r="E64" s="9" t="n">
        <v>1</v>
      </c>
      <c r="F64" s="9" t="n">
        <v>10</v>
      </c>
      <c r="G64" s="11" t="n">
        <v>84.22</v>
      </c>
      <c r="H64" s="10" t="inlineStr">
        <is>
          <t>SC DISTRIBUICAO LTDA</t>
        </is>
      </c>
      <c r="I64" s="12" t="n"/>
      <c r="J64" s="10" t="n"/>
      <c r="K64" s="11" t="n"/>
      <c r="L64" s="13" t="n"/>
      <c r="M64" s="11">
        <f>IF(K64="","",ROUND(K64*(1-L64),2))</f>
        <v/>
      </c>
      <c r="N64" s="9" t="n"/>
      <c r="O64" s="14">
        <f>IF(OR(M64="",R64&lt;&gt;""),"",M64/G64-1)</f>
        <v/>
      </c>
      <c r="P64" s="11">
        <f>IF(OR(M64="",R64&lt;&gt;""),"",(G64-M64)*E64)</f>
        <v/>
      </c>
      <c r="Q64" s="9">
        <f>IF(R64&lt;&gt;"","—",IF(M64&lt;G64,"Mais barato",IF(M64&gt;G64,"Mais caro","Igual")))</f>
        <v/>
      </c>
      <c r="R64" s="10" t="inlineStr">
        <is>
          <t>Não encontrado</t>
        </is>
      </c>
    </row>
    <row r="65">
      <c r="A65" s="9" t="n">
        <v>14001</v>
      </c>
      <c r="B65" s="10" t="inlineStr">
        <is>
          <t>ASPIRINA C EFERVESC 400+240MG LIMÃO CARTELA</t>
        </is>
      </c>
      <c r="C65" s="10" t="inlineStr">
        <is>
          <t>RX</t>
        </is>
      </c>
      <c r="D65" s="9" t="inlineStr">
        <is>
          <t>A</t>
        </is>
      </c>
      <c r="E65" s="9" t="n">
        <v>1</v>
      </c>
      <c r="F65" s="9" t="n">
        <v>50</v>
      </c>
      <c r="G65" s="11" t="n">
        <v>371.12</v>
      </c>
      <c r="H65" s="10" t="inlineStr">
        <is>
          <t>SC DISTRIBUICAO LTDA</t>
        </is>
      </c>
      <c r="I65" s="12" t="inlineStr">
        <is>
          <t>7891106000888</t>
        </is>
      </c>
      <c r="J65" s="10" t="inlineStr">
        <is>
          <t>ASPIRINA C EFERVESCENTE LIMAO DISPLAY C/ 50X2 COMPRIMIDOS</t>
        </is>
      </c>
      <c r="K65" s="11" t="n">
        <v>371.12</v>
      </c>
      <c r="L65" s="13" t="n">
        <v>0.03</v>
      </c>
      <c r="M65" s="11">
        <f>IF(K65="","",ROUND(K65*(1-L65),2))</f>
        <v/>
      </c>
      <c r="N65" s="9" t="n">
        <v>544</v>
      </c>
      <c r="O65" s="14">
        <f>IF(OR(M65="",R65&lt;&gt;""),"",M65/G65-1)</f>
        <v/>
      </c>
      <c r="P65" s="11">
        <f>IF(OR(M65="",R65&lt;&gt;""),"",(G65-M65)*E65)</f>
        <v/>
      </c>
      <c r="Q65" s="9">
        <f>IF(R65&lt;&gt;"","—",IF(M65&lt;G65,"Mais barato",IF(M65&gt;G65,"Mais caro","Igual")))</f>
        <v/>
      </c>
      <c r="R65" s="10" t="n"/>
    </row>
    <row r="66">
      <c r="A66" s="9" t="n">
        <v>13301</v>
      </c>
      <c r="B66" s="10" t="inlineStr">
        <is>
          <t>ASPIRINA PREVENT 100MG CX 30 COMP REV</t>
        </is>
      </c>
      <c r="C66" s="10" t="inlineStr">
        <is>
          <t>RX</t>
        </is>
      </c>
      <c r="D66" s="9" t="inlineStr">
        <is>
          <t>A</t>
        </is>
      </c>
      <c r="E66" s="9" t="n">
        <v>9</v>
      </c>
      <c r="F66" s="9" t="n">
        <v>1</v>
      </c>
      <c r="G66" s="11" t="n">
        <v>17.626</v>
      </c>
      <c r="H66" s="10" t="inlineStr">
        <is>
          <t>SC DISTRIBUICAO LTDA</t>
        </is>
      </c>
      <c r="I66" s="12" t="inlineStr">
        <is>
          <t>7891106001946</t>
        </is>
      </c>
      <c r="J66" s="10" t="inlineStr">
        <is>
          <t>ASPIRINA PREVENT 100MG C/30 COMPRIMIDOS</t>
        </is>
      </c>
      <c r="K66" s="11" t="n">
        <v>18.12</v>
      </c>
      <c r="L66" s="13" t="n">
        <v>0.03</v>
      </c>
      <c r="M66" s="11">
        <f>IF(K66="","",ROUND(K66*(1-L66),2))</f>
        <v/>
      </c>
      <c r="N66" s="9" t="n">
        <v>2531</v>
      </c>
      <c r="O66" s="14">
        <f>IF(OR(M66="",R66&lt;&gt;""),"",M66/G66-1)</f>
        <v/>
      </c>
      <c r="P66" s="11">
        <f>IF(OR(M66="",R66&lt;&gt;""),"",(G66-M66)*E66)</f>
        <v/>
      </c>
      <c r="Q66" s="9">
        <f>IF(R66&lt;&gt;"","—",IF(M66&lt;G66,"Mais barato",IF(M66&gt;G66,"Mais caro","Igual")))</f>
        <v/>
      </c>
      <c r="R66" s="10" t="n"/>
    </row>
    <row r="67">
      <c r="A67" s="9" t="n">
        <v>47301</v>
      </c>
      <c r="B67" s="10" t="inlineStr">
        <is>
          <t>ASTRO 500MG CX 5 COMP REV</t>
        </is>
      </c>
      <c r="C67" s="10" t="inlineStr">
        <is>
          <t>RX - SIMILAR - ATB</t>
        </is>
      </c>
      <c r="D67" s="9" t="inlineStr">
        <is>
          <t>B</t>
        </is>
      </c>
      <c r="E67" s="9" t="n">
        <v>1</v>
      </c>
      <c r="F67" s="9" t="n">
        <v>1</v>
      </c>
      <c r="G67" s="11" t="n">
        <v>31.4</v>
      </c>
      <c r="H67" s="10" t="inlineStr">
        <is>
          <t>SC DISTRIBUICAO LTDA</t>
        </is>
      </c>
      <c r="I67" s="12" t="inlineStr">
        <is>
          <t>7891317420840</t>
        </is>
      </c>
      <c r="J67" s="10" t="inlineStr">
        <is>
          <t>ASTRO 500MG C/05 COMPRIMIDOS</t>
        </is>
      </c>
      <c r="K67" s="11" t="n">
        <v>32.06</v>
      </c>
      <c r="L67" s="13" t="n">
        <v>0.04</v>
      </c>
      <c r="M67" s="11">
        <f>IF(K67="","",ROUND(K67*(1-L67),2))</f>
        <v/>
      </c>
      <c r="N67" s="9" t="n">
        <v>460</v>
      </c>
      <c r="O67" s="14">
        <f>IF(OR(M67="",R67&lt;&gt;""),"",M67/G67-1)</f>
        <v/>
      </c>
      <c r="P67" s="11">
        <f>IF(OR(M67="",R67&lt;&gt;""),"",(G67-M67)*E67)</f>
        <v/>
      </c>
      <c r="Q67" s="9">
        <f>IF(R67&lt;&gt;"","—",IF(M67&lt;G67,"Mais barato",IF(M67&gt;G67,"Mais caro","Igual")))</f>
        <v/>
      </c>
      <c r="R67" s="10" t="n"/>
    </row>
    <row r="68">
      <c r="A68" s="9" t="n">
        <v>594191</v>
      </c>
      <c r="B68" s="10" t="inlineStr">
        <is>
          <t>ATAK CLAV 875+125MG CX 14 COMP REV</t>
        </is>
      </c>
      <c r="C68" s="10" t="inlineStr">
        <is>
          <t>RX - REFERENCIA - ATB</t>
        </is>
      </c>
      <c r="D68" s="9" t="inlineStr">
        <is>
          <t>A</t>
        </is>
      </c>
      <c r="E68" s="9" t="n">
        <v>3</v>
      </c>
      <c r="F68" s="9" t="n">
        <v>1</v>
      </c>
      <c r="G68" s="11" t="n">
        <v>66.98999999999999</v>
      </c>
      <c r="H68" s="10" t="inlineStr">
        <is>
          <t>SC DISTRIBUICAO LTDA</t>
        </is>
      </c>
      <c r="I68" s="12" t="inlineStr">
        <is>
          <t>7891317014162</t>
        </is>
      </c>
      <c r="J68" s="10" t="inlineStr">
        <is>
          <t>ATAK CLAV 875MG + 125MG C/14 COMPRIMIDOS</t>
        </is>
      </c>
      <c r="K68" s="11" t="n">
        <v>55.49</v>
      </c>
      <c r="L68" s="13" t="n">
        <v>0.04</v>
      </c>
      <c r="M68" s="11">
        <f>IF(K68="","",ROUND(K68*(1-L68),2))</f>
        <v/>
      </c>
      <c r="N68" s="9" t="n">
        <v>559</v>
      </c>
      <c r="O68" s="14">
        <f>IF(OR(M68="",R68&lt;&gt;""),"",M68/G68-1)</f>
        <v/>
      </c>
      <c r="P68" s="11">
        <f>IF(OR(M68="",R68&lt;&gt;""),"",(G68-M68)*E68)</f>
        <v/>
      </c>
      <c r="Q68" s="9">
        <f>IF(R68&lt;&gt;"","—",IF(M68&lt;G68,"Mais barato",IF(M68&gt;G68,"Mais caro","Igual")))</f>
        <v/>
      </c>
      <c r="R68" s="10" t="n"/>
    </row>
    <row r="69">
      <c r="A69" s="9" t="n">
        <v>637931</v>
      </c>
      <c r="B69" s="10" t="inlineStr">
        <is>
          <t>ATENSINA 0,100MG CX 30 COMP</t>
        </is>
      </c>
      <c r="C69" s="10" t="inlineStr">
        <is>
          <t>RX</t>
        </is>
      </c>
      <c r="D69" s="9" t="inlineStr">
        <is>
          <t>C</t>
        </is>
      </c>
      <c r="E69" s="9" t="n">
        <v>1</v>
      </c>
      <c r="F69" s="9" t="n">
        <v>1</v>
      </c>
      <c r="G69" s="11" t="n">
        <v>7.045</v>
      </c>
      <c r="H69" s="10" t="inlineStr">
        <is>
          <t>SC DISTRIBUICAO LTDA</t>
        </is>
      </c>
      <c r="I69" s="12" t="inlineStr">
        <is>
          <t>7898968453098</t>
        </is>
      </c>
      <c r="J69" s="10" t="inlineStr">
        <is>
          <t>ATENSINA 0,100MG C/30 COMPRIMIDOS</t>
        </is>
      </c>
      <c r="K69" s="11" t="n">
        <v>7.69</v>
      </c>
      <c r="L69" s="13" t="n">
        <v>0.04</v>
      </c>
      <c r="M69" s="11">
        <f>IF(K69="","",ROUND(K69*(1-L69),2))</f>
        <v/>
      </c>
      <c r="N69" s="9" t="n">
        <v>317</v>
      </c>
      <c r="O69" s="14">
        <f>IF(OR(M69="",R69&lt;&gt;""),"",M69/G69-1)</f>
        <v/>
      </c>
      <c r="P69" s="11">
        <f>IF(OR(M69="",R69&lt;&gt;""),"",(G69-M69)*E69)</f>
        <v/>
      </c>
      <c r="Q69" s="9">
        <f>IF(R69&lt;&gt;"","—",IF(M69&lt;G69,"Mais barato",IF(M69&gt;G69,"Mais caro","Igual")))</f>
        <v/>
      </c>
      <c r="R69" s="10" t="n"/>
    </row>
    <row r="70">
      <c r="A70" s="9" t="n">
        <v>662281</v>
      </c>
      <c r="B70" s="10" t="inlineStr">
        <is>
          <t>ATIVB 1000MCG CX 30 COMP</t>
        </is>
      </c>
      <c r="C70" s="10" t="inlineStr">
        <is>
          <t>RX</t>
        </is>
      </c>
      <c r="D70" s="9" t="inlineStr">
        <is>
          <t>A</t>
        </is>
      </c>
      <c r="E70" s="9" t="n">
        <v>8</v>
      </c>
      <c r="F70" s="9" t="n">
        <v>1</v>
      </c>
      <c r="G70" s="11" t="n">
        <v>23.3157</v>
      </c>
      <c r="H70" s="10" t="inlineStr">
        <is>
          <t>NAZARIA DISTRIBUIDORA DE PRODUTOS FARMACEUTICOS LTDA</t>
        </is>
      </c>
      <c r="I70" s="12" t="inlineStr">
        <is>
          <t>7896112403111</t>
        </is>
      </c>
      <c r="J70" s="10" t="inlineStr">
        <is>
          <t>ATIVB 1000MCG C/30 COMPRIMIDOS SUBLINGUAIS</t>
        </is>
      </c>
      <c r="K70" s="11" t="n">
        <v>23.82</v>
      </c>
      <c r="L70" s="13" t="n">
        <v>0.05</v>
      </c>
      <c r="M70" s="11">
        <f>IF(K70="","",ROUND(K70*(1-L70),2))</f>
        <v/>
      </c>
      <c r="N70" s="9" t="n"/>
      <c r="O70" s="14">
        <f>IF(OR(M70="",R70&lt;&gt;""),"",M70/G70-1)</f>
        <v/>
      </c>
      <c r="P70" s="11">
        <f>IF(OR(M70="",R70&lt;&gt;""),"",(G70-M70)*E70)</f>
        <v/>
      </c>
      <c r="Q70" s="9">
        <f>IF(R70&lt;&gt;"","—",IF(M70&lt;G70,"Mais barato",IF(M70&gt;G70,"Mais caro","Igual")))</f>
        <v/>
      </c>
      <c r="R70" s="10" t="n"/>
    </row>
    <row r="71">
      <c r="A71" s="9" t="n">
        <v>582181</v>
      </c>
      <c r="B71" s="10" t="inlineStr">
        <is>
          <t>ATROVENT 0,25MG/ML SOL INAL CT FR VD AMB X 20ML</t>
        </is>
      </c>
      <c r="C71" s="10" t="inlineStr">
        <is>
          <t>RX</t>
        </is>
      </c>
      <c r="D71" s="9" t="inlineStr">
        <is>
          <t>A</t>
        </is>
      </c>
      <c r="E71" s="9" t="n">
        <v>10</v>
      </c>
      <c r="F71" s="9" t="n">
        <v>1</v>
      </c>
      <c r="G71" s="11" t="n">
        <v>22.33</v>
      </c>
      <c r="H71" s="10" t="inlineStr">
        <is>
          <t>SC DISTRIBUICAO LTDA</t>
        </is>
      </c>
      <c r="I71" s="12" t="inlineStr">
        <is>
          <t>7896026307826</t>
        </is>
      </c>
      <c r="J71" s="10" t="inlineStr">
        <is>
          <t>ATROVENT 0,25MG SOLUCAO PARA INALACAO 20ML</t>
        </is>
      </c>
      <c r="K71" s="11" t="n">
        <v>23.04</v>
      </c>
      <c r="L71" s="13" t="n">
        <v>0.03</v>
      </c>
      <c r="M71" s="11">
        <f>IF(K71="","",ROUND(K71*(1-L71),2))</f>
        <v/>
      </c>
      <c r="N71" s="9" t="n">
        <v>4715</v>
      </c>
      <c r="O71" s="14">
        <f>IF(OR(M71="",R71&lt;&gt;""),"",M71/G71-1)</f>
        <v/>
      </c>
      <c r="P71" s="11">
        <f>IF(OR(M71="",R71&lt;&gt;""),"",(G71-M71)*E71)</f>
        <v/>
      </c>
      <c r="Q71" s="9">
        <f>IF(R71&lt;&gt;"","—",IF(M71&lt;G71,"Mais barato",IF(M71&gt;G71,"Mais caro","Igual")))</f>
        <v/>
      </c>
      <c r="R71" s="10" t="n"/>
    </row>
    <row r="72">
      <c r="A72" s="9" t="n">
        <v>224301</v>
      </c>
      <c r="B72" s="10" t="inlineStr">
        <is>
          <t>ATROVERAN DIP 1G BL 10 COMP</t>
        </is>
      </c>
      <c r="C72" s="10" t="inlineStr">
        <is>
          <t>RX - OTC</t>
        </is>
      </c>
      <c r="D72" s="9" t="inlineStr">
        <is>
          <t>A</t>
        </is>
      </c>
      <c r="E72" s="9" t="n">
        <v>4</v>
      </c>
      <c r="F72" s="9" t="n">
        <v>1</v>
      </c>
      <c r="G72" s="11" t="n">
        <v>11.2625</v>
      </c>
      <c r="H72" s="10" t="inlineStr">
        <is>
          <t>SC DISTRIBUICAO LTDA</t>
        </is>
      </c>
      <c r="I72" s="12" t="inlineStr">
        <is>
          <t>7896094915374</t>
        </is>
      </c>
      <c r="J72" s="10" t="inlineStr">
        <is>
          <t>ATROVERAN DIP 1G C/10 COMPRIMIDOS</t>
        </is>
      </c>
      <c r="K72" s="11" t="n">
        <v>12.3</v>
      </c>
      <c r="L72" s="13" t="n">
        <v>0.035</v>
      </c>
      <c r="M72" s="11">
        <f>IF(K72="","",ROUND(K72*(1-L72),2))</f>
        <v/>
      </c>
      <c r="N72" s="9" t="n">
        <v>1147</v>
      </c>
      <c r="O72" s="14">
        <f>IF(OR(M72="",R72&lt;&gt;""),"",M72/G72-1)</f>
        <v/>
      </c>
      <c r="P72" s="11">
        <f>IF(OR(M72="",R72&lt;&gt;""),"",(G72-M72)*E72)</f>
        <v/>
      </c>
      <c r="Q72" s="9">
        <f>IF(R72&lt;&gt;"","—",IF(M72&lt;G72,"Mais barato",IF(M72&gt;G72,"Mais caro","Igual")))</f>
        <v/>
      </c>
      <c r="R72" s="10" t="n"/>
    </row>
    <row r="73">
      <c r="A73" s="9" t="n">
        <v>584581</v>
      </c>
      <c r="B73" s="10" t="inlineStr">
        <is>
          <t>ATROVERAN HOT DISP 1 SACHE</t>
        </is>
      </c>
      <c r="C73" s="10" t="inlineStr">
        <is>
          <t>RX</t>
        </is>
      </c>
      <c r="D73" s="9" t="inlineStr">
        <is>
          <t>B</t>
        </is>
      </c>
      <c r="E73" s="9" t="n">
        <v>1</v>
      </c>
      <c r="F73" s="9" t="n">
        <v>10</v>
      </c>
      <c r="G73" s="11" t="n">
        <v>105.27</v>
      </c>
      <c r="H73" s="10" t="inlineStr">
        <is>
          <t>TAPAJOS COMERCIO DE MEDICAMENTOS LTDA</t>
        </is>
      </c>
      <c r="I73" s="12" t="inlineStr">
        <is>
          <t>7896094916616</t>
        </is>
      </c>
      <c r="J73" s="10" t="inlineStr">
        <is>
          <t>ATROVERAN HOT DISPLAY SACHE ADESIVO C/10</t>
        </is>
      </c>
      <c r="K73" s="11" t="n">
        <v>96.34</v>
      </c>
      <c r="L73" s="13" t="n">
        <v>0</v>
      </c>
      <c r="M73" s="11">
        <f>IF(K73="","",ROUND(K73*(1-L73),2))</f>
        <v/>
      </c>
      <c r="N73" s="9" t="n">
        <v>82</v>
      </c>
      <c r="O73" s="14">
        <f>IF(OR(M73="",R73&lt;&gt;""),"",M73/G73-1)</f>
        <v/>
      </c>
      <c r="P73" s="11">
        <f>IF(OR(M73="",R73&lt;&gt;""),"",(G73-M73)*E73)</f>
        <v/>
      </c>
      <c r="Q73" s="9">
        <f>IF(R73&lt;&gt;"","—",IF(M73&lt;G73,"Mais barato",IF(M73&gt;G73,"Mais caro","Igual")))</f>
        <v/>
      </c>
      <c r="R73" s="10" t="n"/>
    </row>
    <row r="74">
      <c r="A74" s="9" t="n">
        <v>488841</v>
      </c>
      <c r="B74" s="10" t="inlineStr">
        <is>
          <t>ATTENZE 10MG CX 30 COMP</t>
        </is>
      </c>
      <c r="C74" s="10" t="inlineStr">
        <is>
          <t>RX - SIMILAR - CONTROLE</t>
        </is>
      </c>
      <c r="D74" s="9" t="inlineStr">
        <is>
          <t>C</t>
        </is>
      </c>
      <c r="E74" s="9" t="n">
        <v>1</v>
      </c>
      <c r="F74" s="9" t="n">
        <v>1</v>
      </c>
      <c r="G74" s="11" t="n">
        <v>32.7783</v>
      </c>
      <c r="H74" s="10" t="inlineStr">
        <is>
          <t>SC DISTRIBUICAO LTDA</t>
        </is>
      </c>
      <c r="I74" s="12" t="inlineStr">
        <is>
          <t>7891317010287</t>
        </is>
      </c>
      <c r="J74" s="10" t="inlineStr">
        <is>
          <t>ATTENZE 10MG C/30 COMPRIMIDOS A3</t>
        </is>
      </c>
      <c r="K74" s="11" t="n">
        <v>39.38</v>
      </c>
      <c r="L74" s="13" t="n">
        <v>0.04</v>
      </c>
      <c r="M74" s="11">
        <f>IF(K74="","",ROUND(K74*(1-L74),2))</f>
        <v/>
      </c>
      <c r="N74" s="9" t="n">
        <v>90</v>
      </c>
      <c r="O74" s="14">
        <f>IF(OR(M74="",R74&lt;&gt;""),"",M74/G74-1)</f>
        <v/>
      </c>
      <c r="P74" s="11">
        <f>IF(OR(M74="",R74&lt;&gt;""),"",(G74-M74)*E74)</f>
        <v/>
      </c>
      <c r="Q74" s="9">
        <f>IF(R74&lt;&gt;"","—",IF(M74&lt;G74,"Mais barato",IF(M74&gt;G74,"Mais caro","Igual")))</f>
        <v/>
      </c>
      <c r="R74" s="10" t="n"/>
    </row>
    <row r="75">
      <c r="A75" s="9" t="n">
        <v>258201</v>
      </c>
      <c r="B75" s="10" t="inlineStr">
        <is>
          <t>AVAMYS 27,5MG SPRAY NAS 120 DOS</t>
        </is>
      </c>
      <c r="C75" s="10" t="inlineStr">
        <is>
          <t>RX</t>
        </is>
      </c>
      <c r="D75" s="9" t="inlineStr">
        <is>
          <t>A</t>
        </is>
      </c>
      <c r="E75" s="9" t="n">
        <v>9</v>
      </c>
      <c r="F75" s="9" t="n">
        <v>1</v>
      </c>
      <c r="G75" s="11" t="n">
        <v>58.6267</v>
      </c>
      <c r="H75" s="10" t="inlineStr">
        <is>
          <t>SC DISTRIBUICAO LTDA</t>
        </is>
      </c>
      <c r="I75" s="12" t="inlineStr">
        <is>
          <t>7896015518875</t>
        </is>
      </c>
      <c r="J75" s="10" t="inlineStr">
        <is>
          <t>AVAMYS SPRAY NASAL C/120 DOSES</t>
        </is>
      </c>
      <c r="K75" s="11" t="n">
        <v>55.83</v>
      </c>
      <c r="L75" s="13" t="n">
        <v>0.04</v>
      </c>
      <c r="M75" s="11">
        <f>IF(K75="","",ROUND(K75*(1-L75),2))</f>
        <v/>
      </c>
      <c r="N75" s="9" t="n">
        <v>1311</v>
      </c>
      <c r="O75" s="14">
        <f>IF(OR(M75="",R75&lt;&gt;""),"",M75/G75-1)</f>
        <v/>
      </c>
      <c r="P75" s="11">
        <f>IF(OR(M75="",R75&lt;&gt;""),"",(G75-M75)*E75)</f>
        <v/>
      </c>
      <c r="Q75" s="9">
        <f>IF(R75&lt;&gt;"","—",IF(M75&lt;G75,"Mais barato",IF(M75&gt;G75,"Mais caro","Igual")))</f>
        <v/>
      </c>
      <c r="R75" s="10" t="n"/>
    </row>
    <row r="76">
      <c r="A76" s="9" t="n">
        <v>15761</v>
      </c>
      <c r="B76" s="10" t="inlineStr">
        <is>
          <t>AZELAN 150 MG/G GEL CT BG AL X 30 G</t>
        </is>
      </c>
      <c r="C76" s="10" t="inlineStr">
        <is>
          <t>RX - OTC</t>
        </is>
      </c>
      <c r="D76" s="9" t="inlineStr">
        <is>
          <t>A</t>
        </is>
      </c>
      <c r="E76" s="9" t="n">
        <v>3</v>
      </c>
      <c r="F76" s="9" t="n">
        <v>1</v>
      </c>
      <c r="G76" s="11" t="n">
        <v>67.23999999999999</v>
      </c>
      <c r="H76" s="10" t="inlineStr">
        <is>
          <t>NAZARIA DISTRIBUIDORA DE PRODUTOS FARMACEUTICOS LTDA</t>
        </is>
      </c>
      <c r="I76" s="12" t="inlineStr">
        <is>
          <t>5702191025637</t>
        </is>
      </c>
      <c r="J76" s="10" t="inlineStr">
        <is>
          <t>AZELAN GEL 30G</t>
        </is>
      </c>
      <c r="K76" s="11" t="n">
        <v>69.38</v>
      </c>
      <c r="L76" s="13" t="n">
        <v>0.03</v>
      </c>
      <c r="M76" s="11">
        <f>IF(K76="","",ROUND(K76*(1-L76),2))</f>
        <v/>
      </c>
      <c r="N76" s="9" t="n"/>
      <c r="O76" s="14">
        <f>IF(OR(M76="",R76&lt;&gt;""),"",M76/G76-1)</f>
        <v/>
      </c>
      <c r="P76" s="11">
        <f>IF(OR(M76="",R76&lt;&gt;""),"",(G76-M76)*E76)</f>
        <v/>
      </c>
      <c r="Q76" s="9">
        <f>IF(R76&lt;&gt;"","—",IF(M76&lt;G76,"Mais barato",IF(M76&gt;G76,"Mais caro","Igual")))</f>
        <v/>
      </c>
      <c r="R76" s="10" t="n"/>
    </row>
    <row r="77">
      <c r="A77" s="9" t="n">
        <v>329081</v>
      </c>
      <c r="B77" s="10" t="inlineStr">
        <is>
          <t>AZORGA 10+5MG/ML SUS OFT FR GOT X 5ML</t>
        </is>
      </c>
      <c r="C77" s="10" t="inlineStr">
        <is>
          <t>RX</t>
        </is>
      </c>
      <c r="D77" s="9" t="inlineStr">
        <is>
          <t>A</t>
        </is>
      </c>
      <c r="E77" s="9" t="n">
        <v>5</v>
      </c>
      <c r="F77" s="9" t="n">
        <v>1</v>
      </c>
      <c r="G77" s="11" t="n">
        <v>82.95999999999999</v>
      </c>
      <c r="H77" s="10" t="inlineStr">
        <is>
          <t>SC DISTRIBUICAO LTDA</t>
        </is>
      </c>
      <c r="I77" s="12" t="inlineStr">
        <is>
          <t>7896548197967</t>
        </is>
      </c>
      <c r="J77" s="10" t="inlineStr">
        <is>
          <t>AZORGA SUSPENSAO OFTALMICA 5ML</t>
        </is>
      </c>
      <c r="K77" s="11" t="n">
        <v>83.2</v>
      </c>
      <c r="L77" s="13" t="n">
        <v>0.04</v>
      </c>
      <c r="M77" s="11">
        <f>IF(K77="","",ROUND(K77*(1-L77),2))</f>
        <v/>
      </c>
      <c r="N77" s="9" t="n">
        <v>566</v>
      </c>
      <c r="O77" s="14">
        <f>IF(OR(M77="",R77&lt;&gt;""),"",M77/G77-1)</f>
        <v/>
      </c>
      <c r="P77" s="11">
        <f>IF(OR(M77="",R77&lt;&gt;""),"",(G77-M77)*E77)</f>
        <v/>
      </c>
      <c r="Q77" s="9">
        <f>IF(R77&lt;&gt;"","—",IF(M77&lt;G77,"Mais barato",IF(M77&gt;G77,"Mais caro","Igual")))</f>
        <v/>
      </c>
      <c r="R77" s="10" t="n"/>
    </row>
    <row r="78">
      <c r="A78" s="9" t="n">
        <v>364041</v>
      </c>
      <c r="B78" s="10" t="inlineStr">
        <is>
          <t>AZOX 20MG/ML PO SUS OR FR 100ML+SER DOS</t>
        </is>
      </c>
      <c r="C78" s="10" t="inlineStr">
        <is>
          <t>RX</t>
        </is>
      </c>
      <c r="D78" s="9" t="inlineStr">
        <is>
          <t>A</t>
        </is>
      </c>
      <c r="E78" s="9" t="n">
        <v>1</v>
      </c>
      <c r="F78" s="9" t="n">
        <v>1</v>
      </c>
      <c r="G78" s="11" t="n">
        <v>46.74</v>
      </c>
      <c r="H78" s="10" t="inlineStr">
        <is>
          <t>SC DISTRIBUICAO LTDA</t>
        </is>
      </c>
      <c r="I78" s="12" t="inlineStr">
        <is>
          <t>7891317036768</t>
        </is>
      </c>
      <c r="J78" s="10" t="inlineStr">
        <is>
          <t>AZOX 20MG SUSPENSAO 100ML + SERINGA</t>
        </is>
      </c>
      <c r="K78" s="11" t="n">
        <v>47.73</v>
      </c>
      <c r="L78" s="13" t="n">
        <v>0.04</v>
      </c>
      <c r="M78" s="11">
        <f>IF(K78="","",ROUND(K78*(1-L78),2))</f>
        <v/>
      </c>
      <c r="N78" s="9" t="n">
        <v>143</v>
      </c>
      <c r="O78" s="14">
        <f>IF(OR(M78="",R78&lt;&gt;""),"",M78/G78-1)</f>
        <v/>
      </c>
      <c r="P78" s="11">
        <f>IF(OR(M78="",R78&lt;&gt;""),"",(G78-M78)*E78)</f>
        <v/>
      </c>
      <c r="Q78" s="9">
        <f>IF(R78&lt;&gt;"","—",IF(M78&lt;G78,"Mais barato",IF(M78&gt;G78,"Mais caro","Igual")))</f>
        <v/>
      </c>
      <c r="R78" s="10" t="n"/>
    </row>
    <row r="79">
      <c r="A79" s="9" t="n">
        <v>364061</v>
      </c>
      <c r="B79" s="10" t="inlineStr">
        <is>
          <t>AZOX 20MG/ML PO SUS OR FR 45ML+SER DOS</t>
        </is>
      </c>
      <c r="C79" s="10" t="inlineStr">
        <is>
          <t>RX</t>
        </is>
      </c>
      <c r="D79" s="9" t="inlineStr">
        <is>
          <t>B</t>
        </is>
      </c>
      <c r="E79" s="9" t="n">
        <v>3</v>
      </c>
      <c r="F79" s="9" t="n">
        <v>1</v>
      </c>
      <c r="G79" s="11" t="n">
        <v>23.675</v>
      </c>
      <c r="H79" s="10" t="inlineStr">
        <is>
          <t>SC DISTRIBUICAO LTDA</t>
        </is>
      </c>
      <c r="I79" s="12" t="inlineStr">
        <is>
          <t>7891317036751</t>
        </is>
      </c>
      <c r="J79" s="10" t="inlineStr">
        <is>
          <t>AZOX 20MG SUSPENSAO 45ML + SERINGA</t>
        </is>
      </c>
      <c r="K79" s="11" t="n">
        <v>23.02</v>
      </c>
      <c r="L79" s="13" t="n">
        <v>0.04</v>
      </c>
      <c r="M79" s="11">
        <f>IF(K79="","",ROUND(K79*(1-L79),2))</f>
        <v/>
      </c>
      <c r="N79" s="9" t="n">
        <v>644</v>
      </c>
      <c r="O79" s="14">
        <f>IF(OR(M79="",R79&lt;&gt;""),"",M79/G79-1)</f>
        <v/>
      </c>
      <c r="P79" s="11">
        <f>IF(OR(M79="",R79&lt;&gt;""),"",(G79-M79)*E79)</f>
        <v/>
      </c>
      <c r="Q79" s="9">
        <f>IF(R79&lt;&gt;"","—",IF(M79&lt;G79,"Mais barato",IF(M79&gt;G79,"Mais caro","Igual")))</f>
        <v/>
      </c>
      <c r="R79" s="10" t="n"/>
    </row>
    <row r="80">
      <c r="A80" s="9" t="n">
        <v>265661</v>
      </c>
      <c r="B80" s="10" t="inlineStr">
        <is>
          <t>AZUKON MR 30MG CX 30 COMP LIB PROL</t>
        </is>
      </c>
      <c r="C80" s="10" t="inlineStr">
        <is>
          <t>RX - DIABETES</t>
        </is>
      </c>
      <c r="D80" s="9" t="inlineStr">
        <is>
          <t>A</t>
        </is>
      </c>
      <c r="E80" s="9" t="n">
        <v>8</v>
      </c>
      <c r="F80" s="9" t="n">
        <v>1</v>
      </c>
      <c r="G80" s="11" t="n">
        <v>18.2</v>
      </c>
      <c r="H80" s="10" t="inlineStr">
        <is>
          <t>SC DISTRIBUICAO LTDA</t>
        </is>
      </c>
      <c r="I80" s="12" t="inlineStr">
        <is>
          <t>8902220106079</t>
        </is>
      </c>
      <c r="J80" s="10" t="inlineStr">
        <is>
          <t>AZUKON MR 30MG C/30 COMPRIMIDOS</t>
        </is>
      </c>
      <c r="K80" s="11" t="n">
        <v>17.51</v>
      </c>
      <c r="L80" s="13" t="n">
        <v>0.06</v>
      </c>
      <c r="M80" s="11">
        <f>IF(K80="","",ROUND(K80*(1-L80),2))</f>
        <v/>
      </c>
      <c r="N80" s="9" t="n">
        <v>1028</v>
      </c>
      <c r="O80" s="14">
        <f>IF(OR(M80="",R80&lt;&gt;""),"",M80/G80-1)</f>
        <v/>
      </c>
      <c r="P80" s="11">
        <f>IF(OR(M80="",R80&lt;&gt;""),"",(G80-M80)*E80)</f>
        <v/>
      </c>
      <c r="Q80" s="9">
        <f>IF(R80&lt;&gt;"","—",IF(M80&lt;G80,"Mais barato",IF(M80&gt;G80,"Mais caro","Igual")))</f>
        <v/>
      </c>
      <c r="R80" s="10" t="n"/>
    </row>
    <row r="81">
      <c r="A81" s="9" t="n">
        <v>645591</v>
      </c>
      <c r="B81" s="10" t="inlineStr">
        <is>
          <t>BACTRIM F CX 10 COMP</t>
        </is>
      </c>
      <c r="C81" s="10" t="inlineStr">
        <is>
          <t>RX - REFERENCIA - ATB</t>
        </is>
      </c>
      <c r="D81" s="9" t="inlineStr">
        <is>
          <t>A</t>
        </is>
      </c>
      <c r="E81" s="9" t="n">
        <v>2</v>
      </c>
      <c r="F81" s="9" t="n">
        <v>1</v>
      </c>
      <c r="G81" s="11" t="n">
        <v>27.58</v>
      </c>
      <c r="H81" s="10" t="inlineStr">
        <is>
          <t>SC DISTRIBUICAO LTDA</t>
        </is>
      </c>
      <c r="I81" s="12" t="inlineStr">
        <is>
          <t>7898040328603</t>
        </is>
      </c>
      <c r="J81" s="10" t="inlineStr">
        <is>
          <t>BACTRIM F C/10 COMPRIMIDOS</t>
        </is>
      </c>
      <c r="K81" s="11" t="n">
        <v>27.75</v>
      </c>
      <c r="L81" s="13" t="n">
        <v>0.04</v>
      </c>
      <c r="M81" s="11">
        <f>IF(K81="","",ROUND(K81*(1-L81),2))</f>
        <v/>
      </c>
      <c r="N81" s="9" t="n">
        <v>1782</v>
      </c>
      <c r="O81" s="14">
        <f>IF(OR(M81="",R81&lt;&gt;""),"",M81/G81-1)</f>
        <v/>
      </c>
      <c r="P81" s="11">
        <f>IF(OR(M81="",R81&lt;&gt;""),"",(G81-M81)*E81)</f>
        <v/>
      </c>
      <c r="Q81" s="9">
        <f>IF(R81&lt;&gt;"","—",IF(M81&lt;G81,"Mais barato",IF(M81&gt;G81,"Mais caro","Igual")))</f>
        <v/>
      </c>
      <c r="R81" s="10" t="n"/>
    </row>
    <row r="82">
      <c r="A82" s="9" t="n">
        <v>354621</v>
      </c>
      <c r="B82" s="10" t="inlineStr">
        <is>
          <t>BACTROBAN POMADA BG 10G</t>
        </is>
      </c>
      <c r="C82" s="10" t="inlineStr">
        <is>
          <t>RX - REFERENCIA - ATB</t>
        </is>
      </c>
      <c r="D82" s="9" t="inlineStr">
        <is>
          <t>A</t>
        </is>
      </c>
      <c r="E82" s="9" t="n">
        <v>1</v>
      </c>
      <c r="F82" s="9" t="n">
        <v>1</v>
      </c>
      <c r="G82" s="11" t="n">
        <v>32.89</v>
      </c>
      <c r="H82" s="10" t="inlineStr">
        <is>
          <t>SC DISTRIBUICAO LTDA</t>
        </is>
      </c>
      <c r="I82" s="12" t="inlineStr">
        <is>
          <t>7896015519834</t>
        </is>
      </c>
      <c r="J82" s="10" t="inlineStr">
        <is>
          <t>POMADA BACTROBAN 2% 10G</t>
        </is>
      </c>
      <c r="K82" s="11" t="n">
        <v>39.97</v>
      </c>
      <c r="L82" s="13" t="n">
        <v>0.04</v>
      </c>
      <c r="M82" s="11">
        <f>IF(K82="","",ROUND(K82*(1-L82),2))</f>
        <v/>
      </c>
      <c r="N82" s="9" t="n">
        <v>595</v>
      </c>
      <c r="O82" s="14">
        <f>IF(OR(M82="",R82&lt;&gt;""),"",M82/G82-1)</f>
        <v/>
      </c>
      <c r="P82" s="11">
        <f>IF(OR(M82="",R82&lt;&gt;""),"",(G82-M82)*E82)</f>
        <v/>
      </c>
      <c r="Q82" s="9">
        <f>IF(R82&lt;&gt;"","—",IF(M82&lt;G82,"Mais barato",IF(M82&gt;G82,"Mais caro","Igual")))</f>
        <v/>
      </c>
      <c r="R82" s="10" t="n"/>
    </row>
    <row r="83">
      <c r="A83" s="9" t="n">
        <v>339821</v>
      </c>
      <c r="B83" s="10" t="inlineStr">
        <is>
          <t>BALSAMO BENGUE GEL BG 20G</t>
        </is>
      </c>
      <c r="C83" s="10" t="inlineStr">
        <is>
          <t>RX - OTC</t>
        </is>
      </c>
      <c r="D83" s="9" t="inlineStr">
        <is>
          <t>A</t>
        </is>
      </c>
      <c r="E83" s="9" t="n">
        <v>1</v>
      </c>
      <c r="F83" s="9" t="n">
        <v>1</v>
      </c>
      <c r="G83" s="11" t="n">
        <v>16.09</v>
      </c>
      <c r="H83" s="10" t="inlineStr">
        <is>
          <t>MEDCENTRO TO DISTRIBUIDORA DE PRODUTOS FARMACEUTICOS LTDA PA</t>
        </is>
      </c>
      <c r="I83" s="12" t="inlineStr">
        <is>
          <t>7896004817576</t>
        </is>
      </c>
      <c r="J83" s="10" t="inlineStr">
        <is>
          <t>BALSAMO BENGUE GEL 20G</t>
        </is>
      </c>
      <c r="K83" s="11" t="n">
        <v>20.38</v>
      </c>
      <c r="L83" s="13" t="n">
        <v>0.04</v>
      </c>
      <c r="M83" s="11">
        <f>IF(K83="","",ROUND(K83*(1-L83),2))</f>
        <v/>
      </c>
      <c r="N83" s="9" t="n">
        <v>226</v>
      </c>
      <c r="O83" s="14">
        <f>IF(OR(M83="",R83&lt;&gt;""),"",M83/G83-1)</f>
        <v/>
      </c>
      <c r="P83" s="11">
        <f>IF(OR(M83="",R83&lt;&gt;""),"",(G83-M83)*E83)</f>
        <v/>
      </c>
      <c r="Q83" s="9">
        <f>IF(R83&lt;&gt;"","—",IF(M83&lt;G83,"Mais barato",IF(M83&gt;G83,"Mais caro","Igual")))</f>
        <v/>
      </c>
      <c r="R83" s="10" t="n"/>
    </row>
    <row r="84">
      <c r="A84" s="9" t="n">
        <v>596541</v>
      </c>
      <c r="B84" s="10" t="inlineStr">
        <is>
          <t>BEDOZE 5MG/ML SOL INJ 2 AMP X 1ML</t>
        </is>
      </c>
      <c r="C84" s="10" t="inlineStr">
        <is>
          <t>RX</t>
        </is>
      </c>
      <c r="D84" s="9" t="inlineStr">
        <is>
          <t>A</t>
        </is>
      </c>
      <c r="E84" s="9" t="n">
        <v>7</v>
      </c>
      <c r="F84" s="9" t="n">
        <v>1</v>
      </c>
      <c r="G84" s="11" t="n">
        <v>32.8</v>
      </c>
      <c r="H84" s="10" t="inlineStr">
        <is>
          <t>SC DISTRIBUICAO LTDA</t>
        </is>
      </c>
      <c r="I84" s="12" t="inlineStr">
        <is>
          <t>7891317026554</t>
        </is>
      </c>
      <c r="J84" s="10" t="inlineStr">
        <is>
          <t>BEDOZE 5MG/ML SOLUCAO C/2 AMPOLAS 1ML</t>
        </is>
      </c>
      <c r="K84" s="11" t="n">
        <v>32.58</v>
      </c>
      <c r="L84" s="13" t="n">
        <v>0.04</v>
      </c>
      <c r="M84" s="11">
        <f>IF(K84="","",ROUND(K84*(1-L84),2))</f>
        <v/>
      </c>
      <c r="N84" s="9" t="n">
        <v>3102</v>
      </c>
      <c r="O84" s="14">
        <f>IF(OR(M84="",R84&lt;&gt;""),"",M84/G84-1)</f>
        <v/>
      </c>
      <c r="P84" s="11">
        <f>IF(OR(M84="",R84&lt;&gt;""),"",(G84-M84)*E84)</f>
        <v/>
      </c>
      <c r="Q84" s="9">
        <f>IF(R84&lt;&gt;"","—",IF(M84&lt;G84,"Mais barato",IF(M84&gt;G84,"Mais caro","Igual")))</f>
        <v/>
      </c>
      <c r="R84" s="10" t="n"/>
    </row>
    <row r="85">
      <c r="A85" s="9" t="n">
        <v>114701</v>
      </c>
      <c r="B85" s="10" t="inlineStr">
        <is>
          <t>BENALET 5+50+10MG PASTILHA CARTELA MEL/LIMAO C/ 4UN</t>
        </is>
      </c>
      <c r="C85" s="10" t="inlineStr">
        <is>
          <t>RX</t>
        </is>
      </c>
      <c r="D85" s="9" t="inlineStr">
        <is>
          <t>A</t>
        </is>
      </c>
      <c r="E85" s="9" t="n">
        <v>1</v>
      </c>
      <c r="F85" s="9" t="n">
        <v>13</v>
      </c>
      <c r="G85" s="11" t="n">
        <v>138.0485</v>
      </c>
      <c r="H85" s="10" t="inlineStr">
        <is>
          <t>SC DISTRIBUICAO LTDA</t>
        </is>
      </c>
      <c r="I85" s="12" t="inlineStr">
        <is>
          <t>7891010256685</t>
        </is>
      </c>
      <c r="J85" s="10" t="inlineStr">
        <is>
          <t>BENALET MEL LIMAO 13X4 PASTILHAS</t>
        </is>
      </c>
      <c r="K85" s="11" t="n">
        <v>152.67</v>
      </c>
      <c r="L85" s="13" t="n">
        <v>0.06</v>
      </c>
      <c r="M85" s="11">
        <f>IF(K85="","",ROUND(K85*(1-L85),2))</f>
        <v/>
      </c>
      <c r="N85" s="9" t="n">
        <v>129</v>
      </c>
      <c r="O85" s="14">
        <f>IF(OR(M85="",R85&lt;&gt;""),"",M85/G85-1)</f>
        <v/>
      </c>
      <c r="P85" s="11">
        <f>IF(OR(M85="",R85&lt;&gt;""),"",(G85-M85)*E85)</f>
        <v/>
      </c>
      <c r="Q85" s="9">
        <f>IF(R85&lt;&gt;"","—",IF(M85&lt;G85,"Mais barato",IF(M85&gt;G85,"Mais caro","Igual")))</f>
        <v/>
      </c>
      <c r="R85" s="10" t="n"/>
    </row>
    <row r="86">
      <c r="A86" s="9" t="n">
        <v>657751</v>
      </c>
      <c r="B86" s="10" t="inlineStr">
        <is>
          <t>BENALET 5+50+10MG PASTILHA CARTELA MENTA C/ 4UN</t>
        </is>
      </c>
      <c r="C86" s="10" t="inlineStr">
        <is>
          <t>RX - OTC</t>
        </is>
      </c>
      <c r="D86" s="9" t="inlineStr">
        <is>
          <t>A</t>
        </is>
      </c>
      <c r="E86" s="9" t="n">
        <v>1</v>
      </c>
      <c r="F86" s="9" t="n">
        <v>13</v>
      </c>
      <c r="G86" s="11" t="n">
        <v>142.92</v>
      </c>
      <c r="H86" s="10" t="inlineStr">
        <is>
          <t>SC DISTRIBUICAO LTDA</t>
        </is>
      </c>
      <c r="I86" s="12" t="inlineStr">
        <is>
          <t>7891010256692</t>
        </is>
      </c>
      <c r="J86" s="10" t="inlineStr">
        <is>
          <t>BENALET MENTA 13X4 PASTILHAS</t>
        </is>
      </c>
      <c r="K86" s="11" t="n">
        <v>152.67</v>
      </c>
      <c r="L86" s="13" t="n">
        <v>0.06</v>
      </c>
      <c r="M86" s="11">
        <f>IF(K86="","",ROUND(K86*(1-L86),2))</f>
        <v/>
      </c>
      <c r="N86" s="9" t="n">
        <v>101</v>
      </c>
      <c r="O86" s="14">
        <f>IF(OR(M86="",R86&lt;&gt;""),"",M86/G86-1)</f>
        <v/>
      </c>
      <c r="P86" s="11">
        <f>IF(OR(M86="",R86&lt;&gt;""),"",(G86-M86)*E86)</f>
        <v/>
      </c>
      <c r="Q86" s="9">
        <f>IF(R86&lt;&gt;"","—",IF(M86&lt;G86,"Mais barato",IF(M86&gt;G86,"Mais caro","Igual")))</f>
        <v/>
      </c>
      <c r="R86" s="10" t="n"/>
    </row>
    <row r="87">
      <c r="A87" s="9" t="n">
        <v>497121</v>
      </c>
      <c r="B87" s="10" t="inlineStr">
        <is>
          <t>BENALET 5+50+10MG PASTILHA SB MEL E LIMAO CX C/ 12UN</t>
        </is>
      </c>
      <c r="C87" s="10" t="inlineStr">
        <is>
          <t>RX - OTC</t>
        </is>
      </c>
      <c r="D87" s="9" t="inlineStr">
        <is>
          <t>C</t>
        </is>
      </c>
      <c r="E87" s="9" t="n">
        <v>2</v>
      </c>
      <c r="F87" s="9" t="n">
        <v>1</v>
      </c>
      <c r="G87" s="11" t="n">
        <v>9.5167</v>
      </c>
      <c r="H87" s="10" t="inlineStr">
        <is>
          <t>SC DISTRIBUICAO LTDA</t>
        </is>
      </c>
      <c r="I87" s="12" t="n"/>
      <c r="J87" s="10" t="n"/>
      <c r="K87" s="11" t="n"/>
      <c r="L87" s="13" t="n"/>
      <c r="M87" s="11">
        <f>IF(K87="","",ROUND(K87*(1-L87),2))</f>
        <v/>
      </c>
      <c r="N87" s="9" t="n"/>
      <c r="O87" s="14">
        <f>IF(OR(M87="",R87&lt;&gt;""),"",M87/G87-1)</f>
        <v/>
      </c>
      <c r="P87" s="11">
        <f>IF(OR(M87="",R87&lt;&gt;""),"",(G87-M87)*E87)</f>
        <v/>
      </c>
      <c r="Q87" s="9">
        <f>IF(R87&lt;&gt;"","—",IF(M87&lt;G87,"Mais barato",IF(M87&gt;G87,"Mais caro","Igual")))</f>
        <v/>
      </c>
      <c r="R87" s="10" t="inlineStr">
        <is>
          <t>Não encontrado</t>
        </is>
      </c>
    </row>
    <row r="88">
      <c r="A88" s="9" t="n">
        <v>114681</v>
      </c>
      <c r="B88" s="10" t="inlineStr">
        <is>
          <t>BENALET 5+50+10MG PASTILHA SB MENTA CX C/ 12UN</t>
        </is>
      </c>
      <c r="C88" s="10" t="inlineStr">
        <is>
          <t>RX</t>
        </is>
      </c>
      <c r="D88" s="9" t="inlineStr">
        <is>
          <t>C</t>
        </is>
      </c>
      <c r="E88" s="9" t="n">
        <v>1</v>
      </c>
      <c r="F88" s="9" t="n">
        <v>1</v>
      </c>
      <c r="G88" s="11" t="n">
        <v>24.88</v>
      </c>
      <c r="H88" s="10" t="inlineStr">
        <is>
          <t>SC DISTRIBUICAO LTDA</t>
        </is>
      </c>
      <c r="I88" s="12" t="n"/>
      <c r="J88" s="10" t="n"/>
      <c r="K88" s="11" t="n"/>
      <c r="L88" s="13" t="n"/>
      <c r="M88" s="11">
        <f>IF(K88="","",ROUND(K88*(1-L88),2))</f>
        <v/>
      </c>
      <c r="N88" s="9" t="n"/>
      <c r="O88" s="14">
        <f>IF(OR(M88="",R88&lt;&gt;""),"",M88/G88-1)</f>
        <v/>
      </c>
      <c r="P88" s="11">
        <f>IF(OR(M88="",R88&lt;&gt;""),"",(G88-M88)*E88)</f>
        <v/>
      </c>
      <c r="Q88" s="9">
        <f>IF(R88&lt;&gt;"","—",IF(M88&lt;G88,"Mais barato",IF(M88&gt;G88,"Mais caro","Igual")))</f>
        <v/>
      </c>
      <c r="R88" s="10" t="inlineStr">
        <is>
          <t>Não encontrado</t>
        </is>
      </c>
    </row>
    <row r="89">
      <c r="A89" s="9" t="n">
        <v>330001</v>
      </c>
      <c r="B89" s="10" t="inlineStr">
        <is>
          <t>BENEGRIP 250+30+250+2MG BL CX 12CP</t>
        </is>
      </c>
      <c r="C89" s="10" t="inlineStr">
        <is>
          <t>RX - OTC</t>
        </is>
      </c>
      <c r="D89" s="9" t="inlineStr">
        <is>
          <t>A</t>
        </is>
      </c>
      <c r="E89" s="9" t="n">
        <v>2</v>
      </c>
      <c r="F89" s="9" t="n">
        <v>1</v>
      </c>
      <c r="G89" s="11" t="n">
        <v>18.0346</v>
      </c>
      <c r="H89" s="10" t="inlineStr">
        <is>
          <t>SB COMERCIO LTDA 0179-15</t>
        </is>
      </c>
      <c r="I89" s="12" t="inlineStr">
        <is>
          <t>7896094915107</t>
        </is>
      </c>
      <c r="J89" s="10" t="inlineStr">
        <is>
          <t>BENEGRIP 500MG C/12 COMPRIMIDOS</t>
        </is>
      </c>
      <c r="K89" s="11" t="n">
        <v>21.47</v>
      </c>
      <c r="L89" s="13" t="n">
        <v>0.035</v>
      </c>
      <c r="M89" s="11">
        <f>IF(K89="","",ROUND(K89*(1-L89),2))</f>
        <v/>
      </c>
      <c r="N89" s="9" t="n">
        <v>962</v>
      </c>
      <c r="O89" s="14">
        <f>IF(OR(M89="",R89&lt;&gt;""),"",M89/G89-1)</f>
        <v/>
      </c>
      <c r="P89" s="11">
        <f>IF(OR(M89="",R89&lt;&gt;""),"",(G89-M89)*E89)</f>
        <v/>
      </c>
      <c r="Q89" s="9">
        <f>IF(R89&lt;&gt;"","—",IF(M89&lt;G89,"Mais barato",IF(M89&gt;G89,"Mais caro","Igual")))</f>
        <v/>
      </c>
      <c r="R89" s="10" t="n"/>
    </row>
    <row r="90">
      <c r="A90" s="9" t="n">
        <v>653281</v>
      </c>
      <c r="B90" s="10" t="inlineStr">
        <is>
          <t>BENEGRIP IMUNO KIDS 30 CPR SORT-DEMAIS PROD</t>
        </is>
      </c>
      <c r="C90" s="10" t="inlineStr">
        <is>
          <t>RX - OTC</t>
        </is>
      </c>
      <c r="D90" s="9" t="inlineStr">
        <is>
          <t>C</t>
        </is>
      </c>
      <c r="E90" s="9" t="n">
        <v>1</v>
      </c>
      <c r="F90" s="9" t="n">
        <v>1</v>
      </c>
      <c r="G90" s="11" t="n">
        <v>14.71</v>
      </c>
      <c r="H90" s="10" t="inlineStr">
        <is>
          <t>SB COMERCIO LTDA 0179-15</t>
        </is>
      </c>
      <c r="I90" s="12" t="n"/>
      <c r="J90" s="10" t="n"/>
      <c r="K90" s="11" t="n"/>
      <c r="L90" s="13" t="n"/>
      <c r="M90" s="11">
        <f>IF(K90="","",ROUND(K90*(1-L90),2))</f>
        <v/>
      </c>
      <c r="N90" s="9" t="n"/>
      <c r="O90" s="14">
        <f>IF(OR(M90="",R90&lt;&gt;""),"",M90/G90-1)</f>
        <v/>
      </c>
      <c r="P90" s="11">
        <f>IF(OR(M90="",R90&lt;&gt;""),"",(G90-M90)*E90)</f>
        <v/>
      </c>
      <c r="Q90" s="9">
        <f>IF(R90&lt;&gt;"","—",IF(M90&lt;G90,"Mais barato",IF(M90&gt;G90,"Mais caro","Igual")))</f>
        <v/>
      </c>
      <c r="R90" s="10" t="inlineStr">
        <is>
          <t>Não encontrado</t>
        </is>
      </c>
    </row>
    <row r="91">
      <c r="A91" s="9" t="n">
        <v>399561</v>
      </c>
      <c r="B91" s="10" t="inlineStr">
        <is>
          <t>BENEGRIP MULTI 13,30+0,33+ 0,13MG SOL OR X 240ML</t>
        </is>
      </c>
      <c r="C91" s="10" t="inlineStr">
        <is>
          <t>RX - OTC</t>
        </is>
      </c>
      <c r="D91" s="9" t="inlineStr">
        <is>
          <t>A</t>
        </is>
      </c>
      <c r="E91" s="9" t="n">
        <v>1</v>
      </c>
      <c r="F91" s="9" t="n">
        <v>1</v>
      </c>
      <c r="G91" s="11" t="n">
        <v>27.52</v>
      </c>
      <c r="H91" s="10" t="inlineStr">
        <is>
          <t>SB COMERCIO LTDA 0179-15</t>
        </is>
      </c>
      <c r="I91" s="12" t="inlineStr">
        <is>
          <t>7896094905825</t>
        </is>
      </c>
      <c r="J91" s="10" t="inlineStr">
        <is>
          <t>BENEGRIP MULTI FRASCO 240ML</t>
        </is>
      </c>
      <c r="K91" s="11" t="n">
        <v>32.76</v>
      </c>
      <c r="L91" s="13" t="n">
        <v>0.035</v>
      </c>
      <c r="M91" s="11">
        <f>IF(K91="","",ROUND(K91*(1-L91),2))</f>
        <v/>
      </c>
      <c r="N91" s="9" t="n">
        <v>795</v>
      </c>
      <c r="O91" s="14">
        <f>IF(OR(M91="",R91&lt;&gt;""),"",M91/G91-1)</f>
        <v/>
      </c>
      <c r="P91" s="11">
        <f>IF(OR(M91="",R91&lt;&gt;""),"",(G91-M91)*E91)</f>
        <v/>
      </c>
      <c r="Q91" s="9">
        <f>IF(R91&lt;&gt;"","—",IF(M91&lt;G91,"Mais barato",IF(M91&gt;G91,"Mais caro","Igual")))</f>
        <v/>
      </c>
      <c r="R91" s="10" t="n"/>
    </row>
    <row r="92">
      <c r="A92" s="9" t="n">
        <v>49061</v>
      </c>
      <c r="B92" s="10" t="inlineStr">
        <is>
          <t>BENZETACIL 300.000U/ML SUS INJ 1FA X 4ML</t>
        </is>
      </c>
      <c r="C92" s="10" t="inlineStr">
        <is>
          <t>RX - REFERENCIA - ATB</t>
        </is>
      </c>
      <c r="D92" s="9" t="inlineStr">
        <is>
          <t>A</t>
        </is>
      </c>
      <c r="E92" s="9" t="n">
        <v>2</v>
      </c>
      <c r="F92" s="9" t="n">
        <v>1</v>
      </c>
      <c r="G92" s="11" t="n">
        <v>15.69</v>
      </c>
      <c r="H92" s="10" t="inlineStr">
        <is>
          <t>NAZARIA DISTRIBUIDORA DE PRODUTOS FARMACEUTICOS LTDA</t>
        </is>
      </c>
      <c r="I92" s="12" t="inlineStr">
        <is>
          <t>7891317496241</t>
        </is>
      </c>
      <c r="J92" s="10" t="inlineStr">
        <is>
          <t>BENZETACIL 1.200.000 INJ C/1 AMPOLA</t>
        </is>
      </c>
      <c r="K92" s="11" t="n">
        <v>15.25</v>
      </c>
      <c r="L92" s="13" t="n">
        <v>0.04</v>
      </c>
      <c r="M92" s="11">
        <f>IF(K92="","",ROUND(K92*(1-L92),2))</f>
        <v/>
      </c>
      <c r="N92" s="9" t="n"/>
      <c r="O92" s="14">
        <f>IF(OR(M92="",R92&lt;&gt;""),"",M92/G92-1)</f>
        <v/>
      </c>
      <c r="P92" s="11">
        <f>IF(OR(M92="",R92&lt;&gt;""),"",(G92-M92)*E92)</f>
        <v/>
      </c>
      <c r="Q92" s="9">
        <f>IF(R92&lt;&gt;"","—",IF(M92&lt;G92,"Mais barato",IF(M92&gt;G92,"Mais caro","Igual")))</f>
        <v/>
      </c>
      <c r="R92" s="10" t="n"/>
    </row>
    <row r="93">
      <c r="A93" s="9" t="n">
        <v>588821</v>
      </c>
      <c r="B93" s="10" t="inlineStr">
        <is>
          <t>BEPANTOL BABY 30+15G</t>
        </is>
      </c>
      <c r="C93" s="10" t="inlineStr">
        <is>
          <t>RX</t>
        </is>
      </c>
      <c r="D93" s="9" t="inlineStr">
        <is>
          <t>A</t>
        </is>
      </c>
      <c r="E93" s="9" t="n">
        <v>15</v>
      </c>
      <c r="F93" s="9" t="n">
        <v>1</v>
      </c>
      <c r="G93" s="11" t="n">
        <v>14.62</v>
      </c>
      <c r="H93" s="10" t="inlineStr">
        <is>
          <t>SC DISTRIBUICAO LTDA</t>
        </is>
      </c>
      <c r="I93" s="12" t="inlineStr">
        <is>
          <t>7891106912167</t>
        </is>
      </c>
      <c r="J93" s="10" t="inlineStr">
        <is>
          <t>BEPANTOL BABY CREME ASSADURAS 30G</t>
        </is>
      </c>
      <c r="K93" s="11" t="n">
        <v>16.3</v>
      </c>
      <c r="L93" s="13" t="n">
        <v>0</v>
      </c>
      <c r="M93" s="11">
        <f>IF(K93="","",ROUND(K93*(1-L93),2))</f>
        <v/>
      </c>
      <c r="N93" s="9" t="n">
        <v>4293</v>
      </c>
      <c r="O93" s="14">
        <f>IF(OR(M93="",R93&lt;&gt;""),"",M93/G93-1)</f>
        <v/>
      </c>
      <c r="P93" s="11">
        <f>IF(OR(M93="",R93&lt;&gt;""),"",(G93-M93)*E93)</f>
        <v/>
      </c>
      <c r="Q93" s="9">
        <f>IF(R93&lt;&gt;"","—",IF(M93&lt;G93,"Mais barato",IF(M93&gt;G93,"Mais caro","Igual")))</f>
        <v/>
      </c>
      <c r="R93" s="10" t="n"/>
    </row>
    <row r="94">
      <c r="A94" s="9" t="n">
        <v>550701</v>
      </c>
      <c r="B94" s="10" t="inlineStr">
        <is>
          <t>BEPANTOL DERMA CR 20GR</t>
        </is>
      </c>
      <c r="C94" s="10" t="inlineStr">
        <is>
          <t>RX - DERMO</t>
        </is>
      </c>
      <c r="D94" s="9" t="inlineStr">
        <is>
          <t>A</t>
        </is>
      </c>
      <c r="E94" s="9" t="n">
        <v>10</v>
      </c>
      <c r="F94" s="9" t="n">
        <v>1</v>
      </c>
      <c r="G94" s="11" t="n">
        <v>23.83</v>
      </c>
      <c r="H94" s="10" t="inlineStr">
        <is>
          <t>SC DISTRIBUICAO LTDA</t>
        </is>
      </c>
      <c r="I94" s="12" t="inlineStr">
        <is>
          <t>7891106907286</t>
        </is>
      </c>
      <c r="J94" s="10" t="inlineStr">
        <is>
          <t>BEPANTOL DERMA CREME MULTIRESTAURADOR 20G</t>
        </is>
      </c>
      <c r="K94" s="11" t="n">
        <v>25.9</v>
      </c>
      <c r="L94" s="13" t="n">
        <v>0</v>
      </c>
      <c r="M94" s="11">
        <f>IF(K94="","",ROUND(K94*(1-L94),2))</f>
        <v/>
      </c>
      <c r="N94" s="9" t="n">
        <v>747</v>
      </c>
      <c r="O94" s="14">
        <f>IF(OR(M94="",R94&lt;&gt;""),"",M94/G94-1)</f>
        <v/>
      </c>
      <c r="P94" s="11">
        <f>IF(OR(M94="",R94&lt;&gt;""),"",(G94-M94)*E94)</f>
        <v/>
      </c>
      <c r="Q94" s="9">
        <f>IF(R94&lt;&gt;"","—",IF(M94&lt;G94,"Mais barato",IF(M94&gt;G94,"Mais caro","Igual")))</f>
        <v/>
      </c>
      <c r="R94" s="10" t="n"/>
    </row>
    <row r="95">
      <c r="A95" s="9" t="n">
        <v>666671</v>
      </c>
      <c r="B95" s="10" t="inlineStr">
        <is>
          <t>BEPANTOL DERMA REGENERADOR 200ML-DEMAIS PROD</t>
        </is>
      </c>
      <c r="C95" s="10" t="inlineStr">
        <is>
          <t>RX</t>
        </is>
      </c>
      <c r="D95" s="9" t="inlineStr">
        <is>
          <t>C</t>
        </is>
      </c>
      <c r="E95" s="9" t="n">
        <v>1</v>
      </c>
      <c r="F95" s="9" t="n">
        <v>1</v>
      </c>
      <c r="G95" s="11" t="n">
        <v>59.3</v>
      </c>
      <c r="H95" s="10" t="inlineStr">
        <is>
          <t>SC DISTRIBUICAO LTDA</t>
        </is>
      </c>
      <c r="I95" s="12" t="n"/>
      <c r="J95" s="10" t="n"/>
      <c r="K95" s="11" t="n"/>
      <c r="L95" s="13" t="n"/>
      <c r="M95" s="11">
        <f>IF(K95="","",ROUND(K95*(1-L95),2))</f>
        <v/>
      </c>
      <c r="N95" s="9" t="n"/>
      <c r="O95" s="14">
        <f>IF(OR(M95="",R95&lt;&gt;""),"",M95/G95-1)</f>
        <v/>
      </c>
      <c r="P95" s="11">
        <f>IF(OR(M95="",R95&lt;&gt;""),"",(G95-M95)*E95)</f>
        <v/>
      </c>
      <c r="Q95" s="9">
        <f>IF(R95&lt;&gt;"","—",IF(M95&lt;G95,"Mais barato",IF(M95&gt;G95,"Mais caro","Igual")))</f>
        <v/>
      </c>
      <c r="R95" s="10" t="inlineStr">
        <is>
          <t>Não encontrado</t>
        </is>
      </c>
    </row>
    <row r="96">
      <c r="A96" s="9" t="n">
        <v>666661</v>
      </c>
      <c r="B96" s="10" t="inlineStr">
        <is>
          <t>BEPANTOL DERMA ROSA MOSQUETA 20G-DEMAIS PROD</t>
        </is>
      </c>
      <c r="C96" s="10" t="inlineStr">
        <is>
          <t>RX</t>
        </is>
      </c>
      <c r="D96" s="9" t="inlineStr">
        <is>
          <t>A</t>
        </is>
      </c>
      <c r="E96" s="9" t="n">
        <v>3</v>
      </c>
      <c r="F96" s="9" t="n">
        <v>1</v>
      </c>
      <c r="G96" s="11" t="n">
        <v>23.165</v>
      </c>
      <c r="H96" s="10" t="inlineStr">
        <is>
          <t>SC DISTRIBUICAO LTDA</t>
        </is>
      </c>
      <c r="I96" s="12" t="n"/>
      <c r="J96" s="10" t="n"/>
      <c r="K96" s="11" t="n"/>
      <c r="L96" s="13" t="n"/>
      <c r="M96" s="11">
        <f>IF(K96="","",ROUND(K96*(1-L96),2))</f>
        <v/>
      </c>
      <c r="N96" s="9" t="n"/>
      <c r="O96" s="14">
        <f>IF(OR(M96="",R96&lt;&gt;""),"",M96/G96-1)</f>
        <v/>
      </c>
      <c r="P96" s="11">
        <f>IF(OR(M96="",R96&lt;&gt;""),"",(G96-M96)*E96)</f>
        <v/>
      </c>
      <c r="Q96" s="9">
        <f>IF(R96&lt;&gt;"","—",IF(M96&lt;G96,"Mais barato",IF(M96&gt;G96,"Mais caro","Igual")))</f>
        <v/>
      </c>
      <c r="R96" s="10" t="inlineStr">
        <is>
          <t>Sem preço</t>
        </is>
      </c>
    </row>
    <row r="97">
      <c r="A97" s="9" t="n">
        <v>632681</v>
      </c>
      <c r="B97" s="10" t="inlineStr">
        <is>
          <t>BEPANTOL DERMA TOQUE SECO CR 30G</t>
        </is>
      </c>
      <c r="C97" s="10" t="inlineStr">
        <is>
          <t>RX - DERMO</t>
        </is>
      </c>
      <c r="D97" s="9" t="inlineStr">
        <is>
          <t>A</t>
        </is>
      </c>
      <c r="E97" s="9" t="n">
        <v>3</v>
      </c>
      <c r="F97" s="9" t="n">
        <v>1</v>
      </c>
      <c r="G97" s="11" t="n">
        <v>30.24</v>
      </c>
      <c r="H97" s="10" t="inlineStr">
        <is>
          <t>SC DISTRIBUICAO LTDA</t>
        </is>
      </c>
      <c r="I97" s="12" t="inlineStr">
        <is>
          <t>7891106913522</t>
        </is>
      </c>
      <c r="J97" s="10" t="inlineStr">
        <is>
          <t>BEPANTOL DERMA CREME TOQUE SECO 30G</t>
        </is>
      </c>
      <c r="K97" s="11" t="n">
        <v>32.99</v>
      </c>
      <c r="L97" s="13" t="n">
        <v>0</v>
      </c>
      <c r="M97" s="11">
        <f>IF(K97="","",ROUND(K97*(1-L97),2))</f>
        <v/>
      </c>
      <c r="N97" s="9" t="n">
        <v>2098</v>
      </c>
      <c r="O97" s="14">
        <f>IF(OR(M97="",R97&lt;&gt;""),"",M97/G97-1)</f>
        <v/>
      </c>
      <c r="P97" s="11">
        <f>IF(OR(M97="",R97&lt;&gt;""),"",(G97-M97)*E97)</f>
        <v/>
      </c>
      <c r="Q97" s="9">
        <f>IF(R97&lt;&gt;"","—",IF(M97&lt;G97,"Mais barato",IF(M97&gt;G97,"Mais caro","Igual")))</f>
        <v/>
      </c>
      <c r="R97" s="10" t="n"/>
    </row>
    <row r="98">
      <c r="A98" s="9" t="n">
        <v>666701</v>
      </c>
      <c r="B98" s="10" t="inlineStr">
        <is>
          <t>BEPANTOL LENCOS UMED BIO 48UN-DEMAIS PROD</t>
        </is>
      </c>
      <c r="C98" s="10" t="inlineStr">
        <is>
          <t>RX</t>
        </is>
      </c>
      <c r="D98" s="9" t="inlineStr">
        <is>
          <t>C</t>
        </is>
      </c>
      <c r="E98" s="9" t="n">
        <v>2</v>
      </c>
      <c r="F98" s="9" t="n">
        <v>1</v>
      </c>
      <c r="G98" s="11" t="n">
        <v>15.26</v>
      </c>
      <c r="H98" s="10" t="inlineStr">
        <is>
          <t>SC DISTRIBUICAO LTDA</t>
        </is>
      </c>
      <c r="I98" s="12" t="n"/>
      <c r="J98" s="10" t="n"/>
      <c r="K98" s="11" t="n"/>
      <c r="L98" s="13" t="n"/>
      <c r="M98" s="11">
        <f>IF(K98="","",ROUND(K98*(1-L98),2))</f>
        <v/>
      </c>
      <c r="N98" s="9" t="n"/>
      <c r="O98" s="14">
        <f>IF(OR(M98="",R98&lt;&gt;""),"",M98/G98-1)</f>
        <v/>
      </c>
      <c r="P98" s="11">
        <f>IF(OR(M98="",R98&lt;&gt;""),"",(G98-M98)*E98)</f>
        <v/>
      </c>
      <c r="Q98" s="9">
        <f>IF(R98&lt;&gt;"","—",IF(M98&lt;G98,"Mais barato",IF(M98&gt;G98,"Mais caro","Igual")))</f>
        <v/>
      </c>
      <c r="R98" s="10" t="inlineStr">
        <is>
          <t>Não encontrado</t>
        </is>
      </c>
    </row>
    <row r="99">
      <c r="A99" s="9" t="n">
        <v>666691</v>
      </c>
      <c r="B99" s="10" t="inlineStr">
        <is>
          <t>BEPANTOL TATTOO CR RESTAURA 30G-DEMAIS PROD</t>
        </is>
      </c>
      <c r="C99" s="10" t="inlineStr">
        <is>
          <t>RX</t>
        </is>
      </c>
      <c r="D99" s="9" t="inlineStr">
        <is>
          <t>B</t>
        </is>
      </c>
      <c r="E99" s="9" t="n">
        <v>2</v>
      </c>
      <c r="F99" s="9" t="n">
        <v>1</v>
      </c>
      <c r="G99" s="11" t="n">
        <v>26.77</v>
      </c>
      <c r="H99" s="10" t="inlineStr">
        <is>
          <t>SC DISTRIBUICAO LTDA</t>
        </is>
      </c>
      <c r="I99" s="12" t="inlineStr">
        <is>
          <t>7891106916516</t>
        </is>
      </c>
      <c r="J99" s="10" t="inlineStr">
        <is>
          <t>BEPANTOL TATTOO CREME RESTAURADOR</t>
        </is>
      </c>
      <c r="K99" s="11" t="n">
        <v>28.37</v>
      </c>
      <c r="L99" s="13" t="n">
        <v>0</v>
      </c>
      <c r="M99" s="11">
        <f>IF(K99="","",ROUND(K99*(1-L99),2))</f>
        <v/>
      </c>
      <c r="N99" s="9" t="n">
        <v>174</v>
      </c>
      <c r="O99" s="14">
        <f>IF(OR(M99="",R99&lt;&gt;""),"",M99/G99-1)</f>
        <v/>
      </c>
      <c r="P99" s="11">
        <f>IF(OR(M99="",R99&lt;&gt;""),"",(G99-M99)*E99)</f>
        <v/>
      </c>
      <c r="Q99" s="9">
        <f>IF(R99&lt;&gt;"","—",IF(M99&lt;G99,"Mais barato",IF(M99&gt;G99,"Mais caro","Igual")))</f>
        <v/>
      </c>
      <c r="R99" s="10" t="n"/>
    </row>
    <row r="100">
      <c r="A100" s="9" t="n">
        <v>82401</v>
      </c>
      <c r="B100" s="10" t="inlineStr">
        <is>
          <t>BESEROL 300+125+50+30MG CX 12 COMP</t>
        </is>
      </c>
      <c r="C100" s="10" t="inlineStr">
        <is>
          <t>RX</t>
        </is>
      </c>
      <c r="D100" s="9" t="inlineStr">
        <is>
          <t>A</t>
        </is>
      </c>
      <c r="E100" s="9" t="n">
        <v>9</v>
      </c>
      <c r="F100" s="9" t="n">
        <v>1</v>
      </c>
      <c r="G100" s="11" t="n">
        <v>14.8525</v>
      </c>
      <c r="H100" s="10" t="inlineStr">
        <is>
          <t>SC DISTRIBUICAO LTDA</t>
        </is>
      </c>
      <c r="I100" s="12" t="inlineStr">
        <is>
          <t>7896026171182</t>
        </is>
      </c>
      <c r="J100" s="10" t="inlineStr">
        <is>
          <t>BESEROL C/12 COMPRIMIDOS REVESTIDOS</t>
        </is>
      </c>
      <c r="K100" s="11" t="n">
        <v>18.86</v>
      </c>
      <c r="L100" s="13" t="n">
        <v>0.05</v>
      </c>
      <c r="M100" s="11">
        <f>IF(K100="","",ROUND(K100*(1-L100),2))</f>
        <v/>
      </c>
      <c r="N100" s="9" t="n">
        <v>687</v>
      </c>
      <c r="O100" s="14">
        <f>IF(OR(M100="",R100&lt;&gt;""),"",M100/G100-1)</f>
        <v/>
      </c>
      <c r="P100" s="11">
        <f>IF(OR(M100="",R100&lt;&gt;""),"",(G100-M100)*E100)</f>
        <v/>
      </c>
      <c r="Q100" s="9">
        <f>IF(R100&lt;&gt;"","—",IF(M100&lt;G100,"Mais barato",IF(M100&gt;G100,"Mais caro","Igual")))</f>
        <v/>
      </c>
      <c r="R100" s="10" t="n"/>
    </row>
    <row r="101">
      <c r="A101" s="9" t="n">
        <v>82381</v>
      </c>
      <c r="B101" s="10" t="inlineStr">
        <is>
          <t>BESEROL 300+125+50+30MG CX 4 COMP</t>
        </is>
      </c>
      <c r="C101" s="10" t="inlineStr">
        <is>
          <t>RX</t>
        </is>
      </c>
      <c r="D101" s="9" t="inlineStr">
        <is>
          <t>B</t>
        </is>
      </c>
      <c r="E101" s="9" t="n">
        <v>7</v>
      </c>
      <c r="F101" s="9" t="n">
        <v>1</v>
      </c>
      <c r="G101" s="11" t="n">
        <v>4.6556</v>
      </c>
      <c r="H101" s="10" t="inlineStr">
        <is>
          <t>SC DISTRIBUICAO LTDA</t>
        </is>
      </c>
      <c r="I101" s="12" t="inlineStr">
        <is>
          <t>7896026171199</t>
        </is>
      </c>
      <c r="J101" s="10" t="inlineStr">
        <is>
          <t>BESEROL C/4 COMPRIMIDOS REVESTIDOS</t>
        </is>
      </c>
      <c r="K101" s="11" t="n">
        <v>6.08</v>
      </c>
      <c r="L101" s="13" t="n">
        <v>0.05</v>
      </c>
      <c r="M101" s="11">
        <f>IF(K101="","",ROUND(K101*(1-L101),2))</f>
        <v/>
      </c>
      <c r="N101" s="9" t="n">
        <v>4231</v>
      </c>
      <c r="O101" s="14">
        <f>IF(OR(M101="",R101&lt;&gt;""),"",M101/G101-1)</f>
        <v/>
      </c>
      <c r="P101" s="11">
        <f>IF(OR(M101="",R101&lt;&gt;""),"",(G101-M101)*E101)</f>
        <v/>
      </c>
      <c r="Q101" s="9">
        <f>IF(R101&lt;&gt;"","—",IF(M101&lt;G101,"Mais barato",IF(M101&gt;G101,"Mais caro","Igual")))</f>
        <v/>
      </c>
      <c r="R101" s="10" t="n"/>
    </row>
    <row r="102">
      <c r="A102" s="9" t="n">
        <v>254101</v>
      </c>
      <c r="B102" s="10" t="inlineStr">
        <is>
          <t>BETATRINTA 5+2MG/ML SUS INJ AMP X 1ML+SER SIST</t>
        </is>
      </c>
      <c r="C102" s="10" t="inlineStr">
        <is>
          <t>RX</t>
        </is>
      </c>
      <c r="D102" s="9" t="inlineStr">
        <is>
          <t>A</t>
        </is>
      </c>
      <c r="E102" s="9" t="n">
        <v>17</v>
      </c>
      <c r="F102" s="9" t="n">
        <v>1</v>
      </c>
      <c r="G102" s="11" t="n">
        <v>22.91</v>
      </c>
      <c r="H102" s="10" t="inlineStr">
        <is>
          <t>SC DISTRIBUICAO LTDA</t>
        </is>
      </c>
      <c r="I102" s="12" t="inlineStr">
        <is>
          <t>7891317103323</t>
        </is>
      </c>
      <c r="J102" s="10" t="inlineStr">
        <is>
          <t>BETATRINTA AMPOLA INTRAMUSCULAR + SERINGA 2MG/5MG 1ML C/1 AMPOLA</t>
        </is>
      </c>
      <c r="K102" s="11" t="n">
        <v>23.4</v>
      </c>
      <c r="L102" s="13" t="n">
        <v>0.04</v>
      </c>
      <c r="M102" s="11">
        <f>IF(K102="","",ROUND(K102*(1-L102),2))</f>
        <v/>
      </c>
      <c r="N102" s="9" t="n">
        <v>5615</v>
      </c>
      <c r="O102" s="14">
        <f>IF(OR(M102="",R102&lt;&gt;""),"",M102/G102-1)</f>
        <v/>
      </c>
      <c r="P102" s="11">
        <f>IF(OR(M102="",R102&lt;&gt;""),"",(G102-M102)*E102)</f>
        <v/>
      </c>
      <c r="Q102" s="9">
        <f>IF(R102&lt;&gt;"","—",IF(M102&lt;G102,"Mais barato",IF(M102&gt;G102,"Mais caro","Igual")))</f>
        <v/>
      </c>
      <c r="R102" s="10" t="n"/>
    </row>
    <row r="103">
      <c r="A103" s="9" t="n">
        <v>128081</v>
      </c>
      <c r="B103" s="10" t="inlineStr">
        <is>
          <t>BETINA 24MG CX 30 COMP</t>
        </is>
      </c>
      <c r="C103" s="10" t="inlineStr">
        <is>
          <t>RX</t>
        </is>
      </c>
      <c r="D103" s="9" t="inlineStr">
        <is>
          <t>B</t>
        </is>
      </c>
      <c r="E103" s="9" t="n">
        <v>1</v>
      </c>
      <c r="F103" s="9" t="n">
        <v>1</v>
      </c>
      <c r="G103" s="11" t="n">
        <v>29.58</v>
      </c>
      <c r="H103" s="10" t="inlineStr">
        <is>
          <t>SC DISTRIBUICAO LTDA</t>
        </is>
      </c>
      <c r="I103" s="12" t="inlineStr">
        <is>
          <t>7891317478964</t>
        </is>
      </c>
      <c r="J103" s="10" t="inlineStr">
        <is>
          <t>BETINA 24MG C/30 COMPRIMIDOS</t>
        </is>
      </c>
      <c r="K103" s="11" t="n">
        <v>29.38</v>
      </c>
      <c r="L103" s="13" t="n">
        <v>0.04</v>
      </c>
      <c r="M103" s="11">
        <f>IF(K103="","",ROUND(K103*(1-L103),2))</f>
        <v/>
      </c>
      <c r="N103" s="9" t="n">
        <v>205</v>
      </c>
      <c r="O103" s="14">
        <f>IF(OR(M103="",R103&lt;&gt;""),"",M103/G103-1)</f>
        <v/>
      </c>
      <c r="P103" s="11">
        <f>IF(OR(M103="",R103&lt;&gt;""),"",(G103-M103)*E103)</f>
        <v/>
      </c>
      <c r="Q103" s="9">
        <f>IF(R103&lt;&gt;"","—",IF(M103&lt;G103,"Mais barato",IF(M103&gt;G103,"Mais caro","Igual")))</f>
        <v/>
      </c>
      <c r="R103" s="10" t="n"/>
    </row>
    <row r="104">
      <c r="A104" s="9" t="n">
        <v>593551</v>
      </c>
      <c r="B104" s="10" t="inlineStr">
        <is>
          <t>BEXAI 35MG CX 10 CAP</t>
        </is>
      </c>
      <c r="C104" s="10" t="inlineStr">
        <is>
          <t>RX</t>
        </is>
      </c>
      <c r="D104" s="9" t="inlineStr">
        <is>
          <t>A</t>
        </is>
      </c>
      <c r="E104" s="9" t="n">
        <v>6</v>
      </c>
      <c r="F104" s="9" t="n">
        <v>1</v>
      </c>
      <c r="G104" s="11" t="n">
        <v>48.14</v>
      </c>
      <c r="H104" s="10" t="inlineStr">
        <is>
          <t>SC DISTRIBUICAO LTDA</t>
        </is>
      </c>
      <c r="I104" s="12" t="inlineStr">
        <is>
          <t>7894916517461</t>
        </is>
      </c>
      <c r="J104" s="10" t="inlineStr">
        <is>
          <t>BEXAI 35MG C/10 CAPSULAS</t>
        </is>
      </c>
      <c r="K104" s="11" t="n">
        <v>49.63</v>
      </c>
      <c r="L104" s="13" t="n">
        <v>0</v>
      </c>
      <c r="M104" s="11">
        <f>IF(K104="","",ROUND(K104*(1-L104),2))</f>
        <v/>
      </c>
      <c r="N104" s="9" t="n">
        <v>115</v>
      </c>
      <c r="O104" s="14">
        <f>IF(OR(M104="",R104&lt;&gt;""),"",M104/G104-1)</f>
        <v/>
      </c>
      <c r="P104" s="11">
        <f>IF(OR(M104="",R104&lt;&gt;""),"",(G104-M104)*E104)</f>
        <v/>
      </c>
      <c r="Q104" s="9">
        <f>IF(R104&lt;&gt;"","—",IF(M104&lt;G104,"Mais barato",IF(M104&gt;G104,"Mais caro","Igual")))</f>
        <v/>
      </c>
      <c r="R104" s="10" t="n"/>
    </row>
    <row r="105">
      <c r="A105" s="9" t="n">
        <v>550721</v>
      </c>
      <c r="B105" s="10" t="inlineStr">
        <is>
          <t>BICERTO 150MG CX 10 COMP LIB PROL</t>
        </is>
      </c>
      <c r="C105" s="10" t="inlineStr">
        <is>
          <t>RX</t>
        </is>
      </c>
      <c r="D105" s="9" t="inlineStr">
        <is>
          <t>A</t>
        </is>
      </c>
      <c r="E105" s="9" t="n">
        <v>1</v>
      </c>
      <c r="F105" s="9" t="n">
        <v>1</v>
      </c>
      <c r="G105" s="11" t="n">
        <v>40.07</v>
      </c>
      <c r="H105" s="10" t="inlineStr">
        <is>
          <t>SC DISTRIBUICAO LTDA</t>
        </is>
      </c>
      <c r="I105" s="12" t="inlineStr">
        <is>
          <t>7891317001964</t>
        </is>
      </c>
      <c r="J105" s="10" t="inlineStr">
        <is>
          <t>BICERTO 150MG C/10 COMPRIMIDOS LIBERACAO PROLONGADA</t>
        </is>
      </c>
      <c r="K105" s="11" t="n">
        <v>40.92</v>
      </c>
      <c r="L105" s="13" t="n">
        <v>0.04</v>
      </c>
      <c r="M105" s="11">
        <f>IF(K105="","",ROUND(K105*(1-L105),2))</f>
        <v/>
      </c>
      <c r="N105" s="9" t="n">
        <v>561</v>
      </c>
      <c r="O105" s="14">
        <f>IF(OR(M105="",R105&lt;&gt;""),"",M105/G105-1)</f>
        <v/>
      </c>
      <c r="P105" s="11">
        <f>IF(OR(M105="",R105&lt;&gt;""),"",(G105-M105)*E105)</f>
        <v/>
      </c>
      <c r="Q105" s="9">
        <f>IF(R105&lt;&gt;"","—",IF(M105&lt;G105,"Mais barato",IF(M105&gt;G105,"Mais caro","Igual")))</f>
        <v/>
      </c>
      <c r="R105" s="10" t="n"/>
    </row>
    <row r="106">
      <c r="A106" s="9" t="n">
        <v>24703</v>
      </c>
      <c r="B106" s="10" t="inlineStr">
        <is>
          <t>BIO FEMINA CX 10 CAP</t>
        </is>
      </c>
      <c r="C106" s="10" t="inlineStr">
        <is>
          <t>RX</t>
        </is>
      </c>
      <c r="D106" s="9" t="inlineStr">
        <is>
          <t>B</t>
        </is>
      </c>
      <c r="E106" s="9" t="n">
        <v>1</v>
      </c>
      <c r="F106" s="9" t="n">
        <v>1</v>
      </c>
      <c r="G106" s="11" t="n">
        <v>48.51</v>
      </c>
      <c r="H106" s="10" t="inlineStr">
        <is>
          <t>SC DISTRIBUICAO LTDA</t>
        </is>
      </c>
      <c r="I106" s="12" t="n"/>
      <c r="J106" s="10" t="n"/>
      <c r="K106" s="11" t="n"/>
      <c r="L106" s="13" t="n"/>
      <c r="M106" s="11">
        <f>IF(K106="","",ROUND(K106*(1-L106),2))</f>
        <v/>
      </c>
      <c r="N106" s="9" t="n"/>
      <c r="O106" s="14">
        <f>IF(OR(M106="",R106&lt;&gt;""),"",M106/G106-1)</f>
        <v/>
      </c>
      <c r="P106" s="11">
        <f>IF(OR(M106="",R106&lt;&gt;""),"",(G106-M106)*E106)</f>
        <v/>
      </c>
      <c r="Q106" s="9">
        <f>IF(R106&lt;&gt;"","—",IF(M106&lt;G106,"Mais barato",IF(M106&gt;G106,"Mais caro","Igual")))</f>
        <v/>
      </c>
      <c r="R106" s="10" t="inlineStr">
        <is>
          <t>Sem preço</t>
        </is>
      </c>
    </row>
    <row r="107">
      <c r="A107" s="9" t="n">
        <v>210861</v>
      </c>
      <c r="B107" s="10" t="inlineStr">
        <is>
          <t>BIOFENAC 11,6MG/G SOL SER TB 60G</t>
        </is>
      </c>
      <c r="C107" s="10" t="inlineStr">
        <is>
          <t>RX - OTC</t>
        </is>
      </c>
      <c r="D107" s="9" t="inlineStr">
        <is>
          <t>A</t>
        </is>
      </c>
      <c r="E107" s="9" t="n">
        <v>5</v>
      </c>
      <c r="F107" s="9" t="n">
        <v>1</v>
      </c>
      <c r="G107" s="11" t="n">
        <v>25.4536</v>
      </c>
      <c r="H107" s="10" t="inlineStr">
        <is>
          <t>SC DISTRIBUICAO LTDA</t>
        </is>
      </c>
      <c r="I107" s="12" t="inlineStr">
        <is>
          <t>7896658014321</t>
        </is>
      </c>
      <c r="J107" s="10" t="inlineStr">
        <is>
          <t>BIOFENAC 11,6MG AEROSOL 60G</t>
        </is>
      </c>
      <c r="K107" s="11" t="n">
        <v>30.22</v>
      </c>
      <c r="L107" s="13" t="n">
        <v>0.05</v>
      </c>
      <c r="M107" s="11">
        <f>IF(K107="","",ROUND(K107*(1-L107),2))</f>
        <v/>
      </c>
      <c r="N107" s="9" t="n">
        <v>2413</v>
      </c>
      <c r="O107" s="14">
        <f>IF(OR(M107="",R107&lt;&gt;""),"",M107/G107-1)</f>
        <v/>
      </c>
      <c r="P107" s="11">
        <f>IF(OR(M107="",R107&lt;&gt;""),"",(G107-M107)*E107)</f>
        <v/>
      </c>
      <c r="Q107" s="9">
        <f>IF(R107&lt;&gt;"","—",IF(M107&lt;G107,"Mais barato",IF(M107&gt;G107,"Mais caro","Igual")))</f>
        <v/>
      </c>
      <c r="R107" s="10" t="n"/>
    </row>
    <row r="108">
      <c r="A108" s="9" t="n">
        <v>455201</v>
      </c>
      <c r="B108" s="10" t="inlineStr">
        <is>
          <t>BIOTONICO N 466+833+1+0,1+2+10MCL SOL FR 400ML</t>
        </is>
      </c>
      <c r="C108" s="10" t="inlineStr">
        <is>
          <t>RX - OTC</t>
        </is>
      </c>
      <c r="D108" s="9" t="inlineStr">
        <is>
          <t>A</t>
        </is>
      </c>
      <c r="E108" s="9" t="n">
        <v>4</v>
      </c>
      <c r="F108" s="9" t="n">
        <v>1</v>
      </c>
      <c r="G108" s="11" t="n">
        <v>33.9833</v>
      </c>
      <c r="H108" s="10" t="inlineStr">
        <is>
          <t>SB COMERCIO LTDA 0179-15</t>
        </is>
      </c>
      <c r="I108" s="12" t="inlineStr">
        <is>
          <t>7896094903067</t>
        </is>
      </c>
      <c r="J108" s="10" t="inlineStr">
        <is>
          <t>BIOTONICO FONTOURA ORIGINAL 400ML</t>
        </is>
      </c>
      <c r="K108" s="11" t="n">
        <v>38.58</v>
      </c>
      <c r="L108" s="13" t="n">
        <v>0.035</v>
      </c>
      <c r="M108" s="11">
        <f>IF(K108="","",ROUND(K108*(1-L108),2))</f>
        <v/>
      </c>
      <c r="N108" s="9" t="n">
        <v>3714</v>
      </c>
      <c r="O108" s="14">
        <f>IF(OR(M108="",R108&lt;&gt;""),"",M108/G108-1)</f>
        <v/>
      </c>
      <c r="P108" s="11">
        <f>IF(OR(M108="",R108&lt;&gt;""),"",(G108-M108)*E108)</f>
        <v/>
      </c>
      <c r="Q108" s="9">
        <f>IF(R108&lt;&gt;"","—",IF(M108&lt;G108,"Mais barato",IF(M108&gt;G108,"Mais caro","Igual")))</f>
        <v/>
      </c>
      <c r="R108" s="10" t="n"/>
    </row>
    <row r="109">
      <c r="A109" s="9" t="n">
        <v>48321</v>
      </c>
      <c r="B109" s="10" t="inlineStr">
        <is>
          <t>BIOVICERIN  END/ML SUS OR 2 FLAC X 5ML</t>
        </is>
      </c>
      <c r="C109" s="10" t="inlineStr">
        <is>
          <t>RX - OTC</t>
        </is>
      </c>
      <c r="D109" s="9" t="inlineStr">
        <is>
          <t>A</t>
        </is>
      </c>
      <c r="E109" s="9" t="n">
        <v>23</v>
      </c>
      <c r="F109" s="9" t="n">
        <v>1</v>
      </c>
      <c r="G109" s="11" t="n">
        <v>9.3978</v>
      </c>
      <c r="H109" s="10" t="inlineStr">
        <is>
          <t>SC DISTRIBUICAO LTDA</t>
        </is>
      </c>
      <c r="I109" s="12" t="inlineStr">
        <is>
          <t>7898100268290</t>
        </is>
      </c>
      <c r="J109" s="10" t="inlineStr">
        <is>
          <t>BIOVICERIN 2 FLACONETES COM 5ML</t>
        </is>
      </c>
      <c r="K109" s="11" t="n">
        <v>10.8</v>
      </c>
      <c r="L109" s="13" t="n">
        <v>0.14</v>
      </c>
      <c r="M109" s="11">
        <f>IF(K109="","",ROUND(K109*(1-L109),2))</f>
        <v/>
      </c>
      <c r="N109" s="9" t="n">
        <v>2016</v>
      </c>
      <c r="O109" s="14">
        <f>IF(OR(M109="",R109&lt;&gt;""),"",M109/G109-1)</f>
        <v/>
      </c>
      <c r="P109" s="11">
        <f>IF(OR(M109="",R109&lt;&gt;""),"",(G109-M109)*E109)</f>
        <v/>
      </c>
      <c r="Q109" s="9">
        <f>IF(R109&lt;&gt;"","—",IF(M109&lt;G109,"Mais barato",IF(M109&gt;G109,"Mais caro","Igual")))</f>
        <v/>
      </c>
      <c r="R109" s="10" t="n"/>
    </row>
    <row r="110">
      <c r="A110" s="9" t="n">
        <v>48341</v>
      </c>
      <c r="B110" s="10" t="inlineStr">
        <is>
          <t>BIOVICERIN END/ML SUS OR FRACIONADO 1UND</t>
        </is>
      </c>
      <c r="C110" s="10" t="inlineStr">
        <is>
          <t>RX - OTC</t>
        </is>
      </c>
      <c r="D110" s="9" t="inlineStr">
        <is>
          <t>A</t>
        </is>
      </c>
      <c r="E110" s="9" t="n">
        <v>10</v>
      </c>
      <c r="F110" s="9" t="n">
        <v>1</v>
      </c>
      <c r="G110" s="11" t="n">
        <v>4</v>
      </c>
      <c r="H110" s="10" t="n">
        <v/>
      </c>
      <c r="I110" s="12" t="inlineStr">
        <is>
          <t>7898100268306</t>
        </is>
      </c>
      <c r="J110" s="10" t="inlineStr">
        <is>
          <t>BIOVICERIN 12 FLACONETES COM 5ML</t>
        </is>
      </c>
      <c r="K110" s="11" t="n">
        <v>61.79</v>
      </c>
      <c r="L110" s="13" t="n">
        <v>0.14</v>
      </c>
      <c r="M110" s="11">
        <f>IF(K110="","",ROUND(K110*(1-L110),2))</f>
        <v/>
      </c>
      <c r="N110" s="9" t="n">
        <v>258</v>
      </c>
      <c r="O110" s="14">
        <f>IF(OR(M110="",R110&lt;&gt;""),"",M110/G110-1)</f>
        <v/>
      </c>
      <c r="P110" s="11">
        <f>IF(OR(M110="",R110&lt;&gt;""),"",(G110-M110)*E110)</f>
        <v/>
      </c>
      <c r="Q110" s="9">
        <f>IF(R110&lt;&gt;"","—",IF(M110&lt;G110,"Mais barato",IF(M110&gt;G110,"Mais caro","Igual")))</f>
        <v/>
      </c>
      <c r="R110" s="10" t="inlineStr">
        <is>
          <t>Conferir embalagem/EAN</t>
        </is>
      </c>
    </row>
    <row r="111">
      <c r="A111" s="9" t="n">
        <v>566161</v>
      </c>
      <c r="B111" s="10" t="inlineStr">
        <is>
          <t>BLUMEL IMUNE KIDS SOL ORAL 60ML (HCH)</t>
        </is>
      </c>
      <c r="C111" s="10" t="inlineStr">
        <is>
          <t>RX - OTC</t>
        </is>
      </c>
      <c r="D111" s="9" t="inlineStr">
        <is>
          <t>C</t>
        </is>
      </c>
      <c r="E111" s="9" t="n">
        <v>1</v>
      </c>
      <c r="F111" s="9" t="n">
        <v>1</v>
      </c>
      <c r="G111" s="11" t="n">
        <v>23.12</v>
      </c>
      <c r="H111" s="10" t="inlineStr">
        <is>
          <t>SC DISTRIBUICAO LTDA</t>
        </is>
      </c>
      <c r="I111" s="12" t="n"/>
      <c r="J111" s="10" t="n"/>
      <c r="K111" s="11" t="n"/>
      <c r="L111" s="13" t="n"/>
      <c r="M111" s="11">
        <f>IF(K111="","",ROUND(K111*(1-L111),2))</f>
        <v/>
      </c>
      <c r="N111" s="9" t="n"/>
      <c r="O111" s="14">
        <f>IF(OR(M111="",R111&lt;&gt;""),"",M111/G111-1)</f>
        <v/>
      </c>
      <c r="P111" s="11">
        <f>IF(OR(M111="",R111&lt;&gt;""),"",(G111-M111)*E111)</f>
        <v/>
      </c>
      <c r="Q111" s="9">
        <f>IF(R111&lt;&gt;"","—",IF(M111&lt;G111,"Mais barato",IF(M111&gt;G111,"Mais caro","Igual")))</f>
        <v/>
      </c>
      <c r="R111" s="10" t="inlineStr">
        <is>
          <t>Não encontrado</t>
        </is>
      </c>
    </row>
    <row r="112">
      <c r="A112" s="9" t="n">
        <v>478041</v>
      </c>
      <c r="B112" s="10" t="inlineStr">
        <is>
          <t>BRASART HCT 320+12,5MG CX 30 COMP REV</t>
        </is>
      </c>
      <c r="C112" s="10" t="inlineStr">
        <is>
          <t>RX</t>
        </is>
      </c>
      <c r="D112" s="9" t="inlineStr">
        <is>
          <t>A</t>
        </is>
      </c>
      <c r="E112" s="9" t="n">
        <v>2</v>
      </c>
      <c r="F112" s="9" t="n">
        <v>1</v>
      </c>
      <c r="G112" s="11" t="n">
        <v>82.04000000000001</v>
      </c>
      <c r="H112" s="10" t="inlineStr">
        <is>
          <t>NAZARIA DISTRIBUIDORA DE PRODUTOS FARMACEUTICOS LTDA</t>
        </is>
      </c>
      <c r="I112" s="12" t="inlineStr">
        <is>
          <t>7894916509084</t>
        </is>
      </c>
      <c r="J112" s="10" t="inlineStr">
        <is>
          <t>BRASART HCT 320/12,5MG C/30 COMPRIMIDOS REVESTIDOS</t>
        </is>
      </c>
      <c r="K112" s="11" t="n">
        <v>83.98999999999999</v>
      </c>
      <c r="L112" s="13" t="n">
        <v>0</v>
      </c>
      <c r="M112" s="11">
        <f>IF(K112="","",ROUND(K112*(1-L112),2))</f>
        <v/>
      </c>
      <c r="N112" s="9" t="n">
        <v>114</v>
      </c>
      <c r="O112" s="14">
        <f>IF(OR(M112="",R112&lt;&gt;""),"",M112/G112-1)</f>
        <v/>
      </c>
      <c r="P112" s="11">
        <f>IF(OR(M112="",R112&lt;&gt;""),"",(G112-M112)*E112)</f>
        <v/>
      </c>
      <c r="Q112" s="9">
        <f>IF(R112&lt;&gt;"","—",IF(M112&lt;G112,"Mais barato",IF(M112&gt;G112,"Mais caro","Igual")))</f>
        <v/>
      </c>
      <c r="R112" s="10" t="n"/>
    </row>
    <row r="113">
      <c r="A113" s="9" t="n">
        <v>605221</v>
      </c>
      <c r="B113" s="10" t="inlineStr">
        <is>
          <t>BROMELIN SPRAY FR 50ML SB PROPOLIS</t>
        </is>
      </c>
      <c r="C113" s="10" t="inlineStr">
        <is>
          <t>RX - OTC</t>
        </is>
      </c>
      <c r="D113" s="9" t="inlineStr">
        <is>
          <t>A</t>
        </is>
      </c>
      <c r="E113" s="9" t="n">
        <v>4</v>
      </c>
      <c r="F113" s="9" t="n">
        <v>1</v>
      </c>
      <c r="G113" s="11" t="n">
        <v>50.93</v>
      </c>
      <c r="H113" s="10" t="inlineStr">
        <is>
          <t>SC DISTRIBUICAO LTDA</t>
        </is>
      </c>
      <c r="I113" s="12" t="inlineStr">
        <is>
          <t>7896685300497</t>
        </is>
      </c>
      <c r="J113" s="10" t="inlineStr">
        <is>
          <t>BROMELIN PROPOLIS SPRAY 50ML</t>
        </is>
      </c>
      <c r="K113" s="11" t="n">
        <v>51.82</v>
      </c>
      <c r="L113" s="13" t="n">
        <v>0</v>
      </c>
      <c r="M113" s="11">
        <f>IF(K113="","",ROUND(K113*(1-L113),2))</f>
        <v/>
      </c>
      <c r="N113" s="9" t="n">
        <v>177</v>
      </c>
      <c r="O113" s="14">
        <f>IF(OR(M113="",R113&lt;&gt;""),"",M113/G113-1)</f>
        <v/>
      </c>
      <c r="P113" s="11">
        <f>IF(OR(M113="",R113&lt;&gt;""),"",(G113-M113)*E113)</f>
        <v/>
      </c>
      <c r="Q113" s="9">
        <f>IF(R113&lt;&gt;"","—",IF(M113&lt;G113,"Mais barato",IF(M113&gt;G113,"Mais caro","Igual")))</f>
        <v/>
      </c>
      <c r="R113" s="10" t="n"/>
    </row>
    <row r="114">
      <c r="A114" s="9" t="n">
        <v>582201</v>
      </c>
      <c r="B114" s="10" t="inlineStr">
        <is>
          <t>BROMELIN SUS ORAL FR 100ML</t>
        </is>
      </c>
      <c r="C114" s="10" t="inlineStr">
        <is>
          <t>RX - OTC</t>
        </is>
      </c>
      <c r="D114" s="9" t="inlineStr">
        <is>
          <t>B</t>
        </is>
      </c>
      <c r="E114" s="9" t="n">
        <v>2</v>
      </c>
      <c r="F114" s="9" t="n">
        <v>1</v>
      </c>
      <c r="G114" s="11" t="n">
        <v>53.77</v>
      </c>
      <c r="H114" s="10" t="inlineStr">
        <is>
          <t>SC DISTRIBUICAO LTDA</t>
        </is>
      </c>
      <c r="I114" s="12" t="inlineStr">
        <is>
          <t>7896685300473</t>
        </is>
      </c>
      <c r="J114" s="10" t="inlineStr">
        <is>
          <t>BROMELIN 0,88G/ML SUSPENSAO ORAL 100ML</t>
        </is>
      </c>
      <c r="K114" s="11" t="n">
        <v>52.91</v>
      </c>
      <c r="L114" s="13" t="n">
        <v>0.1</v>
      </c>
      <c r="M114" s="11">
        <f>IF(K114="","",ROUND(K114*(1-L114),2))</f>
        <v/>
      </c>
      <c r="N114" s="9" t="n">
        <v>196</v>
      </c>
      <c r="O114" s="14">
        <f>IF(OR(M114="",R114&lt;&gt;""),"",M114/G114-1)</f>
        <v/>
      </c>
      <c r="P114" s="11">
        <f>IF(OR(M114="",R114&lt;&gt;""),"",(G114-M114)*E114)</f>
        <v/>
      </c>
      <c r="Q114" s="9">
        <f>IF(R114&lt;&gt;"","—",IF(M114&lt;G114,"Mais barato",IF(M114&gt;G114,"Mais caro","Igual")))</f>
        <v/>
      </c>
      <c r="R114" s="10" t="n"/>
    </row>
    <row r="115">
      <c r="A115" s="9" t="n">
        <v>212841</v>
      </c>
      <c r="B115" s="10" t="inlineStr">
        <is>
          <t>BUCLINA 25MG CX 30 COMP</t>
        </is>
      </c>
      <c r="C115" s="10" t="inlineStr">
        <is>
          <t>RX</t>
        </is>
      </c>
      <c r="D115" s="9" t="inlineStr">
        <is>
          <t>A</t>
        </is>
      </c>
      <c r="E115" s="9" t="n">
        <v>4</v>
      </c>
      <c r="F115" s="9" t="n">
        <v>1</v>
      </c>
      <c r="G115" s="11" t="n">
        <v>15.788</v>
      </c>
      <c r="H115" s="10" t="inlineStr">
        <is>
          <t>SC DISTRIBUICAO LTDA</t>
        </is>
      </c>
      <c r="I115" s="12" t="inlineStr">
        <is>
          <t>7896094928077</t>
        </is>
      </c>
      <c r="J115" s="10" t="inlineStr">
        <is>
          <t>BUCLINA 25MG C/30 COMPRIMIDOS</t>
        </is>
      </c>
      <c r="K115" s="11" t="n">
        <v>15.79</v>
      </c>
      <c r="L115" s="13" t="n">
        <v>0.035</v>
      </c>
      <c r="M115" s="11">
        <f>IF(K115="","",ROUND(K115*(1-L115),2))</f>
        <v/>
      </c>
      <c r="N115" s="9" t="n">
        <v>5259</v>
      </c>
      <c r="O115" s="14">
        <f>IF(OR(M115="",R115&lt;&gt;""),"",M115/G115-1)</f>
        <v/>
      </c>
      <c r="P115" s="11">
        <f>IF(OR(M115="",R115&lt;&gt;""),"",(G115-M115)*E115)</f>
        <v/>
      </c>
      <c r="Q115" s="9">
        <f>IF(R115&lt;&gt;"","—",IF(M115&lt;G115,"Mais barato",IF(M115&gt;G115,"Mais caro","Igual")))</f>
        <v/>
      </c>
      <c r="R115" s="10" t="n"/>
    </row>
    <row r="116">
      <c r="A116" s="9" t="n">
        <v>560881</v>
      </c>
      <c r="B116" s="10" t="inlineStr">
        <is>
          <t>BUCLIPLEX FR 120ML</t>
        </is>
      </c>
      <c r="C116" s="10" t="inlineStr">
        <is>
          <t>RX</t>
        </is>
      </c>
      <c r="D116" s="9" t="inlineStr">
        <is>
          <t>A</t>
        </is>
      </c>
      <c r="E116" s="9" t="n">
        <v>4</v>
      </c>
      <c r="F116" s="9" t="n">
        <v>1</v>
      </c>
      <c r="G116" s="11" t="n">
        <v>35.54</v>
      </c>
      <c r="H116" s="10" t="inlineStr">
        <is>
          <t>TAPAJOS COMERCIO DE MEDICAMENTOS LTDA</t>
        </is>
      </c>
      <c r="I116" s="12" t="n"/>
      <c r="J116" s="10" t="n"/>
      <c r="K116" s="11" t="n"/>
      <c r="L116" s="13" t="n"/>
      <c r="M116" s="11">
        <f>IF(K116="","",ROUND(K116*(1-L116),2))</f>
        <v/>
      </c>
      <c r="N116" s="9" t="n"/>
      <c r="O116" s="14">
        <f>IF(OR(M116="",R116&lt;&gt;""),"",M116/G116-1)</f>
        <v/>
      </c>
      <c r="P116" s="11">
        <f>IF(OR(M116="",R116&lt;&gt;""),"",(G116-M116)*E116)</f>
        <v/>
      </c>
      <c r="Q116" s="9">
        <f>IF(R116&lt;&gt;"","—",IF(M116&lt;G116,"Mais barato",IF(M116&gt;G116,"Mais caro","Igual")))</f>
        <v/>
      </c>
      <c r="R116" s="10" t="inlineStr">
        <is>
          <t>Não encontrado</t>
        </is>
      </c>
    </row>
    <row r="117">
      <c r="A117" s="9" t="n">
        <v>486901</v>
      </c>
      <c r="B117" s="10" t="inlineStr">
        <is>
          <t>BUSCODUO 500MG CX 20 COMP REV</t>
        </is>
      </c>
      <c r="C117" s="10" t="inlineStr">
        <is>
          <t>RX - OTC</t>
        </is>
      </c>
      <c r="D117" s="9" t="inlineStr">
        <is>
          <t>A</t>
        </is>
      </c>
      <c r="E117" s="9" t="n">
        <v>4</v>
      </c>
      <c r="F117" s="9" t="n">
        <v>1</v>
      </c>
      <c r="G117" s="11" t="n">
        <v>27.1527</v>
      </c>
      <c r="H117" s="10" t="inlineStr">
        <is>
          <t>SB COMERCIO LTDA 0179-15</t>
        </is>
      </c>
      <c r="I117" s="12" t="inlineStr">
        <is>
          <t>7896094921412</t>
        </is>
      </c>
      <c r="J117" s="10" t="inlineStr">
        <is>
          <t>BUSCODUO C/20 COMPRIMIDOS</t>
        </is>
      </c>
      <c r="K117" s="11" t="n">
        <v>29.11</v>
      </c>
      <c r="L117" s="13" t="n">
        <v>0.035</v>
      </c>
      <c r="M117" s="11">
        <f>IF(K117="","",ROUND(K117*(1-L117),2))</f>
        <v/>
      </c>
      <c r="N117" s="9" t="n"/>
      <c r="O117" s="14">
        <f>IF(OR(M117="",R117&lt;&gt;""),"",M117/G117-1)</f>
        <v/>
      </c>
      <c r="P117" s="11">
        <f>IF(OR(M117="",R117&lt;&gt;""),"",(G117-M117)*E117)</f>
        <v/>
      </c>
      <c r="Q117" s="9">
        <f>IF(R117&lt;&gt;"","—",IF(M117&lt;G117,"Mais barato",IF(M117&gt;G117,"Mais caro","Igual")))</f>
        <v/>
      </c>
      <c r="R117" s="10" t="n"/>
    </row>
    <row r="118">
      <c r="A118" s="9" t="n">
        <v>491821</v>
      </c>
      <c r="B118" s="10" t="inlineStr">
        <is>
          <t>BUSCOFEM 400MG CARTELA C/2 UNID</t>
        </is>
      </c>
      <c r="C118" s="10" t="inlineStr">
        <is>
          <t>RX</t>
        </is>
      </c>
      <c r="D118" s="9" t="inlineStr">
        <is>
          <t>A</t>
        </is>
      </c>
      <c r="E118" s="9" t="n">
        <v>1</v>
      </c>
      <c r="F118" s="9" t="n">
        <v>28</v>
      </c>
      <c r="G118" s="11" t="n">
        <v>134.62</v>
      </c>
      <c r="H118" s="10" t="inlineStr">
        <is>
          <t>TAPAJOS COMERCIO DE MEDICAMENTOS LTDA</t>
        </is>
      </c>
      <c r="I118" s="12" t="inlineStr">
        <is>
          <t>7896094921320</t>
        </is>
      </c>
      <c r="J118" s="10" t="inlineStr">
        <is>
          <t>BUSCOFEM 400MG C/56 CAPSULAS</t>
        </is>
      </c>
      <c r="K118" s="11" t="n">
        <v>162.39</v>
      </c>
      <c r="L118" s="13" t="n">
        <v>0.035</v>
      </c>
      <c r="M118" s="11">
        <f>IF(K118="","",ROUND(K118*(1-L118),2))</f>
        <v/>
      </c>
      <c r="N118" s="9" t="n"/>
      <c r="O118" s="14">
        <f>IF(OR(M118="",R118&lt;&gt;""),"",M118/G118-1)</f>
        <v/>
      </c>
      <c r="P118" s="11">
        <f>IF(OR(M118="",R118&lt;&gt;""),"",(G118-M118)*E118)</f>
        <v/>
      </c>
      <c r="Q118" s="9">
        <f>IF(R118&lt;&gt;"","—",IF(M118&lt;G118,"Mais barato",IF(M118&gt;G118,"Mais caro","Igual")))</f>
        <v/>
      </c>
      <c r="R118" s="10" t="n"/>
    </row>
    <row r="119">
      <c r="A119" s="9" t="n">
        <v>491801</v>
      </c>
      <c r="B119" s="10" t="inlineStr">
        <is>
          <t>BUSCOFEM 400MG CX 10 CAP</t>
        </is>
      </c>
      <c r="C119" s="10" t="inlineStr">
        <is>
          <t>RX - OTC</t>
        </is>
      </c>
      <c r="D119" s="9" t="inlineStr">
        <is>
          <t>A</t>
        </is>
      </c>
      <c r="E119" s="9" t="n">
        <v>6</v>
      </c>
      <c r="F119" s="9" t="n">
        <v>1</v>
      </c>
      <c r="G119" s="11" t="n">
        <v>21.12</v>
      </c>
      <c r="H119" s="10" t="inlineStr">
        <is>
          <t>SB COMERCIO LTDA 0179-15</t>
        </is>
      </c>
      <c r="I119" s="12" t="inlineStr">
        <is>
          <t>7896094921344</t>
        </is>
      </c>
      <c r="J119" s="10" t="inlineStr">
        <is>
          <t>BUSCOFEM 400MG C/10 CAPSULAS</t>
        </is>
      </c>
      <c r="K119" s="11" t="n">
        <v>25.48</v>
      </c>
      <c r="L119" s="13" t="n">
        <v>0.035</v>
      </c>
      <c r="M119" s="11">
        <f>IF(K119="","",ROUND(K119*(1-L119),2))</f>
        <v/>
      </c>
      <c r="N119" s="9" t="n"/>
      <c r="O119" s="14">
        <f>IF(OR(M119="",R119&lt;&gt;""),"",M119/G119-1)</f>
        <v/>
      </c>
      <c r="P119" s="11">
        <f>IF(OR(M119="",R119&lt;&gt;""),"",(G119-M119)*E119)</f>
        <v/>
      </c>
      <c r="Q119" s="9">
        <f>IF(R119&lt;&gt;"","—",IF(M119&lt;G119,"Mais barato",IF(M119&gt;G119,"Mais caro","Igual")))</f>
        <v/>
      </c>
      <c r="R119" s="10" t="n"/>
    </row>
    <row r="120">
      <c r="A120" s="9" t="n">
        <v>523621</v>
      </c>
      <c r="B120" s="10" t="inlineStr">
        <is>
          <t>BUSCOFEM 400MG CX 20 CAP</t>
        </is>
      </c>
      <c r="C120" s="10" t="inlineStr">
        <is>
          <t>RX - OTC</t>
        </is>
      </c>
      <c r="D120" s="9" t="inlineStr">
        <is>
          <t>A</t>
        </is>
      </c>
      <c r="E120" s="9" t="n">
        <v>2</v>
      </c>
      <c r="F120" s="9" t="n">
        <v>1</v>
      </c>
      <c r="G120" s="11" t="n">
        <v>34.7</v>
      </c>
      <c r="H120" s="10" t="inlineStr">
        <is>
          <t>SB COMERCIO LTDA 0179-15</t>
        </is>
      </c>
      <c r="I120" s="12" t="n"/>
      <c r="J120" s="10" t="n"/>
      <c r="K120" s="11" t="n"/>
      <c r="L120" s="13" t="n"/>
      <c r="M120" s="11">
        <f>IF(K120="","",ROUND(K120*(1-L120),2))</f>
        <v/>
      </c>
      <c r="N120" s="9" t="n"/>
      <c r="O120" s="14">
        <f>IF(OR(M120="",R120&lt;&gt;""),"",M120/G120-1)</f>
        <v/>
      </c>
      <c r="P120" s="11">
        <f>IF(OR(M120="",R120&lt;&gt;""),"",(G120-M120)*E120)</f>
        <v/>
      </c>
      <c r="Q120" s="9">
        <f>IF(R120&lt;&gt;"","—",IF(M120&lt;G120,"Mais barato",IF(M120&gt;G120,"Mais caro","Igual")))</f>
        <v/>
      </c>
      <c r="R120" s="10" t="inlineStr">
        <is>
          <t>Não encontrado</t>
        </is>
      </c>
    </row>
    <row r="121">
      <c r="A121" s="9" t="n">
        <v>625731</v>
      </c>
      <c r="B121" s="10" t="inlineStr">
        <is>
          <t>BUSCOPAN 10MG/ML SOL ORAL FR 20ML+SER DOS PED</t>
        </is>
      </c>
      <c r="C121" s="10" t="inlineStr">
        <is>
          <t>RX - OTC</t>
        </is>
      </c>
      <c r="D121" s="9" t="inlineStr">
        <is>
          <t>A</t>
        </is>
      </c>
      <c r="E121" s="9" t="n">
        <v>4</v>
      </c>
      <c r="F121" s="9" t="n">
        <v>1</v>
      </c>
      <c r="G121" s="11" t="n">
        <v>21.5833</v>
      </c>
      <c r="H121" s="10" t="inlineStr">
        <is>
          <t>SB COMERCIO LTDA 0179-15</t>
        </is>
      </c>
      <c r="I121" s="12" t="inlineStr">
        <is>
          <t>7896094928176</t>
        </is>
      </c>
      <c r="J121" s="10" t="inlineStr">
        <is>
          <t>BUSCOPAN PEDIATRICO BUTILBROMETO DE ESCOPOLAMINA 10MG/ML SOLUÇAO ORAL 20ML</t>
        </is>
      </c>
      <c r="K121" s="11" t="n">
        <v>23.3</v>
      </c>
      <c r="L121" s="13" t="n">
        <v>0.035</v>
      </c>
      <c r="M121" s="11">
        <f>IF(K121="","",ROUND(K121*(1-L121),2))</f>
        <v/>
      </c>
      <c r="N121" s="9" t="n"/>
      <c r="O121" s="14">
        <f>IF(OR(M121="",R121&lt;&gt;""),"",M121/G121-1)</f>
        <v/>
      </c>
      <c r="P121" s="11">
        <f>IF(OR(M121="",R121&lt;&gt;""),"",(G121-M121)*E121)</f>
        <v/>
      </c>
      <c r="Q121" s="9">
        <f>IF(R121&lt;&gt;"","—",IF(M121&lt;G121,"Mais barato",IF(M121&gt;G121,"Mais caro","Igual")))</f>
        <v/>
      </c>
      <c r="R121" s="10" t="n"/>
    </row>
    <row r="122">
      <c r="A122" s="9" t="n">
        <v>571441</v>
      </c>
      <c r="B122" s="10" t="inlineStr">
        <is>
          <t>BUSCOPAN COMPOSTO 10,0+250,0MG CARTELA C/ 4 COMPR</t>
        </is>
      </c>
      <c r="C122" s="10" t="inlineStr">
        <is>
          <t>RX</t>
        </is>
      </c>
      <c r="D122" s="9" t="inlineStr">
        <is>
          <t>A</t>
        </is>
      </c>
      <c r="E122" s="9" t="n">
        <v>2</v>
      </c>
      <c r="F122" s="9" t="n">
        <v>30</v>
      </c>
      <c r="G122" s="11" t="n">
        <v>151.5025</v>
      </c>
      <c r="H122" s="10" t="inlineStr">
        <is>
          <t>SB COMERCIO LTDA 0179-15</t>
        </is>
      </c>
      <c r="I122" s="12" t="inlineStr">
        <is>
          <t>7896094922242</t>
        </is>
      </c>
      <c r="J122" s="10" t="inlineStr">
        <is>
          <t>BUSCOPAN COMPOSTO 10MG + 250MG BLISTER - 4 COMPRIMIDOS</t>
        </is>
      </c>
      <c r="K122" s="11" t="n">
        <v>163.59</v>
      </c>
      <c r="L122" s="13" t="n">
        <v>0.035</v>
      </c>
      <c r="M122" s="11">
        <f>IF(K122="","",ROUND(K122*(1-L122),2))</f>
        <v/>
      </c>
      <c r="N122" s="9" t="n"/>
      <c r="O122" s="14">
        <f>IF(OR(M122="",R122&lt;&gt;""),"",M122/G122-1)</f>
        <v/>
      </c>
      <c r="P122" s="11">
        <f>IF(OR(M122="",R122&lt;&gt;""),"",(G122-M122)*E122)</f>
        <v/>
      </c>
      <c r="Q122" s="9">
        <f>IF(R122&lt;&gt;"","—",IF(M122&lt;G122,"Mais barato",IF(M122&gt;G122,"Mais caro","Igual")))</f>
        <v/>
      </c>
      <c r="R122" s="10" t="n"/>
    </row>
    <row r="123">
      <c r="A123" s="9" t="n">
        <v>643961</v>
      </c>
      <c r="B123" s="10" t="inlineStr">
        <is>
          <t>BUSCOPAN COMPOSTO SOL GOT CT FR X20ML</t>
        </is>
      </c>
      <c r="C123" s="10" t="inlineStr">
        <is>
          <t>RX - OTC</t>
        </is>
      </c>
      <c r="D123" s="9" t="inlineStr">
        <is>
          <t>A</t>
        </is>
      </c>
      <c r="E123" s="9" t="n">
        <v>6</v>
      </c>
      <c r="F123" s="9" t="n">
        <v>1</v>
      </c>
      <c r="G123" s="11" t="n">
        <v>20.5644</v>
      </c>
      <c r="H123" s="10" t="inlineStr">
        <is>
          <t>SC DISTRIBUICAO LTDA</t>
        </is>
      </c>
      <c r="I123" s="12" t="inlineStr">
        <is>
          <t>7896094931299</t>
        </is>
      </c>
      <c r="J123" s="10" t="inlineStr">
        <is>
          <t>BUSCOPAN COMPOSTO 6,67MG/ML + 333,4MG/ML SOLUCAO ORAL COM 20ML</t>
        </is>
      </c>
      <c r="K123" s="11" t="n">
        <v>22.2</v>
      </c>
      <c r="L123" s="13" t="n">
        <v>0.035</v>
      </c>
      <c r="M123" s="11">
        <f>IF(K123="","",ROUND(K123*(1-L123),2))</f>
        <v/>
      </c>
      <c r="N123" s="9" t="n">
        <v>2565</v>
      </c>
      <c r="O123" s="14">
        <f>IF(OR(M123="",R123&lt;&gt;""),"",M123/G123-1)</f>
        <v/>
      </c>
      <c r="P123" s="11">
        <f>IF(OR(M123="",R123&lt;&gt;""),"",(G123-M123)*E123)</f>
        <v/>
      </c>
      <c r="Q123" s="9">
        <f>IF(R123&lt;&gt;"","—",IF(M123&lt;G123,"Mais barato",IF(M123&gt;G123,"Mais caro","Igual")))</f>
        <v/>
      </c>
      <c r="R123" s="10" t="n"/>
    </row>
    <row r="124">
      <c r="A124" s="9" t="n">
        <v>486841</v>
      </c>
      <c r="B124" s="10" t="inlineStr">
        <is>
          <t>BUSCOPAN DRAG 10MG CX 20 COMP</t>
        </is>
      </c>
      <c r="C124" s="10" t="inlineStr">
        <is>
          <t>RX - OTC</t>
        </is>
      </c>
      <c r="D124" s="9" t="inlineStr">
        <is>
          <t>A</t>
        </is>
      </c>
      <c r="E124" s="9" t="n">
        <v>5</v>
      </c>
      <c r="F124" s="9" t="n">
        <v>1</v>
      </c>
      <c r="G124" s="11" t="n">
        <v>19.8942</v>
      </c>
      <c r="H124" s="10" t="inlineStr">
        <is>
          <t>SB COMERCIO LTDA 0179-15</t>
        </is>
      </c>
      <c r="I124" s="12" t="inlineStr">
        <is>
          <t>7896094921429</t>
        </is>
      </c>
      <c r="J124" s="10" t="inlineStr">
        <is>
          <t>BUSCOPAN C/20 DRAGEAS</t>
        </is>
      </c>
      <c r="K124" s="11" t="n">
        <v>21.48</v>
      </c>
      <c r="L124" s="13" t="n">
        <v>0.035</v>
      </c>
      <c r="M124" s="11">
        <f>IF(K124="","",ROUND(K124*(1-L124),2))</f>
        <v/>
      </c>
      <c r="N124" s="9" t="n"/>
      <c r="O124" s="14">
        <f>IF(OR(M124="",R124&lt;&gt;""),"",M124/G124-1)</f>
        <v/>
      </c>
      <c r="P124" s="11">
        <f>IF(OR(M124="",R124&lt;&gt;""),"",(G124-M124)*E124)</f>
        <v/>
      </c>
      <c r="Q124" s="9">
        <f>IF(R124&lt;&gt;"","—",IF(M124&lt;G124,"Mais barato",IF(M124&gt;G124,"Mais caro","Igual")))</f>
        <v/>
      </c>
      <c r="R124" s="10" t="n"/>
    </row>
    <row r="125">
      <c r="A125" s="9" t="n">
        <v>486801</v>
      </c>
      <c r="B125" s="10" t="inlineStr">
        <is>
          <t>BUSCOPAN GOTAS 10MG/ML FR 20ML</t>
        </is>
      </c>
      <c r="C125" s="10" t="inlineStr">
        <is>
          <t>RX</t>
        </is>
      </c>
      <c r="D125" s="9" t="inlineStr">
        <is>
          <t>A</t>
        </is>
      </c>
      <c r="E125" s="9" t="n">
        <v>3</v>
      </c>
      <c r="F125" s="9" t="n">
        <v>1</v>
      </c>
      <c r="G125" s="11" t="n">
        <v>19.135</v>
      </c>
      <c r="H125" s="10" t="inlineStr">
        <is>
          <t>SB COMERCIO LTDA 0179-15</t>
        </is>
      </c>
      <c r="I125" s="12" t="inlineStr">
        <is>
          <t>7896094930001</t>
        </is>
      </c>
      <c r="J125" s="10" t="inlineStr">
        <is>
          <t>BUSCOPAN 10MG SOLUCAO 20ML</t>
        </is>
      </c>
      <c r="K125" s="11" t="n">
        <v>21.47</v>
      </c>
      <c r="L125" s="13" t="n">
        <v>0.035</v>
      </c>
      <c r="M125" s="11">
        <f>IF(K125="","",ROUND(K125*(1-L125),2))</f>
        <v/>
      </c>
      <c r="N125" s="9" t="n"/>
      <c r="O125" s="14">
        <f>IF(OR(M125="",R125&lt;&gt;""),"",M125/G125-1)</f>
        <v/>
      </c>
      <c r="P125" s="11">
        <f>IF(OR(M125="",R125&lt;&gt;""),"",(G125-M125)*E125)</f>
        <v/>
      </c>
      <c r="Q125" s="9">
        <f>IF(R125&lt;&gt;"","—",IF(M125&lt;G125,"Mais barato",IF(M125&gt;G125,"Mais caro","Igual")))</f>
        <v/>
      </c>
      <c r="R125" s="10" t="n"/>
    </row>
    <row r="126">
      <c r="A126" s="9" t="n">
        <v>584321</v>
      </c>
      <c r="B126" s="10" t="inlineStr">
        <is>
          <t>BYE BYE FEVER PARA BEBES C/2UN(HSM)</t>
        </is>
      </c>
      <c r="C126" s="10" t="inlineStr">
        <is>
          <t>RX - OTC</t>
        </is>
      </c>
      <c r="D126" s="9" t="inlineStr">
        <is>
          <t>A</t>
        </is>
      </c>
      <c r="E126" s="9" t="n">
        <v>31</v>
      </c>
      <c r="F126" s="9" t="n">
        <v>1</v>
      </c>
      <c r="G126" s="11" t="n">
        <v>11.0709</v>
      </c>
      <c r="H126" s="10" t="inlineStr">
        <is>
          <t>SC DISTRIBUICAO LTDA</t>
        </is>
      </c>
      <c r="I126" s="12" t="inlineStr">
        <is>
          <t>4987188568712</t>
        </is>
      </c>
      <c r="J126" s="10" t="inlineStr">
        <is>
          <t>BYE BYE FEVER BEBES 2 UNIDADES</t>
        </is>
      </c>
      <c r="K126" s="11" t="n">
        <v>11.41</v>
      </c>
      <c r="L126" s="13" t="n">
        <v>0</v>
      </c>
      <c r="M126" s="11">
        <f>IF(K126="","",ROUND(K126*(1-L126),2))</f>
        <v/>
      </c>
      <c r="N126" s="9" t="n">
        <v>8493</v>
      </c>
      <c r="O126" s="14">
        <f>IF(OR(M126="",R126&lt;&gt;""),"",M126/G126-1)</f>
        <v/>
      </c>
      <c r="P126" s="11">
        <f>IF(OR(M126="",R126&lt;&gt;""),"",(G126-M126)*E126)</f>
        <v/>
      </c>
      <c r="Q126" s="9">
        <f>IF(R126&lt;&gt;"","—",IF(M126&lt;G126,"Mais barato",IF(M126&gt;G126,"Mais caro","Igual")))</f>
        <v/>
      </c>
      <c r="R126" s="10" t="n"/>
    </row>
    <row r="127">
      <c r="A127" s="9" t="n">
        <v>584301</v>
      </c>
      <c r="B127" s="10" t="inlineStr">
        <is>
          <t>BYE BYE FEVER PARA CRIANCAS C/2UN(HSM)</t>
        </is>
      </c>
      <c r="C127" s="10" t="inlineStr">
        <is>
          <t>RX - OTC</t>
        </is>
      </c>
      <c r="D127" s="9" t="inlineStr">
        <is>
          <t>B</t>
        </is>
      </c>
      <c r="E127" s="9" t="n">
        <v>4</v>
      </c>
      <c r="F127" s="9" t="n">
        <v>1</v>
      </c>
      <c r="G127" s="11" t="n">
        <v>11.5988</v>
      </c>
      <c r="H127" s="10" t="inlineStr">
        <is>
          <t>SC DISTRIBUICAO LTDA</t>
        </is>
      </c>
      <c r="I127" s="12" t="inlineStr">
        <is>
          <t>4987188568729</t>
        </is>
      </c>
      <c r="J127" s="10" t="inlineStr">
        <is>
          <t>BYE BYE FEVER CRIANCA 2 UNIDADES</t>
        </is>
      </c>
      <c r="K127" s="11" t="n">
        <v>11.41</v>
      </c>
      <c r="L127" s="13" t="n">
        <v>0</v>
      </c>
      <c r="M127" s="11">
        <f>IF(K127="","",ROUND(K127*(1-L127),2))</f>
        <v/>
      </c>
      <c r="N127" s="9" t="n">
        <v>1494</v>
      </c>
      <c r="O127" s="14">
        <f>IF(OR(M127="",R127&lt;&gt;""),"",M127/G127-1)</f>
        <v/>
      </c>
      <c r="P127" s="11">
        <f>IF(OR(M127="",R127&lt;&gt;""),"",(G127-M127)*E127)</f>
        <v/>
      </c>
      <c r="Q127" s="9">
        <f>IF(R127&lt;&gt;"","—",IF(M127&lt;G127,"Mais barato",IF(M127&gt;G127,"Mais caro","Igual")))</f>
        <v/>
      </c>
      <c r="R127" s="10" t="n"/>
    </row>
    <row r="128">
      <c r="A128" s="9" t="n">
        <v>603911</v>
      </c>
      <c r="B128" s="10" t="inlineStr">
        <is>
          <t>CALADRYL POS SOL LOC 100ML</t>
        </is>
      </c>
      <c r="C128" s="10" t="inlineStr">
        <is>
          <t>RX - DERMO</t>
        </is>
      </c>
      <c r="D128" s="9" t="inlineStr">
        <is>
          <t>B</t>
        </is>
      </c>
      <c r="E128" s="9" t="n">
        <v>2</v>
      </c>
      <c r="F128" s="9" t="n">
        <v>1</v>
      </c>
      <c r="G128" s="11" t="n">
        <v>30.52</v>
      </c>
      <c r="H128" s="10" t="inlineStr">
        <is>
          <t>SC DISTRIBUICAO LTDA</t>
        </is>
      </c>
      <c r="I128" s="12" t="inlineStr">
        <is>
          <t>7896004780061</t>
        </is>
      </c>
      <c r="J128" s="10" t="inlineStr">
        <is>
          <t>LOCAO CALADRYL POS SOL 100ML</t>
        </is>
      </c>
      <c r="K128" s="11" t="n">
        <v>24.13</v>
      </c>
      <c r="L128" s="13" t="n">
        <v>0</v>
      </c>
      <c r="M128" s="11">
        <f>IF(K128="","",ROUND(K128*(1-L128),2))</f>
        <v/>
      </c>
      <c r="N128" s="9" t="n">
        <v>339</v>
      </c>
      <c r="O128" s="14">
        <f>IF(OR(M128="",R128&lt;&gt;""),"",M128/G128-1)</f>
        <v/>
      </c>
      <c r="P128" s="11">
        <f>IF(OR(M128="",R128&lt;&gt;""),"",(G128-M128)*E128)</f>
        <v/>
      </c>
      <c r="Q128" s="9">
        <f>IF(R128&lt;&gt;"","—",IF(M128&lt;G128,"Mais barato",IF(M128&gt;G128,"Mais caro","Igual")))</f>
        <v/>
      </c>
      <c r="R128" s="10" t="n"/>
    </row>
    <row r="129">
      <c r="A129" s="9" t="n">
        <v>600551</v>
      </c>
      <c r="B129" s="10" t="inlineStr">
        <is>
          <t>CALCITRAN B12 SUSP FR 150ML</t>
        </is>
      </c>
      <c r="C129" s="10" t="inlineStr">
        <is>
          <t>RX - OTC</t>
        </is>
      </c>
      <c r="D129" s="9" t="inlineStr">
        <is>
          <t>B</t>
        </is>
      </c>
      <c r="E129" s="9" t="n">
        <v>1</v>
      </c>
      <c r="F129" s="9" t="n">
        <v>1</v>
      </c>
      <c r="G129" s="11" t="n">
        <v>34.35</v>
      </c>
      <c r="H129" s="10" t="inlineStr">
        <is>
          <t>SC DISTRIBUICAO LTDA</t>
        </is>
      </c>
      <c r="I129" s="12" t="inlineStr">
        <is>
          <t>7898040329761</t>
        </is>
      </c>
      <c r="J129" s="10" t="inlineStr">
        <is>
          <t>CALCITRAN B12 SUSPENSAO 150ML</t>
        </is>
      </c>
      <c r="K129" s="11" t="n">
        <v>32.31</v>
      </c>
      <c r="L129" s="13" t="n">
        <v>0</v>
      </c>
      <c r="M129" s="11">
        <f>IF(K129="","",ROUND(K129*(1-L129),2))</f>
        <v/>
      </c>
      <c r="N129" s="9" t="n">
        <v>749</v>
      </c>
      <c r="O129" s="14">
        <f>IF(OR(M129="",R129&lt;&gt;""),"",M129/G129-1)</f>
        <v/>
      </c>
      <c r="P129" s="11">
        <f>IF(OR(M129="",R129&lt;&gt;""),"",(G129-M129)*E129)</f>
        <v/>
      </c>
      <c r="Q129" s="9">
        <f>IF(R129&lt;&gt;"","—",IF(M129&lt;G129,"Mais barato",IF(M129&gt;G129,"Mais caro","Igual")))</f>
        <v/>
      </c>
      <c r="R129" s="10" t="n"/>
    </row>
    <row r="130">
      <c r="A130" s="9" t="n">
        <v>594131</v>
      </c>
      <c r="B130" s="10" t="inlineStr">
        <is>
          <t>CALCITRAN MDK CX 30 COMP</t>
        </is>
      </c>
      <c r="C130" s="10" t="inlineStr">
        <is>
          <t>RX - OTC</t>
        </is>
      </c>
      <c r="D130" s="9" t="inlineStr">
        <is>
          <t>A</t>
        </is>
      </c>
      <c r="E130" s="9" t="n">
        <v>7</v>
      </c>
      <c r="F130" s="9" t="n">
        <v>1</v>
      </c>
      <c r="G130" s="11" t="n">
        <v>53.72</v>
      </c>
      <c r="H130" s="10" t="inlineStr">
        <is>
          <t>SC DISTRIBUICAO LTDA</t>
        </is>
      </c>
      <c r="I130" s="12" t="inlineStr">
        <is>
          <t>7898040329464</t>
        </is>
      </c>
      <c r="J130" s="10" t="inlineStr">
        <is>
          <t>CALCITRAN MDK 30 COMPRIMIDOS</t>
        </is>
      </c>
      <c r="K130" s="11" t="n">
        <v>53.87</v>
      </c>
      <c r="L130" s="13" t="n">
        <v>0</v>
      </c>
      <c r="M130" s="11">
        <f>IF(K130="","",ROUND(K130*(1-L130),2))</f>
        <v/>
      </c>
      <c r="N130" s="9" t="n">
        <v>803</v>
      </c>
      <c r="O130" s="14">
        <f>IF(OR(M130="",R130&lt;&gt;""),"",M130/G130-1)</f>
        <v/>
      </c>
      <c r="P130" s="11">
        <f>IF(OR(M130="",R130&lt;&gt;""),"",(G130-M130)*E130)</f>
        <v/>
      </c>
      <c r="Q130" s="9">
        <f>IF(R130&lt;&gt;"","—",IF(M130&lt;G130,"Mais barato",IF(M130&gt;G130,"Mais caro","Igual")))</f>
        <v/>
      </c>
      <c r="R130" s="10" t="n"/>
    </row>
    <row r="131">
      <c r="A131" s="9" t="n">
        <v>662451</v>
      </c>
      <c r="B131" s="10" t="inlineStr">
        <is>
          <t>CALCITRAN MDK CX 30 COMP MAST</t>
        </is>
      </c>
      <c r="C131" s="10" t="inlineStr">
        <is>
          <t>RX</t>
        </is>
      </c>
      <c r="D131" s="9" t="inlineStr">
        <is>
          <t>B</t>
        </is>
      </c>
      <c r="E131" s="9" t="n">
        <v>1</v>
      </c>
      <c r="F131" s="9" t="n">
        <v>1</v>
      </c>
      <c r="G131" s="11" t="n">
        <v>52.365</v>
      </c>
      <c r="H131" s="10" t="inlineStr">
        <is>
          <t>NAZARIA DISTRIBUIDORA DE PRODUTOS FARMACEUTICOS LTDA</t>
        </is>
      </c>
      <c r="I131" s="12" t="n"/>
      <c r="J131" s="10" t="n"/>
      <c r="K131" s="11" t="n"/>
      <c r="L131" s="13" t="n"/>
      <c r="M131" s="11">
        <f>IF(K131="","",ROUND(K131*(1-L131),2))</f>
        <v/>
      </c>
      <c r="N131" s="9" t="n"/>
      <c r="O131" s="14">
        <f>IF(OR(M131="",R131&lt;&gt;""),"",M131/G131-1)</f>
        <v/>
      </c>
      <c r="P131" s="11">
        <f>IF(OR(M131="",R131&lt;&gt;""),"",(G131-M131)*E131)</f>
        <v/>
      </c>
      <c r="Q131" s="9">
        <f>IF(R131&lt;&gt;"","—",IF(M131&lt;G131,"Mais barato",IF(M131&gt;G131,"Mais caro","Igual")))</f>
        <v/>
      </c>
      <c r="R131" s="10" t="inlineStr">
        <is>
          <t>Não encontrado</t>
        </is>
      </c>
    </row>
    <row r="132">
      <c r="A132" s="9" t="n">
        <v>622851</v>
      </c>
      <c r="B132" s="10" t="inlineStr">
        <is>
          <t>CALMAN 100ML</t>
        </is>
      </c>
      <c r="C132" s="10" t="inlineStr">
        <is>
          <t>RX - OTC</t>
        </is>
      </c>
      <c r="D132" s="9" t="inlineStr">
        <is>
          <t>A</t>
        </is>
      </c>
      <c r="E132" s="9" t="n">
        <v>6</v>
      </c>
      <c r="F132" s="9" t="n">
        <v>1</v>
      </c>
      <c r="G132" s="11" t="n">
        <v>50.84</v>
      </c>
      <c r="H132" s="10" t="inlineStr">
        <is>
          <t>SC DISTRIBUICAO LTDA</t>
        </is>
      </c>
      <c r="I132" s="12" t="inlineStr">
        <is>
          <t>7895858017149</t>
        </is>
      </c>
      <c r="J132" s="10" t="inlineStr">
        <is>
          <t>CALMAN 100ML</t>
        </is>
      </c>
      <c r="K132" s="11" t="n">
        <v>54.6</v>
      </c>
      <c r="L132" s="13" t="n">
        <v>0.04</v>
      </c>
      <c r="M132" s="11">
        <f>IF(K132="","",ROUND(K132*(1-L132),2))</f>
        <v/>
      </c>
      <c r="N132" s="9" t="n">
        <v>357</v>
      </c>
      <c r="O132" s="14">
        <f>IF(OR(M132="",R132&lt;&gt;""),"",M132/G132-1)</f>
        <v/>
      </c>
      <c r="P132" s="11">
        <f>IF(OR(M132="",R132&lt;&gt;""),"",(G132-M132)*E132)</f>
        <v/>
      </c>
      <c r="Q132" s="9">
        <f>IF(R132&lt;&gt;"","—",IF(M132&lt;G132,"Mais barato",IF(M132&gt;G132,"Mais caro","Igual")))</f>
        <v/>
      </c>
      <c r="R132" s="10" t="n"/>
    </row>
    <row r="133">
      <c r="A133" s="9" t="n">
        <v>550741</v>
      </c>
      <c r="B133" s="10" t="inlineStr">
        <is>
          <t>CALMAN 20CPR</t>
        </is>
      </c>
      <c r="C133" s="10" t="inlineStr">
        <is>
          <t>RX - OTC</t>
        </is>
      </c>
      <c r="D133" s="9" t="inlineStr">
        <is>
          <t>A</t>
        </is>
      </c>
      <c r="E133" s="9" t="n">
        <v>3</v>
      </c>
      <c r="F133" s="9" t="n">
        <v>1</v>
      </c>
      <c r="G133" s="11" t="n">
        <v>46.2325</v>
      </c>
      <c r="H133" s="10" t="inlineStr">
        <is>
          <t>SC DISTRIBUICAO LTDA</t>
        </is>
      </c>
      <c r="I133" s="12" t="inlineStr">
        <is>
          <t>7895858017156</t>
        </is>
      </c>
      <c r="J133" s="10" t="inlineStr">
        <is>
          <t>CALMAN C/20 COMPRIMIDOS</t>
        </is>
      </c>
      <c r="K133" s="11" t="n">
        <v>49.66</v>
      </c>
      <c r="L133" s="13" t="n">
        <v>0.04</v>
      </c>
      <c r="M133" s="11">
        <f>IF(K133="","",ROUND(K133*(1-L133),2))</f>
        <v/>
      </c>
      <c r="N133" s="9" t="n">
        <v>1351</v>
      </c>
      <c r="O133" s="14">
        <f>IF(OR(M133="",R133&lt;&gt;""),"",M133/G133-1)</f>
        <v/>
      </c>
      <c r="P133" s="11">
        <f>IF(OR(M133="",R133&lt;&gt;""),"",(G133-M133)*E133)</f>
        <v/>
      </c>
      <c r="Q133" s="9">
        <f>IF(R133&lt;&gt;"","—",IF(M133&lt;G133,"Mais barato",IF(M133&gt;G133,"Mais caro","Igual")))</f>
        <v/>
      </c>
      <c r="R133" s="10" t="n"/>
    </row>
    <row r="134">
      <c r="A134" s="9" t="n">
        <v>210221</v>
      </c>
      <c r="B134" s="10" t="inlineStr">
        <is>
          <t>CATAFLAM 50MG CX 10 DRG</t>
        </is>
      </c>
      <c r="C134" s="10" t="inlineStr">
        <is>
          <t>RX</t>
        </is>
      </c>
      <c r="D134" s="9" t="inlineStr">
        <is>
          <t>A</t>
        </is>
      </c>
      <c r="E134" s="9" t="n">
        <v>4</v>
      </c>
      <c r="F134" s="9" t="n">
        <v>1</v>
      </c>
      <c r="G134" s="11" t="n">
        <v>17.03</v>
      </c>
      <c r="H134" s="10" t="inlineStr">
        <is>
          <t>SC DISTRIBUICAO LTDA</t>
        </is>
      </c>
      <c r="I134" s="12" t="inlineStr">
        <is>
          <t>7896261013490</t>
        </is>
      </c>
      <c r="J134" s="10" t="inlineStr">
        <is>
          <t>CATAFLAM 50MG C/10 DRAGEAS</t>
        </is>
      </c>
      <c r="K134" s="11" t="n">
        <v>20.81</v>
      </c>
      <c r="L134" s="13" t="n">
        <v>0.035</v>
      </c>
      <c r="M134" s="11">
        <f>IF(K134="","",ROUND(K134*(1-L134),2))</f>
        <v/>
      </c>
      <c r="N134" s="9" t="n">
        <v>1276</v>
      </c>
      <c r="O134" s="14">
        <f>IF(OR(M134="",R134&lt;&gt;""),"",M134/G134-1)</f>
        <v/>
      </c>
      <c r="P134" s="11">
        <f>IF(OR(M134="",R134&lt;&gt;""),"",(G134-M134)*E134)</f>
        <v/>
      </c>
      <c r="Q134" s="9">
        <f>IF(R134&lt;&gt;"","—",IF(M134&lt;G134,"Mais barato",IF(M134&gt;G134,"Mais caro","Igual")))</f>
        <v/>
      </c>
      <c r="R134" s="10" t="n"/>
    </row>
    <row r="135">
      <c r="A135" s="9" t="n">
        <v>653981</v>
      </c>
      <c r="B135" s="10" t="inlineStr">
        <is>
          <t>CEBION EFV 1G C/10 COMP-DEMAIS PROD</t>
        </is>
      </c>
      <c r="C135" s="10" t="inlineStr">
        <is>
          <t>RX - OTC</t>
        </is>
      </c>
      <c r="D135" s="9" t="inlineStr">
        <is>
          <t>C</t>
        </is>
      </c>
      <c r="E135" s="9" t="n">
        <v>1</v>
      </c>
      <c r="F135" s="9" t="n">
        <v>1</v>
      </c>
      <c r="G135" s="11" t="n">
        <v>14.17</v>
      </c>
      <c r="H135" s="10" t="inlineStr">
        <is>
          <t>SC DISTRIBUICAO LTDA</t>
        </is>
      </c>
      <c r="I135" s="12" t="inlineStr">
        <is>
          <t>7500435231510</t>
        </is>
      </c>
      <c r="J135" s="10" t="inlineStr">
        <is>
          <t>CEBION SABOR LARANJA SEM AÇUCAR 1G C/10 COMPRIMIDOS EFERVESCENTES</t>
        </is>
      </c>
      <c r="K135" s="11" t="n">
        <v>12.8</v>
      </c>
      <c r="L135" s="13" t="n">
        <v>0</v>
      </c>
      <c r="M135" s="11">
        <f>IF(K135="","",ROUND(K135*(1-L135),2))</f>
        <v/>
      </c>
      <c r="N135" s="9" t="n">
        <v>82</v>
      </c>
      <c r="O135" s="14">
        <f>IF(OR(M135="",R135&lt;&gt;""),"",M135/G135-1)</f>
        <v/>
      </c>
      <c r="P135" s="11">
        <f>IF(OR(M135="",R135&lt;&gt;""),"",(G135-M135)*E135)</f>
        <v/>
      </c>
      <c r="Q135" s="9">
        <f>IF(R135&lt;&gt;"","—",IF(M135&lt;G135,"Mais barato",IF(M135&gt;G135,"Mais caro","Igual")))</f>
        <v/>
      </c>
      <c r="R135" s="10" t="n"/>
    </row>
    <row r="136">
      <c r="A136" s="9" t="n">
        <v>86021</v>
      </c>
      <c r="B136" s="10" t="inlineStr">
        <is>
          <t>CECLOR 250MG/5ML SUS ORAL FR 100ML</t>
        </is>
      </c>
      <c r="C136" s="10" t="inlineStr">
        <is>
          <t>RX - SIMILAR - ATB</t>
        </is>
      </c>
      <c r="D136" s="9" t="inlineStr">
        <is>
          <t>A</t>
        </is>
      </c>
      <c r="E136" s="9" t="n">
        <v>1</v>
      </c>
      <c r="F136" s="9" t="n">
        <v>1</v>
      </c>
      <c r="G136" s="11" t="n">
        <v>93.8</v>
      </c>
      <c r="H136" s="10" t="inlineStr">
        <is>
          <t>SC DISTRIBUICAO LTDA</t>
        </is>
      </c>
      <c r="I136" s="12" t="inlineStr">
        <is>
          <t>7894916505130</t>
        </is>
      </c>
      <c r="J136" s="10" t="inlineStr">
        <is>
          <t>CECLOR 250MG SUSPENSAO ORAL 100ML</t>
        </is>
      </c>
      <c r="K136" s="11" t="n">
        <v>95.01000000000001</v>
      </c>
      <c r="L136" s="13" t="n">
        <v>0</v>
      </c>
      <c r="M136" s="11">
        <f>IF(K136="","",ROUND(K136*(1-L136),2))</f>
        <v/>
      </c>
      <c r="N136" s="9" t="n">
        <v>19</v>
      </c>
      <c r="O136" s="14">
        <f>IF(OR(M136="",R136&lt;&gt;""),"",M136/G136-1)</f>
        <v/>
      </c>
      <c r="P136" s="11">
        <f>IF(OR(M136="",R136&lt;&gt;""),"",(G136-M136)*E136)</f>
        <v/>
      </c>
      <c r="Q136" s="9">
        <f>IF(R136&lt;&gt;"","—",IF(M136&lt;G136,"Mais barato",IF(M136&gt;G136,"Mais caro","Igual")))</f>
        <v/>
      </c>
      <c r="R136" s="10" t="n"/>
    </row>
    <row r="137">
      <c r="A137" s="9" t="n">
        <v>233941</v>
      </c>
      <c r="B137" s="10" t="inlineStr">
        <is>
          <t>CEFALIV CX 12 COMP</t>
        </is>
      </c>
      <c r="C137" s="10" t="inlineStr">
        <is>
          <t>RX</t>
        </is>
      </c>
      <c r="D137" s="9" t="inlineStr">
        <is>
          <t>A</t>
        </is>
      </c>
      <c r="E137" s="9" t="n">
        <v>17</v>
      </c>
      <c r="F137" s="9" t="n">
        <v>1</v>
      </c>
      <c r="G137" s="11" t="n">
        <v>14.998</v>
      </c>
      <c r="H137" s="10" t="inlineStr">
        <is>
          <t>SC DISTRIBUICAO LTDA</t>
        </is>
      </c>
      <c r="I137" s="12" t="inlineStr">
        <is>
          <t>7896658001079</t>
        </is>
      </c>
      <c r="J137" s="10" t="inlineStr">
        <is>
          <t>CEFALIV C/12 COMPRIMIDOS D1</t>
        </is>
      </c>
      <c r="K137" s="11" t="n">
        <v>16.72</v>
      </c>
      <c r="L137" s="13" t="n">
        <v>0.05</v>
      </c>
      <c r="M137" s="11">
        <f>IF(K137="","",ROUND(K137*(1-L137),2))</f>
        <v/>
      </c>
      <c r="N137" s="9" t="n">
        <v>3198</v>
      </c>
      <c r="O137" s="14">
        <f>IF(OR(M137="",R137&lt;&gt;""),"",M137/G137-1)</f>
        <v/>
      </c>
      <c r="P137" s="11">
        <f>IF(OR(M137="",R137&lt;&gt;""),"",(G137-M137)*E137)</f>
        <v/>
      </c>
      <c r="Q137" s="9">
        <f>IF(R137&lt;&gt;"","—",IF(M137&lt;G137,"Mais barato",IF(M137&gt;G137,"Mais caro","Igual")))</f>
        <v/>
      </c>
      <c r="R137" s="10" t="n"/>
    </row>
    <row r="138">
      <c r="A138" s="9" t="n">
        <v>90901</v>
      </c>
      <c r="B138" s="10" t="inlineStr">
        <is>
          <t>CELEBRA 100MG CX 20 CAP</t>
        </is>
      </c>
      <c r="C138" s="10" t="inlineStr">
        <is>
          <t>RX - REFERENCIA - CONTROLE</t>
        </is>
      </c>
      <c r="D138" s="9" t="inlineStr">
        <is>
          <t>B</t>
        </is>
      </c>
      <c r="E138" s="9" t="n">
        <v>1</v>
      </c>
      <c r="F138" s="9" t="n">
        <v>1</v>
      </c>
      <c r="G138" s="11" t="n">
        <v>72.62</v>
      </c>
      <c r="H138" s="10" t="inlineStr">
        <is>
          <t>SC DISTRIBUICAO LTDA</t>
        </is>
      </c>
      <c r="I138" s="12" t="inlineStr">
        <is>
          <t>7908236800698</t>
        </is>
      </c>
      <c r="J138" s="10" t="inlineStr">
        <is>
          <t>CELEBRA 100MG C/20 CAPSULAS C1</t>
        </is>
      </c>
      <c r="K138" s="11" t="n">
        <v>73.38</v>
      </c>
      <c r="L138" s="13" t="n">
        <v>0.03</v>
      </c>
      <c r="M138" s="11">
        <f>IF(K138="","",ROUND(K138*(1-L138),2))</f>
        <v/>
      </c>
      <c r="N138" s="9" t="n"/>
      <c r="O138" s="14">
        <f>IF(OR(M138="",R138&lt;&gt;""),"",M138/G138-1)</f>
        <v/>
      </c>
      <c r="P138" s="11">
        <f>IF(OR(M138="",R138&lt;&gt;""),"",(G138-M138)*E138)</f>
        <v/>
      </c>
      <c r="Q138" s="9">
        <f>IF(R138&lt;&gt;"","—",IF(M138&lt;G138,"Mais barato",IF(M138&gt;G138,"Mais caro","Igual")))</f>
        <v/>
      </c>
      <c r="R138" s="10" t="n"/>
    </row>
    <row r="139">
      <c r="A139" s="9" t="n">
        <v>55841</v>
      </c>
      <c r="B139" s="10" t="inlineStr">
        <is>
          <t>CELESTONE 0,1MG ELIXIR SOL FR 120ML</t>
        </is>
      </c>
      <c r="C139" s="10" t="inlineStr">
        <is>
          <t>RX</t>
        </is>
      </c>
      <c r="D139" s="9" t="inlineStr">
        <is>
          <t>C</t>
        </is>
      </c>
      <c r="E139" s="9" t="n">
        <v>1</v>
      </c>
      <c r="F139" s="9" t="n">
        <v>1</v>
      </c>
      <c r="G139" s="11" t="n">
        <v>36.86</v>
      </c>
      <c r="H139" s="10" t="inlineStr">
        <is>
          <t>SC DISTRIBUICAO LTDA</t>
        </is>
      </c>
      <c r="I139" s="12" t="inlineStr">
        <is>
          <t>7891142128249</t>
        </is>
      </c>
      <c r="J139" s="10" t="inlineStr">
        <is>
          <t>CELESTONE ELIXIR 120ML</t>
        </is>
      </c>
      <c r="K139" s="11" t="n">
        <v>36.89</v>
      </c>
      <c r="L139" s="13" t="n">
        <v>0.035</v>
      </c>
      <c r="M139" s="11">
        <f>IF(K139="","",ROUND(K139*(1-L139),2))</f>
        <v/>
      </c>
      <c r="N139" s="9" t="n"/>
      <c r="O139" s="14">
        <f>IF(OR(M139="",R139&lt;&gt;""),"",M139/G139-1)</f>
        <v/>
      </c>
      <c r="P139" s="11">
        <f>IF(OR(M139="",R139&lt;&gt;""),"",(G139-M139)*E139)</f>
        <v/>
      </c>
      <c r="Q139" s="9">
        <f>IF(R139&lt;&gt;"","—",IF(M139&lt;G139,"Mais barato",IF(M139&gt;G139,"Mais caro","Igual")))</f>
        <v/>
      </c>
      <c r="R139" s="10" t="n"/>
    </row>
    <row r="140">
      <c r="A140" s="9" t="n">
        <v>55921</v>
      </c>
      <c r="B140" s="10" t="inlineStr">
        <is>
          <t>CELESTONE 0,5MG CX 20 COMP</t>
        </is>
      </c>
      <c r="C140" s="10" t="inlineStr">
        <is>
          <t>RX</t>
        </is>
      </c>
      <c r="D140" s="9" t="inlineStr">
        <is>
          <t>C</t>
        </is>
      </c>
      <c r="E140" s="9" t="n">
        <v>1</v>
      </c>
      <c r="F140" s="9" t="n">
        <v>1</v>
      </c>
      <c r="G140" s="11" t="n">
        <v>17.54</v>
      </c>
      <c r="H140" s="10" t="inlineStr">
        <is>
          <t>SB COMERCIO LTDA 0179-15</t>
        </is>
      </c>
      <c r="I140" s="12" t="inlineStr">
        <is>
          <t>7891142128133</t>
        </is>
      </c>
      <c r="J140" s="10" t="inlineStr">
        <is>
          <t>CELESTONE 0,5MG C/20 COMPRIMIDOS</t>
        </is>
      </c>
      <c r="K140" s="11" t="n">
        <v>16.93</v>
      </c>
      <c r="L140" s="13" t="n">
        <v>0.035</v>
      </c>
      <c r="M140" s="11">
        <f>IF(K140="","",ROUND(K140*(1-L140),2))</f>
        <v/>
      </c>
      <c r="N140" s="9" t="n">
        <v>1261</v>
      </c>
      <c r="O140" s="14">
        <f>IF(OR(M140="",R140&lt;&gt;""),"",M140/G140-1)</f>
        <v/>
      </c>
      <c r="P140" s="11">
        <f>IF(OR(M140="",R140&lt;&gt;""),"",(G140-M140)*E140)</f>
        <v/>
      </c>
      <c r="Q140" s="9">
        <f>IF(R140&lt;&gt;"","—",IF(M140&lt;G140,"Mais barato",IF(M140&gt;G140,"Mais caro","Igual")))</f>
        <v/>
      </c>
      <c r="R140" s="10" t="n"/>
    </row>
    <row r="141">
      <c r="A141" s="9" t="n">
        <v>619961</v>
      </c>
      <c r="B141" s="10" t="inlineStr">
        <is>
          <t>CENTRUM ESSENCIAL 30CPR</t>
        </is>
      </c>
      <c r="C141" s="10" t="inlineStr">
        <is>
          <t>RX - OTC</t>
        </is>
      </c>
      <c r="D141" s="9" t="inlineStr">
        <is>
          <t>B</t>
        </is>
      </c>
      <c r="E141" s="9" t="n">
        <v>1</v>
      </c>
      <c r="F141" s="9" t="n">
        <v>1</v>
      </c>
      <c r="G141" s="11" t="n">
        <v>18.92</v>
      </c>
      <c r="H141" s="10" t="inlineStr">
        <is>
          <t>SC DISTRIBUICAO LTDA</t>
        </is>
      </c>
      <c r="I141" s="12" t="inlineStr">
        <is>
          <t>7896009499012</t>
        </is>
      </c>
      <c r="J141" s="10" t="inlineStr">
        <is>
          <t>CENTRUM ESSENCIAL 30 COMPRIMIDOS</t>
        </is>
      </c>
      <c r="K141" s="11" t="n">
        <v>30.35</v>
      </c>
      <c r="L141" s="13" t="n">
        <v>0</v>
      </c>
      <c r="M141" s="11">
        <f>IF(K141="","",ROUND(K141*(1-L141),2))</f>
        <v/>
      </c>
      <c r="N141" s="9" t="n">
        <v>3036</v>
      </c>
      <c r="O141" s="14">
        <f>IF(OR(M141="",R141&lt;&gt;""),"",M141/G141-1)</f>
        <v/>
      </c>
      <c r="P141" s="11">
        <f>IF(OR(M141="",R141&lt;&gt;""),"",(G141-M141)*E141)</f>
        <v/>
      </c>
      <c r="Q141" s="9">
        <f>IF(R141&lt;&gt;"","—",IF(M141&lt;G141,"Mais barato",IF(M141&gt;G141,"Mais caro","Igual")))</f>
        <v/>
      </c>
      <c r="R141" s="10" t="n"/>
    </row>
    <row r="142">
      <c r="A142" s="9" t="n">
        <v>556161</v>
      </c>
      <c r="B142" s="10" t="inlineStr">
        <is>
          <t>CERAVE CR HIDRAT 50ML</t>
        </is>
      </c>
      <c r="C142" s="10" t="inlineStr">
        <is>
          <t>RX - DERMO</t>
        </is>
      </c>
      <c r="D142" s="9" t="inlineStr">
        <is>
          <t>A</t>
        </is>
      </c>
      <c r="E142" s="9" t="n">
        <v>1</v>
      </c>
      <c r="F142" s="9" t="n">
        <v>1</v>
      </c>
      <c r="G142" s="11" t="n">
        <v>37.63</v>
      </c>
      <c r="H142" s="10" t="inlineStr">
        <is>
          <t>NAZARIA DISTRIBUIDORA DE PRODUTOS FARMACEUTICOS LTDA</t>
        </is>
      </c>
      <c r="I142" s="12" t="inlineStr">
        <is>
          <t>7899706182980</t>
        </is>
      </c>
      <c r="J142" s="10" t="inlineStr">
        <is>
          <t>CERAVE CREME HIDRATANTE 50G</t>
        </is>
      </c>
      <c r="K142" s="11" t="n">
        <v>31.55</v>
      </c>
      <c r="L142" s="13" t="n">
        <v>0</v>
      </c>
      <c r="M142" s="11">
        <f>IF(K142="","",ROUND(K142*(1-L142),2))</f>
        <v/>
      </c>
      <c r="N142" s="9" t="n">
        <v>607</v>
      </c>
      <c r="O142" s="14">
        <f>IF(OR(M142="",R142&lt;&gt;""),"",M142/G142-1)</f>
        <v/>
      </c>
      <c r="P142" s="11">
        <f>IF(OR(M142="",R142&lt;&gt;""),"",(G142-M142)*E142)</f>
        <v/>
      </c>
      <c r="Q142" s="9">
        <f>IF(R142&lt;&gt;"","—",IF(M142&lt;G142,"Mais barato",IF(M142&gt;G142,"Mais caro","Igual")))</f>
        <v/>
      </c>
      <c r="R142" s="10" t="n"/>
    </row>
    <row r="143">
      <c r="A143" s="9" t="n">
        <v>636021</v>
      </c>
      <c r="B143" s="10" t="inlineStr">
        <is>
          <t>CERAVE CR OLHOS 15G</t>
        </is>
      </c>
      <c r="C143" s="10" t="inlineStr">
        <is>
          <t>RX - DERMO</t>
        </is>
      </c>
      <c r="D143" s="9" t="inlineStr">
        <is>
          <t>C</t>
        </is>
      </c>
      <c r="E143" s="9" t="n">
        <v>1</v>
      </c>
      <c r="F143" s="9" t="n">
        <v>1</v>
      </c>
      <c r="G143" s="11" t="n">
        <v>87.33</v>
      </c>
      <c r="H143" s="10" t="inlineStr">
        <is>
          <t>NAZARIA DISTRIBUIDORA DE PRODUTOS FARMACEUTICOS LTDA</t>
        </is>
      </c>
      <c r="I143" s="12" t="inlineStr">
        <is>
          <t>7899706192057</t>
        </is>
      </c>
      <c r="J143" s="10" t="inlineStr">
        <is>
          <t>CERAVE CREME REPARADOR PARA OLHOS 15G</t>
        </is>
      </c>
      <c r="K143" s="11" t="n">
        <v>78.95999999999999</v>
      </c>
      <c r="L143" s="13" t="n">
        <v>0</v>
      </c>
      <c r="M143" s="11">
        <f>IF(K143="","",ROUND(K143*(1-L143),2))</f>
        <v/>
      </c>
      <c r="N143" s="9" t="n"/>
      <c r="O143" s="14">
        <f>IF(OR(M143="",R143&lt;&gt;""),"",M143/G143-1)</f>
        <v/>
      </c>
      <c r="P143" s="11">
        <f>IF(OR(M143="",R143&lt;&gt;""),"",(G143-M143)*E143)</f>
        <v/>
      </c>
      <c r="Q143" s="9">
        <f>IF(R143&lt;&gt;"","—",IF(M143&lt;G143,"Mais barato",IF(M143&gt;G143,"Mais caro","Igual")))</f>
        <v/>
      </c>
      <c r="R143" s="10" t="n"/>
    </row>
    <row r="144">
      <c r="A144" s="9" t="n">
        <v>624311</v>
      </c>
      <c r="B144" s="10" t="inlineStr">
        <is>
          <t>CERAVE CR RENOVOVADOR P/PES 88G</t>
        </is>
      </c>
      <c r="C144" s="10" t="inlineStr">
        <is>
          <t>RX - DERMO</t>
        </is>
      </c>
      <c r="D144" s="9" t="inlineStr">
        <is>
          <t>B</t>
        </is>
      </c>
      <c r="E144" s="9" t="n">
        <v>1</v>
      </c>
      <c r="F144" s="9" t="n">
        <v>1</v>
      </c>
      <c r="G144" s="11" t="n">
        <v>93.51000000000001</v>
      </c>
      <c r="H144" s="10" t="inlineStr">
        <is>
          <t>NAZARIA DISTRIBUIDORA DE PRODUTOS FARMACEUTICOS LTDA</t>
        </is>
      </c>
      <c r="I144" s="12" t="inlineStr">
        <is>
          <t>7899706190480</t>
        </is>
      </c>
      <c r="J144" s="10" t="inlineStr">
        <is>
          <t>CREME CERAVE SA RENOVADOR PARA OS PES 88ML</t>
        </is>
      </c>
      <c r="K144" s="11" t="n">
        <v>78.95999999999999</v>
      </c>
      <c r="L144" s="13" t="n">
        <v>0</v>
      </c>
      <c r="M144" s="11">
        <f>IF(K144="","",ROUND(K144*(1-L144),2))</f>
        <v/>
      </c>
      <c r="N144" s="9" t="n"/>
      <c r="O144" s="14">
        <f>IF(OR(M144="",R144&lt;&gt;""),"",M144/G144-1)</f>
        <v/>
      </c>
      <c r="P144" s="11">
        <f>IF(OR(M144="",R144&lt;&gt;""),"",(G144-M144)*E144)</f>
        <v/>
      </c>
      <c r="Q144" s="9">
        <f>IF(R144&lt;&gt;"","—",IF(M144&lt;G144,"Mais barato",IF(M144&gt;G144,"Mais caro","Igual")))</f>
        <v/>
      </c>
      <c r="R144" s="10" t="n"/>
    </row>
    <row r="145">
      <c r="A145" s="9" t="n">
        <v>669751</v>
      </c>
      <c r="B145" s="10" t="inlineStr">
        <is>
          <t>CERAVE CREME HIDRATANTE 454G-DEMAIS PROD</t>
        </is>
      </c>
      <c r="C145" s="10" t="inlineStr">
        <is>
          <t>RX - DERMO</t>
        </is>
      </c>
      <c r="D145" s="9" t="inlineStr">
        <is>
          <t>B</t>
        </is>
      </c>
      <c r="E145" s="9" t="n">
        <v>2</v>
      </c>
      <c r="F145" s="9" t="n">
        <v>1</v>
      </c>
      <c r="G145" s="11" t="n">
        <v>93.34</v>
      </c>
      <c r="H145" s="10" t="inlineStr">
        <is>
          <t>SC DISTRIBUICAO LTDA</t>
        </is>
      </c>
      <c r="I145" s="12" t="inlineStr">
        <is>
          <t>7899706159197</t>
        </is>
      </c>
      <c r="J145" s="10" t="inlineStr">
        <is>
          <t>CERAVE CREME HIDRATANTE 454G</t>
        </is>
      </c>
      <c r="K145" s="11" t="n">
        <v>94.77</v>
      </c>
      <c r="L145" s="13" t="n">
        <v>0</v>
      </c>
      <c r="M145" s="11">
        <f>IF(K145="","",ROUND(K145*(1-L145),2))</f>
        <v/>
      </c>
      <c r="N145" s="9" t="n"/>
      <c r="O145" s="14">
        <f>IF(OR(M145="",R145&lt;&gt;""),"",M145/G145-1)</f>
        <v/>
      </c>
      <c r="P145" s="11">
        <f>IF(OR(M145="",R145&lt;&gt;""),"",(G145-M145)*E145)</f>
        <v/>
      </c>
      <c r="Q145" s="9">
        <f>IF(R145&lt;&gt;"","—",IF(M145&lt;G145,"Mais barato",IF(M145&gt;G145,"Mais caro","Igual")))</f>
        <v/>
      </c>
      <c r="R145" s="10" t="n"/>
    </row>
    <row r="146">
      <c r="A146" s="9" t="n">
        <v>642831</v>
      </c>
      <c r="B146" s="10" t="inlineStr">
        <is>
          <t>CERAVE GEL LIMPEZA 150G</t>
        </is>
      </c>
      <c r="C146" s="10" t="inlineStr">
        <is>
          <t>RX - DERMO</t>
        </is>
      </c>
      <c r="D146" s="9" t="inlineStr">
        <is>
          <t>B</t>
        </is>
      </c>
      <c r="E146" s="9" t="n">
        <v>1</v>
      </c>
      <c r="F146" s="9" t="n">
        <v>1</v>
      </c>
      <c r="G146" s="11" t="n">
        <v>56.53</v>
      </c>
      <c r="H146" s="10" t="inlineStr">
        <is>
          <t>SC DISTRIBUICAO LTDA</t>
        </is>
      </c>
      <c r="I146" s="12" t="inlineStr">
        <is>
          <t>7899706172721</t>
        </is>
      </c>
      <c r="J146" s="10" t="inlineStr">
        <is>
          <t>CERAVE GEL DE LIMPEZA 150G</t>
        </is>
      </c>
      <c r="K146" s="11" t="n">
        <v>53.04</v>
      </c>
      <c r="L146" s="13" t="n">
        <v>0</v>
      </c>
      <c r="M146" s="11">
        <f>IF(K146="","",ROUND(K146*(1-L146),2))</f>
        <v/>
      </c>
      <c r="N146" s="9" t="n">
        <v>90</v>
      </c>
      <c r="O146" s="14">
        <f>IF(OR(M146="",R146&lt;&gt;""),"",M146/G146-1)</f>
        <v/>
      </c>
      <c r="P146" s="11">
        <f>IF(OR(M146="",R146&lt;&gt;""),"",(G146-M146)*E146)</f>
        <v/>
      </c>
      <c r="Q146" s="9">
        <f>IF(R146&lt;&gt;"","—",IF(M146&lt;G146,"Mais barato",IF(M146&gt;G146,"Mais caro","Igual")))</f>
        <v/>
      </c>
      <c r="R146" s="10" t="n"/>
    </row>
    <row r="147">
      <c r="A147" s="9" t="n">
        <v>631111</v>
      </c>
      <c r="B147" s="10" t="inlineStr">
        <is>
          <t>CERAVE GEL LIMPEZA 60G</t>
        </is>
      </c>
      <c r="C147" s="10" t="inlineStr">
        <is>
          <t>RX - DERMO</t>
        </is>
      </c>
      <c r="D147" s="9" t="inlineStr">
        <is>
          <t>C</t>
        </is>
      </c>
      <c r="E147" s="9" t="n">
        <v>1</v>
      </c>
      <c r="F147" s="9" t="n">
        <v>1</v>
      </c>
      <c r="G147" s="11" t="n">
        <v>36.69</v>
      </c>
      <c r="H147" s="10" t="inlineStr">
        <is>
          <t>SC DISTRIBUICAO LTDA</t>
        </is>
      </c>
      <c r="I147" s="12" t="inlineStr">
        <is>
          <t>7899706172707</t>
        </is>
      </c>
      <c r="J147" s="10" t="inlineStr">
        <is>
          <t>CERAVE GEL DE LIMPEZA 60G</t>
        </is>
      </c>
      <c r="K147" s="11" t="n">
        <v>35.88</v>
      </c>
      <c r="L147" s="13" t="n">
        <v>0</v>
      </c>
      <c r="M147" s="11">
        <f>IF(K147="","",ROUND(K147*(1-L147),2))</f>
        <v/>
      </c>
      <c r="N147" s="9" t="n"/>
      <c r="O147" s="14">
        <f>IF(OR(M147="",R147&lt;&gt;""),"",M147/G147-1)</f>
        <v/>
      </c>
      <c r="P147" s="11">
        <f>IF(OR(M147="",R147&lt;&gt;""),"",(G147-M147)*E147)</f>
        <v/>
      </c>
      <c r="Q147" s="9">
        <f>IF(R147&lt;&gt;"","—",IF(M147&lt;G147,"Mais barato",IF(M147&gt;G147,"Mais caro","Igual")))</f>
        <v/>
      </c>
      <c r="R147" s="10" t="n"/>
    </row>
    <row r="148">
      <c r="A148" s="9" t="n">
        <v>552981</v>
      </c>
      <c r="B148" s="10" t="inlineStr">
        <is>
          <t>CERAVE HIDRAT 200ML</t>
        </is>
      </c>
      <c r="C148" s="10" t="inlineStr">
        <is>
          <t>RX - DERMO</t>
        </is>
      </c>
      <c r="D148" s="9" t="inlineStr">
        <is>
          <t>A</t>
        </is>
      </c>
      <c r="E148" s="9" t="n">
        <v>4</v>
      </c>
      <c r="F148" s="9" t="n">
        <v>1</v>
      </c>
      <c r="G148" s="11" t="n">
        <v>60.35</v>
      </c>
      <c r="H148" s="10" t="inlineStr">
        <is>
          <t>SC DISTRIBUICAO LTDA</t>
        </is>
      </c>
      <c r="I148" s="12" t="inlineStr">
        <is>
          <t>7899706159258</t>
        </is>
      </c>
      <c r="J148" s="10" t="inlineStr">
        <is>
          <t>CERAVE LOCAO HIDRATANTE 200ML</t>
        </is>
      </c>
      <c r="K148" s="11" t="n">
        <v>67.09999999999999</v>
      </c>
      <c r="L148" s="13" t="n">
        <v>0</v>
      </c>
      <c r="M148" s="11">
        <f>IF(K148="","",ROUND(K148*(1-L148),2))</f>
        <v/>
      </c>
      <c r="N148" s="9" t="n"/>
      <c r="O148" s="14">
        <f>IF(OR(M148="",R148&lt;&gt;""),"",M148/G148-1)</f>
        <v/>
      </c>
      <c r="P148" s="11">
        <f>IF(OR(M148="",R148&lt;&gt;""),"",(G148-M148)*E148)</f>
        <v/>
      </c>
      <c r="Q148" s="9">
        <f>IF(R148&lt;&gt;"","—",IF(M148&lt;G148,"Mais barato",IF(M148&gt;G148,"Mais caro","Igual")))</f>
        <v/>
      </c>
      <c r="R148" s="10" t="n"/>
    </row>
    <row r="149">
      <c r="A149" s="9" t="n">
        <v>624301</v>
      </c>
      <c r="B149" s="10" t="inlineStr">
        <is>
          <t>CERAVE LOC HIDRAT FACIAL 52ML</t>
        </is>
      </c>
      <c r="C149" s="10" t="inlineStr">
        <is>
          <t>RX - DERMO</t>
        </is>
      </c>
      <c r="D149" s="9" t="inlineStr">
        <is>
          <t>A</t>
        </is>
      </c>
      <c r="E149" s="9" t="n">
        <v>7</v>
      </c>
      <c r="F149" s="9" t="n">
        <v>1</v>
      </c>
      <c r="G149" s="11" t="n">
        <v>85.28</v>
      </c>
      <c r="H149" s="10" t="inlineStr">
        <is>
          <t>SC DISTRIBUICAO LTDA</t>
        </is>
      </c>
      <c r="I149" s="12" t="inlineStr">
        <is>
          <t>7899706186698</t>
        </is>
      </c>
      <c r="J149" s="10" t="inlineStr">
        <is>
          <t>CERAVE LOCAO FACIAL HIDRATANTE 52ML</t>
        </is>
      </c>
      <c r="K149" s="11" t="n">
        <v>78.95999999999999</v>
      </c>
      <c r="L149" s="13" t="n">
        <v>0</v>
      </c>
      <c r="M149" s="11">
        <f>IF(K149="","",ROUND(K149*(1-L149),2))</f>
        <v/>
      </c>
      <c r="N149" s="9" t="n">
        <v>33</v>
      </c>
      <c r="O149" s="14">
        <f>IF(OR(M149="",R149&lt;&gt;""),"",M149/G149-1)</f>
        <v/>
      </c>
      <c r="P149" s="11">
        <f>IF(OR(M149="",R149&lt;&gt;""),"",(G149-M149)*E149)</f>
        <v/>
      </c>
      <c r="Q149" s="9">
        <f>IF(R149&lt;&gt;"","—",IF(M149&lt;G149,"Mais barato",IF(M149&gt;G149,"Mais caro","Igual")))</f>
        <v/>
      </c>
      <c r="R149" s="10" t="n"/>
    </row>
    <row r="150">
      <c r="A150" s="9" t="n">
        <v>653331</v>
      </c>
      <c r="B150" s="10" t="inlineStr">
        <is>
          <t>CERAVE LOCAO HIDRATANTE 340ML-DEMAIS PROD</t>
        </is>
      </c>
      <c r="C150" s="10" t="inlineStr">
        <is>
          <t>RX - DERMO</t>
        </is>
      </c>
      <c r="D150" s="9" t="inlineStr">
        <is>
          <t>A</t>
        </is>
      </c>
      <c r="E150" s="9" t="n">
        <v>3</v>
      </c>
      <c r="F150" s="9" t="n">
        <v>1</v>
      </c>
      <c r="G150" s="11" t="n">
        <v>78.95999999999999</v>
      </c>
      <c r="H150" s="10" t="inlineStr">
        <is>
          <t>SC DISTRIBUICAO LTDA</t>
        </is>
      </c>
      <c r="I150" s="12" t="inlineStr">
        <is>
          <t>7908615086309</t>
        </is>
      </c>
      <c r="J150" s="10" t="inlineStr">
        <is>
          <t>LOCAO HIDRATANTE SEM PERFUME CERAVE FRASCO 340ML</t>
        </is>
      </c>
      <c r="K150" s="11" t="n">
        <v>78.95999999999999</v>
      </c>
      <c r="L150" s="13" t="n">
        <v>0</v>
      </c>
      <c r="M150" s="11">
        <f>IF(K150="","",ROUND(K150*(1-L150),2))</f>
        <v/>
      </c>
      <c r="N150" s="9" t="n"/>
      <c r="O150" s="14">
        <f>IF(OR(M150="",R150&lt;&gt;""),"",M150/G150-1)</f>
        <v/>
      </c>
      <c r="P150" s="11">
        <f>IF(OR(M150="",R150&lt;&gt;""),"",(G150-M150)*E150)</f>
        <v/>
      </c>
      <c r="Q150" s="9">
        <f>IF(R150&lt;&gt;"","—",IF(M150&lt;G150,"Mais barato",IF(M150&gt;G150,"Mais caro","Igual")))</f>
        <v/>
      </c>
      <c r="R150" s="10" t="n"/>
    </row>
    <row r="151">
      <c r="A151" s="9" t="n">
        <v>637261</v>
      </c>
      <c r="B151" s="10" t="inlineStr">
        <is>
          <t>CERAVE LOCAO HIDRATANTE 473ML-DEMAIS PROD</t>
        </is>
      </c>
      <c r="C151" s="10" t="inlineStr">
        <is>
          <t>RX - DERMO</t>
        </is>
      </c>
      <c r="D151" s="9" t="inlineStr">
        <is>
          <t>C</t>
        </is>
      </c>
      <c r="E151" s="9" t="n">
        <v>2</v>
      </c>
      <c r="F151" s="9" t="n">
        <v>1</v>
      </c>
      <c r="G151" s="11" t="n">
        <v>103.71</v>
      </c>
      <c r="H151" s="10" t="inlineStr">
        <is>
          <t>SC DISTRIBUICAO LTDA</t>
        </is>
      </c>
      <c r="I151" s="12" t="n"/>
      <c r="J151" s="10" t="n"/>
      <c r="K151" s="11" t="n"/>
      <c r="L151" s="13" t="n"/>
      <c r="M151" s="11">
        <f>IF(K151="","",ROUND(K151*(1-L151),2))</f>
        <v/>
      </c>
      <c r="N151" s="9" t="n"/>
      <c r="O151" s="14">
        <f>IF(OR(M151="",R151&lt;&gt;""),"",M151/G151-1)</f>
        <v/>
      </c>
      <c r="P151" s="11">
        <f>IF(OR(M151="",R151&lt;&gt;""),"",(G151-M151)*E151)</f>
        <v/>
      </c>
      <c r="Q151" s="9">
        <f>IF(R151&lt;&gt;"","—",IF(M151&lt;G151,"Mais barato",IF(M151&gt;G151,"Mais caro","Igual")))</f>
        <v/>
      </c>
      <c r="R151" s="10" t="inlineStr">
        <is>
          <t>Não encontrado</t>
        </is>
      </c>
    </row>
    <row r="152">
      <c r="A152" s="9" t="n">
        <v>624291</v>
      </c>
      <c r="B152" s="10" t="inlineStr">
        <is>
          <t>CERAVE SA GEL DE LIMPEZA RENOVA 150G</t>
        </is>
      </c>
      <c r="C152" s="10" t="inlineStr">
        <is>
          <t>RX - DERMO</t>
        </is>
      </c>
      <c r="D152" s="9" t="inlineStr">
        <is>
          <t>A</t>
        </is>
      </c>
      <c r="E152" s="9" t="n">
        <v>1</v>
      </c>
      <c r="F152" s="9" t="n">
        <v>1</v>
      </c>
      <c r="G152" s="11" t="n">
        <v>65.59</v>
      </c>
      <c r="H152" s="10" t="inlineStr">
        <is>
          <t>SC DISTRIBUICAO LTDA</t>
        </is>
      </c>
      <c r="I152" s="12" t="inlineStr">
        <is>
          <t>7899706211178</t>
        </is>
      </c>
      <c r="J152" s="10" t="inlineStr">
        <is>
          <t>GEL DE LIMPEZA CERAVE SA RENOVADOR SEM PERFUME COM 150G</t>
        </is>
      </c>
      <c r="K152" s="11" t="n">
        <v>53.04</v>
      </c>
      <c r="L152" s="13" t="n">
        <v>0</v>
      </c>
      <c r="M152" s="11">
        <f>IF(K152="","",ROUND(K152*(1-L152),2))</f>
        <v/>
      </c>
      <c r="N152" s="9" t="n"/>
      <c r="O152" s="14">
        <f>IF(OR(M152="",R152&lt;&gt;""),"",M152/G152-1)</f>
        <v/>
      </c>
      <c r="P152" s="11">
        <f>IF(OR(M152="",R152&lt;&gt;""),"",(G152-M152)*E152)</f>
        <v/>
      </c>
      <c r="Q152" s="9">
        <f>IF(R152&lt;&gt;"","—",IF(M152&lt;G152,"Mais barato",IF(M152&gt;G152,"Mais caro","Igual")))</f>
        <v/>
      </c>
      <c r="R152" s="10" t="n"/>
    </row>
    <row r="153">
      <c r="A153" s="9" t="n">
        <v>654251</v>
      </c>
      <c r="B153" s="10" t="inlineStr">
        <is>
          <t>CERAZETTE 75MCG 28CPR</t>
        </is>
      </c>
      <c r="C153" s="10" t="inlineStr">
        <is>
          <t>RX</t>
        </is>
      </c>
      <c r="D153" s="9" t="inlineStr">
        <is>
          <t>A</t>
        </is>
      </c>
      <c r="E153" s="9" t="n">
        <v>1</v>
      </c>
      <c r="F153" s="9" t="n">
        <v>1</v>
      </c>
      <c r="G153" s="11" t="n">
        <v>37.81</v>
      </c>
      <c r="H153" s="10" t="inlineStr">
        <is>
          <t>SC DISTRIBUICAO LTDA</t>
        </is>
      </c>
      <c r="I153" s="12" t="inlineStr">
        <is>
          <t>7897337716215</t>
        </is>
      </c>
      <c r="J153" s="10" t="inlineStr">
        <is>
          <t>CERAZETTE C/28 COMPRIMIDOS</t>
        </is>
      </c>
      <c r="K153" s="11" t="n">
        <v>45.06</v>
      </c>
      <c r="L153" s="13" t="n">
        <v>0.04</v>
      </c>
      <c r="M153" s="11">
        <f>IF(K153="","",ROUND(K153*(1-L153),2))</f>
        <v/>
      </c>
      <c r="N153" s="9" t="n">
        <v>137</v>
      </c>
      <c r="O153" s="14">
        <f>IF(OR(M153="",R153&lt;&gt;""),"",M153/G153-1)</f>
        <v/>
      </c>
      <c r="P153" s="11">
        <f>IF(OR(M153="",R153&lt;&gt;""),"",(G153-M153)*E153)</f>
        <v/>
      </c>
      <c r="Q153" s="9">
        <f>IF(R153&lt;&gt;"","—",IF(M153&lt;G153,"Mais barato",IF(M153&gt;G153,"Mais caro","Igual")))</f>
        <v/>
      </c>
      <c r="R153" s="10" t="n"/>
    </row>
    <row r="154">
      <c r="A154" s="9" t="n">
        <v>293601</v>
      </c>
      <c r="B154" s="10" t="inlineStr">
        <is>
          <t>CERUMIN 0,4+140MG SOL OTO FR GTS 8ML</t>
        </is>
      </c>
      <c r="C154" s="10" t="inlineStr">
        <is>
          <t>RX - OTC</t>
        </is>
      </c>
      <c r="D154" s="9" t="inlineStr">
        <is>
          <t>A</t>
        </is>
      </c>
      <c r="E154" s="9" t="n">
        <v>7</v>
      </c>
      <c r="F154" s="9" t="n">
        <v>1</v>
      </c>
      <c r="G154" s="11" t="n">
        <v>21.23</v>
      </c>
      <c r="H154" s="10" t="inlineStr">
        <is>
          <t>SC DISTRIBUICAO LTDA</t>
        </is>
      </c>
      <c r="I154" s="12" t="inlineStr">
        <is>
          <t>7896548140284</t>
        </is>
      </c>
      <c r="J154" s="10" t="inlineStr">
        <is>
          <t>CERUMIN GOTAS 8ML</t>
        </is>
      </c>
      <c r="K154" s="11" t="n">
        <v>21.8</v>
      </c>
      <c r="L154" s="13" t="n">
        <v>0.035</v>
      </c>
      <c r="M154" s="11">
        <f>IF(K154="","",ROUND(K154*(1-L154),2))</f>
        <v/>
      </c>
      <c r="N154" s="9" t="n">
        <v>5805</v>
      </c>
      <c r="O154" s="14">
        <f>IF(OR(M154="",R154&lt;&gt;""),"",M154/G154-1)</f>
        <v/>
      </c>
      <c r="P154" s="11">
        <f>IF(OR(M154="",R154&lt;&gt;""),"",(G154-M154)*E154)</f>
        <v/>
      </c>
      <c r="Q154" s="9">
        <f>IF(R154&lt;&gt;"","—",IF(M154&lt;G154,"Mais barato",IF(M154&gt;G154,"Mais caro","Igual")))</f>
        <v/>
      </c>
      <c r="R154" s="10" t="n"/>
    </row>
    <row r="155">
      <c r="A155" s="9" t="n">
        <v>619891</v>
      </c>
      <c r="B155" s="10" t="inlineStr">
        <is>
          <t>CETAPHIL CR HIDRAT 250G-DEMAIS PROD</t>
        </is>
      </c>
      <c r="C155" s="10" t="inlineStr">
        <is>
          <t>RX - DERMO</t>
        </is>
      </c>
      <c r="D155" s="9" t="inlineStr">
        <is>
          <t>A</t>
        </is>
      </c>
      <c r="E155" s="9" t="n">
        <v>1</v>
      </c>
      <c r="F155" s="9" t="n">
        <v>1</v>
      </c>
      <c r="G155" s="11" t="n">
        <v>48.5433</v>
      </c>
      <c r="H155" s="10" t="inlineStr">
        <is>
          <t>SC DISTRIBUICAO LTDA</t>
        </is>
      </c>
      <c r="I155" s="12" t="inlineStr">
        <is>
          <t>7897930777781</t>
        </is>
      </c>
      <c r="J155" s="10" t="inlineStr">
        <is>
          <t>CETAPHIL CREME HIDRATANTE PELE EXTREMAMENTE SECA E SENSIVEL 250G</t>
        </is>
      </c>
      <c r="K155" s="11" t="n">
        <v>69.59</v>
      </c>
      <c r="L155" s="13" t="n">
        <v>0</v>
      </c>
      <c r="M155" s="11">
        <f>IF(K155="","",ROUND(K155*(1-L155),2))</f>
        <v/>
      </c>
      <c r="N155" s="9" t="n">
        <v>1377</v>
      </c>
      <c r="O155" s="14">
        <f>IF(OR(M155="",R155&lt;&gt;""),"",M155/G155-1)</f>
        <v/>
      </c>
      <c r="P155" s="11">
        <f>IF(OR(M155="",R155&lt;&gt;""),"",(G155-M155)*E155)</f>
        <v/>
      </c>
      <c r="Q155" s="9">
        <f>IF(R155&lt;&gt;"","—",IF(M155&lt;G155,"Mais barato",IF(M155&gt;G155,"Mais caro","Igual")))</f>
        <v/>
      </c>
      <c r="R155" s="10" t="n"/>
    </row>
    <row r="156">
      <c r="A156" s="9" t="n">
        <v>363</v>
      </c>
      <c r="B156" s="10" t="inlineStr">
        <is>
          <t>CETAPHIL CR HIDRAT 453GR-DEMAIS PROD</t>
        </is>
      </c>
      <c r="C156" s="10" t="inlineStr">
        <is>
          <t>RX - DERMO</t>
        </is>
      </c>
      <c r="D156" s="9" t="inlineStr">
        <is>
          <t>A</t>
        </is>
      </c>
      <c r="E156" s="9" t="n">
        <v>1</v>
      </c>
      <c r="F156" s="9" t="n">
        <v>1</v>
      </c>
      <c r="G156" s="11" t="n">
        <v>90.42</v>
      </c>
      <c r="H156" s="10" t="inlineStr">
        <is>
          <t>SC DISTRIBUICAO LTDA</t>
        </is>
      </c>
      <c r="I156" s="12" t="inlineStr">
        <is>
          <t>7897930777798</t>
        </is>
      </c>
      <c r="J156" s="10" t="inlineStr">
        <is>
          <t>CETAPHIL CREME HIDRATANTE CORPORAL PELE EXTREMAMENTE SECA 453G</t>
        </is>
      </c>
      <c r="K156" s="11" t="n">
        <v>98.59</v>
      </c>
      <c r="L156" s="13" t="n">
        <v>0</v>
      </c>
      <c r="M156" s="11">
        <f>IF(K156="","",ROUND(K156*(1-L156),2))</f>
        <v/>
      </c>
      <c r="N156" s="9" t="n">
        <v>1431</v>
      </c>
      <c r="O156" s="14">
        <f>IF(OR(M156="",R156&lt;&gt;""),"",M156/G156-1)</f>
        <v/>
      </c>
      <c r="P156" s="11">
        <f>IF(OR(M156="",R156&lt;&gt;""),"",(G156-M156)*E156)</f>
        <v/>
      </c>
      <c r="Q156" s="9">
        <f>IF(R156&lt;&gt;"","—",IF(M156&lt;G156,"Mais barato",IF(M156&gt;G156,"Mais caro","Igual")))</f>
        <v/>
      </c>
      <c r="R156" s="10" t="n"/>
    </row>
    <row r="157">
      <c r="A157" s="9" t="n">
        <v>383</v>
      </c>
      <c r="B157" s="10" t="inlineStr">
        <is>
          <t>CETAPHIL LOC HIDRATANTE 473ML</t>
        </is>
      </c>
      <c r="C157" s="10" t="inlineStr">
        <is>
          <t>RX - DERMO</t>
        </is>
      </c>
      <c r="D157" s="9" t="inlineStr">
        <is>
          <t>A</t>
        </is>
      </c>
      <c r="E157" s="9" t="n">
        <v>2</v>
      </c>
      <c r="F157" s="9" t="n">
        <v>1</v>
      </c>
      <c r="G157" s="11" t="n">
        <v>102.75</v>
      </c>
      <c r="H157" s="10" t="inlineStr">
        <is>
          <t>SC DISTRIBUICAO LTDA</t>
        </is>
      </c>
      <c r="I157" s="12" t="inlineStr">
        <is>
          <t>7897930777743</t>
        </is>
      </c>
      <c r="J157" s="10" t="inlineStr">
        <is>
          <t>CETAPHIL LOCAO HIDRATANTE CORPO E ROSTO 473ML</t>
        </is>
      </c>
      <c r="K157" s="11" t="n">
        <v>98.59</v>
      </c>
      <c r="L157" s="13" t="n">
        <v>0</v>
      </c>
      <c r="M157" s="11">
        <f>IF(K157="","",ROUND(K157*(1-L157),2))</f>
        <v/>
      </c>
      <c r="N157" s="9" t="n">
        <v>819</v>
      </c>
      <c r="O157" s="14">
        <f>IF(OR(M157="",R157&lt;&gt;""),"",M157/G157-1)</f>
        <v/>
      </c>
      <c r="P157" s="11">
        <f>IF(OR(M157="",R157&lt;&gt;""),"",(G157-M157)*E157)</f>
        <v/>
      </c>
      <c r="Q157" s="9">
        <f>IF(R157&lt;&gt;"","—",IF(M157&lt;G157,"Mais barato",IF(M157&gt;G157,"Mais caro","Igual")))</f>
        <v/>
      </c>
      <c r="R157" s="10" t="n"/>
    </row>
    <row r="158">
      <c r="A158" s="9" t="n">
        <v>963</v>
      </c>
      <c r="B158" s="10" t="inlineStr">
        <is>
          <t>CICAPLAST B5 PLUS 20ML-DEMAIS PROD</t>
        </is>
      </c>
      <c r="C158" s="10" t="inlineStr">
        <is>
          <t>RX - DERMO</t>
        </is>
      </c>
      <c r="D158" s="9" t="inlineStr">
        <is>
          <t>A</t>
        </is>
      </c>
      <c r="E158" s="9" t="n">
        <v>10</v>
      </c>
      <c r="F158" s="9" t="n">
        <v>1</v>
      </c>
      <c r="G158" s="11" t="n">
        <v>44.74</v>
      </c>
      <c r="H158" s="10" t="inlineStr">
        <is>
          <t>SC DISTRIBUICAO LTDA</t>
        </is>
      </c>
      <c r="I158" s="12" t="inlineStr">
        <is>
          <t>7908615000169</t>
        </is>
      </c>
      <c r="J158" s="10" t="inlineStr">
        <is>
          <t>CICAPLAST BAUME B5 TUBO 20ML</t>
        </is>
      </c>
      <c r="K158" s="11" t="n">
        <v>39.44</v>
      </c>
      <c r="L158" s="13" t="n">
        <v>0</v>
      </c>
      <c r="M158" s="11">
        <f>IF(K158="","",ROUND(K158*(1-L158),2))</f>
        <v/>
      </c>
      <c r="N158" s="9" t="n">
        <v>1780</v>
      </c>
      <c r="O158" s="14">
        <f>IF(OR(M158="",R158&lt;&gt;""),"",M158/G158-1)</f>
        <v/>
      </c>
      <c r="P158" s="11">
        <f>IF(OR(M158="",R158&lt;&gt;""),"",(G158-M158)*E158)</f>
        <v/>
      </c>
      <c r="Q158" s="9">
        <f>IF(R158&lt;&gt;"","—",IF(M158&lt;G158,"Mais barato",IF(M158&gt;G158,"Mais caro","Igual")))</f>
        <v/>
      </c>
      <c r="R158" s="10" t="n"/>
    </row>
    <row r="159">
      <c r="A159" s="9" t="n">
        <v>632071</v>
      </c>
      <c r="B159" s="10" t="inlineStr">
        <is>
          <t>CICAPLAST LRP B5 PLUS 40ML</t>
        </is>
      </c>
      <c r="C159" s="10" t="inlineStr">
        <is>
          <t>RX - DERMO</t>
        </is>
      </c>
      <c r="D159" s="9" t="inlineStr">
        <is>
          <t>A</t>
        </is>
      </c>
      <c r="E159" s="9" t="n">
        <v>1</v>
      </c>
      <c r="F159" s="9" t="n">
        <v>1</v>
      </c>
      <c r="G159" s="11" t="n">
        <v>83.09</v>
      </c>
      <c r="H159" s="10" t="inlineStr">
        <is>
          <t>SC DISTRIBUICAO LTDA</t>
        </is>
      </c>
      <c r="I159" s="12" t="inlineStr">
        <is>
          <t>7908615000244</t>
        </is>
      </c>
      <c r="J159" s="10" t="inlineStr">
        <is>
          <t>CICAPLAST BAUME B5 TUBO 40ML</t>
        </is>
      </c>
      <c r="K159" s="11" t="n">
        <v>71.06999999999999</v>
      </c>
      <c r="L159" s="13" t="n">
        <v>0</v>
      </c>
      <c r="M159" s="11">
        <f>IF(K159="","",ROUND(K159*(1-L159),2))</f>
        <v/>
      </c>
      <c r="N159" s="9" t="n">
        <v>443</v>
      </c>
      <c r="O159" s="14">
        <f>IF(OR(M159="",R159&lt;&gt;""),"",M159/G159-1)</f>
        <v/>
      </c>
      <c r="P159" s="11">
        <f>IF(OR(M159="",R159&lt;&gt;""),"",(G159-M159)*E159)</f>
        <v/>
      </c>
      <c r="Q159" s="9">
        <f>IF(R159&lt;&gt;"","—",IF(M159&lt;G159,"Mais barato",IF(M159&gt;G159,"Mais caro","Igual")))</f>
        <v/>
      </c>
      <c r="R159" s="10" t="n"/>
    </row>
    <row r="160">
      <c r="A160" s="9" t="n">
        <v>628631</v>
      </c>
      <c r="B160" s="10" t="inlineStr">
        <is>
          <t>CICATRICURE AGUA MICELAR 380ML</t>
        </is>
      </c>
      <c r="C160" s="10" t="inlineStr">
        <is>
          <t>RX - DERMO</t>
        </is>
      </c>
      <c r="D160" s="9" t="inlineStr">
        <is>
          <t>C</t>
        </is>
      </c>
      <c r="E160" s="9" t="n">
        <v>1</v>
      </c>
      <c r="F160" s="9" t="n">
        <v>1</v>
      </c>
      <c r="G160" s="11" t="n">
        <v>28.13</v>
      </c>
      <c r="H160" s="10" t="inlineStr">
        <is>
          <t>SC DISTRIBUICAO LTDA</t>
        </is>
      </c>
      <c r="I160" s="12" t="n"/>
      <c r="J160" s="10" t="n"/>
      <c r="K160" s="11" t="n"/>
      <c r="L160" s="13" t="n"/>
      <c r="M160" s="11">
        <f>IF(K160="","",ROUND(K160*(1-L160),2))</f>
        <v/>
      </c>
      <c r="N160" s="9" t="n"/>
      <c r="O160" s="14">
        <f>IF(OR(M160="",R160&lt;&gt;""),"",M160/G160-1)</f>
        <v/>
      </c>
      <c r="P160" s="11">
        <f>IF(OR(M160="",R160&lt;&gt;""),"",(G160-M160)*E160)</f>
        <v/>
      </c>
      <c r="Q160" s="9">
        <f>IF(R160&lt;&gt;"","—",IF(M160&lt;G160,"Mais barato",IF(M160&gt;G160,"Mais caro","Igual")))</f>
        <v/>
      </c>
      <c r="R160" s="10" t="inlineStr">
        <is>
          <t>Não encontrado</t>
        </is>
      </c>
    </row>
    <row r="161">
      <c r="A161" s="9" t="n">
        <v>594261</v>
      </c>
      <c r="B161" s="10" t="inlineStr">
        <is>
          <t>CICATRICURE GEL CICATRIZ/ESTRIAS 30G</t>
        </is>
      </c>
      <c r="C161" s="10" t="inlineStr">
        <is>
          <t>RX - DERMO</t>
        </is>
      </c>
      <c r="D161" s="9" t="inlineStr">
        <is>
          <t>B</t>
        </is>
      </c>
      <c r="E161" s="9" t="n">
        <v>3</v>
      </c>
      <c r="F161" s="9" t="n">
        <v>1</v>
      </c>
      <c r="G161" s="11" t="n">
        <v>24.85</v>
      </c>
      <c r="H161" s="10" t="inlineStr">
        <is>
          <t>SC DISTRIBUICAO LTDA</t>
        </is>
      </c>
      <c r="I161" s="12" t="inlineStr">
        <is>
          <t>7898949409625</t>
        </is>
      </c>
      <c r="J161" s="10" t="inlineStr">
        <is>
          <t>CICATRICURE GEL 30G</t>
        </is>
      </c>
      <c r="K161" s="11" t="n">
        <v>28.02</v>
      </c>
      <c r="L161" s="13" t="n">
        <v>0</v>
      </c>
      <c r="M161" s="11">
        <f>IF(K161="","",ROUND(K161*(1-L161),2))</f>
        <v/>
      </c>
      <c r="N161" s="9" t="n">
        <v>841</v>
      </c>
      <c r="O161" s="14">
        <f>IF(OR(M161="",R161&lt;&gt;""),"",M161/G161-1)</f>
        <v/>
      </c>
      <c r="P161" s="11">
        <f>IF(OR(M161="",R161&lt;&gt;""),"",(G161-M161)*E161)</f>
        <v/>
      </c>
      <c r="Q161" s="9">
        <f>IF(R161&lt;&gt;"","—",IF(M161&lt;G161,"Mais barato",IF(M161&gt;G161,"Mais caro","Igual")))</f>
        <v/>
      </c>
      <c r="R161" s="10" t="n"/>
    </row>
    <row r="162">
      <c r="A162" s="9" t="n">
        <v>645631</v>
      </c>
      <c r="B162" s="10" t="inlineStr">
        <is>
          <t>CITOBE 5000MCG+100+100MG CX 30 DRG</t>
        </is>
      </c>
      <c r="C162" s="10" t="inlineStr">
        <is>
          <t>RX</t>
        </is>
      </c>
      <c r="D162" s="9" t="inlineStr">
        <is>
          <t>B</t>
        </is>
      </c>
      <c r="E162" s="9" t="n">
        <v>1</v>
      </c>
      <c r="F162" s="9" t="n">
        <v>1</v>
      </c>
      <c r="G162" s="11" t="n">
        <v>64.14</v>
      </c>
      <c r="H162" s="10" t="inlineStr">
        <is>
          <t>SC DISTRIBUICAO LTDA</t>
        </is>
      </c>
      <c r="I162" s="12" t="inlineStr">
        <is>
          <t>7891317022105</t>
        </is>
      </c>
      <c r="J162" s="10" t="inlineStr">
        <is>
          <t>CITOBE 100MG+100MG+5000MCG C/30COMPRIMIDOS REVESTIDOS</t>
        </is>
      </c>
      <c r="K162" s="11" t="n">
        <v>63.72</v>
      </c>
      <c r="L162" s="13" t="n">
        <v>0.04</v>
      </c>
      <c r="M162" s="11">
        <f>IF(K162="","",ROUND(K162*(1-L162),2))</f>
        <v/>
      </c>
      <c r="N162" s="9" t="n">
        <v>473</v>
      </c>
      <c r="O162" s="14">
        <f>IF(OR(M162="",R162&lt;&gt;""),"",M162/G162-1)</f>
        <v/>
      </c>
      <c r="P162" s="11">
        <f>IF(OR(M162="",R162&lt;&gt;""),"",(G162-M162)*E162)</f>
        <v/>
      </c>
      <c r="Q162" s="9">
        <f>IF(R162&lt;&gt;"","—",IF(M162&lt;G162,"Mais barato",IF(M162&gt;G162,"Mais caro","Igual")))</f>
        <v/>
      </c>
      <c r="R162" s="10" t="n"/>
    </row>
    <row r="163">
      <c r="A163" s="9" t="n">
        <v>632771</v>
      </c>
      <c r="B163" s="10" t="inlineStr">
        <is>
          <t>CITONEURIN 5000 TAB 30 BRA</t>
        </is>
      </c>
      <c r="C163" s="10" t="inlineStr">
        <is>
          <t>RX</t>
        </is>
      </c>
      <c r="D163" s="9" t="inlineStr">
        <is>
          <t>A</t>
        </is>
      </c>
      <c r="E163" s="9" t="n">
        <v>8</v>
      </c>
      <c r="F163" s="9" t="n">
        <v>1</v>
      </c>
      <c r="G163" s="11" t="n">
        <v>67.45999999999999</v>
      </c>
      <c r="H163" s="10" t="inlineStr">
        <is>
          <t>SC DISTRIBUICAO LTDA</t>
        </is>
      </c>
      <c r="I163" s="12" t="inlineStr">
        <is>
          <t>7500435230957</t>
        </is>
      </c>
      <c r="J163" s="10" t="inlineStr">
        <is>
          <t>CITONEURIN 5.000MCG CAIXA 30 COMPRIMIDOS REVESTIDOS</t>
        </is>
      </c>
      <c r="K163" s="11" t="n">
        <v>71.95999999999999</v>
      </c>
      <c r="L163" s="13" t="n">
        <v>0.04</v>
      </c>
      <c r="M163" s="11">
        <f>IF(K163="","",ROUND(K163*(1-L163),2))</f>
        <v/>
      </c>
      <c r="N163" s="9" t="n">
        <v>1224</v>
      </c>
      <c r="O163" s="14">
        <f>IF(OR(M163="",R163&lt;&gt;""),"",M163/G163-1)</f>
        <v/>
      </c>
      <c r="P163" s="11">
        <f>IF(OR(M163="",R163&lt;&gt;""),"",(G163-M163)*E163)</f>
        <v/>
      </c>
      <c r="Q163" s="9">
        <f>IF(R163&lt;&gt;"","—",IF(M163&lt;G163,"Mais barato",IF(M163&gt;G163,"Mais caro","Igual")))</f>
        <v/>
      </c>
      <c r="R163" s="10" t="n"/>
    </row>
    <row r="164">
      <c r="A164" s="9" t="n">
        <v>161441</v>
      </c>
      <c r="B164" s="10" t="inlineStr">
        <is>
          <t>CLARIL 0,25+3MG SOL FR OFT GTS 15ML</t>
        </is>
      </c>
      <c r="C164" s="10" t="inlineStr">
        <is>
          <t>RX - OTC</t>
        </is>
      </c>
      <c r="D164" s="9" t="inlineStr">
        <is>
          <t>A</t>
        </is>
      </c>
      <c r="E164" s="9" t="n">
        <v>14</v>
      </c>
      <c r="F164" s="9" t="n">
        <v>1</v>
      </c>
      <c r="G164" s="11" t="n">
        <v>21.37</v>
      </c>
      <c r="H164" s="10" t="inlineStr">
        <is>
          <t>SC DISTRIBUICAO LTDA</t>
        </is>
      </c>
      <c r="I164" s="12" t="inlineStr">
        <is>
          <t>7896548113479</t>
        </is>
      </c>
      <c r="J164" s="10" t="inlineStr">
        <is>
          <t>CLARIL SOLUCAO OFTALMICA 15ML</t>
        </is>
      </c>
      <c r="K164" s="11" t="n">
        <v>23.22</v>
      </c>
      <c r="L164" s="13" t="n">
        <v>0.04</v>
      </c>
      <c r="M164" s="11">
        <f>IF(K164="","",ROUND(K164*(1-L164),2))</f>
        <v/>
      </c>
      <c r="N164" s="9" t="n">
        <v>2501</v>
      </c>
      <c r="O164" s="14">
        <f>IF(OR(M164="",R164&lt;&gt;""),"",M164/G164-1)</f>
        <v/>
      </c>
      <c r="P164" s="11">
        <f>IF(OR(M164="",R164&lt;&gt;""),"",(G164-M164)*E164)</f>
        <v/>
      </c>
      <c r="Q164" s="9">
        <f>IF(R164&lt;&gt;"","—",IF(M164&lt;G164,"Mais barato",IF(M164&gt;G164,"Mais caro","Igual")))</f>
        <v/>
      </c>
      <c r="R164" s="10" t="n"/>
    </row>
    <row r="165">
      <c r="A165" s="9" t="n">
        <v>225881</v>
      </c>
      <c r="B165" s="10" t="inlineStr">
        <is>
          <t>CLENIL 0,4MG/ML SUS NAS 2 STR X 5 FLAC X 2ML</t>
        </is>
      </c>
      <c r="C165" s="10" t="inlineStr">
        <is>
          <t>RX</t>
        </is>
      </c>
      <c r="D165" s="9" t="inlineStr">
        <is>
          <t>A</t>
        </is>
      </c>
      <c r="E165" s="9" t="n">
        <v>3</v>
      </c>
      <c r="F165" s="9" t="n">
        <v>1</v>
      </c>
      <c r="G165" s="11" t="n">
        <v>6.7696</v>
      </c>
      <c r="H165" s="10" t="inlineStr">
        <is>
          <t>SC DISTRIBUICAO LTDA</t>
        </is>
      </c>
      <c r="I165" s="12" t="inlineStr">
        <is>
          <t>7896672202681</t>
        </is>
      </c>
      <c r="J165" s="10" t="inlineStr">
        <is>
          <t>CLENIL A C/10 FLACONETES 2ML</t>
        </is>
      </c>
      <c r="K165" s="11" t="n">
        <v>65.84</v>
      </c>
      <c r="L165" s="13" t="n">
        <v>0.05</v>
      </c>
      <c r="M165" s="11">
        <f>IF(K165="","",ROUND(K165*(1-L165),2))</f>
        <v/>
      </c>
      <c r="N165" s="9" t="n">
        <v>2755</v>
      </c>
      <c r="O165" s="14">
        <f>IF(OR(M165="",R165&lt;&gt;""),"",M165/G165-1)</f>
        <v/>
      </c>
      <c r="P165" s="11">
        <f>IF(OR(M165="",R165&lt;&gt;""),"",(G165-M165)*E165)</f>
        <v/>
      </c>
      <c r="Q165" s="9">
        <f>IF(R165&lt;&gt;"","—",IF(M165&lt;G165,"Mais barato",IF(M165&gt;G165,"Mais caro","Igual")))</f>
        <v/>
      </c>
      <c r="R165" s="10" t="inlineStr">
        <is>
          <t>Conferir embalagem/EAN</t>
        </is>
      </c>
    </row>
    <row r="166">
      <c r="A166" s="9" t="n">
        <v>225801</v>
      </c>
      <c r="B166" s="10" t="inlineStr">
        <is>
          <t>CLENIL HFA HFA 200MCG SPRAY 200 DOS</t>
        </is>
      </c>
      <c r="C166" s="10" t="inlineStr">
        <is>
          <t>RX</t>
        </is>
      </c>
      <c r="D166" s="9" t="inlineStr">
        <is>
          <t>B</t>
        </is>
      </c>
      <c r="E166" s="9" t="n">
        <v>4</v>
      </c>
      <c r="F166" s="9" t="n">
        <v>1</v>
      </c>
      <c r="G166" s="11" t="n">
        <v>58.525</v>
      </c>
      <c r="H166" s="10" t="inlineStr">
        <is>
          <t>SC DISTRIBUICAO LTDA</t>
        </is>
      </c>
      <c r="I166" s="12" t="inlineStr">
        <is>
          <t>7896672202872</t>
        </is>
      </c>
      <c r="J166" s="10" t="inlineStr">
        <is>
          <t>CLENIL HFA SPRAY AEROSOL 200MCG C/200 DOSES</t>
        </is>
      </c>
      <c r="K166" s="11" t="n">
        <v>56.91</v>
      </c>
      <c r="L166" s="13" t="n">
        <v>0.05</v>
      </c>
      <c r="M166" s="11">
        <f>IF(K166="","",ROUND(K166*(1-L166),2))</f>
        <v/>
      </c>
      <c r="N166" s="9" t="n">
        <v>883</v>
      </c>
      <c r="O166" s="14">
        <f>IF(OR(M166="",R166&lt;&gt;""),"",M166/G166-1)</f>
        <v/>
      </c>
      <c r="P166" s="11">
        <f>IF(OR(M166="",R166&lt;&gt;""),"",(G166-M166)*E166)</f>
        <v/>
      </c>
      <c r="Q166" s="9">
        <f>IF(R166&lt;&gt;"","—",IF(M166&lt;G166,"Mais barato",IF(M166&gt;G166,"Mais caro","Igual")))</f>
        <v/>
      </c>
      <c r="R166" s="10" t="n"/>
    </row>
    <row r="167">
      <c r="A167" s="9" t="n">
        <v>225761</v>
      </c>
      <c r="B167" s="10" t="inlineStr">
        <is>
          <t>CLENIL HFA HFA 50MCG SPRAY 200 DOS</t>
        </is>
      </c>
      <c r="C167" s="10" t="inlineStr">
        <is>
          <t>RX</t>
        </is>
      </c>
      <c r="D167" s="9" t="inlineStr">
        <is>
          <t>B</t>
        </is>
      </c>
      <c r="E167" s="9" t="n">
        <v>1</v>
      </c>
      <c r="F167" s="9" t="n">
        <v>1</v>
      </c>
      <c r="G167" s="11" t="n">
        <v>27.77</v>
      </c>
      <c r="H167" s="10" t="inlineStr">
        <is>
          <t>SC DISTRIBUICAO LTDA</t>
        </is>
      </c>
      <c r="I167" s="12" t="inlineStr">
        <is>
          <t>7896672202810</t>
        </is>
      </c>
      <c r="J167" s="10" t="inlineStr">
        <is>
          <t>CLENIL HFA SPRAY AEROSOL MCG50 C/200 DOSES</t>
        </is>
      </c>
      <c r="K167" s="11" t="n">
        <v>34.77</v>
      </c>
      <c r="L167" s="13" t="n">
        <v>0.05</v>
      </c>
      <c r="M167" s="11">
        <f>IF(K167="","",ROUND(K167*(1-L167),2))</f>
        <v/>
      </c>
      <c r="N167" s="9" t="n">
        <v>189</v>
      </c>
      <c r="O167" s="14">
        <f>IF(OR(M167="",R167&lt;&gt;""),"",M167/G167-1)</f>
        <v/>
      </c>
      <c r="P167" s="11">
        <f>IF(OR(M167="",R167&lt;&gt;""),"",(G167-M167)*E167)</f>
        <v/>
      </c>
      <c r="Q167" s="9">
        <f>IF(R167&lt;&gt;"","—",IF(M167&lt;G167,"Mais barato",IF(M167&gt;G167,"Mais caro","Igual")))</f>
        <v/>
      </c>
      <c r="R167" s="10" t="n"/>
    </row>
    <row r="168">
      <c r="A168" s="9" t="n">
        <v>652301</v>
      </c>
      <c r="B168" s="10" t="inlineStr">
        <is>
          <t>CLINDOXYL CONTROL 5% 45MG-OUTROS</t>
        </is>
      </c>
      <c r="C168" s="10" t="inlineStr">
        <is>
          <t>RX - DERMO</t>
        </is>
      </c>
      <c r="D168" s="9" t="inlineStr">
        <is>
          <t>B</t>
        </is>
      </c>
      <c r="E168" s="9" t="n">
        <v>2</v>
      </c>
      <c r="F168" s="9" t="n">
        <v>1</v>
      </c>
      <c r="G168" s="11" t="n">
        <v>61.31</v>
      </c>
      <c r="H168" s="10" t="inlineStr">
        <is>
          <t>SC DISTRIBUICAO LTDA</t>
        </is>
      </c>
      <c r="I168" s="12" t="inlineStr">
        <is>
          <t>7896026172295</t>
        </is>
      </c>
      <c r="J168" s="10" t="inlineStr">
        <is>
          <t>CLINDOXYL CONTROL 5% GEL 45G</t>
        </is>
      </c>
      <c r="K168" s="11" t="n">
        <v>59</v>
      </c>
      <c r="L168" s="13" t="n">
        <v>0</v>
      </c>
      <c r="M168" s="11">
        <f>IF(K168="","",ROUND(K168*(1-L168),2))</f>
        <v/>
      </c>
      <c r="N168" s="9" t="n">
        <v>30</v>
      </c>
      <c r="O168" s="14">
        <f>IF(OR(M168="",R168&lt;&gt;""),"",M168/G168-1)</f>
        <v/>
      </c>
      <c r="P168" s="11">
        <f>IF(OR(M168="",R168&lt;&gt;""),"",(G168-M168)*E168)</f>
        <v/>
      </c>
      <c r="Q168" s="9">
        <f>IF(R168&lt;&gt;"","—",IF(M168&lt;G168,"Mais barato",IF(M168&gt;G168,"Mais caro","Igual")))</f>
        <v/>
      </c>
      <c r="R168" s="10" t="n"/>
    </row>
    <row r="169">
      <c r="A169" s="9" t="n">
        <v>135661</v>
      </c>
      <c r="B169" s="10" t="inlineStr">
        <is>
          <t>COBAVITAL 1+4MG 16 COMP</t>
        </is>
      </c>
      <c r="C169" s="10" t="inlineStr">
        <is>
          <t>RX</t>
        </is>
      </c>
      <c r="D169" s="9" t="inlineStr">
        <is>
          <t>A</t>
        </is>
      </c>
      <c r="E169" s="9" t="n">
        <v>2</v>
      </c>
      <c r="F169" s="9" t="n">
        <v>1</v>
      </c>
      <c r="G169" s="11" t="n">
        <v>21.67</v>
      </c>
      <c r="H169" s="10" t="inlineStr">
        <is>
          <t>SC DISTRIBUICAO LTDA</t>
        </is>
      </c>
      <c r="I169" s="12" t="inlineStr">
        <is>
          <t>7891158106965</t>
        </is>
      </c>
      <c r="J169" s="10" t="inlineStr">
        <is>
          <t>COBAVITAL C/16 MICRO COMPRIMIDOS</t>
        </is>
      </c>
      <c r="K169" s="11" t="n">
        <v>22.13</v>
      </c>
      <c r="L169" s="13" t="n">
        <v>0.04</v>
      </c>
      <c r="M169" s="11">
        <f>IF(K169="","",ROUND(K169*(1-L169),2))</f>
        <v/>
      </c>
      <c r="N169" s="9" t="n">
        <v>8585</v>
      </c>
      <c r="O169" s="14">
        <f>IF(OR(M169="",R169&lt;&gt;""),"",M169/G169-1)</f>
        <v/>
      </c>
      <c r="P169" s="11">
        <f>IF(OR(M169="",R169&lt;&gt;""),"",(G169-M169)*E169)</f>
        <v/>
      </c>
      <c r="Q169" s="9">
        <f>IF(R169&lt;&gt;"","—",IF(M169&lt;G169,"Mais barato",IF(M169&gt;G169,"Mais caro","Igual")))</f>
        <v/>
      </c>
      <c r="R169" s="10" t="n"/>
    </row>
    <row r="170">
      <c r="A170" s="9" t="n">
        <v>661331</v>
      </c>
      <c r="B170" s="10" t="inlineStr">
        <is>
          <t>COBAVITAL 30CPR</t>
        </is>
      </c>
      <c r="C170" s="10" t="inlineStr">
        <is>
          <t>RX</t>
        </is>
      </c>
      <c r="D170" s="9" t="inlineStr">
        <is>
          <t>A</t>
        </is>
      </c>
      <c r="E170" s="9" t="n">
        <v>6</v>
      </c>
      <c r="F170" s="9" t="n">
        <v>1</v>
      </c>
      <c r="G170" s="11" t="n">
        <v>34.36</v>
      </c>
      <c r="H170" s="10" t="inlineStr">
        <is>
          <t>SC DISTRIBUICAO LTDA</t>
        </is>
      </c>
      <c r="I170" s="12" t="inlineStr">
        <is>
          <t>7891158106897</t>
        </is>
      </c>
      <c r="J170" s="10" t="inlineStr">
        <is>
          <t>COBAVITAL C/30 COMPRIMIDOS</t>
        </is>
      </c>
      <c r="K170" s="11" t="n">
        <v>35.09</v>
      </c>
      <c r="L170" s="13" t="n">
        <v>0.04</v>
      </c>
      <c r="M170" s="11">
        <f>IF(K170="","",ROUND(K170*(1-L170),2))</f>
        <v/>
      </c>
      <c r="N170" s="9" t="n">
        <v>5239</v>
      </c>
      <c r="O170" s="14">
        <f>IF(OR(M170="",R170&lt;&gt;""),"",M170/G170-1)</f>
        <v/>
      </c>
      <c r="P170" s="11">
        <f>IF(OR(M170="",R170&lt;&gt;""),"",(G170-M170)*E170)</f>
        <v/>
      </c>
      <c r="Q170" s="9">
        <f>IF(R170&lt;&gt;"","—",IF(M170&lt;G170,"Mais barato",IF(M170&gt;G170,"Mais caro","Igual")))</f>
        <v/>
      </c>
      <c r="R170" s="10" t="n"/>
    </row>
    <row r="171">
      <c r="A171" s="9" t="n">
        <v>674291</v>
      </c>
      <c r="B171" s="10" t="inlineStr">
        <is>
          <t>COBI-12 1000MCG C/30 COMP SUBL-OUTROS</t>
        </is>
      </c>
      <c r="C171" s="10" t="inlineStr">
        <is>
          <t>RX</t>
        </is>
      </c>
      <c r="D171" s="9" t="inlineStr">
        <is>
          <t>A</t>
        </is>
      </c>
      <c r="E171" s="9" t="n">
        <v>13</v>
      </c>
      <c r="F171" s="9" t="n">
        <v>1</v>
      </c>
      <c r="G171" s="11" t="n">
        <v>22.805</v>
      </c>
      <c r="H171" s="10" t="inlineStr">
        <is>
          <t>SC DISTRIBUICAO LTDA</t>
        </is>
      </c>
      <c r="I171" s="12" t="inlineStr">
        <is>
          <t>7896637035736</t>
        </is>
      </c>
      <c r="J171" s="10" t="inlineStr">
        <is>
          <t>COBI-12 1000MCG C/30 COMPRIMIDOS SUBLINGUAIS</t>
        </is>
      </c>
      <c r="K171" s="11" t="n">
        <v>25.38</v>
      </c>
      <c r="L171" s="13" t="n">
        <v>0.04</v>
      </c>
      <c r="M171" s="11">
        <f>IF(K171="","",ROUND(K171*(1-L171),2))</f>
        <v/>
      </c>
      <c r="N171" s="9" t="n">
        <v>287</v>
      </c>
      <c r="O171" s="14">
        <f>IF(OR(M171="",R171&lt;&gt;""),"",M171/G171-1)</f>
        <v/>
      </c>
      <c r="P171" s="11">
        <f>IF(OR(M171="",R171&lt;&gt;""),"",(G171-M171)*E171)</f>
        <v/>
      </c>
      <c r="Q171" s="9">
        <f>IF(R171&lt;&gt;"","—",IF(M171&lt;G171,"Mais barato",IF(M171&gt;G171,"Mais caro","Igual")))</f>
        <v/>
      </c>
      <c r="R171" s="10" t="n"/>
    </row>
    <row r="172">
      <c r="A172" s="9" t="n">
        <v>399321</v>
      </c>
      <c r="B172" s="10" t="inlineStr">
        <is>
          <t>COD PAR 500+30MG CX 12 COMP</t>
        </is>
      </c>
      <c r="C172" s="10" t="inlineStr">
        <is>
          <t>RX - SIMILAR - CONTROLE</t>
        </is>
      </c>
      <c r="D172" s="9" t="inlineStr">
        <is>
          <t>C</t>
        </is>
      </c>
      <c r="E172" s="9" t="n">
        <v>1</v>
      </c>
      <c r="F172" s="9" t="n">
        <v>1</v>
      </c>
      <c r="G172" s="11" t="n">
        <v>23.005</v>
      </c>
      <c r="H172" s="10" t="inlineStr">
        <is>
          <t>SC DISTRIBUICAO LTDA</t>
        </is>
      </c>
      <c r="I172" s="12" t="inlineStr">
        <is>
          <t>7899420506918</t>
        </is>
      </c>
      <c r="J172" s="10" t="inlineStr">
        <is>
          <t>COD PAR 500MG 30MG C/12 COMPRIMIDOS A2C1</t>
        </is>
      </c>
      <c r="K172" s="11" t="n">
        <v>25.48</v>
      </c>
      <c r="L172" s="13" t="n">
        <v>0.04</v>
      </c>
      <c r="M172" s="11">
        <f>IF(K172="","",ROUND(K172*(1-L172),2))</f>
        <v/>
      </c>
      <c r="N172" s="9" t="n">
        <v>76</v>
      </c>
      <c r="O172" s="14">
        <f>IF(OR(M172="",R172&lt;&gt;""),"",M172/G172-1)</f>
        <v/>
      </c>
      <c r="P172" s="11">
        <f>IF(OR(M172="",R172&lt;&gt;""),"",(G172-M172)*E172)</f>
        <v/>
      </c>
      <c r="Q172" s="9">
        <f>IF(R172&lt;&gt;"","—",IF(M172&lt;G172,"Mais barato",IF(M172&gt;G172,"Mais caro","Igual")))</f>
        <v/>
      </c>
      <c r="R172" s="10" t="n"/>
    </row>
    <row r="173">
      <c r="A173" s="9" t="n">
        <v>674281</v>
      </c>
      <c r="B173" s="10" t="inlineStr">
        <is>
          <t>CODEIN 30MG C/12 CP (A2) CRI-REFERENCIA</t>
        </is>
      </c>
      <c r="C173" s="10" t="inlineStr">
        <is>
          <t>RX - REFERENCIA - CONTROLE</t>
        </is>
      </c>
      <c r="D173" s="9" t="inlineStr">
        <is>
          <t>C</t>
        </is>
      </c>
      <c r="E173" s="9" t="n">
        <v>1</v>
      </c>
      <c r="F173" s="9" t="n">
        <v>1</v>
      </c>
      <c r="G173" s="11" t="n">
        <v>16.785</v>
      </c>
      <c r="H173" s="10" t="inlineStr">
        <is>
          <t>SC DISTRIBUICAO LTDA</t>
        </is>
      </c>
      <c r="I173" s="12" t="inlineStr">
        <is>
          <t>7896676442670</t>
        </is>
      </c>
      <c r="J173" s="10" t="inlineStr">
        <is>
          <t>CODEIN 30MG C/12 COMPRIMIDOS (A2) NOVA FORMULA</t>
        </is>
      </c>
      <c r="K173" s="11" t="n">
        <v>18.61</v>
      </c>
      <c r="L173" s="13" t="n">
        <v>0.05</v>
      </c>
      <c r="M173" s="11">
        <f>IF(K173="","",ROUND(K173*(1-L173),2))</f>
        <v/>
      </c>
      <c r="N173" s="9" t="n">
        <v>127</v>
      </c>
      <c r="O173" s="14">
        <f>IF(OR(M173="",R173&lt;&gt;""),"",M173/G173-1)</f>
        <v/>
      </c>
      <c r="P173" s="11">
        <f>IF(OR(M173="",R173&lt;&gt;""),"",(G173-M173)*E173)</f>
        <v/>
      </c>
      <c r="Q173" s="9">
        <f>IF(R173&lt;&gt;"","—",IF(M173&lt;G173,"Mais barato",IF(M173&gt;G173,"Mais caro","Igual")))</f>
        <v/>
      </c>
      <c r="R173" s="10" t="n"/>
    </row>
    <row r="174">
      <c r="A174" s="9" t="n">
        <v>515861</v>
      </c>
      <c r="B174" s="10" t="inlineStr">
        <is>
          <t>CODEIN 30MG CX 12 COMP</t>
        </is>
      </c>
      <c r="C174" s="10" t="inlineStr">
        <is>
          <t>RX - REFERENCIA - CONTROLE</t>
        </is>
      </c>
      <c r="D174" s="9" t="inlineStr">
        <is>
          <t>C</t>
        </is>
      </c>
      <c r="E174" s="9" t="n">
        <v>1</v>
      </c>
      <c r="F174" s="9" t="n">
        <v>1</v>
      </c>
      <c r="G174" s="11" t="n">
        <v>16.785</v>
      </c>
      <c r="H174" s="10" t="inlineStr">
        <is>
          <t>SC DISTRIBUICAO LTDA</t>
        </is>
      </c>
      <c r="I174" s="12" t="n"/>
      <c r="J174" s="10" t="n"/>
      <c r="K174" s="11" t="n"/>
      <c r="L174" s="13" t="n"/>
      <c r="M174" s="11">
        <f>IF(K174="","",ROUND(K174*(1-L174),2))</f>
        <v/>
      </c>
      <c r="N174" s="9" t="n"/>
      <c r="O174" s="14">
        <f>IF(OR(M174="",R174&lt;&gt;""),"",M174/G174-1)</f>
        <v/>
      </c>
      <c r="P174" s="11">
        <f>IF(OR(M174="",R174&lt;&gt;""),"",(G174-M174)*E174)</f>
        <v/>
      </c>
      <c r="Q174" s="9">
        <f>IF(R174&lt;&gt;"","—",IF(M174&lt;G174,"Mais barato",IF(M174&gt;G174,"Mais caro","Igual")))</f>
        <v/>
      </c>
      <c r="R174" s="10" t="inlineStr">
        <is>
          <t>Não encontrado</t>
        </is>
      </c>
    </row>
    <row r="175">
      <c r="A175" s="9" t="n">
        <v>560901</v>
      </c>
      <c r="B175" s="10" t="inlineStr">
        <is>
          <t>COLIDIS FR 5ML</t>
        </is>
      </c>
      <c r="C175" s="10" t="inlineStr">
        <is>
          <t>RX - OTC</t>
        </is>
      </c>
      <c r="D175" s="9" t="inlineStr">
        <is>
          <t>A</t>
        </is>
      </c>
      <c r="E175" s="9" t="n">
        <v>9</v>
      </c>
      <c r="F175" s="9" t="n">
        <v>1</v>
      </c>
      <c r="G175" s="11" t="n">
        <v>79.125</v>
      </c>
      <c r="H175" s="10" t="inlineStr">
        <is>
          <t>SC DISTRIBUICAO LTDA</t>
        </is>
      </c>
      <c r="I175" s="12" t="inlineStr">
        <is>
          <t>7896658027796</t>
        </is>
      </c>
      <c r="J175" s="10" t="inlineStr">
        <is>
          <t>COLIDIS 5ML</t>
        </is>
      </c>
      <c r="K175" s="11" t="n">
        <v>96.75</v>
      </c>
      <c r="L175" s="13" t="n">
        <v>0</v>
      </c>
      <c r="M175" s="11">
        <f>IF(K175="","",ROUND(K175*(1-L175),2))</f>
        <v/>
      </c>
      <c r="N175" s="9" t="n">
        <v>1886</v>
      </c>
      <c r="O175" s="14">
        <f>IF(OR(M175="",R175&lt;&gt;""),"",M175/G175-1)</f>
        <v/>
      </c>
      <c r="P175" s="11">
        <f>IF(OR(M175="",R175&lt;&gt;""),"",(G175-M175)*E175)</f>
        <v/>
      </c>
      <c r="Q175" s="9">
        <f>IF(R175&lt;&gt;"","—",IF(M175&lt;G175,"Mais barato",IF(M175&gt;G175,"Mais caro","Igual")))</f>
        <v/>
      </c>
      <c r="R175" s="10" t="n"/>
    </row>
    <row r="176">
      <c r="A176" s="9" t="n">
        <v>359901</v>
      </c>
      <c r="B176" s="10" t="inlineStr">
        <is>
          <t>COMBIRON FOLICO CX 45 COMP REV</t>
        </is>
      </c>
      <c r="C176" s="10" t="inlineStr">
        <is>
          <t>RX</t>
        </is>
      </c>
      <c r="D176" s="9" t="inlineStr">
        <is>
          <t>A</t>
        </is>
      </c>
      <c r="E176" s="9" t="n">
        <v>5</v>
      </c>
      <c r="F176" s="9" t="n">
        <v>1</v>
      </c>
      <c r="G176" s="11" t="n">
        <v>35.5357</v>
      </c>
      <c r="H176" s="10" t="inlineStr">
        <is>
          <t>SC DISTRIBUICAO LTDA</t>
        </is>
      </c>
      <c r="I176" s="12" t="inlineStr">
        <is>
          <t>7896658003653</t>
        </is>
      </c>
      <c r="J176" s="10" t="inlineStr">
        <is>
          <t>COMBIRON FOLICO C/45 COMPRIMIDOS</t>
        </is>
      </c>
      <c r="K176" s="11" t="n">
        <v>34.93</v>
      </c>
      <c r="L176" s="13" t="n">
        <v>0.05</v>
      </c>
      <c r="M176" s="11">
        <f>IF(K176="","",ROUND(K176*(1-L176),2))</f>
        <v/>
      </c>
      <c r="N176" s="9" t="n">
        <v>1620</v>
      </c>
      <c r="O176" s="14">
        <f>IF(OR(M176="",R176&lt;&gt;""),"",M176/G176-1)</f>
        <v/>
      </c>
      <c r="P176" s="11">
        <f>IF(OR(M176="",R176&lt;&gt;""),"",(G176-M176)*E176)</f>
        <v/>
      </c>
      <c r="Q176" s="9">
        <f>IF(R176&lt;&gt;"","—",IF(M176&lt;G176,"Mais barato",IF(M176&gt;G176,"Mais caro","Igual")))</f>
        <v/>
      </c>
      <c r="R176" s="10" t="n"/>
    </row>
    <row r="177">
      <c r="A177" s="9" t="n">
        <v>230641</v>
      </c>
      <c r="B177" s="10" t="inlineStr">
        <is>
          <t>COMBODART 0,5+0,4MG CX 30 CAP</t>
        </is>
      </c>
      <c r="C177" s="10" t="inlineStr">
        <is>
          <t>RX</t>
        </is>
      </c>
      <c r="D177" s="9" t="inlineStr">
        <is>
          <t>A</t>
        </is>
      </c>
      <c r="E177" s="9" t="n">
        <v>6</v>
      </c>
      <c r="F177" s="9" t="n">
        <v>1</v>
      </c>
      <c r="G177" s="11" t="n">
        <v>114.14</v>
      </c>
      <c r="H177" s="10" t="inlineStr">
        <is>
          <t>SC DISTRIBUICAO LTDA</t>
        </is>
      </c>
      <c r="I177" s="12" t="inlineStr">
        <is>
          <t>7896015523398</t>
        </is>
      </c>
      <c r="J177" s="10" t="inlineStr">
        <is>
          <t>COMBODART C/30 CAPSULAS</t>
        </is>
      </c>
      <c r="K177" s="11" t="n">
        <v>117.41</v>
      </c>
      <c r="L177" s="13" t="n">
        <v>0.04</v>
      </c>
      <c r="M177" s="11">
        <f>IF(K177="","",ROUND(K177*(1-L177),2))</f>
        <v/>
      </c>
      <c r="N177" s="9" t="n">
        <v>2068</v>
      </c>
      <c r="O177" s="14">
        <f>IF(OR(M177="",R177&lt;&gt;""),"",M177/G177-1)</f>
        <v/>
      </c>
      <c r="P177" s="11">
        <f>IF(OR(M177="",R177&lt;&gt;""),"",(G177-M177)*E177)</f>
        <v/>
      </c>
      <c r="Q177" s="9">
        <f>IF(R177&lt;&gt;"","—",IF(M177&lt;G177,"Mais barato",IF(M177&gt;G177,"Mais caro","Igual")))</f>
        <v/>
      </c>
      <c r="R177" s="10" t="n"/>
    </row>
    <row r="178">
      <c r="A178" s="9" t="n">
        <v>641601</v>
      </c>
      <c r="B178" s="10" t="inlineStr">
        <is>
          <t>COMPLEXO ALMEIDA PRADO 46 C/60 COMP-OUTROS</t>
        </is>
      </c>
      <c r="C178" s="10" t="inlineStr">
        <is>
          <t>RX - OTC</t>
        </is>
      </c>
      <c r="D178" s="9" t="inlineStr">
        <is>
          <t>A</t>
        </is>
      </c>
      <c r="E178" s="9" t="n">
        <v>4</v>
      </c>
      <c r="F178" s="9" t="n">
        <v>1</v>
      </c>
      <c r="G178" s="11" t="n">
        <v>28.5</v>
      </c>
      <c r="H178" s="10" t="inlineStr">
        <is>
          <t>SC DISTRIBUICAO LTDA</t>
        </is>
      </c>
      <c r="I178" s="12" t="inlineStr">
        <is>
          <t>7896026173018</t>
        </is>
      </c>
      <c r="J178" s="10" t="inlineStr">
        <is>
          <t>COMPLEXO HOMEOPATICO ALMEIDA PRADO 46 60 COMPRIMIDOS</t>
        </is>
      </c>
      <c r="K178" s="11" t="n">
        <v>30.3</v>
      </c>
      <c r="L178" s="13" t="n">
        <v>0.05</v>
      </c>
      <c r="M178" s="11">
        <f>IF(K178="","",ROUND(K178*(1-L178),2))</f>
        <v/>
      </c>
      <c r="N178" s="9" t="n">
        <v>1074</v>
      </c>
      <c r="O178" s="14">
        <f>IF(OR(M178="",R178&lt;&gt;""),"",M178/G178-1)</f>
        <v/>
      </c>
      <c r="P178" s="11">
        <f>IF(OR(M178="",R178&lt;&gt;""),"",(G178-M178)*E178)</f>
        <v/>
      </c>
      <c r="Q178" s="9">
        <f>IF(R178&lt;&gt;"","—",IF(M178&lt;G178,"Mais barato",IF(M178&gt;G178,"Mais caro","Igual")))</f>
        <v/>
      </c>
      <c r="R178" s="10" t="n"/>
    </row>
    <row r="179">
      <c r="A179" s="9" t="n">
        <v>6561</v>
      </c>
      <c r="B179" s="10" t="inlineStr">
        <is>
          <t>CONTRACEP SUS INJ 1 FA X 1ML</t>
        </is>
      </c>
      <c r="C179" s="10" t="inlineStr">
        <is>
          <t>RX</t>
        </is>
      </c>
      <c r="D179" s="9" t="inlineStr">
        <is>
          <t>A</t>
        </is>
      </c>
      <c r="E179" s="9" t="n">
        <v>12</v>
      </c>
      <c r="F179" s="9" t="n">
        <v>1</v>
      </c>
      <c r="G179" s="11" t="n">
        <v>23.94</v>
      </c>
      <c r="H179" s="10" t="inlineStr">
        <is>
          <t>SC DISTRIBUICAO LTDA</t>
        </is>
      </c>
      <c r="I179" s="12" t="inlineStr">
        <is>
          <t>7894916502900</t>
        </is>
      </c>
      <c r="J179" s="10" t="inlineStr">
        <is>
          <t>CONTRACEP 150MG SOLUCAO INJETAVEL C/1 AMPOLA 1ML</t>
        </is>
      </c>
      <c r="K179" s="11" t="n">
        <v>25.47</v>
      </c>
      <c r="L179" s="13" t="n">
        <v>0</v>
      </c>
      <c r="M179" s="11">
        <f>IF(K179="","",ROUND(K179*(1-L179),2))</f>
        <v/>
      </c>
      <c r="N179" s="9" t="n">
        <v>3337</v>
      </c>
      <c r="O179" s="14">
        <f>IF(OR(M179="",R179&lt;&gt;""),"",M179/G179-1)</f>
        <v/>
      </c>
      <c r="P179" s="11">
        <f>IF(OR(M179="",R179&lt;&gt;""),"",(G179-M179)*E179)</f>
        <v/>
      </c>
      <c r="Q179" s="9">
        <f>IF(R179&lt;&gt;"","—",IF(M179&lt;G179,"Mais barato",IF(M179&gt;G179,"Mais caro","Igual")))</f>
        <v/>
      </c>
      <c r="R179" s="10" t="n"/>
    </row>
    <row r="180">
      <c r="A180" s="9" t="n">
        <v>90721</v>
      </c>
      <c r="B180" s="10" t="inlineStr">
        <is>
          <t>COQUES 200MG CX 10 CAP</t>
        </is>
      </c>
      <c r="C180" s="10" t="inlineStr">
        <is>
          <t>RX</t>
        </is>
      </c>
      <c r="D180" s="9" t="inlineStr">
        <is>
          <t>B</t>
        </is>
      </c>
      <c r="E180" s="9" t="n">
        <v>2</v>
      </c>
      <c r="F180" s="9" t="n">
        <v>1</v>
      </c>
      <c r="G180" s="11" t="n">
        <v>34.79</v>
      </c>
      <c r="H180" s="10" t="inlineStr">
        <is>
          <t>SC DISTRIBUICAO LTDA</t>
        </is>
      </c>
      <c r="I180" s="12" t="inlineStr">
        <is>
          <t>7891317137557</t>
        </is>
      </c>
      <c r="J180" s="10" t="inlineStr">
        <is>
          <t>COQUES 200MG C/10 CAPSULAS C1</t>
        </is>
      </c>
      <c r="K180" s="11" t="n">
        <v>34.56</v>
      </c>
      <c r="L180" s="13" t="n">
        <v>0.04</v>
      </c>
      <c r="M180" s="11">
        <f>IF(K180="","",ROUND(K180*(1-L180),2))</f>
        <v/>
      </c>
      <c r="N180" s="9" t="n">
        <v>341</v>
      </c>
      <c r="O180" s="14">
        <f>IF(OR(M180="",R180&lt;&gt;""),"",M180/G180-1)</f>
        <v/>
      </c>
      <c r="P180" s="11">
        <f>IF(OR(M180="",R180&lt;&gt;""),"",(G180-M180)*E180)</f>
        <v/>
      </c>
      <c r="Q180" s="9">
        <f>IF(R180&lt;&gt;"","—",IF(M180&lt;G180,"Mais barato",IF(M180&gt;G180,"Mais caro","Igual")))</f>
        <v/>
      </c>
      <c r="R180" s="10" t="n"/>
    </row>
    <row r="181">
      <c r="A181" s="9" t="n">
        <v>550981</v>
      </c>
      <c r="B181" s="10" t="inlineStr">
        <is>
          <t>COREGA FRASCO 22G PÓ FIXADOR DE DENTADURA MENTA</t>
        </is>
      </c>
      <c r="C181" s="10" t="inlineStr">
        <is>
          <t>RX</t>
        </is>
      </c>
      <c r="D181" s="9" t="inlineStr">
        <is>
          <t>A</t>
        </is>
      </c>
      <c r="E181" s="9" t="n">
        <v>9</v>
      </c>
      <c r="F181" s="9" t="n">
        <v>1</v>
      </c>
      <c r="G181" s="11" t="n">
        <v>19.19</v>
      </c>
      <c r="H181" s="10" t="inlineStr">
        <is>
          <t>SC DISTRIBUICAO LTDA</t>
        </is>
      </c>
      <c r="I181" s="12" t="inlineStr">
        <is>
          <t>7896015519636</t>
        </is>
      </c>
      <c r="J181" s="10" t="inlineStr">
        <is>
          <t>COREGA PO FIXADOR DE DENTADURA 22G</t>
        </is>
      </c>
      <c r="K181" s="11" t="n">
        <v>19.18</v>
      </c>
      <c r="L181" s="13" t="n">
        <v>0</v>
      </c>
      <c r="M181" s="11">
        <f>IF(K181="","",ROUND(K181*(1-L181),2))</f>
        <v/>
      </c>
      <c r="N181" s="9" t="n">
        <v>1827</v>
      </c>
      <c r="O181" s="14">
        <f>IF(OR(M181="",R181&lt;&gt;""),"",M181/G181-1)</f>
        <v/>
      </c>
      <c r="P181" s="11">
        <f>IF(OR(M181="",R181&lt;&gt;""),"",(G181-M181)*E181)</f>
        <v/>
      </c>
      <c r="Q181" s="9">
        <f>IF(R181&lt;&gt;"","—",IF(M181&lt;G181,"Mais barato",IF(M181&gt;G181,"Mais caro","Igual")))</f>
        <v/>
      </c>
      <c r="R181" s="10" t="n"/>
    </row>
    <row r="182">
      <c r="A182" s="9" t="n">
        <v>550761</v>
      </c>
      <c r="B182" s="10" t="inlineStr">
        <is>
          <t>COREGA PO UNITARIO 22G - MENTA (FRAÇÃO)</t>
        </is>
      </c>
      <c r="C182" s="10" t="inlineStr">
        <is>
          <t>RX</t>
        </is>
      </c>
      <c r="D182" s="9" t="inlineStr">
        <is>
          <t>C</t>
        </is>
      </c>
      <c r="E182" s="9" t="n">
        <v>1</v>
      </c>
      <c r="F182" s="9" t="n">
        <v>3</v>
      </c>
      <c r="G182" s="11" t="n">
        <v>46.732</v>
      </c>
      <c r="H182" s="10" t="inlineStr">
        <is>
          <t>SC DISTRIBUICAO LTDA</t>
        </is>
      </c>
      <c r="I182" s="12" t="n"/>
      <c r="J182" s="10" t="n"/>
      <c r="K182" s="11" t="n"/>
      <c r="L182" s="13" t="n"/>
      <c r="M182" s="11">
        <f>IF(K182="","",ROUND(K182*(1-L182),2))</f>
        <v/>
      </c>
      <c r="N182" s="9" t="n"/>
      <c r="O182" s="14">
        <f>IF(OR(M182="",R182&lt;&gt;""),"",M182/G182-1)</f>
        <v/>
      </c>
      <c r="P182" s="11">
        <f>IF(OR(M182="",R182&lt;&gt;""),"",(G182-M182)*E182)</f>
        <v/>
      </c>
      <c r="Q182" s="9">
        <f>IF(R182&lt;&gt;"","—",IF(M182&lt;G182,"Mais barato",IF(M182&gt;G182,"Mais caro","Igual")))</f>
        <v/>
      </c>
      <c r="R182" s="10" t="inlineStr">
        <is>
          <t>Não encontrado</t>
        </is>
      </c>
    </row>
    <row r="183">
      <c r="A183" s="9" t="n">
        <v>673911</v>
      </c>
      <c r="B183" s="10" t="inlineStr">
        <is>
          <t>COREGA PO UNITARIO 22G - SEM SABOR</t>
        </is>
      </c>
      <c r="C183" s="10" t="inlineStr">
        <is>
          <t>RX</t>
        </is>
      </c>
      <c r="D183" s="9" t="inlineStr">
        <is>
          <t>B</t>
        </is>
      </c>
      <c r="E183" s="9" t="n">
        <v>1</v>
      </c>
      <c r="F183" s="9" t="n">
        <v>1</v>
      </c>
      <c r="G183" s="11" t="n">
        <v>23.64</v>
      </c>
      <c r="H183" s="10" t="inlineStr">
        <is>
          <t>SC DISTRIBUICAO LTDA</t>
        </is>
      </c>
      <c r="I183" s="12" t="inlineStr">
        <is>
          <t>7896009498268</t>
        </is>
      </c>
      <c r="J183" s="10" t="inlineStr">
        <is>
          <t>COREGA PO FIXADOR DE DENTADURA 3EM1 SEM SABOR 22G</t>
        </is>
      </c>
      <c r="K183" s="11" t="n">
        <v>19.18</v>
      </c>
      <c r="L183" s="13" t="n">
        <v>0</v>
      </c>
      <c r="M183" s="11">
        <f>IF(K183="","",ROUND(K183*(1-L183),2))</f>
        <v/>
      </c>
      <c r="N183" s="9" t="n">
        <v>796</v>
      </c>
      <c r="O183" s="14">
        <f>IF(OR(M183="",R183&lt;&gt;""),"",M183/G183-1)</f>
        <v/>
      </c>
      <c r="P183" s="11">
        <f>IF(OR(M183="",R183&lt;&gt;""),"",(G183-M183)*E183)</f>
        <v/>
      </c>
      <c r="Q183" s="9">
        <f>IF(R183&lt;&gt;"","—",IF(M183&lt;G183,"Mais barato",IF(M183&gt;G183,"Mais caro","Igual")))</f>
        <v/>
      </c>
      <c r="R183" s="10" t="n"/>
    </row>
    <row r="184">
      <c r="A184" s="9" t="n">
        <v>556241</v>
      </c>
      <c r="B184" s="10" t="inlineStr">
        <is>
          <t>COREGA ULTRA CR 8,5G</t>
        </is>
      </c>
      <c r="C184" s="10" t="inlineStr">
        <is>
          <t>RX</t>
        </is>
      </c>
      <c r="D184" s="9" t="inlineStr">
        <is>
          <t>A</t>
        </is>
      </c>
      <c r="E184" s="9" t="n">
        <v>16</v>
      </c>
      <c r="F184" s="9" t="n">
        <v>1</v>
      </c>
      <c r="G184" s="11" t="n">
        <v>12.4356</v>
      </c>
      <c r="H184" s="10" t="inlineStr">
        <is>
          <t>SC DISTRIBUICAO LTDA</t>
        </is>
      </c>
      <c r="I184" s="12" t="inlineStr">
        <is>
          <t>7896015591007</t>
        </is>
      </c>
      <c r="J184" s="10" t="inlineStr">
        <is>
          <t>COREGA ULTRA TRIPLA ACAO SEM SABOR CREME 8,5G</t>
        </is>
      </c>
      <c r="K184" s="11" t="n">
        <v>13.58</v>
      </c>
      <c r="L184" s="13" t="n">
        <v>0</v>
      </c>
      <c r="M184" s="11">
        <f>IF(K184="","",ROUND(K184*(1-L184),2))</f>
        <v/>
      </c>
      <c r="N184" s="9" t="n">
        <v>4351</v>
      </c>
      <c r="O184" s="14">
        <f>IF(OR(M184="",R184&lt;&gt;""),"",M184/G184-1)</f>
        <v/>
      </c>
      <c r="P184" s="11">
        <f>IF(OR(M184="",R184&lt;&gt;""),"",(G184-M184)*E184)</f>
        <v/>
      </c>
      <c r="Q184" s="9">
        <f>IF(R184&lt;&gt;"","—",IF(M184&lt;G184,"Mais barato",IF(M184&gt;G184,"Mais caro","Igual")))</f>
        <v/>
      </c>
      <c r="R184" s="10" t="n"/>
    </row>
    <row r="185">
      <c r="A185" s="9" t="n">
        <v>618941</v>
      </c>
      <c r="B185" s="10" t="inlineStr">
        <is>
          <t>COREGA ULTRA MAX CR 70G</t>
        </is>
      </c>
      <c r="C185" s="10" t="inlineStr">
        <is>
          <t>RX</t>
        </is>
      </c>
      <c r="D185" s="9" t="inlineStr">
        <is>
          <t>B</t>
        </is>
      </c>
      <c r="E185" s="9" t="n">
        <v>1</v>
      </c>
      <c r="F185" s="9" t="n">
        <v>2</v>
      </c>
      <c r="G185" s="11" t="n">
        <v>75.94</v>
      </c>
      <c r="H185" s="10" t="inlineStr">
        <is>
          <t>SC DISTRIBUICAO LTDA</t>
        </is>
      </c>
      <c r="I185" s="12" t="inlineStr">
        <is>
          <t>7896015525804</t>
        </is>
      </c>
      <c r="J185" s="10" t="inlineStr">
        <is>
          <t>COREGA ULTRA FIXADOR DE DENTADURA SEM SABOR CREME 70G</t>
        </is>
      </c>
      <c r="K185" s="11" t="n">
        <v>72.3</v>
      </c>
      <c r="L185" s="13" t="n">
        <v>0</v>
      </c>
      <c r="M185" s="11">
        <f>IF(K185="","",ROUND(K185*(1-L185),2))</f>
        <v/>
      </c>
      <c r="N185" s="9" t="n">
        <v>184</v>
      </c>
      <c r="O185" s="14">
        <f>IF(OR(M185="",R185&lt;&gt;""),"",M185/G185-1)</f>
        <v/>
      </c>
      <c r="P185" s="11">
        <f>IF(OR(M185="",R185&lt;&gt;""),"",(G185-M185)*E185)</f>
        <v/>
      </c>
      <c r="Q185" s="9">
        <f>IF(R185&lt;&gt;"","—",IF(M185&lt;G185,"Mais barato",IF(M185&gt;G185,"Mais caro","Igual")))</f>
        <v/>
      </c>
      <c r="R185" s="10" t="n"/>
    </row>
    <row r="186">
      <c r="A186" s="9" t="n">
        <v>609631</v>
      </c>
      <c r="B186" s="10" t="inlineStr">
        <is>
          <t>CORISTINA D PRO 400+4+4MG BL 8 COMP</t>
        </is>
      </c>
      <c r="C186" s="10" t="inlineStr">
        <is>
          <t>RX - OTC</t>
        </is>
      </c>
      <c r="D186" s="9" t="inlineStr">
        <is>
          <t>A</t>
        </is>
      </c>
      <c r="E186" s="9" t="n">
        <v>4</v>
      </c>
      <c r="F186" s="9" t="n">
        <v>1</v>
      </c>
      <c r="G186" s="11" t="n">
        <v>16.538</v>
      </c>
      <c r="H186" s="10" t="inlineStr">
        <is>
          <t>SB COMERCIO LTDA 0179-15</t>
        </is>
      </c>
      <c r="I186" s="12" t="inlineStr">
        <is>
          <t>7891142982155</t>
        </is>
      </c>
      <c r="J186" s="10" t="inlineStr">
        <is>
          <t>CORISTINA D PRO 400MG 4MG 4MG C/8 COMPRIMIDOS</t>
        </is>
      </c>
      <c r="K186" s="11" t="n">
        <v>18.56</v>
      </c>
      <c r="L186" s="13" t="n">
        <v>0.035</v>
      </c>
      <c r="M186" s="11">
        <f>IF(K186="","",ROUND(K186*(1-L186),2))</f>
        <v/>
      </c>
      <c r="N186" s="9" t="n">
        <v>22</v>
      </c>
      <c r="O186" s="14">
        <f>IF(OR(M186="",R186&lt;&gt;""),"",M186/G186-1)</f>
        <v/>
      </c>
      <c r="P186" s="11">
        <f>IF(OR(M186="",R186&lt;&gt;""),"",(G186-M186)*E186)</f>
        <v/>
      </c>
      <c r="Q186" s="9">
        <f>IF(R186&lt;&gt;"","—",IF(M186&lt;G186,"Mais barato",IF(M186&gt;G186,"Mais caro","Igual")))</f>
        <v/>
      </c>
      <c r="R186" s="10" t="n"/>
    </row>
    <row r="187">
      <c r="A187" s="9" t="n">
        <v>637061</v>
      </c>
      <c r="B187" s="10" t="inlineStr">
        <is>
          <t>CORISTINA D PRO 400+4+4MG CX 16 COMP</t>
        </is>
      </c>
      <c r="C187" s="10" t="inlineStr">
        <is>
          <t>RX - OTC</t>
        </is>
      </c>
      <c r="D187" s="9" t="inlineStr">
        <is>
          <t>B</t>
        </is>
      </c>
      <c r="E187" s="9" t="n">
        <v>4</v>
      </c>
      <c r="F187" s="9" t="n">
        <v>1</v>
      </c>
      <c r="G187" s="11" t="n">
        <v>28.605</v>
      </c>
      <c r="H187" s="10" t="inlineStr">
        <is>
          <t>SC DISTRIBUICAO LTDA</t>
        </is>
      </c>
      <c r="I187" s="12" t="inlineStr">
        <is>
          <t>7891142982100</t>
        </is>
      </c>
      <c r="J187" s="10" t="inlineStr">
        <is>
          <t>CORISTINA D PRO 400MG 4MG 4MG C/16 COMPRIMIDOS</t>
        </is>
      </c>
      <c r="K187" s="11" t="n">
        <v>32.4</v>
      </c>
      <c r="L187" s="13" t="n">
        <v>0.035</v>
      </c>
      <c r="M187" s="11">
        <f>IF(K187="","",ROUND(K187*(1-L187),2))</f>
        <v/>
      </c>
      <c r="N187" s="9" t="n">
        <v>97</v>
      </c>
      <c r="O187" s="14">
        <f>IF(OR(M187="",R187&lt;&gt;""),"",M187/G187-1)</f>
        <v/>
      </c>
      <c r="P187" s="11">
        <f>IF(OR(M187="",R187&lt;&gt;""),"",(G187-M187)*E187)</f>
        <v/>
      </c>
      <c r="Q187" s="9">
        <f>IF(R187&lt;&gt;"","—",IF(M187&lt;G187,"Mais barato",IF(M187&gt;G187,"Mais caro","Igual")))</f>
        <v/>
      </c>
      <c r="R187" s="10" t="n"/>
    </row>
    <row r="188">
      <c r="A188" s="9" t="n">
        <v>287021</v>
      </c>
      <c r="B188" s="10" t="inlineStr">
        <is>
          <t>CORUS H 50/12,5MG CX 30 COMP</t>
        </is>
      </c>
      <c r="C188" s="10" t="inlineStr">
        <is>
          <t>RX</t>
        </is>
      </c>
      <c r="D188" s="9" t="inlineStr">
        <is>
          <t>B</t>
        </is>
      </c>
      <c r="E188" s="9" t="n">
        <v>1</v>
      </c>
      <c r="F188" s="9" t="n">
        <v>1</v>
      </c>
      <c r="G188" s="11" t="n">
        <v>52.855</v>
      </c>
      <c r="H188" s="10" t="inlineStr">
        <is>
          <t>SC DISTRIBUICAO LTDA</t>
        </is>
      </c>
      <c r="I188" s="12" t="inlineStr">
        <is>
          <t>7896181900115</t>
        </is>
      </c>
      <c r="J188" s="10" t="inlineStr">
        <is>
          <t>CORUS H 50/12,5MG C/30 COMPRIMIDOS</t>
        </is>
      </c>
      <c r="K188" s="11" t="n">
        <v>55.55</v>
      </c>
      <c r="L188" s="13" t="n">
        <v>0.05</v>
      </c>
      <c r="M188" s="11">
        <f>IF(K188="","",ROUND(K188*(1-L188),2))</f>
        <v/>
      </c>
      <c r="N188" s="9" t="n">
        <v>294</v>
      </c>
      <c r="O188" s="14">
        <f>IF(OR(M188="",R188&lt;&gt;""),"",M188/G188-1)</f>
        <v/>
      </c>
      <c r="P188" s="11">
        <f>IF(OR(M188="",R188&lt;&gt;""),"",(G188-M188)*E188)</f>
        <v/>
      </c>
      <c r="Q188" s="9">
        <f>IF(R188&lt;&gt;"","—",IF(M188&lt;G188,"Mais barato",IF(M188&gt;G188,"Mais caro","Igual")))</f>
        <v/>
      </c>
      <c r="R188" s="10" t="n"/>
    </row>
    <row r="189">
      <c r="A189" s="9" t="n">
        <v>610121</v>
      </c>
      <c r="B189" s="10" t="inlineStr">
        <is>
          <t>CR DEN COLGATE PERIOGARD 60G</t>
        </is>
      </c>
      <c r="C189" s="10" t="inlineStr">
        <is>
          <t>RX</t>
        </is>
      </c>
      <c r="D189" s="9" t="inlineStr">
        <is>
          <t>A</t>
        </is>
      </c>
      <c r="E189" s="9" t="n">
        <v>5</v>
      </c>
      <c r="F189" s="9" t="n">
        <v>1</v>
      </c>
      <c r="G189" s="11" t="n">
        <v>12.0075</v>
      </c>
      <c r="H189" s="10" t="inlineStr">
        <is>
          <t>SC DISTRIBUICAO LTDA</t>
        </is>
      </c>
      <c r="I189" s="12" t="inlineStr">
        <is>
          <t>7509546675862</t>
        </is>
      </c>
      <c r="J189" s="10" t="inlineStr">
        <is>
          <t>CREME DENTAL COLGATE PERIOGARD GENGIVA SAUDAVEL SABOR HORTELA 60G</t>
        </is>
      </c>
      <c r="K189" s="11" t="n">
        <v>11.65</v>
      </c>
      <c r="L189" s="13" t="n">
        <v>0</v>
      </c>
      <c r="M189" s="11">
        <f>IF(K189="","",ROUND(K189*(1-L189),2))</f>
        <v/>
      </c>
      <c r="N189" s="9" t="n">
        <v>1678</v>
      </c>
      <c r="O189" s="14">
        <f>IF(OR(M189="",R189&lt;&gt;""),"",M189/G189-1)</f>
        <v/>
      </c>
      <c r="P189" s="11">
        <f>IF(OR(M189="",R189&lt;&gt;""),"",(G189-M189)*E189)</f>
        <v/>
      </c>
      <c r="Q189" s="9">
        <f>IF(R189&lt;&gt;"","—",IF(M189&lt;G189,"Mais barato",IF(M189&gt;G189,"Mais caro","Igual")))</f>
        <v/>
      </c>
      <c r="R189" s="10" t="n"/>
    </row>
    <row r="190">
      <c r="A190" s="9" t="n">
        <v>615281</v>
      </c>
      <c r="B190" s="10" t="inlineStr">
        <is>
          <t>CR FACIAL NIVEA HIDRAT ACNE CONTROL 50G</t>
        </is>
      </c>
      <c r="C190" s="10" t="inlineStr">
        <is>
          <t>RX - DERMO</t>
        </is>
      </c>
      <c r="D190" s="9" t="inlineStr">
        <is>
          <t>B</t>
        </is>
      </c>
      <c r="E190" s="9" t="n">
        <v>1</v>
      </c>
      <c r="F190" s="9" t="n">
        <v>1</v>
      </c>
      <c r="G190" s="11" t="n">
        <v>35.3</v>
      </c>
      <c r="H190" s="10" t="inlineStr">
        <is>
          <t>SC DISTRIBUICAO LTDA</t>
        </is>
      </c>
      <c r="I190" s="12" t="inlineStr">
        <is>
          <t>4005900945693</t>
        </is>
      </c>
      <c r="J190" s="10" t="inlineStr">
        <is>
          <t>HIDRATANTE ACNE CONTROL NIVEA 50ML</t>
        </is>
      </c>
      <c r="K190" s="11" t="n">
        <v>37.12</v>
      </c>
      <c r="L190" s="13" t="n">
        <v>0</v>
      </c>
      <c r="M190" s="11">
        <f>IF(K190="","",ROUND(K190*(1-L190),2))</f>
        <v/>
      </c>
      <c r="N190" s="9" t="n">
        <v>37</v>
      </c>
      <c r="O190" s="14">
        <f>IF(OR(M190="",R190&lt;&gt;""),"",M190/G190-1)</f>
        <v/>
      </c>
      <c r="P190" s="11">
        <f>IF(OR(M190="",R190&lt;&gt;""),"",(G190-M190)*E190)</f>
        <v/>
      </c>
      <c r="Q190" s="9">
        <f>IF(R190&lt;&gt;"","—",IF(M190&lt;G190,"Mais barato",IF(M190&gt;G190,"Mais caro","Igual")))</f>
        <v/>
      </c>
      <c r="R190" s="10" t="n"/>
    </row>
    <row r="191">
      <c r="A191" s="9" t="n">
        <v>597201</v>
      </c>
      <c r="B191" s="10" t="inlineStr">
        <is>
          <t>CR FACIAL NIVEA HIDRAT EM GEL FRESH 100ML</t>
        </is>
      </c>
      <c r="C191" s="10" t="inlineStr">
        <is>
          <t>RX - DERMO</t>
        </is>
      </c>
      <c r="D191" s="9" t="inlineStr">
        <is>
          <t>B</t>
        </is>
      </c>
      <c r="E191" s="9" t="n">
        <v>2</v>
      </c>
      <c r="F191" s="9" t="n">
        <v>1</v>
      </c>
      <c r="G191" s="11" t="n">
        <v>29.99</v>
      </c>
      <c r="H191" s="10" t="inlineStr">
        <is>
          <t>SC DISTRIBUICAO LTDA</t>
        </is>
      </c>
      <c r="I191" s="12" t="n"/>
      <c r="J191" s="10" t="n"/>
      <c r="K191" s="11" t="n"/>
      <c r="L191" s="13" t="n"/>
      <c r="M191" s="11">
        <f>IF(K191="","",ROUND(K191*(1-L191),2))</f>
        <v/>
      </c>
      <c r="N191" s="9" t="n"/>
      <c r="O191" s="14">
        <f>IF(OR(M191="",R191&lt;&gt;""),"",M191/G191-1)</f>
        <v/>
      </c>
      <c r="P191" s="11">
        <f>IF(OR(M191="",R191&lt;&gt;""),"",(G191-M191)*E191)</f>
        <v/>
      </c>
      <c r="Q191" s="9">
        <f>IF(R191&lt;&gt;"","—",IF(M191&lt;G191,"Mais barato",IF(M191&gt;G191,"Mais caro","Igual")))</f>
        <v/>
      </c>
      <c r="R191" s="10" t="inlineStr">
        <is>
          <t>Não encontrado</t>
        </is>
      </c>
    </row>
    <row r="192">
      <c r="A192" s="9" t="n">
        <v>594521</v>
      </c>
      <c r="B192" s="10" t="inlineStr">
        <is>
          <t>CR FACIAL NIVEA NUTRITIVO 100G</t>
        </is>
      </c>
      <c r="C192" s="10" t="inlineStr">
        <is>
          <t>RX - DERMO</t>
        </is>
      </c>
      <c r="D192" s="9" t="inlineStr">
        <is>
          <t>A</t>
        </is>
      </c>
      <c r="E192" s="9" t="n">
        <v>4</v>
      </c>
      <c r="F192" s="9" t="n">
        <v>1</v>
      </c>
      <c r="G192" s="11" t="n">
        <v>23.392</v>
      </c>
      <c r="H192" s="10" t="inlineStr">
        <is>
          <t>SC DISTRIBUICAO LTDA</t>
        </is>
      </c>
      <c r="I192" s="12" t="inlineStr">
        <is>
          <t>42360407</t>
        </is>
      </c>
      <c r="J192" s="10" t="inlineStr">
        <is>
          <t>CREME FACIAL NUTRITIVO 5 EM 1 NIVEA 100G</t>
        </is>
      </c>
      <c r="K192" s="11" t="n">
        <v>26.14</v>
      </c>
      <c r="L192" s="13" t="n">
        <v>0</v>
      </c>
      <c r="M192" s="11">
        <f>IF(K192="","",ROUND(K192*(1-L192),2))</f>
        <v/>
      </c>
      <c r="N192" s="9" t="n">
        <v>580</v>
      </c>
      <c r="O192" s="14">
        <f>IF(OR(M192="",R192&lt;&gt;""),"",M192/G192-1)</f>
        <v/>
      </c>
      <c r="P192" s="11">
        <f>IF(OR(M192="",R192&lt;&gt;""),"",(G192-M192)*E192)</f>
        <v/>
      </c>
      <c r="Q192" s="9">
        <f>IF(R192&lt;&gt;"","—",IF(M192&lt;G192,"Mais barato",IF(M192&gt;G192,"Mais caro","Igual")))</f>
        <v/>
      </c>
      <c r="R192" s="10" t="n"/>
    </row>
    <row r="193">
      <c r="A193" s="9" t="n">
        <v>556501</v>
      </c>
      <c r="B193" s="10" t="inlineStr">
        <is>
          <t>CR NIVEA 29G</t>
        </is>
      </c>
      <c r="C193" s="10" t="inlineStr">
        <is>
          <t>RX - DERMO</t>
        </is>
      </c>
      <c r="D193" s="9" t="inlineStr">
        <is>
          <t>A</t>
        </is>
      </c>
      <c r="E193" s="9" t="n">
        <v>19</v>
      </c>
      <c r="F193" s="9" t="n">
        <v>1</v>
      </c>
      <c r="G193" s="11" t="n">
        <v>14.24</v>
      </c>
      <c r="H193" s="10" t="inlineStr">
        <is>
          <t>SC DISTRIBUICAO LTDA</t>
        </is>
      </c>
      <c r="I193" s="12" t="inlineStr">
        <is>
          <t>42277217</t>
        </is>
      </c>
      <c r="J193" s="10" t="inlineStr">
        <is>
          <t>CREME HIDRATANTE NIVEA LATA 29G</t>
        </is>
      </c>
      <c r="K193" s="11" t="n">
        <v>11.93</v>
      </c>
      <c r="L193" s="13" t="n">
        <v>0</v>
      </c>
      <c r="M193" s="11">
        <f>IF(K193="","",ROUND(K193*(1-L193),2))</f>
        <v/>
      </c>
      <c r="N193" s="9" t="n">
        <v>6376</v>
      </c>
      <c r="O193" s="14">
        <f>IF(OR(M193="",R193&lt;&gt;""),"",M193/G193-1)</f>
        <v/>
      </c>
      <c r="P193" s="11">
        <f>IF(OR(M193="",R193&lt;&gt;""),"",(G193-M193)*E193)</f>
        <v/>
      </c>
      <c r="Q193" s="9">
        <f>IF(R193&lt;&gt;"","—",IF(M193&lt;G193,"Mais barato",IF(M193&gt;G193,"Mais caro","Igual")))</f>
        <v/>
      </c>
      <c r="R193" s="10" t="n"/>
    </row>
    <row r="194">
      <c r="A194" s="9" t="n">
        <v>576481</v>
      </c>
      <c r="B194" s="10" t="inlineStr">
        <is>
          <t>CR NIVEA SOFT HIDRAT.97G</t>
        </is>
      </c>
      <c r="C194" s="10" t="inlineStr">
        <is>
          <t>RX - DERMO</t>
        </is>
      </c>
      <c r="D194" s="9" t="inlineStr">
        <is>
          <t>B</t>
        </is>
      </c>
      <c r="E194" s="9" t="n">
        <v>2</v>
      </c>
      <c r="F194" s="9" t="n">
        <v>1</v>
      </c>
      <c r="G194" s="11" t="n">
        <v>29.8083</v>
      </c>
      <c r="H194" s="10" t="inlineStr">
        <is>
          <t>SC DISTRIBUICAO LTDA</t>
        </is>
      </c>
      <c r="I194" s="12" t="inlineStr">
        <is>
          <t>4005808890590</t>
        </is>
      </c>
      <c r="J194" s="10" t="inlineStr">
        <is>
          <t>CREME HIDRATANTE SOFT ROSTO CORPO E MAO NIVEA POTE 97G</t>
        </is>
      </c>
      <c r="K194" s="11" t="n">
        <v>26.44</v>
      </c>
      <c r="L194" s="13" t="n">
        <v>0</v>
      </c>
      <c r="M194" s="11">
        <f>IF(K194="","",ROUND(K194*(1-L194),2))</f>
        <v/>
      </c>
      <c r="N194" s="9" t="n">
        <v>81</v>
      </c>
      <c r="O194" s="14">
        <f>IF(OR(M194="",R194&lt;&gt;""),"",M194/G194-1)</f>
        <v/>
      </c>
      <c r="P194" s="11">
        <f>IF(OR(M194="",R194&lt;&gt;""),"",(G194-M194)*E194)</f>
        <v/>
      </c>
      <c r="Q194" s="9">
        <f>IF(R194&lt;&gt;"","—",IF(M194&lt;G194,"Mais barato",IF(M194&gt;G194,"Mais caro","Igual")))</f>
        <v/>
      </c>
      <c r="R194" s="10" t="n"/>
    </row>
    <row r="195">
      <c r="A195" s="9" t="n">
        <v>413841</v>
      </c>
      <c r="B195" s="10" t="inlineStr">
        <is>
          <t>CREMEFENERGAN 20MG/G CREM DERM BG 30G</t>
        </is>
      </c>
      <c r="C195" s="10" t="inlineStr">
        <is>
          <t>RX</t>
        </is>
      </c>
      <c r="D195" s="9" t="inlineStr">
        <is>
          <t>C</t>
        </is>
      </c>
      <c r="E195" s="9" t="n">
        <v>1</v>
      </c>
      <c r="F195" s="9" t="n">
        <v>1</v>
      </c>
      <c r="G195" s="11" t="n">
        <v>19.0733</v>
      </c>
      <c r="H195" s="10" t="inlineStr">
        <is>
          <t>SB COMERCIO LTDA 0179-15</t>
        </is>
      </c>
      <c r="I195" s="12" t="n"/>
      <c r="J195" s="10" t="n"/>
      <c r="K195" s="11" t="n"/>
      <c r="L195" s="13" t="n"/>
      <c r="M195" s="11">
        <f>IF(K195="","",ROUND(K195*(1-L195),2))</f>
        <v/>
      </c>
      <c r="N195" s="9" t="n"/>
      <c r="O195" s="14">
        <f>IF(OR(M195="",R195&lt;&gt;""),"",M195/G195-1)</f>
        <v/>
      </c>
      <c r="P195" s="11">
        <f>IF(OR(M195="",R195&lt;&gt;""),"",(G195-M195)*E195)</f>
        <v/>
      </c>
      <c r="Q195" s="9">
        <f>IF(R195&lt;&gt;"","—",IF(M195&lt;G195,"Mais barato",IF(M195&gt;G195,"Mais caro","Igual")))</f>
        <v/>
      </c>
      <c r="R195" s="10" t="inlineStr">
        <is>
          <t>Não encontrado</t>
        </is>
      </c>
    </row>
    <row r="196">
      <c r="A196" s="9" t="n">
        <v>463461</v>
      </c>
      <c r="B196" s="10" t="inlineStr">
        <is>
          <t>CREVAGIN 30+20MG CREM VAG BG X 40G +7APLIC</t>
        </is>
      </c>
      <c r="C196" s="10" t="inlineStr">
        <is>
          <t>RX - SIMILAR - ATB</t>
        </is>
      </c>
      <c r="D196" s="9" t="inlineStr">
        <is>
          <t>A</t>
        </is>
      </c>
      <c r="E196" s="9" t="n">
        <v>3</v>
      </c>
      <c r="F196" s="9" t="n">
        <v>1</v>
      </c>
      <c r="G196" s="11" t="n">
        <v>38.8</v>
      </c>
      <c r="H196" s="10" t="inlineStr">
        <is>
          <t>SC DISTRIBUICAO LTDA</t>
        </is>
      </c>
      <c r="I196" s="12" t="inlineStr">
        <is>
          <t>7891317136468</t>
        </is>
      </c>
      <c r="J196" s="10" t="inlineStr">
        <is>
          <t>CREVAGIN CREME VAGINAL C/7 APLICADORES</t>
        </is>
      </c>
      <c r="K196" s="11" t="n">
        <v>39.63</v>
      </c>
      <c r="L196" s="13" t="n">
        <v>0.04</v>
      </c>
      <c r="M196" s="11">
        <f>IF(K196="","",ROUND(K196*(1-L196),2))</f>
        <v/>
      </c>
      <c r="N196" s="9" t="n">
        <v>599</v>
      </c>
      <c r="O196" s="14">
        <f>IF(OR(M196="",R196&lt;&gt;""),"",M196/G196-1)</f>
        <v/>
      </c>
      <c r="P196" s="11">
        <f>IF(OR(M196="",R196&lt;&gt;""),"",(G196-M196)*E196)</f>
        <v/>
      </c>
      <c r="Q196" s="9">
        <f>IF(R196&lt;&gt;"","—",IF(M196&lt;G196,"Mais barato",IF(M196&gt;G196,"Mais caro","Igual")))</f>
        <v/>
      </c>
      <c r="R196" s="10" t="n"/>
    </row>
    <row r="197">
      <c r="A197" s="9" t="n">
        <v>605281</v>
      </c>
      <c r="B197" s="10" t="inlineStr">
        <is>
          <t>CULTURELLE PROBIOTICO CX 30 SACHES</t>
        </is>
      </c>
      <c r="C197" s="10" t="inlineStr">
        <is>
          <t>RX - OTC</t>
        </is>
      </c>
      <c r="D197" s="9" t="inlineStr">
        <is>
          <t>C</t>
        </is>
      </c>
      <c r="E197" s="9" t="n">
        <v>1</v>
      </c>
      <c r="F197" s="9" t="n">
        <v>1</v>
      </c>
      <c r="G197" s="11" t="n">
        <v>181.57</v>
      </c>
      <c r="H197" s="10" t="inlineStr">
        <is>
          <t>SC DISTRIBUICAO LTDA</t>
        </is>
      </c>
      <c r="I197" s="12" t="n"/>
      <c r="J197" s="10" t="n"/>
      <c r="K197" s="11" t="n"/>
      <c r="L197" s="13" t="n"/>
      <c r="M197" s="11">
        <f>IF(K197="","",ROUND(K197*(1-L197),2))</f>
        <v/>
      </c>
      <c r="N197" s="9" t="n"/>
      <c r="O197" s="14">
        <f>IF(OR(M197="",R197&lt;&gt;""),"",M197/G197-1)</f>
        <v/>
      </c>
      <c r="P197" s="11">
        <f>IF(OR(M197="",R197&lt;&gt;""),"",(G197-M197)*E197)</f>
        <v/>
      </c>
      <c r="Q197" s="9">
        <f>IF(R197&lt;&gt;"","—",IF(M197&lt;G197,"Mais barato",IF(M197&gt;G197,"Mais caro","Igual")))</f>
        <v/>
      </c>
      <c r="R197" s="10" t="inlineStr">
        <is>
          <t>Não encontrado</t>
        </is>
      </c>
    </row>
    <row r="198">
      <c r="A198" s="9" t="n">
        <v>626861</v>
      </c>
      <c r="B198" s="10" t="inlineStr">
        <is>
          <t>CULTURELLE PROBIOTICO CX 6 SACHES</t>
        </is>
      </c>
      <c r="C198" s="10" t="inlineStr">
        <is>
          <t>RX - OTC</t>
        </is>
      </c>
      <c r="D198" s="9" t="inlineStr">
        <is>
          <t>C</t>
        </is>
      </c>
      <c r="E198" s="9" t="n">
        <v>1</v>
      </c>
      <c r="F198" s="9" t="n">
        <v>1</v>
      </c>
      <c r="G198" s="11" t="n">
        <v>42.06</v>
      </c>
      <c r="H198" s="10" t="inlineStr">
        <is>
          <t>SC DISTRIBUICAO LTDA</t>
        </is>
      </c>
      <c r="I198" s="12" t="n"/>
      <c r="J198" s="10" t="n"/>
      <c r="K198" s="11" t="n"/>
      <c r="L198" s="13" t="n"/>
      <c r="M198" s="11">
        <f>IF(K198="","",ROUND(K198*(1-L198),2))</f>
        <v/>
      </c>
      <c r="N198" s="9" t="n"/>
      <c r="O198" s="14">
        <f>IF(OR(M198="",R198&lt;&gt;""),"",M198/G198-1)</f>
        <v/>
      </c>
      <c r="P198" s="11">
        <f>IF(OR(M198="",R198&lt;&gt;""),"",(G198-M198)*E198)</f>
        <v/>
      </c>
      <c r="Q198" s="9">
        <f>IF(R198&lt;&gt;"","—",IF(M198&lt;G198,"Mais barato",IF(M198&gt;G198,"Mais caro","Igual")))</f>
        <v/>
      </c>
      <c r="R198" s="10" t="inlineStr">
        <is>
          <t>Não encontrado</t>
        </is>
      </c>
    </row>
    <row r="199">
      <c r="A199" s="9" t="n">
        <v>651401</v>
      </c>
      <c r="B199" s="10" t="inlineStr">
        <is>
          <t>CUTISANOL BABY CREME 45G-DEMAIS PROD</t>
        </is>
      </c>
      <c r="C199" s="10" t="inlineStr">
        <is>
          <t>RX - DERMO</t>
        </is>
      </c>
      <c r="D199" s="9" t="inlineStr">
        <is>
          <t>C</t>
        </is>
      </c>
      <c r="E199" s="9" t="n">
        <v>1</v>
      </c>
      <c r="F199" s="9" t="n">
        <v>1</v>
      </c>
      <c r="G199" s="11" t="n">
        <v>11.58</v>
      </c>
      <c r="H199" s="10" t="inlineStr">
        <is>
          <t>SC DISTRIBUICAO LTDA</t>
        </is>
      </c>
      <c r="I199" s="12" t="inlineStr">
        <is>
          <t>7896676440508</t>
        </is>
      </c>
      <c r="J199" s="10" t="inlineStr">
        <is>
          <t>CUTISANOL BABY CREME 45G</t>
        </is>
      </c>
      <c r="K199" s="11" t="n">
        <v>15.03</v>
      </c>
      <c r="L199" s="13" t="n">
        <v>0</v>
      </c>
      <c r="M199" s="11">
        <f>IF(K199="","",ROUND(K199*(1-L199),2))</f>
        <v/>
      </c>
      <c r="N199" s="9" t="n">
        <v>116</v>
      </c>
      <c r="O199" s="14">
        <f>IF(OR(M199="",R199&lt;&gt;""),"",M199/G199-1)</f>
        <v/>
      </c>
      <c r="P199" s="11">
        <f>IF(OR(M199="",R199&lt;&gt;""),"",(G199-M199)*E199)</f>
        <v/>
      </c>
      <c r="Q199" s="9">
        <f>IF(R199&lt;&gt;"","—",IF(M199&lt;G199,"Mais barato",IF(M199&gt;G199,"Mais caro","Igual")))</f>
        <v/>
      </c>
      <c r="R199" s="10" t="n"/>
    </row>
    <row r="200">
      <c r="A200" s="9" t="n">
        <v>605211</v>
      </c>
      <c r="B200" s="10" t="inlineStr">
        <is>
          <t>CYCLOFEMINA 25MG+5MG/0,5ML SUS INJ 1 AMP X 0,5ML</t>
        </is>
      </c>
      <c r="C200" s="10" t="inlineStr">
        <is>
          <t>RX</t>
        </is>
      </c>
      <c r="D200" s="9" t="inlineStr">
        <is>
          <t>C</t>
        </is>
      </c>
      <c r="E200" s="9" t="n">
        <v>6</v>
      </c>
      <c r="F200" s="9" t="n">
        <v>1</v>
      </c>
      <c r="G200" s="11" t="n">
        <v>27.9721</v>
      </c>
      <c r="H200" s="10" t="inlineStr">
        <is>
          <t>SC DISTRIBUICAO LTDA</t>
        </is>
      </c>
      <c r="I200" s="12" t="inlineStr">
        <is>
          <t>7896316101424</t>
        </is>
      </c>
      <c r="J200" s="10" t="inlineStr">
        <is>
          <t>CYCLOFEMINA 0,5ML C/1 AMPOLA</t>
        </is>
      </c>
      <c r="K200" s="11" t="n">
        <v>30.66</v>
      </c>
      <c r="L200" s="13" t="n">
        <v>0.1</v>
      </c>
      <c r="M200" s="11">
        <f>IF(K200="","",ROUND(K200*(1-L200),2))</f>
        <v/>
      </c>
      <c r="N200" s="9" t="n"/>
      <c r="O200" s="14">
        <f>IF(OR(M200="",R200&lt;&gt;""),"",M200/G200-1)</f>
        <v/>
      </c>
      <c r="P200" s="11">
        <f>IF(OR(M200="",R200&lt;&gt;""),"",(G200-M200)*E200)</f>
        <v/>
      </c>
      <c r="Q200" s="9">
        <f>IF(R200&lt;&gt;"","—",IF(M200&lt;G200,"Mais barato",IF(M200&gt;G200,"Mais caro","Igual")))</f>
        <v/>
      </c>
      <c r="R200" s="10" t="n"/>
    </row>
    <row r="201">
      <c r="A201" s="9" t="n">
        <v>137481</v>
      </c>
      <c r="B201" s="10" t="inlineStr">
        <is>
          <t>CYLOCORT 3+1MG POM OFT BG 3,5G</t>
        </is>
      </c>
      <c r="C201" s="10" t="inlineStr">
        <is>
          <t>RX - SIMILAR - ATB</t>
        </is>
      </c>
      <c r="D201" s="9" t="inlineStr">
        <is>
          <t>B</t>
        </is>
      </c>
      <c r="E201" s="9" t="n">
        <v>5</v>
      </c>
      <c r="F201" s="9" t="n">
        <v>1</v>
      </c>
      <c r="G201" s="11" t="n">
        <v>28.64</v>
      </c>
      <c r="H201" s="10" t="inlineStr">
        <is>
          <t>SC DISTRIBUICAO LTDA</t>
        </is>
      </c>
      <c r="I201" s="12" t="inlineStr">
        <is>
          <t>7896006225010</t>
        </is>
      </c>
      <c r="J201" s="10" t="inlineStr">
        <is>
          <t>CYLOCORT POMADA OFTALMICA 3.5G</t>
        </is>
      </c>
      <c r="K201" s="11" t="n">
        <v>29.25</v>
      </c>
      <c r="L201" s="13" t="n">
        <v>0.04</v>
      </c>
      <c r="M201" s="11">
        <f>IF(K201="","",ROUND(K201*(1-L201),2))</f>
        <v/>
      </c>
      <c r="N201" s="9" t="n">
        <v>603</v>
      </c>
      <c r="O201" s="14">
        <f>IF(OR(M201="",R201&lt;&gt;""),"",M201/G201-1)</f>
        <v/>
      </c>
      <c r="P201" s="11">
        <f>IF(OR(M201="",R201&lt;&gt;""),"",(G201-M201)*E201)</f>
        <v/>
      </c>
      <c r="Q201" s="9">
        <f>IF(R201&lt;&gt;"","—",IF(M201&lt;G201,"Mais barato",IF(M201&gt;G201,"Mais caro","Igual")))</f>
        <v/>
      </c>
      <c r="R201" s="10" t="n"/>
    </row>
    <row r="202">
      <c r="A202" s="9" t="n">
        <v>226061</v>
      </c>
      <c r="B202" s="10" t="inlineStr">
        <is>
          <t>DAIVOBET 50MCG+0,5MG/G POM DERM BG 30G</t>
        </is>
      </c>
      <c r="C202" s="10" t="inlineStr">
        <is>
          <t>RX</t>
        </is>
      </c>
      <c r="D202" s="9" t="inlineStr">
        <is>
          <t>A</t>
        </is>
      </c>
      <c r="E202" s="9" t="n">
        <v>2</v>
      </c>
      <c r="F202" s="9" t="n">
        <v>1</v>
      </c>
      <c r="G202" s="11" t="n">
        <v>118.39</v>
      </c>
      <c r="H202" s="10" t="inlineStr">
        <is>
          <t>SC DISTRIBUICAO LTDA</t>
        </is>
      </c>
      <c r="I202" s="12" t="inlineStr">
        <is>
          <t>5702191007916</t>
        </is>
      </c>
      <c r="J202" s="10" t="inlineStr">
        <is>
          <t>DAIVOBET POMADA 30G</t>
        </is>
      </c>
      <c r="K202" s="11" t="n">
        <v>117.55</v>
      </c>
      <c r="L202" s="13" t="n">
        <v>0.03</v>
      </c>
      <c r="M202" s="11">
        <f>IF(K202="","",ROUND(K202*(1-L202),2))</f>
        <v/>
      </c>
      <c r="N202" s="9" t="n">
        <v>46</v>
      </c>
      <c r="O202" s="14">
        <f>IF(OR(M202="",R202&lt;&gt;""),"",M202/G202-1)</f>
        <v/>
      </c>
      <c r="P202" s="11">
        <f>IF(OR(M202="",R202&lt;&gt;""),"",(G202-M202)*E202)</f>
        <v/>
      </c>
      <c r="Q202" s="9">
        <f>IF(R202&lt;&gt;"","—",IF(M202&lt;G202,"Mais barato",IF(M202&gt;G202,"Mais caro","Igual")))</f>
        <v/>
      </c>
      <c r="R202" s="10" t="n"/>
    </row>
    <row r="203">
      <c r="A203" s="9" t="n">
        <v>347821</v>
      </c>
      <c r="B203" s="10" t="inlineStr">
        <is>
          <t>DAKTARIN GEL ORAL 20MG/G GEL ORAL BG 40G</t>
        </is>
      </c>
      <c r="C203" s="10" t="inlineStr">
        <is>
          <t>RX</t>
        </is>
      </c>
      <c r="D203" s="9" t="inlineStr">
        <is>
          <t>C</t>
        </is>
      </c>
      <c r="E203" s="9" t="n">
        <v>1</v>
      </c>
      <c r="F203" s="9" t="n">
        <v>1</v>
      </c>
      <c r="G203" s="11" t="n">
        <v>35.785</v>
      </c>
      <c r="H203" s="10" t="inlineStr">
        <is>
          <t>NAZARIA DISTRIBUIDORA DE PRODUTOS FARMACEUTICOS LTDA</t>
        </is>
      </c>
      <c r="I203" s="12" t="n"/>
      <c r="J203" s="10" t="n"/>
      <c r="K203" s="11" t="n"/>
      <c r="L203" s="13" t="n"/>
      <c r="M203" s="11">
        <f>IF(K203="","",ROUND(K203*(1-L203),2))</f>
        <v/>
      </c>
      <c r="N203" s="9" t="n"/>
      <c r="O203" s="14">
        <f>IF(OR(M203="",R203&lt;&gt;""),"",M203/G203-1)</f>
        <v/>
      </c>
      <c r="P203" s="11">
        <f>IF(OR(M203="",R203&lt;&gt;""),"",(G203-M203)*E203)</f>
        <v/>
      </c>
      <c r="Q203" s="9">
        <f>IF(R203&lt;&gt;"","—",IF(M203&lt;G203,"Mais barato",IF(M203&gt;G203,"Mais caro","Igual")))</f>
        <v/>
      </c>
      <c r="R203" s="10" t="inlineStr">
        <is>
          <t>Não encontrado</t>
        </is>
      </c>
    </row>
    <row r="204">
      <c r="A204" s="9" t="n">
        <v>238741</v>
      </c>
      <c r="B204" s="10" t="inlineStr">
        <is>
          <t>DALYNE 3+0,03MG CAIXA C/ 3 CARTELAS</t>
        </is>
      </c>
      <c r="C204" s="10" t="inlineStr">
        <is>
          <t>RX</t>
        </is>
      </c>
      <c r="D204" s="9" t="inlineStr">
        <is>
          <t>B</t>
        </is>
      </c>
      <c r="E204" s="9" t="n">
        <v>1</v>
      </c>
      <c r="F204" s="9" t="n">
        <v>3</v>
      </c>
      <c r="G204" s="11" t="n">
        <v>94.43000000000001</v>
      </c>
      <c r="H204" s="10" t="inlineStr">
        <is>
          <t>SC DISTRIBUICAO LTDA</t>
        </is>
      </c>
      <c r="I204" s="12" t="inlineStr">
        <is>
          <t>7894916509831</t>
        </is>
      </c>
      <c r="J204" s="10" t="inlineStr">
        <is>
          <t>DALYNE C/63 COMPRIMIDOS</t>
        </is>
      </c>
      <c r="K204" s="11" t="n">
        <v>95.65000000000001</v>
      </c>
      <c r="L204" s="13" t="n">
        <v>0</v>
      </c>
      <c r="M204" s="11">
        <f>IF(K204="","",ROUND(K204*(1-L204),2))</f>
        <v/>
      </c>
      <c r="N204" s="9" t="n">
        <v>1</v>
      </c>
      <c r="O204" s="14">
        <f>IF(OR(M204="",R204&lt;&gt;""),"",M204/G204-1)</f>
        <v/>
      </c>
      <c r="P204" s="11">
        <f>IF(OR(M204="",R204&lt;&gt;""),"",(G204-M204)*E204)</f>
        <v/>
      </c>
      <c r="Q204" s="9">
        <f>IF(R204&lt;&gt;"","—",IF(M204&lt;G204,"Mais barato",IF(M204&gt;G204,"Mais caro","Igual")))</f>
        <v/>
      </c>
      <c r="R204" s="10" t="n"/>
    </row>
    <row r="205">
      <c r="A205" s="9" t="n">
        <v>238881</v>
      </c>
      <c r="B205" s="10" t="inlineStr">
        <is>
          <t>DALYNE 3+0,3MG CX 21 COMP REV</t>
        </is>
      </c>
      <c r="C205" s="10" t="inlineStr">
        <is>
          <t>RX</t>
        </is>
      </c>
      <c r="D205" s="9" t="inlineStr">
        <is>
          <t>B</t>
        </is>
      </c>
      <c r="E205" s="9" t="n">
        <v>1</v>
      </c>
      <c r="F205" s="9" t="n">
        <v>1</v>
      </c>
      <c r="G205" s="11" t="n">
        <v>49.35</v>
      </c>
      <c r="H205" s="10" t="inlineStr">
        <is>
          <t>SC DISTRIBUICAO LTDA</t>
        </is>
      </c>
      <c r="I205" s="12" t="inlineStr">
        <is>
          <t>7894916508988</t>
        </is>
      </c>
      <c r="J205" s="10" t="inlineStr">
        <is>
          <t>DALYNE 3MG C/21 COMPRIMIDOS</t>
        </is>
      </c>
      <c r="K205" s="11" t="n">
        <v>49.99</v>
      </c>
      <c r="L205" s="13" t="n">
        <v>0</v>
      </c>
      <c r="M205" s="11">
        <f>IF(K205="","",ROUND(K205*(1-L205),2))</f>
        <v/>
      </c>
      <c r="N205" s="9" t="n">
        <v>44</v>
      </c>
      <c r="O205" s="14">
        <f>IF(OR(M205="",R205&lt;&gt;""),"",M205/G205-1)</f>
        <v/>
      </c>
      <c r="P205" s="11">
        <f>IF(OR(M205="",R205&lt;&gt;""),"",(G205-M205)*E205)</f>
        <v/>
      </c>
      <c r="Q205" s="9">
        <f>IF(R205&lt;&gt;"","—",IF(M205&lt;G205,"Mais barato",IF(M205&gt;G205,"Mais caro","Igual")))</f>
        <v/>
      </c>
      <c r="R205" s="10" t="n"/>
    </row>
    <row r="206">
      <c r="A206" s="9" t="n">
        <v>550781</v>
      </c>
      <c r="B206" s="10" t="inlineStr">
        <is>
          <t>DAYVIT KIDS FR 120ML</t>
        </is>
      </c>
      <c r="C206" s="10" t="inlineStr">
        <is>
          <t>RX - OTC</t>
        </is>
      </c>
      <c r="D206" s="9" t="inlineStr">
        <is>
          <t>A</t>
        </is>
      </c>
      <c r="E206" s="9" t="n">
        <v>1</v>
      </c>
      <c r="F206" s="9" t="n">
        <v>1</v>
      </c>
      <c r="G206" s="11" t="n">
        <v>46.81</v>
      </c>
      <c r="H206" s="10" t="inlineStr">
        <is>
          <t>SC DISTRIBUICAO LTDA</t>
        </is>
      </c>
      <c r="I206" s="12" t="inlineStr">
        <is>
          <t>7896658027208</t>
        </is>
      </c>
      <c r="J206" s="10" t="inlineStr">
        <is>
          <t>DAYVIT KIDS SUSPENSAO 120ML</t>
        </is>
      </c>
      <c r="K206" s="11" t="n">
        <v>47.58</v>
      </c>
      <c r="L206" s="13" t="n">
        <v>0</v>
      </c>
      <c r="M206" s="11">
        <f>IF(K206="","",ROUND(K206*(1-L206),2))</f>
        <v/>
      </c>
      <c r="N206" s="9" t="n">
        <v>516</v>
      </c>
      <c r="O206" s="14">
        <f>IF(OR(M206="",R206&lt;&gt;""),"",M206/G206-1)</f>
        <v/>
      </c>
      <c r="P206" s="11">
        <f>IF(OR(M206="",R206&lt;&gt;""),"",(G206-M206)*E206)</f>
        <v/>
      </c>
      <c r="Q206" s="9">
        <f>IF(R206&lt;&gt;"","—",IF(M206&lt;G206,"Mais barato",IF(M206&gt;G206,"Mais caro","Igual")))</f>
        <v/>
      </c>
      <c r="R206" s="10" t="n"/>
    </row>
    <row r="207">
      <c r="A207" s="9" t="n">
        <v>254781</v>
      </c>
      <c r="B207" s="10" t="inlineStr">
        <is>
          <t>DECADRON 4MG INJ CX FA X 2,5ML</t>
        </is>
      </c>
      <c r="C207" s="10" t="inlineStr">
        <is>
          <t>RX</t>
        </is>
      </c>
      <c r="D207" s="9" t="inlineStr">
        <is>
          <t>A</t>
        </is>
      </c>
      <c r="E207" s="9" t="n">
        <v>5</v>
      </c>
      <c r="F207" s="9" t="n">
        <v>1</v>
      </c>
      <c r="G207" s="11" t="n">
        <v>16.09</v>
      </c>
      <c r="H207" s="10" t="inlineStr">
        <is>
          <t>NAZARIA DISTRIBUIDORA DE PRODUTOS FARMACEUTICOS LTDA</t>
        </is>
      </c>
      <c r="I207" s="12" t="inlineStr">
        <is>
          <t>7896658003189</t>
        </is>
      </c>
      <c r="J207" s="10" t="inlineStr">
        <is>
          <t>DECADRON 4MG C/1 AMPOLA 2,5ML</t>
        </is>
      </c>
      <c r="K207" s="11" t="n">
        <v>16.44</v>
      </c>
      <c r="L207" s="13" t="n">
        <v>0.05</v>
      </c>
      <c r="M207" s="11">
        <f>IF(K207="","",ROUND(K207*(1-L207),2))</f>
        <v/>
      </c>
      <c r="N207" s="9" t="n">
        <v>584</v>
      </c>
      <c r="O207" s="14">
        <f>IF(OR(M207="",R207&lt;&gt;""),"",M207/G207-1)</f>
        <v/>
      </c>
      <c r="P207" s="11">
        <f>IF(OR(M207="",R207&lt;&gt;""),"",(G207-M207)*E207)</f>
        <v/>
      </c>
      <c r="Q207" s="9">
        <f>IF(R207&lt;&gt;"","—",IF(M207&lt;G207,"Mais barato",IF(M207&gt;G207,"Mais caro","Igual")))</f>
        <v/>
      </c>
      <c r="R207" s="10" t="n"/>
    </row>
    <row r="208">
      <c r="A208" s="9" t="n">
        <v>329661</v>
      </c>
      <c r="B208" s="10" t="inlineStr">
        <is>
          <t>DECONGEX PLUS 12+15MG CX 12 COMP REV</t>
        </is>
      </c>
      <c r="C208" s="10" t="inlineStr">
        <is>
          <t>RX - OTC</t>
        </is>
      </c>
      <c r="D208" s="9" t="inlineStr">
        <is>
          <t>A</t>
        </is>
      </c>
      <c r="E208" s="9" t="n">
        <v>5</v>
      </c>
      <c r="F208" s="9" t="n">
        <v>1</v>
      </c>
      <c r="G208" s="11" t="n">
        <v>17.2853</v>
      </c>
      <c r="H208" s="10" t="inlineStr">
        <is>
          <t>SC DISTRIBUICAO LTDA</t>
        </is>
      </c>
      <c r="I208" s="12" t="inlineStr">
        <is>
          <t>7896658001901</t>
        </is>
      </c>
      <c r="J208" s="10" t="inlineStr">
        <is>
          <t>DECONGEX PLUS C/12 COMPRIMIDOS</t>
        </is>
      </c>
      <c r="K208" s="11" t="n">
        <v>24.31</v>
      </c>
      <c r="L208" s="13" t="n">
        <v>0.05</v>
      </c>
      <c r="M208" s="11">
        <f>IF(K208="","",ROUND(K208*(1-L208),2))</f>
        <v/>
      </c>
      <c r="N208" s="9" t="n">
        <v>3373</v>
      </c>
      <c r="O208" s="14">
        <f>IF(OR(M208="",R208&lt;&gt;""),"",M208/G208-1)</f>
        <v/>
      </c>
      <c r="P208" s="11">
        <f>IF(OR(M208="",R208&lt;&gt;""),"",(G208-M208)*E208)</f>
        <v/>
      </c>
      <c r="Q208" s="9">
        <f>IF(R208&lt;&gt;"","—",IF(M208&lt;G208,"Mais barato",IF(M208&gt;G208,"Mais caro","Igual")))</f>
        <v/>
      </c>
      <c r="R208" s="10" t="n"/>
    </row>
    <row r="209">
      <c r="A209" s="9" t="n">
        <v>329701</v>
      </c>
      <c r="B209" s="10" t="inlineStr">
        <is>
          <t>DECONGEX PLUS 2+2,5MG SOL FR GTS 20ML</t>
        </is>
      </c>
      <c r="C209" s="10" t="inlineStr">
        <is>
          <t>RX - OTC</t>
        </is>
      </c>
      <c r="D209" s="9" t="inlineStr">
        <is>
          <t>A</t>
        </is>
      </c>
      <c r="E209" s="9" t="n">
        <v>6</v>
      </c>
      <c r="F209" s="9" t="n">
        <v>1</v>
      </c>
      <c r="G209" s="11" t="n">
        <v>10.85</v>
      </c>
      <c r="H209" s="10" t="inlineStr">
        <is>
          <t>SC DISTRIBUICAO LTDA</t>
        </is>
      </c>
      <c r="I209" s="12" t="inlineStr">
        <is>
          <t>7896658001925</t>
        </is>
      </c>
      <c r="J209" s="10" t="inlineStr">
        <is>
          <t>DECONGEX PLUS GOTAS 20ML</t>
        </is>
      </c>
      <c r="K209" s="11" t="n">
        <v>13.75</v>
      </c>
      <c r="L209" s="13" t="n">
        <v>0.05</v>
      </c>
      <c r="M209" s="11">
        <f>IF(K209="","",ROUND(K209*(1-L209),2))</f>
        <v/>
      </c>
      <c r="N209" s="9" t="n">
        <v>3530</v>
      </c>
      <c r="O209" s="14">
        <f>IF(OR(M209="",R209&lt;&gt;""),"",M209/G209-1)</f>
        <v/>
      </c>
      <c r="P209" s="11">
        <f>IF(OR(M209="",R209&lt;&gt;""),"",(G209-M209)*E209)</f>
        <v/>
      </c>
      <c r="Q209" s="9">
        <f>IF(R209&lt;&gt;"","—",IF(M209&lt;G209,"Mais barato",IF(M209&gt;G209,"Mais caro","Igual")))</f>
        <v/>
      </c>
      <c r="R209" s="10" t="n"/>
    </row>
    <row r="210">
      <c r="A210" s="9" t="n">
        <v>18903</v>
      </c>
      <c r="B210" s="10" t="inlineStr">
        <is>
          <t>DECONTOSSE 40MG/ML XPE 100ML+CP</t>
        </is>
      </c>
      <c r="C210" s="10" t="inlineStr">
        <is>
          <t>RX</t>
        </is>
      </c>
      <c r="D210" s="9" t="inlineStr">
        <is>
          <t>A</t>
        </is>
      </c>
      <c r="E210" s="9" t="n">
        <v>7</v>
      </c>
      <c r="F210" s="9" t="n">
        <v>1</v>
      </c>
      <c r="G210" s="11" t="n">
        <v>23.3</v>
      </c>
      <c r="H210" s="10" t="inlineStr">
        <is>
          <t>SB COMERCIO LTDA 0179-15</t>
        </is>
      </c>
      <c r="I210" s="12" t="inlineStr">
        <is>
          <t>7896658049620</t>
        </is>
      </c>
      <c r="J210" s="10" t="inlineStr">
        <is>
          <t>DECONTOSSE 40 MG/ML SUS OR CT FR PLAS AMB X 100 ML + COP</t>
        </is>
      </c>
      <c r="K210" s="11" t="n">
        <v>22.42</v>
      </c>
      <c r="L210" s="13" t="n">
        <v>0.05</v>
      </c>
      <c r="M210" s="11">
        <f>IF(K210="","",ROUND(K210*(1-L210),2))</f>
        <v/>
      </c>
      <c r="N210" s="9" t="n">
        <v>106</v>
      </c>
      <c r="O210" s="14">
        <f>IF(OR(M210="",R210&lt;&gt;""),"",M210/G210-1)</f>
        <v/>
      </c>
      <c r="P210" s="11">
        <f>IF(OR(M210="",R210&lt;&gt;""),"",(G210-M210)*E210)</f>
        <v/>
      </c>
      <c r="Q210" s="9">
        <f>IF(R210&lt;&gt;"","—",IF(M210&lt;G210,"Mais barato",IF(M210&gt;G210,"Mais caro","Igual")))</f>
        <v/>
      </c>
      <c r="R210" s="10" t="n"/>
    </row>
    <row r="211">
      <c r="A211" s="9" t="n">
        <v>6581</v>
      </c>
      <c r="B211" s="10" t="inlineStr">
        <is>
          <t>DEPO PROVERA 150MG SUS INJ 1FA X 1ML</t>
        </is>
      </c>
      <c r="C211" s="10" t="inlineStr">
        <is>
          <t>RX</t>
        </is>
      </c>
      <c r="D211" s="9" t="inlineStr">
        <is>
          <t>A</t>
        </is>
      </c>
      <c r="E211" s="9" t="n">
        <v>5</v>
      </c>
      <c r="F211" s="9" t="n">
        <v>1</v>
      </c>
      <c r="G211" s="11" t="n">
        <v>36.87</v>
      </c>
      <c r="H211" s="10" t="inlineStr">
        <is>
          <t>SC DISTRIBUICAO LTDA</t>
        </is>
      </c>
      <c r="I211" s="12" t="inlineStr">
        <is>
          <t>7891268101799</t>
        </is>
      </c>
      <c r="J211" s="10" t="inlineStr">
        <is>
          <t>DEPO PROVERA 150MG C/1 AMPOLA 1ML</t>
        </is>
      </c>
      <c r="K211" s="11" t="n">
        <v>36.6</v>
      </c>
      <c r="L211" s="13" t="n">
        <v>0.02</v>
      </c>
      <c r="M211" s="11">
        <f>IF(K211="","",ROUND(K211*(1-L211),2))</f>
        <v/>
      </c>
      <c r="N211" s="9" t="n">
        <v>514</v>
      </c>
      <c r="O211" s="14">
        <f>IF(OR(M211="",R211&lt;&gt;""),"",M211/G211-1)</f>
        <v/>
      </c>
      <c r="P211" s="11">
        <f>IF(OR(M211="",R211&lt;&gt;""),"",(G211-M211)*E211)</f>
        <v/>
      </c>
      <c r="Q211" s="9">
        <f>IF(R211&lt;&gt;"","—",IF(M211&lt;G211,"Mais barato",IF(M211&gt;G211,"Mais caro","Igual")))</f>
        <v/>
      </c>
      <c r="R211" s="10" t="n"/>
    </row>
    <row r="212">
      <c r="A212" s="9" t="n">
        <v>6601</v>
      </c>
      <c r="B212" s="10" t="inlineStr">
        <is>
          <t>DEPO PROVERA 150MG SUS INJ 1FA X 1ML+1SER PREENCH</t>
        </is>
      </c>
      <c r="C212" s="10" t="inlineStr">
        <is>
          <t>RX</t>
        </is>
      </c>
      <c r="D212" s="9" t="inlineStr">
        <is>
          <t>B</t>
        </is>
      </c>
      <c r="E212" s="9" t="n">
        <v>1</v>
      </c>
      <c r="F212" s="9" t="n">
        <v>1</v>
      </c>
      <c r="G212" s="11" t="n">
        <v>46.77</v>
      </c>
      <c r="H212" s="10" t="inlineStr">
        <is>
          <t>SC DISTRIBUICAO LTDA</t>
        </is>
      </c>
      <c r="I212" s="12" t="inlineStr">
        <is>
          <t>7891268101782</t>
        </is>
      </c>
      <c r="J212" s="10" t="inlineStr">
        <is>
          <t>DEPO PROVERA 150MG C/SERINGA PRE-CAR</t>
        </is>
      </c>
      <c r="K212" s="11" t="n">
        <v>47.43</v>
      </c>
      <c r="L212" s="13" t="n">
        <v>0.02</v>
      </c>
      <c r="M212" s="11">
        <f>IF(K212="","",ROUND(K212*(1-L212),2))</f>
        <v/>
      </c>
      <c r="N212" s="9" t="n">
        <v>128</v>
      </c>
      <c r="O212" s="14">
        <f>IF(OR(M212="",R212&lt;&gt;""),"",M212/G212-1)</f>
        <v/>
      </c>
      <c r="P212" s="11">
        <f>IF(OR(M212="",R212&lt;&gt;""),"",(G212-M212)*E212)</f>
        <v/>
      </c>
      <c r="Q212" s="9">
        <f>IF(R212&lt;&gt;"","—",IF(M212&lt;G212,"Mais barato",IF(M212&gt;G212,"Mais caro","Igual")))</f>
        <v/>
      </c>
      <c r="R212" s="10" t="n"/>
    </row>
    <row r="213">
      <c r="A213" s="9" t="n">
        <v>623211</v>
      </c>
      <c r="B213" s="10" t="inlineStr">
        <is>
          <t>DERMO EXP AGUA MICELAR 200ML</t>
        </is>
      </c>
      <c r="C213" s="10" t="inlineStr">
        <is>
          <t>RX - DERMO</t>
        </is>
      </c>
      <c r="D213" s="9" t="inlineStr">
        <is>
          <t>B</t>
        </is>
      </c>
      <c r="E213" s="9" t="n">
        <v>1</v>
      </c>
      <c r="F213" s="9" t="n">
        <v>1</v>
      </c>
      <c r="G213" s="11" t="n">
        <v>21.97</v>
      </c>
      <c r="H213" s="10" t="inlineStr">
        <is>
          <t>SC DISTRIBUICAO LTDA</t>
        </is>
      </c>
      <c r="I213" s="12" t="inlineStr">
        <is>
          <t>7899706126335</t>
        </is>
      </c>
      <c r="J213" s="10" t="inlineStr">
        <is>
          <t>AGUA MICELAR SOLUCAO DE LIMPEZA 5 EM 1 LOREAL PARIS 200ML</t>
        </is>
      </c>
      <c r="K213" s="11" t="n">
        <v>20.36</v>
      </c>
      <c r="L213" s="13" t="n">
        <v>0</v>
      </c>
      <c r="M213" s="11">
        <f>IF(K213="","",ROUND(K213*(1-L213),2))</f>
        <v/>
      </c>
      <c r="N213" s="9" t="n">
        <v>532</v>
      </c>
      <c r="O213" s="14">
        <f>IF(OR(M213="",R213&lt;&gt;""),"",M213/G213-1)</f>
        <v/>
      </c>
      <c r="P213" s="11">
        <f>IF(OR(M213="",R213&lt;&gt;""),"",(G213-M213)*E213)</f>
        <v/>
      </c>
      <c r="Q213" s="9">
        <f>IF(R213&lt;&gt;"","—",IF(M213&lt;G213,"Mais barato",IF(M213&gt;G213,"Mais caro","Igual")))</f>
        <v/>
      </c>
      <c r="R213" s="10" t="n"/>
    </row>
    <row r="214">
      <c r="A214" s="9" t="n">
        <v>630151</v>
      </c>
      <c r="B214" s="10" t="inlineStr">
        <is>
          <t>DERSANI HIDROGEL ALGINATO 30G-DEMAIS PROD</t>
        </is>
      </c>
      <c r="C214" s="10" t="inlineStr">
        <is>
          <t>RX - OTC</t>
        </is>
      </c>
      <c r="D214" s="9" t="inlineStr">
        <is>
          <t>A</t>
        </is>
      </c>
      <c r="E214" s="9" t="n">
        <v>3</v>
      </c>
      <c r="F214" s="9" t="n">
        <v>1</v>
      </c>
      <c r="G214" s="11" t="n">
        <v>49.7</v>
      </c>
      <c r="H214" s="10" t="inlineStr">
        <is>
          <t>SC DISTRIBUICAO LTDA</t>
        </is>
      </c>
      <c r="I214" s="12" t="inlineStr">
        <is>
          <t>7896026172066</t>
        </is>
      </c>
      <c r="J214" s="10" t="inlineStr">
        <is>
          <t>DERSANI HIDROGEL ALGINATO 30G</t>
        </is>
      </c>
      <c r="K214" s="11" t="n">
        <v>50.88</v>
      </c>
      <c r="L214" s="13" t="n">
        <v>0</v>
      </c>
      <c r="M214" s="11">
        <f>IF(K214="","",ROUND(K214*(1-L214),2))</f>
        <v/>
      </c>
      <c r="N214" s="9" t="n">
        <v>495</v>
      </c>
      <c r="O214" s="14">
        <f>IF(OR(M214="",R214&lt;&gt;""),"",M214/G214-1)</f>
        <v/>
      </c>
      <c r="P214" s="11">
        <f>IF(OR(M214="",R214&lt;&gt;""),"",(G214-M214)*E214)</f>
        <v/>
      </c>
      <c r="Q214" s="9">
        <f>IF(R214&lt;&gt;"","—",IF(M214&lt;G214,"Mais barato",IF(M214&gt;G214,"Mais caro","Igual")))</f>
        <v/>
      </c>
      <c r="R214" s="10" t="n"/>
    </row>
    <row r="215">
      <c r="A215" s="9" t="n">
        <v>553521</v>
      </c>
      <c r="B215" s="10" t="inlineStr">
        <is>
          <t>DERSANI ORIGINAL LOC OLEOSA 100ML</t>
        </is>
      </c>
      <c r="C215" s="10" t="inlineStr">
        <is>
          <t>RX - OTC</t>
        </is>
      </c>
      <c r="D215" s="9" t="inlineStr">
        <is>
          <t>A</t>
        </is>
      </c>
      <c r="E215" s="9" t="n">
        <v>2</v>
      </c>
      <c r="F215" s="9" t="n">
        <v>1</v>
      </c>
      <c r="G215" s="11" t="n">
        <v>41.44</v>
      </c>
      <c r="H215" s="10" t="inlineStr">
        <is>
          <t>SC DISTRIBUICAO LTDA</t>
        </is>
      </c>
      <c r="I215" s="12" t="inlineStr">
        <is>
          <t>7898087340040</t>
        </is>
      </c>
      <c r="J215" s="10" t="inlineStr">
        <is>
          <t>DERSANI LOCAO OLEOSA 100ML</t>
        </is>
      </c>
      <c r="K215" s="11" t="n">
        <v>46.37</v>
      </c>
      <c r="L215" s="13" t="n">
        <v>0</v>
      </c>
      <c r="M215" s="11">
        <f>IF(K215="","",ROUND(K215*(1-L215),2))</f>
        <v/>
      </c>
      <c r="N215" s="9" t="n">
        <v>435</v>
      </c>
      <c r="O215" s="14">
        <f>IF(OR(M215="",R215&lt;&gt;""),"",M215/G215-1)</f>
        <v/>
      </c>
      <c r="P215" s="11">
        <f>IF(OR(M215="",R215&lt;&gt;""),"",(G215-M215)*E215)</f>
        <v/>
      </c>
      <c r="Q215" s="9">
        <f>IF(R215&lt;&gt;"","—",IF(M215&lt;G215,"Mais barato",IF(M215&gt;G215,"Mais caro","Igual")))</f>
        <v/>
      </c>
      <c r="R215" s="10" t="n"/>
    </row>
    <row r="216">
      <c r="A216" s="9" t="n">
        <v>604381</v>
      </c>
      <c r="B216" s="10" t="inlineStr">
        <is>
          <t>DES.HID.NIVEA LOTION 200ML</t>
        </is>
      </c>
      <c r="C216" s="10" t="inlineStr">
        <is>
          <t>RX - DERMO</t>
        </is>
      </c>
      <c r="D216" s="9" t="inlineStr">
        <is>
          <t>A</t>
        </is>
      </c>
      <c r="E216" s="9" t="n">
        <v>4</v>
      </c>
      <c r="F216" s="9" t="n">
        <v>1</v>
      </c>
      <c r="G216" s="11" t="n">
        <v>12.6317</v>
      </c>
      <c r="H216" s="10" t="inlineStr">
        <is>
          <t>SC DISTRIBUICAO LTDA</t>
        </is>
      </c>
      <c r="I216" s="12" t="inlineStr">
        <is>
          <t>4005808310999</t>
        </is>
      </c>
      <c r="J216" s="10" t="inlineStr">
        <is>
          <t>LOCAO BODY LOTION NIVEA 200ML</t>
        </is>
      </c>
      <c r="K216" s="11" t="n">
        <v>13.36</v>
      </c>
      <c r="L216" s="13" t="n">
        <v>0</v>
      </c>
      <c r="M216" s="11">
        <f>IF(K216="","",ROUND(K216*(1-L216),2))</f>
        <v/>
      </c>
      <c r="N216" s="9" t="n">
        <v>51</v>
      </c>
      <c r="O216" s="14">
        <f>IF(OR(M216="",R216&lt;&gt;""),"",M216/G216-1)</f>
        <v/>
      </c>
      <c r="P216" s="11">
        <f>IF(OR(M216="",R216&lt;&gt;""),"",(G216-M216)*E216)</f>
        <v/>
      </c>
      <c r="Q216" s="9">
        <f>IF(R216&lt;&gt;"","—",IF(M216&lt;G216,"Mais barato",IF(M216&gt;G216,"Mais caro","Igual")))</f>
        <v/>
      </c>
      <c r="R216" s="10" t="n"/>
    </row>
    <row r="217">
      <c r="A217" s="9" t="n">
        <v>634411</v>
      </c>
      <c r="B217" s="10" t="inlineStr">
        <is>
          <t>DESCON CX 12 COMP LIB PROL</t>
        </is>
      </c>
      <c r="C217" s="10" t="inlineStr">
        <is>
          <t>RX - OTC</t>
        </is>
      </c>
      <c r="D217" s="9" t="inlineStr">
        <is>
          <t>A</t>
        </is>
      </c>
      <c r="E217" s="9" t="n">
        <v>10</v>
      </c>
      <c r="F217" s="9" t="n">
        <v>1</v>
      </c>
      <c r="G217" s="11" t="n">
        <v>15.74</v>
      </c>
      <c r="H217" s="10" t="inlineStr">
        <is>
          <t>SB COMERCIO LTDA 0179-15</t>
        </is>
      </c>
      <c r="I217" s="12" t="inlineStr">
        <is>
          <t>7896094930209</t>
        </is>
      </c>
      <c r="J217" s="10" t="inlineStr">
        <is>
          <t>DESCONGESTIONANTE E ANTIALERGICO DESCON 12MG + 15MG 12 COMPRIMIDOS REVESTIDOS DE LIBERACAO PROLONGAD</t>
        </is>
      </c>
      <c r="K217" s="11" t="n">
        <v>21.09</v>
      </c>
      <c r="L217" s="13" t="n">
        <v>0.035</v>
      </c>
      <c r="M217" s="11">
        <f>IF(K217="","",ROUND(K217*(1-L217),2))</f>
        <v/>
      </c>
      <c r="N217" s="9" t="n">
        <v>155</v>
      </c>
      <c r="O217" s="14">
        <f>IF(OR(M217="",R217&lt;&gt;""),"",M217/G217-1)</f>
        <v/>
      </c>
      <c r="P217" s="11">
        <f>IF(OR(M217="",R217&lt;&gt;""),"",(G217-M217)*E217)</f>
        <v/>
      </c>
      <c r="Q217" s="9">
        <f>IF(R217&lt;&gt;"","—",IF(M217&lt;G217,"Mais barato",IF(M217&gt;G217,"Mais caro","Igual")))</f>
        <v/>
      </c>
      <c r="R217" s="10" t="n"/>
    </row>
    <row r="218">
      <c r="A218" s="9" t="n">
        <v>625721</v>
      </c>
      <c r="B218" s="10" t="inlineStr">
        <is>
          <t>DESCON XPE CT FR X 120 ML</t>
        </is>
      </c>
      <c r="C218" s="10" t="inlineStr">
        <is>
          <t>RX - OTC</t>
        </is>
      </c>
      <c r="D218" s="9" t="inlineStr">
        <is>
          <t>A</t>
        </is>
      </c>
      <c r="E218" s="9" t="n">
        <v>4</v>
      </c>
      <c r="F218" s="9" t="n">
        <v>1</v>
      </c>
      <c r="G218" s="11" t="n">
        <v>13.5755</v>
      </c>
      <c r="H218" s="10" t="inlineStr">
        <is>
          <t>SB COMERCIO LTDA 0179-15</t>
        </is>
      </c>
      <c r="I218" s="12" t="inlineStr">
        <is>
          <t>7896094929371</t>
        </is>
      </c>
      <c r="J218" s="10" t="inlineStr">
        <is>
          <t>DESCON MALEATO DE BRONFENIRAMINA 2MG/5ML + CLORIDRATO DE FENILEFRINA 5MG/5ML XAROPE 120ML</t>
        </is>
      </c>
      <c r="K218" s="11" t="n">
        <v>17.47</v>
      </c>
      <c r="L218" s="13" t="n">
        <v>0.035</v>
      </c>
      <c r="M218" s="11">
        <f>IF(K218="","",ROUND(K218*(1-L218),2))</f>
        <v/>
      </c>
      <c r="N218" s="9" t="n"/>
      <c r="O218" s="14">
        <f>IF(OR(M218="",R218&lt;&gt;""),"",M218/G218-1)</f>
        <v/>
      </c>
      <c r="P218" s="11">
        <f>IF(OR(M218="",R218&lt;&gt;""),"",(G218-M218)*E218)</f>
        <v/>
      </c>
      <c r="Q218" s="9">
        <f>IF(R218&lt;&gt;"","—",IF(M218&lt;G218,"Mais barato",IF(M218&gt;G218,"Mais caro","Igual")))</f>
        <v/>
      </c>
      <c r="R218" s="10" t="n"/>
    </row>
    <row r="219">
      <c r="A219" s="9" t="n">
        <v>359561</v>
      </c>
      <c r="B219" s="10" t="inlineStr">
        <is>
          <t>DESCONTINUADO - PROTOVIT PLUS SOL ORAL FR GTS 20ML</t>
        </is>
      </c>
      <c r="C219" s="10" t="inlineStr">
        <is>
          <t>RX - OTC</t>
        </is>
      </c>
      <c r="D219" s="9" t="inlineStr">
        <is>
          <t>C</t>
        </is>
      </c>
      <c r="E219" s="9" t="n">
        <v>2</v>
      </c>
      <c r="F219" s="9" t="n">
        <v>1</v>
      </c>
      <c r="G219" s="11" t="n">
        <v>12.8444</v>
      </c>
      <c r="H219" s="10" t="inlineStr">
        <is>
          <t>NAZARIA DISTRIBUIDORA DE PRODUTOS FARMACEUTICOS LTDA</t>
        </is>
      </c>
      <c r="I219" s="12" t="n"/>
      <c r="J219" s="10" t="n"/>
      <c r="K219" s="11" t="n"/>
      <c r="L219" s="13" t="n"/>
      <c r="M219" s="11">
        <f>IF(K219="","",ROUND(K219*(1-L219),2))</f>
        <v/>
      </c>
      <c r="N219" s="9" t="n"/>
      <c r="O219" s="14">
        <f>IF(OR(M219="",R219&lt;&gt;""),"",M219/G219-1)</f>
        <v/>
      </c>
      <c r="P219" s="11">
        <f>IF(OR(M219="",R219&lt;&gt;""),"",(G219-M219)*E219)</f>
        <v/>
      </c>
      <c r="Q219" s="9">
        <f>IF(R219&lt;&gt;"","—",IF(M219&lt;G219,"Mais barato",IF(M219&gt;G219,"Mais caro","Igual")))</f>
        <v/>
      </c>
      <c r="R219" s="10" t="inlineStr">
        <is>
          <t>Não encontrado</t>
        </is>
      </c>
    </row>
    <row r="220">
      <c r="A220" s="9" t="n">
        <v>41803</v>
      </c>
      <c r="B220" s="10" t="inlineStr">
        <is>
          <t>DEXA-CITONEURIN NFF C/3APX1ML (PGO)</t>
        </is>
      </c>
      <c r="C220" s="10" t="inlineStr">
        <is>
          <t>RX</t>
        </is>
      </c>
      <c r="D220" s="9" t="inlineStr">
        <is>
          <t>A</t>
        </is>
      </c>
      <c r="E220" s="9" t="n">
        <v>20</v>
      </c>
      <c r="F220" s="9" t="n">
        <v>1</v>
      </c>
      <c r="G220" s="11" t="n">
        <v>37.23</v>
      </c>
      <c r="H220" s="10" t="inlineStr">
        <is>
          <t>TAPAJOS COMERCIO DE MEDICAMENTOS LTDA</t>
        </is>
      </c>
      <c r="I220" s="12" t="inlineStr">
        <is>
          <t>7891721024481</t>
        </is>
      </c>
      <c r="J220" s="10" t="inlineStr">
        <is>
          <t>DEXA CITONEURIN NFF SOLUCAO INJETAVEL C/3 AMPOLAS</t>
        </is>
      </c>
      <c r="K220" s="11" t="n">
        <v>39.72</v>
      </c>
      <c r="L220" s="13" t="n">
        <v>0.04</v>
      </c>
      <c r="M220" s="11">
        <f>IF(K220="","",ROUND(K220*(1-L220),2))</f>
        <v/>
      </c>
      <c r="N220" s="9" t="n">
        <v>2521</v>
      </c>
      <c r="O220" s="14">
        <f>IF(OR(M220="",R220&lt;&gt;""),"",M220/G220-1)</f>
        <v/>
      </c>
      <c r="P220" s="11">
        <f>IF(OR(M220="",R220&lt;&gt;""),"",(G220-M220)*E220)</f>
        <v/>
      </c>
      <c r="Q220" s="9">
        <f>IF(R220&lt;&gt;"","—",IF(M220&lt;G220,"Mais barato",IF(M220&gt;G220,"Mais caro","Igual")))</f>
        <v/>
      </c>
      <c r="R220" s="10" t="n"/>
    </row>
    <row r="221">
      <c r="A221" s="9" t="n">
        <v>601471</v>
      </c>
      <c r="B221" s="10" t="inlineStr">
        <is>
          <t>DEXALGEN 100+100MG/ML AMP 1ML+5+4,37MG 3 AMP X 2ML</t>
        </is>
      </c>
      <c r="C221" s="10" t="inlineStr">
        <is>
          <t>RX</t>
        </is>
      </c>
      <c r="D221" s="9" t="inlineStr">
        <is>
          <t>B</t>
        </is>
      </c>
      <c r="E221" s="9" t="n">
        <v>2</v>
      </c>
      <c r="F221" s="9" t="n">
        <v>1</v>
      </c>
      <c r="G221" s="11" t="n">
        <v>39.995</v>
      </c>
      <c r="H221" s="10" t="inlineStr">
        <is>
          <t>SC DISTRIBUICAO LTDA</t>
        </is>
      </c>
      <c r="I221" s="12" t="inlineStr">
        <is>
          <t>7891317010751</t>
        </is>
      </c>
      <c r="J221" s="10" t="inlineStr">
        <is>
          <t>DEXALGEN NF INJETAVEL C/3 AMPOLAS 1ML + 3 AMPOLAS 2ML</t>
        </is>
      </c>
      <c r="K221" s="11" t="n">
        <v>39.72</v>
      </c>
      <c r="L221" s="13" t="n">
        <v>0.04</v>
      </c>
      <c r="M221" s="11">
        <f>IF(K221="","",ROUND(K221*(1-L221),2))</f>
        <v/>
      </c>
      <c r="N221" s="9" t="n">
        <v>755</v>
      </c>
      <c r="O221" s="14">
        <f>IF(OR(M221="",R221&lt;&gt;""),"",M221/G221-1)</f>
        <v/>
      </c>
      <c r="P221" s="11">
        <f>IF(OR(M221="",R221&lt;&gt;""),"",(G221-M221)*E221)</f>
        <v/>
      </c>
      <c r="Q221" s="9">
        <f>IF(R221&lt;&gt;"","—",IF(M221&lt;G221,"Mais barato",IF(M221&gt;G221,"Mais caro","Igual")))</f>
        <v/>
      </c>
      <c r="R221" s="10" t="n"/>
    </row>
    <row r="222">
      <c r="A222" s="9" t="n">
        <v>247221</v>
      </c>
      <c r="B222" s="10" t="inlineStr">
        <is>
          <t>DEXFER 100MG/ML SOL FR GOT 30ML+ADAPT</t>
        </is>
      </c>
      <c r="C222" s="10" t="inlineStr">
        <is>
          <t>RX</t>
        </is>
      </c>
      <c r="D222" s="9" t="inlineStr">
        <is>
          <t>A</t>
        </is>
      </c>
      <c r="E222" s="9" t="n">
        <v>4</v>
      </c>
      <c r="F222" s="9" t="n">
        <v>1</v>
      </c>
      <c r="G222" s="11" t="n">
        <v>43.4333</v>
      </c>
      <c r="H222" s="10" t="inlineStr">
        <is>
          <t>SC DISTRIBUICAO LTDA</t>
        </is>
      </c>
      <c r="I222" s="12" t="inlineStr">
        <is>
          <t>7891317016883</t>
        </is>
      </c>
      <c r="J222" s="10" t="inlineStr">
        <is>
          <t>DEXFER 100MG GOTAS 30ML</t>
        </is>
      </c>
      <c r="K222" s="11" t="n">
        <v>43.14</v>
      </c>
      <c r="L222" s="13" t="n">
        <v>0.04</v>
      </c>
      <c r="M222" s="11">
        <f>IF(K222="","",ROUND(K222*(1-L222),2))</f>
        <v/>
      </c>
      <c r="N222" s="9" t="n">
        <v>1331</v>
      </c>
      <c r="O222" s="14">
        <f>IF(OR(M222="",R222&lt;&gt;""),"",M222/G222-1)</f>
        <v/>
      </c>
      <c r="P222" s="11">
        <f>IF(OR(M222="",R222&lt;&gt;""),"",(G222-M222)*E222)</f>
        <v/>
      </c>
      <c r="Q222" s="9">
        <f>IF(R222&lt;&gt;"","—",IF(M222&lt;G222,"Mais barato",IF(M222&gt;G222,"Mais caro","Igual")))</f>
        <v/>
      </c>
      <c r="R222" s="10" t="n"/>
    </row>
    <row r="223">
      <c r="A223" s="9" t="n">
        <v>247121</v>
      </c>
      <c r="B223" s="10" t="inlineStr">
        <is>
          <t>DEXFER 400MG CX 30 COMP REV</t>
        </is>
      </c>
      <c r="C223" s="10" t="inlineStr">
        <is>
          <t>RX</t>
        </is>
      </c>
      <c r="D223" s="9" t="inlineStr">
        <is>
          <t>A</t>
        </is>
      </c>
      <c r="E223" s="9" t="n">
        <v>2</v>
      </c>
      <c r="F223" s="9" t="n">
        <v>1</v>
      </c>
      <c r="G223" s="11" t="n">
        <v>49.47</v>
      </c>
      <c r="H223" s="10" t="inlineStr">
        <is>
          <t>SC DISTRIBUICAO LTDA</t>
        </is>
      </c>
      <c r="I223" s="12" t="inlineStr">
        <is>
          <t>7891317016623</t>
        </is>
      </c>
      <c r="J223" s="10" t="inlineStr">
        <is>
          <t>DEXFER 400MG C/30 COMPRIMIDOS REV</t>
        </is>
      </c>
      <c r="K223" s="11" t="n">
        <v>50.52</v>
      </c>
      <c r="L223" s="13" t="n">
        <v>0.04</v>
      </c>
      <c r="M223" s="11">
        <f>IF(K223="","",ROUND(K223*(1-L223),2))</f>
        <v/>
      </c>
      <c r="N223" s="9" t="n">
        <v>1449</v>
      </c>
      <c r="O223" s="14">
        <f>IF(OR(M223="",R223&lt;&gt;""),"",M223/G223-1)</f>
        <v/>
      </c>
      <c r="P223" s="11">
        <f>IF(OR(M223="",R223&lt;&gt;""),"",(G223-M223)*E223)</f>
        <v/>
      </c>
      <c r="Q223" s="9">
        <f>IF(R223&lt;&gt;"","—",IF(M223&lt;G223,"Mais barato",IF(M223&gt;G223,"Mais caro","Igual")))</f>
        <v/>
      </c>
      <c r="R223" s="10" t="n"/>
    </row>
    <row r="224">
      <c r="A224" s="9" t="n">
        <v>207901</v>
      </c>
      <c r="B224" s="10" t="inlineStr">
        <is>
          <t>DEXILANT 30MG CX 30 CAP LIB RETARD</t>
        </is>
      </c>
      <c r="C224" s="10" t="inlineStr">
        <is>
          <t>RX</t>
        </is>
      </c>
      <c r="D224" s="9" t="inlineStr">
        <is>
          <t>A</t>
        </is>
      </c>
      <c r="E224" s="9" t="n">
        <v>1</v>
      </c>
      <c r="F224" s="9" t="n">
        <v>1</v>
      </c>
      <c r="G224" s="11" t="n">
        <v>98.03</v>
      </c>
      <c r="H224" s="10" t="inlineStr">
        <is>
          <t>SC DISTRIBUICAO LTDA</t>
        </is>
      </c>
      <c r="I224" s="12" t="inlineStr">
        <is>
          <t>7896641808982</t>
        </is>
      </c>
      <c r="J224" s="10" t="inlineStr">
        <is>
          <t>DEXILANT 30MG C/30 CAPSULAS LIBERACAO PROLONGADA</t>
        </is>
      </c>
      <c r="K224" s="11" t="n">
        <v>99.62</v>
      </c>
      <c r="L224" s="13" t="n">
        <v>0.02</v>
      </c>
      <c r="M224" s="11">
        <f>IF(K224="","",ROUND(K224*(1-L224),2))</f>
        <v/>
      </c>
      <c r="N224" s="9" t="n">
        <v>192</v>
      </c>
      <c r="O224" s="14">
        <f>IF(OR(M224="",R224&lt;&gt;""),"",M224/G224-1)</f>
        <v/>
      </c>
      <c r="P224" s="11">
        <f>IF(OR(M224="",R224&lt;&gt;""),"",(G224-M224)*E224)</f>
        <v/>
      </c>
      <c r="Q224" s="9">
        <f>IF(R224&lt;&gt;"","—",IF(M224&lt;G224,"Mais barato",IF(M224&gt;G224,"Mais caro","Igual")))</f>
        <v/>
      </c>
      <c r="R224" s="10" t="n"/>
    </row>
    <row r="225">
      <c r="A225" s="9" t="n">
        <v>207821</v>
      </c>
      <c r="B225" s="10" t="inlineStr">
        <is>
          <t>DEXILANT 60MG CX 30 CAP LIB RETARD</t>
        </is>
      </c>
      <c r="C225" s="10" t="inlineStr">
        <is>
          <t>RX</t>
        </is>
      </c>
      <c r="D225" s="9" t="inlineStr">
        <is>
          <t>A</t>
        </is>
      </c>
      <c r="E225" s="9" t="n">
        <v>3</v>
      </c>
      <c r="F225" s="9" t="n">
        <v>1</v>
      </c>
      <c r="G225" s="11" t="n">
        <v>89.116</v>
      </c>
      <c r="H225" s="10" t="inlineStr">
        <is>
          <t>SC DISTRIBUICAO LTDA</t>
        </is>
      </c>
      <c r="I225" s="12" t="inlineStr">
        <is>
          <t>7896641809026</t>
        </is>
      </c>
      <c r="J225" s="10" t="inlineStr">
        <is>
          <t>DEXILANT 60MG C/30 CAPSULAS LIBERACAO PROLONGADA</t>
        </is>
      </c>
      <c r="K225" s="11" t="n">
        <v>99.62</v>
      </c>
      <c r="L225" s="13" t="n">
        <v>0.02</v>
      </c>
      <c r="M225" s="11">
        <f>IF(K225="","",ROUND(K225*(1-L225),2))</f>
        <v/>
      </c>
      <c r="N225" s="9" t="n">
        <v>1443</v>
      </c>
      <c r="O225" s="14">
        <f>IF(OR(M225="",R225&lt;&gt;""),"",M225/G225-1)</f>
        <v/>
      </c>
      <c r="P225" s="11">
        <f>IF(OR(M225="",R225&lt;&gt;""),"",(G225-M225)*E225)</f>
        <v/>
      </c>
      <c r="Q225" s="9">
        <f>IF(R225&lt;&gt;"","—",IF(M225&lt;G225,"Mais barato",IF(M225&gt;G225,"Mais caro","Igual")))</f>
        <v/>
      </c>
      <c r="R225" s="10" t="n"/>
    </row>
    <row r="226">
      <c r="A226" s="9" t="n">
        <v>539561</v>
      </c>
      <c r="B226" s="10" t="inlineStr">
        <is>
          <t>DIANE 35 2+0,035MG CX 21 DRG</t>
        </is>
      </c>
      <c r="C226" s="10" t="inlineStr">
        <is>
          <t>RX</t>
        </is>
      </c>
      <c r="D226" s="9" t="inlineStr">
        <is>
          <t>A</t>
        </is>
      </c>
      <c r="E226" s="9" t="n">
        <v>5</v>
      </c>
      <c r="F226" s="9" t="n">
        <v>1</v>
      </c>
      <c r="G226" s="11" t="n">
        <v>32.076</v>
      </c>
      <c r="H226" s="10" t="inlineStr">
        <is>
          <t>SC DISTRIBUICAO LTDA</t>
        </is>
      </c>
      <c r="I226" s="12" t="inlineStr">
        <is>
          <t>7891106913966</t>
        </is>
      </c>
      <c r="J226" s="10" t="inlineStr">
        <is>
          <t>DIANE 35 C/21 DRAGEAS</t>
        </is>
      </c>
      <c r="K226" s="11" t="n">
        <v>31.52</v>
      </c>
      <c r="L226" s="13" t="n">
        <v>0.03</v>
      </c>
      <c r="M226" s="11">
        <f>IF(K226="","",ROUND(K226*(1-L226),2))</f>
        <v/>
      </c>
      <c r="N226" s="9" t="n"/>
      <c r="O226" s="14">
        <f>IF(OR(M226="",R226&lt;&gt;""),"",M226/G226-1)</f>
        <v/>
      </c>
      <c r="P226" s="11">
        <f>IF(OR(M226="",R226&lt;&gt;""),"",(G226-M226)*E226)</f>
        <v/>
      </c>
      <c r="Q226" s="9">
        <f>IF(R226&lt;&gt;"","—",IF(M226&lt;G226,"Mais barato",IF(M226&gt;G226,"Mais caro","Igual")))</f>
        <v/>
      </c>
      <c r="R226" s="10" t="n"/>
    </row>
    <row r="227">
      <c r="A227" s="9" t="n">
        <v>4621</v>
      </c>
      <c r="B227" s="10" t="inlineStr">
        <is>
          <t>DICLIN 2+0,035MG CX 21 COMP REV</t>
        </is>
      </c>
      <c r="C227" s="10" t="inlineStr">
        <is>
          <t>RX</t>
        </is>
      </c>
      <c r="D227" s="9" t="inlineStr">
        <is>
          <t>B</t>
        </is>
      </c>
      <c r="E227" s="9" t="n">
        <v>1</v>
      </c>
      <c r="F227" s="9" t="n">
        <v>1</v>
      </c>
      <c r="G227" s="11" t="n">
        <v>18.035</v>
      </c>
      <c r="H227" s="10" t="inlineStr">
        <is>
          <t>SC DISTRIBUICAO LTDA</t>
        </is>
      </c>
      <c r="I227" s="12" t="inlineStr">
        <is>
          <t>7891721010026</t>
        </is>
      </c>
      <c r="J227" s="10" t="inlineStr">
        <is>
          <t>DICLIN C/21 COMPRIMIDOS</t>
        </is>
      </c>
      <c r="K227" s="11" t="n">
        <v>18.51</v>
      </c>
      <c r="L227" s="13" t="n">
        <v>0.04</v>
      </c>
      <c r="M227" s="11">
        <f>IF(K227="","",ROUND(K227*(1-L227),2))</f>
        <v/>
      </c>
      <c r="N227" s="9" t="n">
        <v>464</v>
      </c>
      <c r="O227" s="14">
        <f>IF(OR(M227="",R227&lt;&gt;""),"",M227/G227-1)</f>
        <v/>
      </c>
      <c r="P227" s="11">
        <f>IF(OR(M227="",R227&lt;&gt;""),"",(G227-M227)*E227)</f>
        <v/>
      </c>
      <c r="Q227" s="9">
        <f>IF(R227&lt;&gt;"","—",IF(M227&lt;G227,"Mais barato",IF(M227&gt;G227,"Mais caro","Igual")))</f>
        <v/>
      </c>
      <c r="R227" s="10" t="n"/>
    </row>
    <row r="228">
      <c r="A228" s="9" t="n">
        <v>159901</v>
      </c>
      <c r="B228" s="10" t="inlineStr">
        <is>
          <t>DIGEPLUS CX 30 CAP</t>
        </is>
      </c>
      <c r="C228" s="10" t="inlineStr">
        <is>
          <t>RX</t>
        </is>
      </c>
      <c r="D228" s="9" t="inlineStr">
        <is>
          <t>A</t>
        </is>
      </c>
      <c r="E228" s="9" t="n">
        <v>1</v>
      </c>
      <c r="F228" s="9" t="n">
        <v>1</v>
      </c>
      <c r="G228" s="11" t="n">
        <v>39.61</v>
      </c>
      <c r="H228" s="10" t="inlineStr">
        <is>
          <t>SC DISTRIBUICAO LTDA</t>
        </is>
      </c>
      <c r="I228" s="12" t="inlineStr">
        <is>
          <t>7896658008023</t>
        </is>
      </c>
      <c r="J228" s="10" t="inlineStr">
        <is>
          <t>DIGEPLUS C/30 CAPSULAS</t>
        </is>
      </c>
      <c r="K228" s="11" t="n">
        <v>40.46</v>
      </c>
      <c r="L228" s="13" t="n">
        <v>0.05</v>
      </c>
      <c r="M228" s="11">
        <f>IF(K228="","",ROUND(K228*(1-L228),2))</f>
        <v/>
      </c>
      <c r="N228" s="9" t="n">
        <v>3602</v>
      </c>
      <c r="O228" s="14">
        <f>IF(OR(M228="",R228&lt;&gt;""),"",M228/G228-1)</f>
        <v/>
      </c>
      <c r="P228" s="11">
        <f>IF(OR(M228="",R228&lt;&gt;""),"",(G228-M228)*E228)</f>
        <v/>
      </c>
      <c r="Q228" s="9">
        <f>IF(R228&lt;&gt;"","—",IF(M228&lt;G228,"Mais barato",IF(M228&gt;G228,"Mais caro","Igual")))</f>
        <v/>
      </c>
      <c r="R228" s="10" t="n"/>
    </row>
    <row r="229">
      <c r="A229" s="9" t="n">
        <v>226161</v>
      </c>
      <c r="B229" s="10" t="inlineStr">
        <is>
          <t>DIPROSONE 0,64MG CREME BG 30G</t>
        </is>
      </c>
      <c r="C229" s="10" t="inlineStr">
        <is>
          <t>RX</t>
        </is>
      </c>
      <c r="D229" s="9" t="inlineStr">
        <is>
          <t>C</t>
        </is>
      </c>
      <c r="E229" s="9" t="n">
        <v>1</v>
      </c>
      <c r="F229" s="9" t="n">
        <v>1</v>
      </c>
      <c r="G229" s="11" t="n">
        <v>40.93</v>
      </c>
      <c r="H229" s="10" t="inlineStr">
        <is>
          <t>SC DISTRIBUICAO LTDA</t>
        </is>
      </c>
      <c r="I229" s="12" t="inlineStr">
        <is>
          <t>7891142141279</t>
        </is>
      </c>
      <c r="J229" s="10" t="inlineStr">
        <is>
          <t>DIPROSONE CREME 30G</t>
        </is>
      </c>
      <c r="K229" s="11" t="n">
        <v>42.48</v>
      </c>
      <c r="L229" s="13" t="n">
        <v>0.035</v>
      </c>
      <c r="M229" s="11">
        <f>IF(K229="","",ROUND(K229*(1-L229),2))</f>
        <v/>
      </c>
      <c r="N229" s="9" t="n"/>
      <c r="O229" s="14">
        <f>IF(OR(M229="",R229&lt;&gt;""),"",M229/G229-1)</f>
        <v/>
      </c>
      <c r="P229" s="11">
        <f>IF(OR(M229="",R229&lt;&gt;""),"",(G229-M229)*E229)</f>
        <v/>
      </c>
      <c r="Q229" s="9">
        <f>IF(R229&lt;&gt;"","—",IF(M229&lt;G229,"Mais barato",IF(M229&gt;G229,"Mais caro","Igual")))</f>
        <v/>
      </c>
      <c r="R229" s="10" t="n"/>
    </row>
    <row r="230">
      <c r="A230" s="9" t="n">
        <v>226141</v>
      </c>
      <c r="B230" s="10" t="inlineStr">
        <is>
          <t>DIPROSONE 0,64MG LOCAO FR 30ML</t>
        </is>
      </c>
      <c r="C230" s="10" t="inlineStr">
        <is>
          <t>RX</t>
        </is>
      </c>
      <c r="D230" s="9" t="inlineStr">
        <is>
          <t>B</t>
        </is>
      </c>
      <c r="E230" s="9" t="n">
        <v>2</v>
      </c>
      <c r="F230" s="9" t="n">
        <v>1</v>
      </c>
      <c r="G230" s="11" t="n">
        <v>43.49</v>
      </c>
      <c r="H230" s="10" t="inlineStr">
        <is>
          <t>SC DISTRIBUICAO LTDA</t>
        </is>
      </c>
      <c r="I230" s="12" t="inlineStr">
        <is>
          <t>7891142141286</t>
        </is>
      </c>
      <c r="J230" s="10" t="inlineStr">
        <is>
          <t>DIPROSONE LOCAO 30ML</t>
        </is>
      </c>
      <c r="K230" s="11" t="n">
        <v>41.85</v>
      </c>
      <c r="L230" s="13" t="n">
        <v>0.035</v>
      </c>
      <c r="M230" s="11">
        <f>IF(K230="","",ROUND(K230*(1-L230),2))</f>
        <v/>
      </c>
      <c r="N230" s="9" t="n">
        <v>77</v>
      </c>
      <c r="O230" s="14">
        <f>IF(OR(M230="",R230&lt;&gt;""),"",M230/G230-1)</f>
        <v/>
      </c>
      <c r="P230" s="11">
        <f>IF(OR(M230="",R230&lt;&gt;""),"",(G230-M230)*E230)</f>
        <v/>
      </c>
      <c r="Q230" s="9">
        <f>IF(R230&lt;&gt;"","—",IF(M230&lt;G230,"Mais barato",IF(M230&gt;G230,"Mais caro","Igual")))</f>
        <v/>
      </c>
      <c r="R230" s="10" t="n"/>
    </row>
    <row r="231">
      <c r="A231" s="9" t="n">
        <v>254221</v>
      </c>
      <c r="B231" s="10" t="inlineStr">
        <is>
          <t>DIPROSPAN 5+2MG INJ 1AMP X 1ML</t>
        </is>
      </c>
      <c r="C231" s="10" t="inlineStr">
        <is>
          <t>RX</t>
        </is>
      </c>
      <c r="D231" s="9" t="inlineStr">
        <is>
          <t>A</t>
        </is>
      </c>
      <c r="E231" s="9" t="n">
        <v>6</v>
      </c>
      <c r="F231" s="9" t="n">
        <v>1</v>
      </c>
      <c r="G231" s="11" t="n">
        <v>31.14</v>
      </c>
      <c r="H231" s="10" t="inlineStr">
        <is>
          <t>SC DISTRIBUICAO LTDA</t>
        </is>
      </c>
      <c r="I231" s="12" t="inlineStr">
        <is>
          <t>7891142142252</t>
        </is>
      </c>
      <c r="J231" s="10" t="inlineStr">
        <is>
          <t>DIPROSPAN INJETAVEL C/1 AMPOLA 1ML</t>
        </is>
      </c>
      <c r="K231" s="11" t="n">
        <v>37.57</v>
      </c>
      <c r="L231" s="13" t="n">
        <v>0.035</v>
      </c>
      <c r="M231" s="11">
        <f>IF(K231="","",ROUND(K231*(1-L231),2))</f>
        <v/>
      </c>
      <c r="N231" s="9" t="n">
        <v>1333</v>
      </c>
      <c r="O231" s="14">
        <f>IF(OR(M231="",R231&lt;&gt;""),"",M231/G231-1)</f>
        <v/>
      </c>
      <c r="P231" s="11">
        <f>IF(OR(M231="",R231&lt;&gt;""),"",(G231-M231)*E231)</f>
        <v/>
      </c>
      <c r="Q231" s="9">
        <f>IF(R231&lt;&gt;"","—",IF(M231&lt;G231,"Mais barato",IF(M231&gt;G231,"Mais caro","Igual")))</f>
        <v/>
      </c>
      <c r="R231" s="10" t="n"/>
    </row>
    <row r="232">
      <c r="A232" s="9" t="n">
        <v>134841</v>
      </c>
      <c r="B232" s="10" t="inlineStr">
        <is>
          <t>DOLAMIN FLEX 125+5,0MG CX 12 COMP REV</t>
        </is>
      </c>
      <c r="C232" s="10" t="inlineStr">
        <is>
          <t>RX</t>
        </is>
      </c>
      <c r="D232" s="9" t="inlineStr">
        <is>
          <t>A</t>
        </is>
      </c>
      <c r="E232" s="9" t="n">
        <v>1</v>
      </c>
      <c r="F232" s="9" t="n">
        <v>1</v>
      </c>
      <c r="G232" s="11" t="n">
        <v>41.03</v>
      </c>
      <c r="H232" s="10" t="inlineStr">
        <is>
          <t>NAZARIA DISTRIBUIDORA DE PRODUTOS FARMACEUTICOS LTDA</t>
        </is>
      </c>
      <c r="I232" s="12" t="inlineStr">
        <is>
          <t>7898040322441</t>
        </is>
      </c>
      <c r="J232" s="10" t="inlineStr">
        <is>
          <t>DOLAMIN FLEX 125MG C/12 COMPRIMIDOS REV</t>
        </is>
      </c>
      <c r="K232" s="11" t="n">
        <v>40.32</v>
      </c>
      <c r="L232" s="13" t="n">
        <v>0.04</v>
      </c>
      <c r="M232" s="11">
        <f>IF(K232="","",ROUND(K232*(1-L232),2))</f>
        <v/>
      </c>
      <c r="N232" s="9" t="n">
        <v>2087</v>
      </c>
      <c r="O232" s="14">
        <f>IF(OR(M232="",R232&lt;&gt;""),"",M232/G232-1)</f>
        <v/>
      </c>
      <c r="P232" s="11">
        <f>IF(OR(M232="",R232&lt;&gt;""),"",(G232-M232)*E232)</f>
        <v/>
      </c>
      <c r="Q232" s="9">
        <f>IF(R232&lt;&gt;"","—",IF(M232&lt;G232,"Mais barato",IF(M232&gt;G232,"Mais caro","Igual")))</f>
        <v/>
      </c>
      <c r="R232" s="10" t="n"/>
    </row>
    <row r="233">
      <c r="A233" s="9" t="n">
        <v>633651</v>
      </c>
      <c r="B233" s="10" t="inlineStr">
        <is>
          <t>DORFLEX DIP 1G CX 10 COMP</t>
        </is>
      </c>
      <c r="C233" s="10" t="inlineStr">
        <is>
          <t>RX - OTC</t>
        </is>
      </c>
      <c r="D233" s="9" t="inlineStr">
        <is>
          <t>A</t>
        </is>
      </c>
      <c r="E233" s="9" t="n">
        <v>303</v>
      </c>
      <c r="F233" s="9" t="n">
        <v>1</v>
      </c>
      <c r="G233" s="11" t="n">
        <v>5.1929</v>
      </c>
      <c r="H233" s="10" t="inlineStr">
        <is>
          <t>SC DISTRIBUICAO LTDA</t>
        </is>
      </c>
      <c r="I233" s="12" t="inlineStr">
        <is>
          <t>7891058005474</t>
        </is>
      </c>
      <c r="J233" s="10" t="inlineStr">
        <is>
          <t>DORFLEX DIP 1G C/10 COMP</t>
        </is>
      </c>
      <c r="K233" s="11" t="n">
        <v>12.89</v>
      </c>
      <c r="L233" s="13" t="n">
        <v>0.02</v>
      </c>
      <c r="M233" s="11">
        <f>IF(K233="","",ROUND(K233*(1-L233),2))</f>
        <v/>
      </c>
      <c r="N233" s="9" t="n">
        <v>1014</v>
      </c>
      <c r="O233" s="14">
        <f>IF(OR(M233="",R233&lt;&gt;""),"",M233/G233-1)</f>
        <v/>
      </c>
      <c r="P233" s="11">
        <f>IF(OR(M233="",R233&lt;&gt;""),"",(G233-M233)*E233)</f>
        <v/>
      </c>
      <c r="Q233" s="9">
        <f>IF(R233&lt;&gt;"","—",IF(M233&lt;G233,"Mais barato",IF(M233&gt;G233,"Mais caro","Igual")))</f>
        <v/>
      </c>
      <c r="R233" s="10" t="inlineStr">
        <is>
          <t>Conferir embalagem/EAN</t>
        </is>
      </c>
    </row>
    <row r="234">
      <c r="A234" s="9" t="n">
        <v>622821</v>
      </c>
      <c r="B234" s="10" t="inlineStr">
        <is>
          <t>DORFLEX MAX 600+70+100MG CX 16 COMP</t>
        </is>
      </c>
      <c r="C234" s="10" t="inlineStr">
        <is>
          <t>RX - OTC</t>
        </is>
      </c>
      <c r="D234" s="9" t="inlineStr">
        <is>
          <t>A</t>
        </is>
      </c>
      <c r="E234" s="9" t="n">
        <v>1</v>
      </c>
      <c r="F234" s="9" t="n">
        <v>1</v>
      </c>
      <c r="G234" s="11" t="n">
        <v>20.21</v>
      </c>
      <c r="H234" s="10" t="inlineStr">
        <is>
          <t>SC DISTRIBUICAO LTDA</t>
        </is>
      </c>
      <c r="I234" s="12" t="inlineStr">
        <is>
          <t>7891058003975</t>
        </is>
      </c>
      <c r="J234" s="10" t="inlineStr">
        <is>
          <t>DORFLEX MAX ANALGESICO E RELAXANTE MUSCULAR 16 COMPRIMIDOS</t>
        </is>
      </c>
      <c r="K234" s="11" t="n">
        <v>23.58</v>
      </c>
      <c r="L234" s="13" t="n">
        <v>0.02</v>
      </c>
      <c r="M234" s="11">
        <f>IF(K234="","",ROUND(K234*(1-L234),2))</f>
        <v/>
      </c>
      <c r="N234" s="9" t="n">
        <v>830</v>
      </c>
      <c r="O234" s="14">
        <f>IF(OR(M234="",R234&lt;&gt;""),"",M234/G234-1)</f>
        <v/>
      </c>
      <c r="P234" s="11">
        <f>IF(OR(M234="",R234&lt;&gt;""),"",(G234-M234)*E234)</f>
        <v/>
      </c>
      <c r="Q234" s="9">
        <f>IF(R234&lt;&gt;"","—",IF(M234&lt;G234,"Mais barato",IF(M234&gt;G234,"Mais caro","Igual")))</f>
        <v/>
      </c>
      <c r="R234" s="10" t="n"/>
    </row>
    <row r="235">
      <c r="A235" s="9" t="n">
        <v>498901</v>
      </c>
      <c r="B235" s="10" t="inlineStr">
        <is>
          <t>DORFLEX UNO 1G CX 10 COMP</t>
        </is>
      </c>
      <c r="C235" s="10" t="inlineStr">
        <is>
          <t>RX - OTC</t>
        </is>
      </c>
      <c r="D235" s="9" t="inlineStr">
        <is>
          <t>A</t>
        </is>
      </c>
      <c r="E235" s="9" t="n">
        <v>1</v>
      </c>
      <c r="F235" s="9" t="n">
        <v>1</v>
      </c>
      <c r="G235" s="11" t="n">
        <v>13.3883</v>
      </c>
      <c r="H235" s="10" t="inlineStr">
        <is>
          <t>NAZARIA DISTRIBUIDORA DE PRODUTOS FARMACEUTICOS LTDA</t>
        </is>
      </c>
      <c r="I235" s="12" t="inlineStr">
        <is>
          <t>7891058022815</t>
        </is>
      </c>
      <c r="J235" s="10" t="inlineStr">
        <is>
          <t>DORFLEX UNO 1G C/10 COMPRIMIDOS</t>
        </is>
      </c>
      <c r="K235" s="11" t="n">
        <v>14.35</v>
      </c>
      <c r="L235" s="13" t="n">
        <v>0.02</v>
      </c>
      <c r="M235" s="11">
        <f>IF(K235="","",ROUND(K235*(1-L235),2))</f>
        <v/>
      </c>
      <c r="N235" s="9" t="n">
        <v>1271</v>
      </c>
      <c r="O235" s="14">
        <f>IF(OR(M235="",R235&lt;&gt;""),"",M235/G235-1)</f>
        <v/>
      </c>
      <c r="P235" s="11">
        <f>IF(OR(M235="",R235&lt;&gt;""),"",(G235-M235)*E235)</f>
        <v/>
      </c>
      <c r="Q235" s="9">
        <f>IF(R235&lt;&gt;"","—",IF(M235&lt;G235,"Mais barato",IF(M235&gt;G235,"Mais caro","Igual")))</f>
        <v/>
      </c>
      <c r="R235" s="10" t="n"/>
    </row>
    <row r="236">
      <c r="A236" s="9" t="n">
        <v>660151</v>
      </c>
      <c r="B236" s="10" t="inlineStr">
        <is>
          <t>DORII PRO 550MG CPRV CT BL 1X10</t>
        </is>
      </c>
      <c r="C236" s="10" t="inlineStr">
        <is>
          <t>RX</t>
        </is>
      </c>
      <c r="D236" s="9" t="inlineStr">
        <is>
          <t>B</t>
        </is>
      </c>
      <c r="E236" s="9" t="n">
        <v>9</v>
      </c>
      <c r="F236" s="9" t="n">
        <v>1</v>
      </c>
      <c r="G236" s="11" t="n">
        <v>18.88</v>
      </c>
      <c r="H236" s="10" t="inlineStr">
        <is>
          <t>SC DISTRIBUICAO LTDA</t>
        </is>
      </c>
      <c r="I236" s="12" t="inlineStr">
        <is>
          <t>7896094931428</t>
        </is>
      </c>
      <c r="J236" s="10" t="inlineStr">
        <is>
          <t>DORII PRO 550MG CAIXA 10 COMPRIMIDOS REVESTIDOS</t>
        </is>
      </c>
      <c r="K236" s="11" t="n">
        <v>19.8</v>
      </c>
      <c r="L236" s="13" t="n">
        <v>0.035</v>
      </c>
      <c r="M236" s="11">
        <f>IF(K236="","",ROUND(K236*(1-L236),2))</f>
        <v/>
      </c>
      <c r="N236" s="9" t="n">
        <v>69</v>
      </c>
      <c r="O236" s="14">
        <f>IF(OR(M236="",R236&lt;&gt;""),"",M236/G236-1)</f>
        <v/>
      </c>
      <c r="P236" s="11">
        <f>IF(OR(M236="",R236&lt;&gt;""),"",(G236-M236)*E236)</f>
        <v/>
      </c>
      <c r="Q236" s="9">
        <f>IF(R236&lt;&gt;"","—",IF(M236&lt;G236,"Mais barato",IF(M236&gt;G236,"Mais caro","Igual")))</f>
        <v/>
      </c>
      <c r="R236" s="10" t="n"/>
    </row>
    <row r="237">
      <c r="A237" s="9" t="n">
        <v>397941</v>
      </c>
      <c r="B237" s="10" t="inlineStr">
        <is>
          <t>DORIL ENXAQUECA CARTELA C/ 2 DOSES 4CP</t>
        </is>
      </c>
      <c r="C237" s="10" t="inlineStr">
        <is>
          <t>RX</t>
        </is>
      </c>
      <c r="D237" s="9" t="inlineStr">
        <is>
          <t>A</t>
        </is>
      </c>
      <c r="E237" s="9" t="n">
        <v>2</v>
      </c>
      <c r="F237" s="9" t="n">
        <v>25</v>
      </c>
      <c r="G237" s="11" t="n">
        <v>151.75</v>
      </c>
      <c r="H237" s="10" t="inlineStr">
        <is>
          <t>TAPAJOS COMERCIO DE MEDICAMENTOS LTDA</t>
        </is>
      </c>
      <c r="I237" s="12" t="inlineStr">
        <is>
          <t>7896094906310</t>
        </is>
      </c>
      <c r="J237" s="10" t="inlineStr">
        <is>
          <t>DORIL ENXAQUECA C/25x4 COMPRIMIDOS</t>
        </is>
      </c>
      <c r="K237" s="11" t="n">
        <v>209.19</v>
      </c>
      <c r="L237" s="13" t="n">
        <v>0.035</v>
      </c>
      <c r="M237" s="11">
        <f>IF(K237="","",ROUND(K237*(1-L237),2))</f>
        <v/>
      </c>
      <c r="N237" s="9" t="n">
        <v>433</v>
      </c>
      <c r="O237" s="14">
        <f>IF(OR(M237="",R237&lt;&gt;""),"",M237/G237-1)</f>
        <v/>
      </c>
      <c r="P237" s="11">
        <f>IF(OR(M237="",R237&lt;&gt;""),"",(G237-M237)*E237)</f>
        <v/>
      </c>
      <c r="Q237" s="9">
        <f>IF(R237&lt;&gt;"","—",IF(M237&lt;G237,"Mais barato",IF(M237&gt;G237,"Mais caro","Igual")))</f>
        <v/>
      </c>
      <c r="R237" s="10" t="n"/>
    </row>
    <row r="238">
      <c r="A238" s="9" t="n">
        <v>142681</v>
      </c>
      <c r="B238" s="10" t="inlineStr">
        <is>
          <t>DORZAL 20MG/ML SOL OFT FR X 5ML</t>
        </is>
      </c>
      <c r="C238" s="10" t="inlineStr">
        <is>
          <t>RX</t>
        </is>
      </c>
      <c r="D238" s="9" t="inlineStr">
        <is>
          <t>B</t>
        </is>
      </c>
      <c r="E238" s="9" t="n">
        <v>1</v>
      </c>
      <c r="F238" s="9" t="n">
        <v>1</v>
      </c>
      <c r="G238" s="11" t="n">
        <v>63.98</v>
      </c>
      <c r="H238" s="10" t="inlineStr">
        <is>
          <t>SC DISTRIBUICAO LTDA</t>
        </is>
      </c>
      <c r="I238" s="12" t="inlineStr">
        <is>
          <t>7896004757957</t>
        </is>
      </c>
      <c r="J238" s="10" t="inlineStr">
        <is>
          <t>DORZAL SOLUCAO OFTALMICA 20MG 5ML</t>
        </is>
      </c>
      <c r="K238" s="11" t="n">
        <v>64.14</v>
      </c>
      <c r="L238" s="13" t="n">
        <v>0</v>
      </c>
      <c r="M238" s="11">
        <f>IF(K238="","",ROUND(K238*(1-L238),2))</f>
        <v/>
      </c>
      <c r="N238" s="9" t="n">
        <v>370</v>
      </c>
      <c r="O238" s="14">
        <f>IF(OR(M238="",R238&lt;&gt;""),"",M238/G238-1)</f>
        <v/>
      </c>
      <c r="P238" s="11">
        <f>IF(OR(M238="",R238&lt;&gt;""),"",(G238-M238)*E238)</f>
        <v/>
      </c>
      <c r="Q238" s="9">
        <f>IF(R238&lt;&gt;"","—",IF(M238&lt;G238,"Mais barato",IF(M238&gt;G238,"Mais caro","Igual")))</f>
        <v/>
      </c>
      <c r="R238" s="10" t="n"/>
    </row>
    <row r="239">
      <c r="A239" s="9" t="n">
        <v>643911</v>
      </c>
      <c r="B239" s="10" t="inlineStr">
        <is>
          <t>DOSS 2000UI CX 30 CAP</t>
        </is>
      </c>
      <c r="C239" s="10" t="inlineStr">
        <is>
          <t>RX</t>
        </is>
      </c>
      <c r="D239" s="9" t="inlineStr">
        <is>
          <t>A</t>
        </is>
      </c>
      <c r="E239" s="9" t="n">
        <v>1</v>
      </c>
      <c r="F239" s="9" t="n">
        <v>1</v>
      </c>
      <c r="G239" s="11" t="n">
        <v>29.0533</v>
      </c>
      <c r="H239" s="10" t="inlineStr">
        <is>
          <t>SB COMERCIO LTDA 0179-15</t>
        </is>
      </c>
      <c r="I239" s="12" t="n"/>
      <c r="J239" s="10" t="n"/>
      <c r="K239" s="11" t="n"/>
      <c r="L239" s="13" t="n"/>
      <c r="M239" s="11">
        <f>IF(K239="","",ROUND(K239*(1-L239),2))</f>
        <v/>
      </c>
      <c r="N239" s="9" t="n"/>
      <c r="O239" s="14">
        <f>IF(OR(M239="",R239&lt;&gt;""),"",M239/G239-1)</f>
        <v/>
      </c>
      <c r="P239" s="11">
        <f>IF(OR(M239="",R239&lt;&gt;""),"",(G239-M239)*E239)</f>
        <v/>
      </c>
      <c r="Q239" s="9">
        <f>IF(R239&lt;&gt;"","—",IF(M239&lt;G239,"Mais barato",IF(M239&gt;G239,"Mais caro","Igual")))</f>
        <v/>
      </c>
      <c r="R239" s="10" t="inlineStr">
        <is>
          <t>Não encontrado</t>
        </is>
      </c>
    </row>
    <row r="240">
      <c r="A240" s="9" t="n">
        <v>663061</v>
      </c>
      <c r="B240" s="10" t="inlineStr">
        <is>
          <t>DOVE GEL LIMP FACIAL PL OLEOS E ACNEIC 150ML   UNIL %DN:17.00</t>
        </is>
      </c>
      <c r="C240" s="10" t="inlineStr">
        <is>
          <t>RX - DERMO</t>
        </is>
      </c>
      <c r="D240" s="9" t="inlineStr">
        <is>
          <t>C</t>
        </is>
      </c>
      <c r="E240" s="9" t="n">
        <v>2</v>
      </c>
      <c r="F240" s="9" t="n">
        <v>1</v>
      </c>
      <c r="G240" s="11" t="n">
        <v>24.2358</v>
      </c>
      <c r="H240" s="10" t="inlineStr">
        <is>
          <t>NAZARIA DISTRIBUIDORA DE PRODUTOS FARMACEUTICOS LTDA</t>
        </is>
      </c>
      <c r="I240" s="12" t="n"/>
      <c r="J240" s="10" t="n"/>
      <c r="K240" s="11" t="n"/>
      <c r="L240" s="13" t="n"/>
      <c r="M240" s="11">
        <f>IF(K240="","",ROUND(K240*(1-L240),2))</f>
        <v/>
      </c>
      <c r="N240" s="9" t="n"/>
      <c r="O240" s="14">
        <f>IF(OR(M240="",R240&lt;&gt;""),"",M240/G240-1)</f>
        <v/>
      </c>
      <c r="P240" s="11">
        <f>IF(OR(M240="",R240&lt;&gt;""),"",(G240-M240)*E240)</f>
        <v/>
      </c>
      <c r="Q240" s="9">
        <f>IF(R240&lt;&gt;"","—",IF(M240&lt;G240,"Mais barato",IF(M240&gt;G240,"Mais caro","Igual")))</f>
        <v/>
      </c>
      <c r="R240" s="10" t="inlineStr">
        <is>
          <t>Não encontrado</t>
        </is>
      </c>
    </row>
    <row r="241">
      <c r="A241" s="9" t="n">
        <v>663071</v>
      </c>
      <c r="B241" s="10" t="inlineStr">
        <is>
          <t>DOVE GEL LIMP FACIAL PL SENS E OLEOS 150ML   UNIL %DN:17.00</t>
        </is>
      </c>
      <c r="C241" s="10" t="inlineStr">
        <is>
          <t>RX - DERMO</t>
        </is>
      </c>
      <c r="D241" s="9" t="inlineStr">
        <is>
          <t>B</t>
        </is>
      </c>
      <c r="E241" s="9" t="n">
        <v>1</v>
      </c>
      <c r="F241" s="9" t="n">
        <v>1</v>
      </c>
      <c r="G241" s="11" t="n">
        <v>24.2358</v>
      </c>
      <c r="H241" s="10" t="inlineStr">
        <is>
          <t>NAZARIA DISTRIBUIDORA DE PRODUTOS FARMACEUTICOS LTDA</t>
        </is>
      </c>
      <c r="I241" s="12" t="n"/>
      <c r="J241" s="10" t="n"/>
      <c r="K241" s="11" t="n"/>
      <c r="L241" s="13" t="n"/>
      <c r="M241" s="11">
        <f>IF(K241="","",ROUND(K241*(1-L241),2))</f>
        <v/>
      </c>
      <c r="N241" s="9" t="n"/>
      <c r="O241" s="14">
        <f>IF(OR(M241="",R241&lt;&gt;""),"",M241/G241-1)</f>
        <v/>
      </c>
      <c r="P241" s="11">
        <f>IF(OR(M241="",R241&lt;&gt;""),"",(G241-M241)*E241)</f>
        <v/>
      </c>
      <c r="Q241" s="9">
        <f>IF(R241&lt;&gt;"","—",IF(M241&lt;G241,"Mais barato",IF(M241&gt;G241,"Mais caro","Igual")))</f>
        <v/>
      </c>
      <c r="R241" s="10" t="inlineStr">
        <is>
          <t>Não encontrado</t>
        </is>
      </c>
    </row>
    <row r="242">
      <c r="A242" s="9" t="n">
        <v>666711</v>
      </c>
      <c r="B242" s="10" t="inlineStr">
        <is>
          <t>DOZI 1000MCG C/30 COMP SUB-OUTROS</t>
        </is>
      </c>
      <c r="C242" s="10" t="inlineStr">
        <is>
          <t>RX</t>
        </is>
      </c>
      <c r="D242" s="9" t="inlineStr">
        <is>
          <t>C</t>
        </is>
      </c>
      <c r="E242" s="9" t="n">
        <v>1</v>
      </c>
      <c r="F242" s="9" t="n">
        <v>1</v>
      </c>
      <c r="G242" s="11" t="n">
        <v>44.048</v>
      </c>
      <c r="H242" s="10" t="inlineStr">
        <is>
          <t>NAZARIA DISTRIBUIDORA DE PRODUTOS FARMACEUTICOS LTDA</t>
        </is>
      </c>
      <c r="I242" s="12" t="inlineStr">
        <is>
          <t>7891317042202</t>
        </is>
      </c>
      <c r="J242" s="10" t="inlineStr">
        <is>
          <t>DOZI 1000MCG C/30 COMPRIMIDOS SUBLINGUAIS</t>
        </is>
      </c>
      <c r="K242" s="11" t="n">
        <v>22.84</v>
      </c>
      <c r="L242" s="13" t="n">
        <v>0.04</v>
      </c>
      <c r="M242" s="11">
        <f>IF(K242="","",ROUND(K242*(1-L242),2))</f>
        <v/>
      </c>
      <c r="N242" s="9" t="n"/>
      <c r="O242" s="14">
        <f>IF(OR(M242="",R242&lt;&gt;""),"",M242/G242-1)</f>
        <v/>
      </c>
      <c r="P242" s="11">
        <f>IF(OR(M242="",R242&lt;&gt;""),"",(G242-M242)*E242)</f>
        <v/>
      </c>
      <c r="Q242" s="9">
        <f>IF(R242&lt;&gt;"","—",IF(M242&lt;G242,"Mais barato",IF(M242&gt;G242,"Mais caro","Igual")))</f>
        <v/>
      </c>
      <c r="R242" s="10" t="inlineStr">
        <is>
          <t>Conferir embalagem/EAN</t>
        </is>
      </c>
    </row>
    <row r="243">
      <c r="A243" s="9" t="n">
        <v>503121</v>
      </c>
      <c r="B243" s="10" t="inlineStr">
        <is>
          <t>DPREV 10.000UI CX 4 COMP REV</t>
        </is>
      </c>
      <c r="C243" s="10" t="inlineStr">
        <is>
          <t>RX</t>
        </is>
      </c>
      <c r="D243" s="9" t="inlineStr">
        <is>
          <t>B</t>
        </is>
      </c>
      <c r="E243" s="9" t="n">
        <v>1</v>
      </c>
      <c r="F243" s="9" t="n">
        <v>1</v>
      </c>
      <c r="G243" s="11" t="n">
        <v>19.71</v>
      </c>
      <c r="H243" s="10" t="inlineStr">
        <is>
          <t>SC DISTRIBUICAO LTDA</t>
        </is>
      </c>
      <c r="I243" s="12" t="inlineStr">
        <is>
          <t>7898430192920</t>
        </is>
      </c>
      <c r="J243" s="10" t="inlineStr">
        <is>
          <t>DPREV 10.000UI C/4 COMPRIMIDOS REV</t>
        </is>
      </c>
      <c r="K243" s="11" t="n">
        <v>20.76</v>
      </c>
      <c r="L243" s="13" t="n">
        <v>0.07000000000000001</v>
      </c>
      <c r="M243" s="11">
        <f>IF(K243="","",ROUND(K243*(1-L243),2))</f>
        <v/>
      </c>
      <c r="N243" s="9" t="n">
        <v>58</v>
      </c>
      <c r="O243" s="14">
        <f>IF(OR(M243="",R243&lt;&gt;""),"",M243/G243-1)</f>
        <v/>
      </c>
      <c r="P243" s="11">
        <f>IF(OR(M243="",R243&lt;&gt;""),"",(G243-M243)*E243)</f>
        <v/>
      </c>
      <c r="Q243" s="9">
        <f>IF(R243&lt;&gt;"","—",IF(M243&lt;G243,"Mais barato",IF(M243&gt;G243,"Mais caro","Igual")))</f>
        <v/>
      </c>
      <c r="R243" s="10" t="n"/>
    </row>
    <row r="244">
      <c r="A244" s="9" t="n">
        <v>481541</v>
      </c>
      <c r="B244" s="10" t="inlineStr">
        <is>
          <t>DPREV 14000UI 1BL X 4 COMP REV</t>
        </is>
      </c>
      <c r="C244" s="10" t="inlineStr">
        <is>
          <t>RX</t>
        </is>
      </c>
      <c r="D244" s="9" t="inlineStr">
        <is>
          <t>A</t>
        </is>
      </c>
      <c r="E244" s="9" t="n">
        <v>2</v>
      </c>
      <c r="F244" s="9" t="n">
        <v>1</v>
      </c>
      <c r="G244" s="11" t="n">
        <v>26.0467</v>
      </c>
      <c r="H244" s="10" t="inlineStr">
        <is>
          <t>SC DISTRIBUICAO LTDA</t>
        </is>
      </c>
      <c r="I244" s="12" t="inlineStr">
        <is>
          <t>7898430193590</t>
        </is>
      </c>
      <c r="J244" s="10" t="inlineStr">
        <is>
          <t>DPREV 14.000UI C/4 COMPRIMIDOS REV</t>
        </is>
      </c>
      <c r="K244" s="11" t="n">
        <v>31.9</v>
      </c>
      <c r="L244" s="13" t="n">
        <v>0.07000000000000001</v>
      </c>
      <c r="M244" s="11">
        <f>IF(K244="","",ROUND(K244*(1-L244),2))</f>
        <v/>
      </c>
      <c r="N244" s="9" t="n"/>
      <c r="O244" s="14">
        <f>IF(OR(M244="",R244&lt;&gt;""),"",M244/G244-1)</f>
        <v/>
      </c>
      <c r="P244" s="11">
        <f>IF(OR(M244="",R244&lt;&gt;""),"",(G244-M244)*E244)</f>
        <v/>
      </c>
      <c r="Q244" s="9">
        <f>IF(R244&lt;&gt;"","—",IF(M244&lt;G244,"Mais barato",IF(M244&gt;G244,"Mais caro","Igual")))</f>
        <v/>
      </c>
      <c r="R244" s="10" t="n"/>
    </row>
    <row r="245">
      <c r="A245" s="9" t="n">
        <v>588941</v>
      </c>
      <c r="B245" s="10" t="inlineStr">
        <is>
          <t>DRAMIN 50MG CARTELA COM 10 CPS</t>
        </is>
      </c>
      <c r="C245" s="10" t="inlineStr">
        <is>
          <t>RX</t>
        </is>
      </c>
      <c r="D245" s="9" t="inlineStr">
        <is>
          <t>B</t>
        </is>
      </c>
      <c r="E245" s="9" t="n">
        <v>1</v>
      </c>
      <c r="F245" s="9" t="n">
        <v>20</v>
      </c>
      <c r="G245" s="11" t="n">
        <v>285.71</v>
      </c>
      <c r="H245" s="10" t="inlineStr">
        <is>
          <t>SB COMERCIO LTDA 0179-15</t>
        </is>
      </c>
      <c r="I245" s="12" t="n"/>
      <c r="J245" s="10" t="n"/>
      <c r="K245" s="11" t="n"/>
      <c r="L245" s="13" t="n"/>
      <c r="M245" s="11">
        <f>IF(K245="","",ROUND(K245*(1-L245),2))</f>
        <v/>
      </c>
      <c r="N245" s="9" t="n"/>
      <c r="O245" s="14">
        <f>IF(OR(M245="",R245&lt;&gt;""),"",M245/G245-1)</f>
        <v/>
      </c>
      <c r="P245" s="11">
        <f>IF(OR(M245="",R245&lt;&gt;""),"",(G245-M245)*E245)</f>
        <v/>
      </c>
      <c r="Q245" s="9">
        <f>IF(R245&lt;&gt;"","—",IF(M245&lt;G245,"Mais barato",IF(M245&gt;G245,"Mais caro","Igual")))</f>
        <v/>
      </c>
      <c r="R245" s="10" t="inlineStr">
        <is>
          <t>Não encontrado</t>
        </is>
      </c>
    </row>
    <row r="246">
      <c r="A246" s="9" t="n">
        <v>669071</v>
      </c>
      <c r="B246" s="10" t="inlineStr">
        <is>
          <t>DRAMIN CAPS GEL (CARTELADO) PV</t>
        </is>
      </c>
      <c r="C246" s="10" t="inlineStr">
        <is>
          <t>RX</t>
        </is>
      </c>
      <c r="D246" s="9" t="inlineStr">
        <is>
          <t>C</t>
        </is>
      </c>
      <c r="E246" s="9" t="n">
        <v>1</v>
      </c>
      <c r="F246" s="9" t="n">
        <v>1</v>
      </c>
      <c r="G246" s="11" t="n">
        <v>2.5</v>
      </c>
      <c r="H246" s="10" t="n">
        <v/>
      </c>
      <c r="I246" s="12" t="n"/>
      <c r="J246" s="10" t="n"/>
      <c r="K246" s="11" t="n"/>
      <c r="L246" s="13" t="n"/>
      <c r="M246" s="11">
        <f>IF(K246="","",ROUND(K246*(1-L246),2))</f>
        <v/>
      </c>
      <c r="N246" s="9" t="n"/>
      <c r="O246" s="14">
        <f>IF(OR(M246="",R246&lt;&gt;""),"",M246/G246-1)</f>
        <v/>
      </c>
      <c r="P246" s="11">
        <f>IF(OR(M246="",R246&lt;&gt;""),"",(G246-M246)*E246)</f>
        <v/>
      </c>
      <c r="Q246" s="9">
        <f>IF(R246&lt;&gt;"","—",IF(M246&lt;G246,"Mais barato",IF(M246&gt;G246,"Mais caro","Igual")))</f>
        <v/>
      </c>
      <c r="R246" s="10" t="inlineStr">
        <is>
          <t>Não encontrado</t>
        </is>
      </c>
    </row>
    <row r="247">
      <c r="A247" s="9" t="n">
        <v>329261</v>
      </c>
      <c r="B247" s="10" t="inlineStr">
        <is>
          <t>DRUSOLOL 2+0,5PCC SOL OFT FR 5ML</t>
        </is>
      </c>
      <c r="C247" s="10" t="inlineStr">
        <is>
          <t>RX</t>
        </is>
      </c>
      <c r="D247" s="9" t="inlineStr">
        <is>
          <t>A</t>
        </is>
      </c>
      <c r="E247" s="9" t="n">
        <v>5</v>
      </c>
      <c r="F247" s="9" t="n">
        <v>1</v>
      </c>
      <c r="G247" s="11" t="n">
        <v>68.73</v>
      </c>
      <c r="H247" s="10" t="inlineStr">
        <is>
          <t>SC DISTRIBUICAO LTDA</t>
        </is>
      </c>
      <c r="I247" s="12" t="inlineStr">
        <is>
          <t>7896006230052</t>
        </is>
      </c>
      <c r="J247" s="10" t="inlineStr">
        <is>
          <t>DRUSOLOL COLIRIO 5ML</t>
        </is>
      </c>
      <c r="K247" s="11" t="n">
        <v>75.84</v>
      </c>
      <c r="L247" s="13" t="n">
        <v>0.04</v>
      </c>
      <c r="M247" s="11">
        <f>IF(K247="","",ROUND(K247*(1-L247),2))</f>
        <v/>
      </c>
      <c r="N247" s="9" t="n">
        <v>440</v>
      </c>
      <c r="O247" s="14">
        <f>IF(OR(M247="",R247&lt;&gt;""),"",M247/G247-1)</f>
        <v/>
      </c>
      <c r="P247" s="11">
        <f>IF(OR(M247="",R247&lt;&gt;""),"",(G247-M247)*E247)</f>
        <v/>
      </c>
      <c r="Q247" s="9">
        <f>IF(R247&lt;&gt;"","—",IF(M247&lt;G247,"Mais barato",IF(M247&gt;G247,"Mais caro","Igual")))</f>
        <v/>
      </c>
      <c r="R247" s="10" t="n"/>
    </row>
    <row r="248">
      <c r="A248" s="9" t="n">
        <v>655311</v>
      </c>
      <c r="B248" s="10" t="inlineStr">
        <is>
          <t>DUALGI 200MG+500MG 12CPR</t>
        </is>
      </c>
      <c r="C248" s="10" t="inlineStr">
        <is>
          <t>RX</t>
        </is>
      </c>
      <c r="D248" s="9" t="inlineStr">
        <is>
          <t>B</t>
        </is>
      </c>
      <c r="E248" s="9" t="n">
        <v>3</v>
      </c>
      <c r="F248" s="9" t="n">
        <v>1</v>
      </c>
      <c r="G248" s="11" t="n">
        <v>26.68</v>
      </c>
      <c r="H248" s="10" t="inlineStr">
        <is>
          <t>SC DISTRIBUICAO LTDA</t>
        </is>
      </c>
      <c r="I248" s="12" t="inlineStr">
        <is>
          <t>7891317027179</t>
        </is>
      </c>
      <c r="J248" s="10" t="inlineStr">
        <is>
          <t>DUALGI 12CPR REV</t>
        </is>
      </c>
      <c r="K248" s="11" t="n">
        <v>26.5</v>
      </c>
      <c r="L248" s="13" t="n">
        <v>0.04</v>
      </c>
      <c r="M248" s="11">
        <f>IF(K248="","",ROUND(K248*(1-L248),2))</f>
        <v/>
      </c>
      <c r="N248" s="9" t="n"/>
      <c r="O248" s="14">
        <f>IF(OR(M248="",R248&lt;&gt;""),"",M248/G248-1)</f>
        <v/>
      </c>
      <c r="P248" s="11">
        <f>IF(OR(M248="",R248&lt;&gt;""),"",(G248-M248)*E248)</f>
        <v/>
      </c>
      <c r="Q248" s="9">
        <f>IF(R248&lt;&gt;"","—",IF(M248&lt;G248,"Mais barato",IF(M248&gt;G248,"Mais caro","Igual")))</f>
        <v/>
      </c>
      <c r="R248" s="10" t="n"/>
    </row>
    <row r="249">
      <c r="A249" s="9" t="n">
        <v>341481</v>
      </c>
      <c r="B249" s="10" t="inlineStr">
        <is>
          <t>DUOMO 4MG CX 30 COMP</t>
        </is>
      </c>
      <c r="C249" s="10" t="inlineStr">
        <is>
          <t>RX</t>
        </is>
      </c>
      <c r="D249" s="9" t="inlineStr">
        <is>
          <t>B</t>
        </is>
      </c>
      <c r="E249" s="9" t="n">
        <v>1</v>
      </c>
      <c r="F249" s="9" t="n">
        <v>1</v>
      </c>
      <c r="G249" s="11" t="n">
        <v>50.19</v>
      </c>
      <c r="H249" s="10" t="inlineStr">
        <is>
          <t>SC DISTRIBUICAO LTDA</t>
        </is>
      </c>
      <c r="I249" s="12" t="inlineStr">
        <is>
          <t>7891317003029</t>
        </is>
      </c>
      <c r="J249" s="10" t="inlineStr">
        <is>
          <t>DUOMO 4MG C/30 COMPRIMIDOS</t>
        </is>
      </c>
      <c r="K249" s="11" t="n">
        <v>49.85</v>
      </c>
      <c r="L249" s="13" t="n">
        <v>0.04</v>
      </c>
      <c r="M249" s="11">
        <f>IF(K249="","",ROUND(K249*(1-L249),2))</f>
        <v/>
      </c>
      <c r="N249" s="9" t="n">
        <v>498</v>
      </c>
      <c r="O249" s="14">
        <f>IF(OR(M249="",R249&lt;&gt;""),"",M249/G249-1)</f>
        <v/>
      </c>
      <c r="P249" s="11">
        <f>IF(OR(M249="",R249&lt;&gt;""),"",(G249-M249)*E249)</f>
        <v/>
      </c>
      <c r="Q249" s="9">
        <f>IF(R249&lt;&gt;"","—",IF(M249&lt;G249,"Mais barato",IF(M249&gt;G249,"Mais caro","Igual")))</f>
        <v/>
      </c>
      <c r="R249" s="10" t="n"/>
    </row>
    <row r="250">
      <c r="A250" s="9" t="n">
        <v>230701</v>
      </c>
      <c r="B250" s="10" t="inlineStr">
        <is>
          <t>DUTAM 0,5+0,4MG CX 30 CAP LIB PROL</t>
        </is>
      </c>
      <c r="C250" s="10" t="inlineStr">
        <is>
          <t>RX</t>
        </is>
      </c>
      <c r="D250" s="9" t="inlineStr">
        <is>
          <t>A</t>
        </is>
      </c>
      <c r="E250" s="9" t="n">
        <v>11</v>
      </c>
      <c r="F250" s="9" t="n">
        <v>1</v>
      </c>
      <c r="G250" s="11" t="n">
        <v>80.73</v>
      </c>
      <c r="H250" s="10" t="inlineStr">
        <is>
          <t>SC DISTRIBUICAO LTDA</t>
        </is>
      </c>
      <c r="I250" s="12" t="inlineStr">
        <is>
          <t>7892953003558</t>
        </is>
      </c>
      <c r="J250" s="10" t="inlineStr">
        <is>
          <t>DUTAM 0,5MG + 0,4MG C/30 CAPSULAS</t>
        </is>
      </c>
      <c r="K250" s="11" t="n">
        <v>91.11</v>
      </c>
      <c r="L250" s="13" t="n">
        <v>0.05</v>
      </c>
      <c r="M250" s="11">
        <f>IF(K250="","",ROUND(K250*(1-L250),2))</f>
        <v/>
      </c>
      <c r="N250" s="9" t="n">
        <v>3643</v>
      </c>
      <c r="O250" s="14">
        <f>IF(OR(M250="",R250&lt;&gt;""),"",M250/G250-1)</f>
        <v/>
      </c>
      <c r="P250" s="11">
        <f>IF(OR(M250="",R250&lt;&gt;""),"",(G250-M250)*E250)</f>
        <v/>
      </c>
      <c r="Q250" s="9">
        <f>IF(R250&lt;&gt;"","—",IF(M250&lt;G250,"Mais barato",IF(M250&gt;G250,"Mais caro","Igual")))</f>
        <v/>
      </c>
      <c r="R250" s="10" t="n"/>
    </row>
    <row r="251">
      <c r="A251" s="9" t="n">
        <v>230841</v>
      </c>
      <c r="B251" s="10" t="inlineStr">
        <is>
          <t>EBASTEL 10MG CX 10 COMP</t>
        </is>
      </c>
      <c r="C251" s="10" t="inlineStr">
        <is>
          <t>RX - OTC</t>
        </is>
      </c>
      <c r="D251" s="9" t="inlineStr">
        <is>
          <t>A</t>
        </is>
      </c>
      <c r="E251" s="9" t="n">
        <v>7</v>
      </c>
      <c r="F251" s="9" t="n">
        <v>1</v>
      </c>
      <c r="G251" s="11" t="n">
        <v>54.022</v>
      </c>
      <c r="H251" s="10" t="inlineStr">
        <is>
          <t>SC DISTRIBUICAO LTDA</t>
        </is>
      </c>
      <c r="I251" s="12" t="inlineStr">
        <is>
          <t>7891317005351</t>
        </is>
      </c>
      <c r="J251" s="10" t="inlineStr">
        <is>
          <t>EBASTEL 10MG C/10 COMPRIMIDOS</t>
        </is>
      </c>
      <c r="K251" s="11" t="n">
        <v>59.18</v>
      </c>
      <c r="L251" s="13" t="n">
        <v>0.04</v>
      </c>
      <c r="M251" s="11">
        <f>IF(K251="","",ROUND(K251*(1-L251),2))</f>
        <v/>
      </c>
      <c r="N251" s="9" t="n">
        <v>98</v>
      </c>
      <c r="O251" s="14">
        <f>IF(OR(M251="",R251&lt;&gt;""),"",M251/G251-1)</f>
        <v/>
      </c>
      <c r="P251" s="11">
        <f>IF(OR(M251="",R251&lt;&gt;""),"",(G251-M251)*E251)</f>
        <v/>
      </c>
      <c r="Q251" s="9">
        <f>IF(R251&lt;&gt;"","—",IF(M251&lt;G251,"Mais barato",IF(M251&gt;G251,"Mais caro","Igual")))</f>
        <v/>
      </c>
      <c r="R251" s="10" t="n"/>
    </row>
    <row r="252">
      <c r="A252" s="9" t="n">
        <v>83081</v>
      </c>
      <c r="B252" s="10" t="inlineStr">
        <is>
          <t>ECOFILM 5MG SOL OFT FR GTS 5ML</t>
        </is>
      </c>
      <c r="C252" s="10" t="inlineStr">
        <is>
          <t>RX - OTC</t>
        </is>
      </c>
      <c r="D252" s="9" t="inlineStr">
        <is>
          <t>A</t>
        </is>
      </c>
      <c r="E252" s="9" t="n">
        <v>12</v>
      </c>
      <c r="F252" s="9" t="n">
        <v>1</v>
      </c>
      <c r="G252" s="11" t="n">
        <v>15.94</v>
      </c>
      <c r="H252" s="10" t="inlineStr">
        <is>
          <t>SC DISTRIBUICAO LTDA</t>
        </is>
      </c>
      <c r="I252" s="12" t="inlineStr">
        <is>
          <t>7896676433050</t>
        </is>
      </c>
      <c r="J252" s="10" t="inlineStr">
        <is>
          <t>ECOFILM SOLUCAO OFTALMICA 5ML</t>
        </is>
      </c>
      <c r="K252" s="11" t="n">
        <v>16.11</v>
      </c>
      <c r="L252" s="13" t="n">
        <v>0.05</v>
      </c>
      <c r="M252" s="11">
        <f>IF(K252="","",ROUND(K252*(1-L252),2))</f>
        <v/>
      </c>
      <c r="N252" s="9" t="n">
        <v>3566</v>
      </c>
      <c r="O252" s="14">
        <f>IF(OR(M252="",R252&lt;&gt;""),"",M252/G252-1)</f>
        <v/>
      </c>
      <c r="P252" s="11">
        <f>IF(OR(M252="",R252&lt;&gt;""),"",(G252-M252)*E252)</f>
        <v/>
      </c>
      <c r="Q252" s="9">
        <f>IF(R252&lt;&gt;"","—",IF(M252&lt;G252,"Mais barato",IF(M252&gt;G252,"Mais caro","Igual")))</f>
        <v/>
      </c>
      <c r="R252" s="10" t="n"/>
    </row>
    <row r="253">
      <c r="A253" s="9" t="n">
        <v>625661</v>
      </c>
      <c r="B253" s="10" t="inlineStr">
        <is>
          <t>ECOXE 90MG CX 7 COMP</t>
        </is>
      </c>
      <c r="C253" s="10" t="inlineStr">
        <is>
          <t>RX - SIMILAR - CONTROLE</t>
        </is>
      </c>
      <c r="D253" s="9" t="inlineStr">
        <is>
          <t>B</t>
        </is>
      </c>
      <c r="E253" s="9" t="n">
        <v>1</v>
      </c>
      <c r="F253" s="9" t="n">
        <v>1</v>
      </c>
      <c r="G253" s="11" t="n">
        <v>46.53</v>
      </c>
      <c r="H253" s="10" t="inlineStr">
        <is>
          <t>SC DISTRIBUICAO LTDA</t>
        </is>
      </c>
      <c r="I253" s="12" t="inlineStr">
        <is>
          <t>7896714292045</t>
        </is>
      </c>
      <c r="J253" s="10" t="inlineStr">
        <is>
          <t>ECOXE 90MG C/7 COMPRIMIDOS REVESTIDOS (C1)</t>
        </is>
      </c>
      <c r="K253" s="11" t="n">
        <v>56.12</v>
      </c>
      <c r="L253" s="13" t="n">
        <v>0.035</v>
      </c>
      <c r="M253" s="11">
        <f>IF(K253="","",ROUND(K253*(1-L253),2))</f>
        <v/>
      </c>
      <c r="N253" s="9" t="n"/>
      <c r="O253" s="14">
        <f>IF(OR(M253="",R253&lt;&gt;""),"",M253/G253-1)</f>
        <v/>
      </c>
      <c r="P253" s="11">
        <f>IF(OR(M253="",R253&lt;&gt;""),"",(G253-M253)*E253)</f>
        <v/>
      </c>
      <c r="Q253" s="9">
        <f>IF(R253&lt;&gt;"","—",IF(M253&lt;G253,"Mais barato",IF(M253&gt;G253,"Mais caro","Igual")))</f>
        <v/>
      </c>
      <c r="R253" s="10" t="n"/>
    </row>
    <row r="254">
      <c r="A254" s="9" t="n">
        <v>7003</v>
      </c>
      <c r="B254" s="10" t="inlineStr">
        <is>
          <t>EDISTRIDE 10MG 30CPR REV</t>
        </is>
      </c>
      <c r="C254" s="10" t="inlineStr">
        <is>
          <t>RX</t>
        </is>
      </c>
      <c r="D254" s="9" t="inlineStr">
        <is>
          <t>A</t>
        </is>
      </c>
      <c r="E254" s="9" t="n">
        <v>33</v>
      </c>
      <c r="F254" s="9" t="n">
        <v>1</v>
      </c>
      <c r="G254" s="11" t="n">
        <v>44.4</v>
      </c>
      <c r="H254" s="10" t="inlineStr">
        <is>
          <t>SB COMERCIO LTDA 0179-15</t>
        </is>
      </c>
      <c r="I254" s="12" t="inlineStr">
        <is>
          <t>5000456096638</t>
        </is>
      </c>
      <c r="J254" s="10" t="inlineStr">
        <is>
          <t>EDISTRIDE 10MG C/30 COMPRIMIDOS</t>
        </is>
      </c>
      <c r="K254" s="11" t="n">
        <v>74.89</v>
      </c>
      <c r="L254" s="13" t="n">
        <v>0.05</v>
      </c>
      <c r="M254" s="11">
        <f>IF(K254="","",ROUND(K254*(1-L254),2))</f>
        <v/>
      </c>
      <c r="N254" s="9" t="n">
        <v>3072</v>
      </c>
      <c r="O254" s="14">
        <f>IF(OR(M254="",R254&lt;&gt;""),"",M254/G254-1)</f>
        <v/>
      </c>
      <c r="P254" s="11">
        <f>IF(OR(M254="",R254&lt;&gt;""),"",(G254-M254)*E254)</f>
        <v/>
      </c>
      <c r="Q254" s="9">
        <f>IF(R254&lt;&gt;"","—",IF(M254&lt;G254,"Mais barato",IF(M254&gt;G254,"Mais caro","Igual")))</f>
        <v/>
      </c>
      <c r="R254" s="10" t="n"/>
    </row>
    <row r="255">
      <c r="A255" s="9" t="n">
        <v>663891</v>
      </c>
      <c r="B255" s="10" t="inlineStr">
        <is>
          <t>EFFACLAR GEL CONCENTRADO 300GR-DEMAIS PROD</t>
        </is>
      </c>
      <c r="C255" s="10" t="inlineStr">
        <is>
          <t>RX - DERMO</t>
        </is>
      </c>
      <c r="D255" s="9" t="inlineStr">
        <is>
          <t>B</t>
        </is>
      </c>
      <c r="E255" s="9" t="n">
        <v>1</v>
      </c>
      <c r="F255" s="9" t="n">
        <v>1</v>
      </c>
      <c r="G255" s="11" t="n">
        <v>79.06</v>
      </c>
      <c r="H255" s="10" t="inlineStr">
        <is>
          <t>SC DISTRIBUICAO LTDA</t>
        </is>
      </c>
      <c r="I255" s="12" t="inlineStr">
        <is>
          <t>7899706155021</t>
        </is>
      </c>
      <c r="J255" s="10" t="inlineStr">
        <is>
          <t>EFFACLAR GEL CONCENTRADO 300G</t>
        </is>
      </c>
      <c r="K255" s="11" t="n">
        <v>79.73</v>
      </c>
      <c r="L255" s="13" t="n">
        <v>0</v>
      </c>
      <c r="M255" s="11">
        <f>IF(K255="","",ROUND(K255*(1-L255),2))</f>
        <v/>
      </c>
      <c r="N255" s="9" t="n"/>
      <c r="O255" s="14">
        <f>IF(OR(M255="",R255&lt;&gt;""),"",M255/G255-1)</f>
        <v/>
      </c>
      <c r="P255" s="11">
        <f>IF(OR(M255="",R255&lt;&gt;""),"",(G255-M255)*E255)</f>
        <v/>
      </c>
      <c r="Q255" s="9">
        <f>IF(R255&lt;&gt;"","—",IF(M255&lt;G255,"Mais barato",IF(M255&gt;G255,"Mais caro","Igual")))</f>
        <v/>
      </c>
      <c r="R255" s="10" t="n"/>
    </row>
    <row r="256">
      <c r="A256" s="9" t="n">
        <v>573481</v>
      </c>
      <c r="B256" s="10" t="inlineStr">
        <is>
          <t>EFFACLAR LRP CONCENTRADO 70G  LORE %DN:0.00</t>
        </is>
      </c>
      <c r="C256" s="10" t="inlineStr">
        <is>
          <t>RX - DERMO</t>
        </is>
      </c>
      <c r="D256" s="9" t="inlineStr">
        <is>
          <t>C</t>
        </is>
      </c>
      <c r="E256" s="9" t="n">
        <v>1</v>
      </c>
      <c r="F256" s="9" t="n">
        <v>1</v>
      </c>
      <c r="G256" s="11" t="n">
        <v>56.61</v>
      </c>
      <c r="H256" s="10" t="inlineStr">
        <is>
          <t>SC DISTRIBUICAO LTDA</t>
        </is>
      </c>
      <c r="I256" s="12" t="inlineStr">
        <is>
          <t>7899706149211</t>
        </is>
      </c>
      <c r="J256" s="10" t="inlineStr">
        <is>
          <t>SABONETE EFFACLAR CONCENTRADO 70G</t>
        </is>
      </c>
      <c r="K256" s="11" t="n">
        <v>47.46</v>
      </c>
      <c r="L256" s="13" t="n">
        <v>0</v>
      </c>
      <c r="M256" s="11">
        <f>IF(K256="","",ROUND(K256*(1-L256),2))</f>
        <v/>
      </c>
      <c r="N256" s="9" t="n">
        <v>17</v>
      </c>
      <c r="O256" s="14">
        <f>IF(OR(M256="",R256&lt;&gt;""),"",M256/G256-1)</f>
        <v/>
      </c>
      <c r="P256" s="11">
        <f>IF(OR(M256="",R256&lt;&gt;""),"",(G256-M256)*E256)</f>
        <v/>
      </c>
      <c r="Q256" s="9">
        <f>IF(R256&lt;&gt;"","—",IF(M256&lt;G256,"Mais barato",IF(M256&gt;G256,"Mais caro","Igual")))</f>
        <v/>
      </c>
      <c r="R256" s="10" t="n"/>
    </row>
    <row r="257">
      <c r="A257" s="9" t="n">
        <v>393461</v>
      </c>
      <c r="B257" s="10" t="inlineStr">
        <is>
          <t>ELIXIR PAREGORICO 0,05ML/ML SOL OR FR GOT 30ML</t>
        </is>
      </c>
      <c r="C257" s="10" t="inlineStr">
        <is>
          <t>RX</t>
        </is>
      </c>
      <c r="D257" s="9" t="inlineStr">
        <is>
          <t>A</t>
        </is>
      </c>
      <c r="E257" s="9" t="n">
        <v>4</v>
      </c>
      <c r="F257" s="9" t="n">
        <v>1</v>
      </c>
      <c r="G257" s="11" t="n">
        <v>10.65</v>
      </c>
      <c r="H257" s="10" t="inlineStr">
        <is>
          <t>DSC DISTRIBUIDORA DE MEDICAMENTOS LTDA</t>
        </is>
      </c>
      <c r="I257" s="12" t="inlineStr">
        <is>
          <t>7896023701436</t>
        </is>
      </c>
      <c r="J257" s="10" t="inlineStr">
        <is>
          <t>ELIXIR PAREGORICO CAT 30ML</t>
        </is>
      </c>
      <c r="K257" s="11" t="n">
        <v>20.09</v>
      </c>
      <c r="L257" s="13" t="n">
        <v>0.06</v>
      </c>
      <c r="M257" s="11">
        <f>IF(K257="","",ROUND(K257*(1-L257),2))</f>
        <v/>
      </c>
      <c r="N257" s="9" t="n">
        <v>725</v>
      </c>
      <c r="O257" s="14">
        <f>IF(OR(M257="",R257&lt;&gt;""),"",M257/G257-1)</f>
        <v/>
      </c>
      <c r="P257" s="11">
        <f>IF(OR(M257="",R257&lt;&gt;""),"",(G257-M257)*E257)</f>
        <v/>
      </c>
      <c r="Q257" s="9">
        <f>IF(R257&lt;&gt;"","—",IF(M257&lt;G257,"Mais barato",IF(M257&gt;G257,"Mais caro","Igual")))</f>
        <v/>
      </c>
      <c r="R257" s="10" t="n"/>
    </row>
    <row r="258">
      <c r="A258" s="9" t="n">
        <v>612281</v>
      </c>
      <c r="B258" s="10" t="inlineStr">
        <is>
          <t>ENDOFER 100MG CX 30 COMP MAST</t>
        </is>
      </c>
      <c r="C258" s="10" t="inlineStr">
        <is>
          <t>RX</t>
        </is>
      </c>
      <c r="D258" s="9" t="inlineStr">
        <is>
          <t>B</t>
        </is>
      </c>
      <c r="E258" s="9" t="n">
        <v>1</v>
      </c>
      <c r="F258" s="9" t="n">
        <v>1</v>
      </c>
      <c r="G258" s="11" t="n">
        <v>38.28</v>
      </c>
      <c r="H258" s="10" t="inlineStr">
        <is>
          <t>SC DISTRIBUICAO LTDA</t>
        </is>
      </c>
      <c r="I258" s="12" t="inlineStr">
        <is>
          <t>7896112406143</t>
        </is>
      </c>
      <c r="J258" s="10" t="inlineStr">
        <is>
          <t>ENDOFER 100MG C/30 COMPRIMIDOS MASTIGAVEIS</t>
        </is>
      </c>
      <c r="K258" s="11" t="n">
        <v>41.67</v>
      </c>
      <c r="L258" s="13" t="n">
        <v>0.05</v>
      </c>
      <c r="M258" s="11">
        <f>IF(K258="","",ROUND(K258*(1-L258),2))</f>
        <v/>
      </c>
      <c r="N258" s="9" t="n">
        <v>519</v>
      </c>
      <c r="O258" s="14">
        <f>IF(OR(M258="",R258&lt;&gt;""),"",M258/G258-1)</f>
        <v/>
      </c>
      <c r="P258" s="11">
        <f>IF(OR(M258="",R258&lt;&gt;""),"",(G258-M258)*E258)</f>
        <v/>
      </c>
      <c r="Q258" s="9">
        <f>IF(R258&lt;&gt;"","—",IF(M258&lt;G258,"Mais barato",IF(M258&gt;G258,"Mais caro","Igual")))</f>
        <v/>
      </c>
      <c r="R258" s="10" t="n"/>
    </row>
    <row r="259">
      <c r="A259" s="9" t="n">
        <v>571781</v>
      </c>
      <c r="B259" s="10" t="inlineStr">
        <is>
          <t>ENERGICLIN CX 30 COMP</t>
        </is>
      </c>
      <c r="C259" s="10" t="inlineStr">
        <is>
          <t>RX - OTC</t>
        </is>
      </c>
      <c r="D259" s="9" t="inlineStr">
        <is>
          <t>C</t>
        </is>
      </c>
      <c r="E259" s="9" t="n">
        <v>1</v>
      </c>
      <c r="F259" s="9" t="n">
        <v>1</v>
      </c>
      <c r="G259" s="11" t="n">
        <v>73.09999999999999</v>
      </c>
      <c r="H259" s="10" t="inlineStr">
        <is>
          <t>SC DISTRIBUICAO LTDA</t>
        </is>
      </c>
      <c r="I259" s="12" t="inlineStr">
        <is>
          <t>7896685302088</t>
        </is>
      </c>
      <c r="J259" s="10" t="inlineStr">
        <is>
          <t>ENERGICLIN 30 COMPRIMIDOS</t>
        </is>
      </c>
      <c r="K259" s="11" t="n">
        <v>78.95</v>
      </c>
      <c r="L259" s="13" t="n">
        <v>0</v>
      </c>
      <c r="M259" s="11">
        <f>IF(K259="","",ROUND(K259*(1-L259),2))</f>
        <v/>
      </c>
      <c r="N259" s="9" t="n">
        <v>52</v>
      </c>
      <c r="O259" s="14">
        <f>IF(OR(M259="",R259&lt;&gt;""),"",M259/G259-1)</f>
        <v/>
      </c>
      <c r="P259" s="11">
        <f>IF(OR(M259="",R259&lt;&gt;""),"",(G259-M259)*E259)</f>
        <v/>
      </c>
      <c r="Q259" s="9">
        <f>IF(R259&lt;&gt;"","—",IF(M259&lt;G259,"Mais barato",IF(M259&gt;G259,"Mais caro","Igual")))</f>
        <v/>
      </c>
      <c r="R259" s="10" t="n"/>
    </row>
    <row r="260">
      <c r="A260" s="9" t="n">
        <v>669571</v>
      </c>
      <c r="B260" s="10" t="inlineStr">
        <is>
          <t>ENTEROGERMINA 2BCFU/5ML SUSP BT5-DEMAIS PROD</t>
        </is>
      </c>
      <c r="C260" s="10" t="inlineStr">
        <is>
          <t>RX</t>
        </is>
      </c>
      <c r="D260" s="9" t="inlineStr">
        <is>
          <t>A</t>
        </is>
      </c>
      <c r="E260" s="9" t="n">
        <v>4</v>
      </c>
      <c r="F260" s="9" t="n">
        <v>1</v>
      </c>
      <c r="G260" s="11" t="n">
        <v>25.41</v>
      </c>
      <c r="H260" s="10" t="inlineStr">
        <is>
          <t>SC DISTRIBUICAO LTDA</t>
        </is>
      </c>
      <c r="I260" s="12" t="n"/>
      <c r="J260" s="10" t="n"/>
      <c r="K260" s="11" t="n"/>
      <c r="L260" s="13" t="n"/>
      <c r="M260" s="11">
        <f>IF(K260="","",ROUND(K260*(1-L260),2))</f>
        <v/>
      </c>
      <c r="N260" s="9" t="n"/>
      <c r="O260" s="14">
        <f>IF(OR(M260="",R260&lt;&gt;""),"",M260/G260-1)</f>
        <v/>
      </c>
      <c r="P260" s="11">
        <f>IF(OR(M260="",R260&lt;&gt;""),"",(G260-M260)*E260)</f>
        <v/>
      </c>
      <c r="Q260" s="9">
        <f>IF(R260&lt;&gt;"","—",IF(M260&lt;G260,"Mais barato",IF(M260&gt;G260,"Mais caro","Igual")))</f>
        <v/>
      </c>
      <c r="R260" s="10" t="inlineStr">
        <is>
          <t>Sem preço</t>
        </is>
      </c>
    </row>
    <row r="261">
      <c r="A261" s="9" t="n">
        <v>545781</v>
      </c>
      <c r="B261" s="10" t="inlineStr">
        <is>
          <t>ENTEROGERMINA 2BCFUS/5ML SUS PROBIOTICO CAIXA COM 10 FLACONETES</t>
        </is>
      </c>
      <c r="C261" s="10" t="inlineStr">
        <is>
          <t>RX - OTC</t>
        </is>
      </c>
      <c r="D261" s="9" t="inlineStr">
        <is>
          <t>A</t>
        </is>
      </c>
      <c r="E261" s="9" t="n">
        <v>242</v>
      </c>
      <c r="F261" s="9" t="n">
        <v>1</v>
      </c>
      <c r="G261" s="11" t="n">
        <v>30.331</v>
      </c>
      <c r="H261" s="10" t="inlineStr">
        <is>
          <t>SC DISTRIBUICAO LTDA</t>
        </is>
      </c>
      <c r="I261" s="12" t="inlineStr">
        <is>
          <t>7891058016999</t>
        </is>
      </c>
      <c r="J261" s="10" t="inlineStr">
        <is>
          <t>ENTEROGERMINA 5ML C/10 FRASCOS</t>
        </is>
      </c>
      <c r="K261" s="11" t="n">
        <v>37.81</v>
      </c>
      <c r="L261" s="13" t="n">
        <v>0</v>
      </c>
      <c r="M261" s="11">
        <f>IF(K261="","",ROUND(K261*(1-L261),2))</f>
        <v/>
      </c>
      <c r="N261" s="9" t="n">
        <v>8648</v>
      </c>
      <c r="O261" s="14">
        <f>IF(OR(M261="",R261&lt;&gt;""),"",M261/G261-1)</f>
        <v/>
      </c>
      <c r="P261" s="11">
        <f>IF(OR(M261="",R261&lt;&gt;""),"",(G261-M261)*E261)</f>
        <v/>
      </c>
      <c r="Q261" s="9">
        <f>IF(R261&lt;&gt;"","—",IF(M261&lt;G261,"Mais barato",IF(M261&gt;G261,"Mais caro","Igual")))</f>
        <v/>
      </c>
      <c r="R261" s="10" t="n"/>
    </row>
    <row r="262">
      <c r="A262" s="9" t="n">
        <v>617661</v>
      </c>
      <c r="B262" s="10" t="inlineStr">
        <is>
          <t>ENTEROGERMINA 5 BCFU/2 G X 9 SACHES</t>
        </is>
      </c>
      <c r="C262" s="10" t="inlineStr">
        <is>
          <t>RX</t>
        </is>
      </c>
      <c r="D262" s="9" t="inlineStr">
        <is>
          <t>B</t>
        </is>
      </c>
      <c r="E262" s="9" t="n">
        <v>6</v>
      </c>
      <c r="F262" s="9" t="n">
        <v>1</v>
      </c>
      <c r="G262" s="11" t="n">
        <v>49.4675</v>
      </c>
      <c r="H262" s="10" t="inlineStr">
        <is>
          <t>SB COMERCIO LTDA 0179-15</t>
        </is>
      </c>
      <c r="I262" s="12" t="n"/>
      <c r="J262" s="10" t="n"/>
      <c r="K262" s="11" t="n"/>
      <c r="L262" s="13" t="n"/>
      <c r="M262" s="11">
        <f>IF(K262="","",ROUND(K262*(1-L262),2))</f>
        <v/>
      </c>
      <c r="N262" s="9" t="n"/>
      <c r="O262" s="14">
        <f>IF(OR(M262="",R262&lt;&gt;""),"",M262/G262-1)</f>
        <v/>
      </c>
      <c r="P262" s="11">
        <f>IF(OR(M262="",R262&lt;&gt;""),"",(G262-M262)*E262)</f>
        <v/>
      </c>
      <c r="Q262" s="9">
        <f>IF(R262&lt;&gt;"","—",IF(M262&lt;G262,"Mais barato",IF(M262&gt;G262,"Mais caro","Igual")))</f>
        <v/>
      </c>
      <c r="R262" s="10" t="inlineStr">
        <is>
          <t>Não encontrado</t>
        </is>
      </c>
    </row>
    <row r="263">
      <c r="A263" s="9" t="n">
        <v>570681</v>
      </c>
      <c r="B263" s="10" t="inlineStr">
        <is>
          <t>ENTEROGERMINA PLUS 4BCFU/5ML X 5 FR</t>
        </is>
      </c>
      <c r="C263" s="10" t="inlineStr">
        <is>
          <t>RX - OTC</t>
        </is>
      </c>
      <c r="D263" s="9" t="inlineStr">
        <is>
          <t>A</t>
        </is>
      </c>
      <c r="E263" s="9" t="n">
        <v>4</v>
      </c>
      <c r="F263" s="9" t="n">
        <v>1</v>
      </c>
      <c r="G263" s="11" t="n">
        <v>36.2265</v>
      </c>
      <c r="H263" s="10" t="inlineStr">
        <is>
          <t>SC DISTRIBUICAO LTDA</t>
        </is>
      </c>
      <c r="I263" s="12" t="inlineStr">
        <is>
          <t>7891058020286</t>
        </is>
      </c>
      <c r="J263" s="10" t="inlineStr">
        <is>
          <t>ENTEROGERMINA PLUS 5ML C/5 FRASCOS</t>
        </is>
      </c>
      <c r="K263" s="11" t="n">
        <v>37.81</v>
      </c>
      <c r="L263" s="13" t="n">
        <v>0</v>
      </c>
      <c r="M263" s="11">
        <f>IF(K263="","",ROUND(K263*(1-L263),2))</f>
        <v/>
      </c>
      <c r="N263" s="9" t="n">
        <v>4066</v>
      </c>
      <c r="O263" s="14">
        <f>IF(OR(M263="",R263&lt;&gt;""),"",M263/G263-1)</f>
        <v/>
      </c>
      <c r="P263" s="11">
        <f>IF(OR(M263="",R263&lt;&gt;""),"",(G263-M263)*E263)</f>
        <v/>
      </c>
      <c r="Q263" s="9">
        <f>IF(R263&lt;&gt;"","—",IF(M263&lt;G263,"Mais barato",IF(M263&gt;G263,"Mais caro","Igual")))</f>
        <v/>
      </c>
      <c r="R263" s="10" t="n"/>
    </row>
    <row r="264">
      <c r="A264" s="9" t="n">
        <v>600341</v>
      </c>
      <c r="B264" s="10" t="inlineStr">
        <is>
          <t>ENX BUC COLGATE PERIOG EXTRA MINT 250ML</t>
        </is>
      </c>
      <c r="C264" s="10" t="inlineStr">
        <is>
          <t>RX</t>
        </is>
      </c>
      <c r="D264" s="9" t="inlineStr">
        <is>
          <t>A</t>
        </is>
      </c>
      <c r="E264" s="9" t="n">
        <v>3</v>
      </c>
      <c r="F264" s="9" t="n">
        <v>1</v>
      </c>
      <c r="G264" s="11" t="n">
        <v>23.76</v>
      </c>
      <c r="H264" s="10" t="inlineStr">
        <is>
          <t>SC DISTRIBUICAO LTDA</t>
        </is>
      </c>
      <c r="I264" s="12" t="inlineStr">
        <is>
          <t>7891024033425</t>
        </is>
      </c>
      <c r="J264" s="10" t="inlineStr">
        <is>
          <t>PERIOGARD EXTRA MINT 250ML</t>
        </is>
      </c>
      <c r="K264" s="11" t="n">
        <v>23.8</v>
      </c>
      <c r="L264" s="13" t="n">
        <v>0</v>
      </c>
      <c r="M264" s="11">
        <f>IF(K264="","",ROUND(K264*(1-L264),2))</f>
        <v/>
      </c>
      <c r="N264" s="9" t="n">
        <v>1904</v>
      </c>
      <c r="O264" s="14">
        <f>IF(OR(M264="",R264&lt;&gt;""),"",M264/G264-1)</f>
        <v/>
      </c>
      <c r="P264" s="11">
        <f>IF(OR(M264="",R264&lt;&gt;""),"",(G264-M264)*E264)</f>
        <v/>
      </c>
      <c r="Q264" s="9">
        <f>IF(R264&lt;&gt;"","—",IF(M264&lt;G264,"Mais barato",IF(M264&gt;G264,"Mais caro","Igual")))</f>
        <v/>
      </c>
      <c r="R264" s="10" t="n"/>
    </row>
    <row r="265">
      <c r="A265" s="9" t="n">
        <v>646151</v>
      </c>
      <c r="B265" s="10" t="inlineStr">
        <is>
          <t>EPAREMA FLACONETES 10ML X 4</t>
        </is>
      </c>
      <c r="C265" s="10" t="inlineStr">
        <is>
          <t>RX - OTC</t>
        </is>
      </c>
      <c r="D265" s="9" t="inlineStr">
        <is>
          <t>C</t>
        </is>
      </c>
      <c r="E265" s="9" t="n">
        <v>1</v>
      </c>
      <c r="F265" s="9" t="n">
        <v>4</v>
      </c>
      <c r="G265" s="11" t="n">
        <v>14.92</v>
      </c>
      <c r="H265" s="10" t="inlineStr">
        <is>
          <t>SC DISTRIBUICAO LTDA</t>
        </is>
      </c>
      <c r="I265" s="12" t="inlineStr">
        <is>
          <t>7896094922228</t>
        </is>
      </c>
      <c r="J265" s="10" t="inlineStr">
        <is>
          <t>EPAREMA COM4 FLACONETES 10ML</t>
        </is>
      </c>
      <c r="K265" s="11" t="n">
        <v>14.92</v>
      </c>
      <c r="L265" s="13" t="n">
        <v>0.035</v>
      </c>
      <c r="M265" s="11">
        <f>IF(K265="","",ROUND(K265*(1-L265),2))</f>
        <v/>
      </c>
      <c r="N265" s="9" t="n"/>
      <c r="O265" s="14">
        <f>IF(OR(M265="",R265&lt;&gt;""),"",M265/G265-1)</f>
        <v/>
      </c>
      <c r="P265" s="11">
        <f>IF(OR(M265="",R265&lt;&gt;""),"",(G265-M265)*E265)</f>
        <v/>
      </c>
      <c r="Q265" s="9">
        <f>IF(R265&lt;&gt;"","—",IF(M265&lt;G265,"Mais barato",IF(M265&gt;G265,"Mais caro","Igual")))</f>
        <v/>
      </c>
      <c r="R265" s="10" t="n"/>
    </row>
    <row r="266">
      <c r="A266" s="9" t="n">
        <v>653751</v>
      </c>
      <c r="B266" s="10" t="inlineStr">
        <is>
          <t>EPIDRAT CALM B5 BG 20ML-DEMAIS PROD</t>
        </is>
      </c>
      <c r="C266" s="10" t="inlineStr">
        <is>
          <t>RX - DERMO</t>
        </is>
      </c>
      <c r="D266" s="9" t="inlineStr">
        <is>
          <t>B</t>
        </is>
      </c>
      <c r="E266" s="9" t="n">
        <v>2</v>
      </c>
      <c r="F266" s="9" t="n">
        <v>1</v>
      </c>
      <c r="G266" s="11" t="n">
        <v>39.44</v>
      </c>
      <c r="H266" s="10" t="inlineStr">
        <is>
          <t>SC DISTRIBUICAO LTDA</t>
        </is>
      </c>
      <c r="I266" s="12" t="inlineStr">
        <is>
          <t>7891142205551</t>
        </is>
      </c>
      <c r="J266" s="10" t="inlineStr">
        <is>
          <t>EPIDRAT CALM B5 20ML</t>
        </is>
      </c>
      <c r="K266" s="11" t="n">
        <v>39.51</v>
      </c>
      <c r="L266" s="13" t="n">
        <v>0</v>
      </c>
      <c r="M266" s="11">
        <f>IF(K266="","",ROUND(K266*(1-L266),2))</f>
        <v/>
      </c>
      <c r="N266" s="9" t="n">
        <v>128</v>
      </c>
      <c r="O266" s="14">
        <f>IF(OR(M266="",R266&lt;&gt;""),"",M266/G266-1)</f>
        <v/>
      </c>
      <c r="P266" s="11">
        <f>IF(OR(M266="",R266&lt;&gt;""),"",(G266-M266)*E266)</f>
        <v/>
      </c>
      <c r="Q266" s="9">
        <f>IF(R266&lt;&gt;"","—",IF(M266&lt;G266,"Mais barato",IF(M266&gt;G266,"Mais caro","Igual")))</f>
        <v/>
      </c>
      <c r="R266" s="10" t="n"/>
    </row>
    <row r="267">
      <c r="A267" s="9" t="n">
        <v>654891</v>
      </c>
      <c r="B267" s="10" t="inlineStr">
        <is>
          <t>EPISOL SEC OC FPS60 60G-OUTROS</t>
        </is>
      </c>
      <c r="C267" s="10" t="inlineStr">
        <is>
          <t>RX - DERMO</t>
        </is>
      </c>
      <c r="D267" s="9" t="inlineStr">
        <is>
          <t>B</t>
        </is>
      </c>
      <c r="E267" s="9" t="n">
        <v>1</v>
      </c>
      <c r="F267" s="9" t="n">
        <v>1</v>
      </c>
      <c r="G267" s="11" t="n">
        <v>84.73</v>
      </c>
      <c r="H267" s="10" t="inlineStr">
        <is>
          <t>NAZARIA DISTRIBUIDORA DE PRODUTOS FARMACEUTICOS LTDA</t>
        </is>
      </c>
      <c r="I267" s="12" t="inlineStr">
        <is>
          <t>7891142204349</t>
        </is>
      </c>
      <c r="J267" s="10" t="inlineStr">
        <is>
          <t>EPISOL PROTETOR SOLAR FACIAL SEC OC FPS60 60G</t>
        </is>
      </c>
      <c r="K267" s="11" t="n">
        <v>74.69</v>
      </c>
      <c r="L267" s="13" t="n">
        <v>0</v>
      </c>
      <c r="M267" s="11">
        <f>IF(K267="","",ROUND(K267*(1-L267),2))</f>
        <v/>
      </c>
      <c r="N267" s="9" t="n">
        <v>12</v>
      </c>
      <c r="O267" s="14">
        <f>IF(OR(M267="",R267&lt;&gt;""),"",M267/G267-1)</f>
        <v/>
      </c>
      <c r="P267" s="11">
        <f>IF(OR(M267="",R267&lt;&gt;""),"",(G267-M267)*E267)</f>
        <v/>
      </c>
      <c r="Q267" s="9">
        <f>IF(R267&lt;&gt;"","—",IF(M267&lt;G267,"Mais barato",IF(M267&gt;G267,"Mais caro","Igual")))</f>
        <v/>
      </c>
      <c r="R267" s="10" t="n"/>
    </row>
    <row r="268">
      <c r="A268" s="9" t="n">
        <v>665561</v>
      </c>
      <c r="B268" s="10" t="inlineStr">
        <is>
          <t>EPOCLER 100MG+20MG 30CPR REV-OUTROS</t>
        </is>
      </c>
      <c r="C268" s="10" t="inlineStr">
        <is>
          <t>RX</t>
        </is>
      </c>
      <c r="D268" s="9" t="inlineStr">
        <is>
          <t>B</t>
        </is>
      </c>
      <c r="E268" s="9" t="n">
        <v>4</v>
      </c>
      <c r="F268" s="9" t="n">
        <v>1</v>
      </c>
      <c r="G268" s="11" t="n">
        <v>9.35</v>
      </c>
      <c r="H268" s="10" t="inlineStr">
        <is>
          <t>SB COMERCIO LTDA 0179-15</t>
        </is>
      </c>
      <c r="I268" s="12" t="inlineStr">
        <is>
          <t>7896094931473</t>
        </is>
      </c>
      <c r="J268" s="10" t="inlineStr">
        <is>
          <t>EPOCLER 100MG+20MG C/30 COMPRIMIDOS REVESTIDOS</t>
        </is>
      </c>
      <c r="K268" s="11" t="n">
        <v>11.28</v>
      </c>
      <c r="L268" s="13" t="n">
        <v>0.035</v>
      </c>
      <c r="M268" s="11">
        <f>IF(K268="","",ROUND(K268*(1-L268),2))</f>
        <v/>
      </c>
      <c r="N268" s="9" t="n">
        <v>3330</v>
      </c>
      <c r="O268" s="14">
        <f>IF(OR(M268="",R268&lt;&gt;""),"",M268/G268-1)</f>
        <v/>
      </c>
      <c r="P268" s="11">
        <f>IF(OR(M268="",R268&lt;&gt;""),"",(G268-M268)*E268)</f>
        <v/>
      </c>
      <c r="Q268" s="9">
        <f>IF(R268&lt;&gt;"","—",IF(M268&lt;G268,"Mais barato",IF(M268&gt;G268,"Mais caro","Igual")))</f>
        <v/>
      </c>
      <c r="R268" s="10" t="n"/>
    </row>
    <row r="269">
      <c r="A269" s="9" t="n">
        <v>668031</v>
      </c>
      <c r="B269" s="10" t="inlineStr">
        <is>
          <t>EPOCLER 100MG+20MG CARTELA C/ 10CP</t>
        </is>
      </c>
      <c r="C269" s="10" t="inlineStr">
        <is>
          <t>RX</t>
        </is>
      </c>
      <c r="D269" s="9" t="inlineStr">
        <is>
          <t>A</t>
        </is>
      </c>
      <c r="E269" s="9" t="n">
        <v>1</v>
      </c>
      <c r="F269" s="9" t="n">
        <v>10</v>
      </c>
      <c r="G269" s="11" t="n">
        <v>36.9733</v>
      </c>
      <c r="H269" s="10" t="inlineStr">
        <is>
          <t>SC DISTRIBUICAO LTDA</t>
        </is>
      </c>
      <c r="I269" s="12" t="inlineStr">
        <is>
          <t>7896094931459</t>
        </is>
      </c>
      <c r="J269" s="10" t="inlineStr">
        <is>
          <t>EPOCLER DISPLAY BLISTER 10X10 COMPRIMIDOS REVESTIDOS</t>
        </is>
      </c>
      <c r="K269" s="11" t="n">
        <v>40.39</v>
      </c>
      <c r="L269" s="13" t="n">
        <v>0.035</v>
      </c>
      <c r="M269" s="11">
        <f>IF(K269="","",ROUND(K269*(1-L269),2))</f>
        <v/>
      </c>
      <c r="N269" s="9" t="n">
        <v>164</v>
      </c>
      <c r="O269" s="14">
        <f>IF(OR(M269="",R269&lt;&gt;""),"",M269/G269-1)</f>
        <v/>
      </c>
      <c r="P269" s="11">
        <f>IF(OR(M269="",R269&lt;&gt;""),"",(G269-M269)*E269)</f>
        <v/>
      </c>
      <c r="Q269" s="9">
        <f>IF(R269&lt;&gt;"","—",IF(M269&lt;G269,"Mais barato",IF(M269&gt;G269,"Mais caro","Igual")))</f>
        <v/>
      </c>
      <c r="R269" s="10" t="n"/>
    </row>
    <row r="270">
      <c r="A270" s="9" t="n">
        <v>15</v>
      </c>
      <c r="B270" s="10" t="inlineStr">
        <is>
          <t>EPOCLER SOL ORAL FLACONETE CAIXA C/ 12</t>
        </is>
      </c>
      <c r="C270" s="10" t="inlineStr">
        <is>
          <t>RX</t>
        </is>
      </c>
      <c r="D270" s="9" t="inlineStr">
        <is>
          <t>A</t>
        </is>
      </c>
      <c r="E270" s="9" t="n">
        <v>59</v>
      </c>
      <c r="F270" s="9" t="n">
        <v>1</v>
      </c>
      <c r="G270" s="11" t="n">
        <v>37.72</v>
      </c>
      <c r="H270" s="10" t="inlineStr">
        <is>
          <t>SB COMERCIO LTDA 0179-15</t>
        </is>
      </c>
      <c r="I270" s="12" t="inlineStr">
        <is>
          <t>7896094903272</t>
        </is>
      </c>
      <c r="J270" s="10" t="inlineStr">
        <is>
          <t>EPOCLER ABACAXI 10ML C/12 FLACONETES</t>
        </is>
      </c>
      <c r="K270" s="11" t="n">
        <v>36.4</v>
      </c>
      <c r="L270" s="13" t="n">
        <v>0.035</v>
      </c>
      <c r="M270" s="11">
        <f>IF(K270="","",ROUND(K270*(1-L270),2))</f>
        <v/>
      </c>
      <c r="N270" s="9" t="n">
        <v>1252</v>
      </c>
      <c r="O270" s="14">
        <f>IF(OR(M270="",R270&lt;&gt;""),"",M270/G270-1)</f>
        <v/>
      </c>
      <c r="P270" s="11">
        <f>IF(OR(M270="",R270&lt;&gt;""),"",(G270-M270)*E270)</f>
        <v/>
      </c>
      <c r="Q270" s="9">
        <f>IF(R270&lt;&gt;"","—",IF(M270&lt;G270,"Mais barato",IF(M270&gt;G270,"Mais caro","Igual")))</f>
        <v/>
      </c>
      <c r="R270" s="10" t="n"/>
    </row>
    <row r="271">
      <c r="A271" s="9" t="n">
        <v>304281</v>
      </c>
      <c r="B271" s="10" t="inlineStr">
        <is>
          <t>ESTOMAZIL 462+90+438MG SACHE ABACAXI</t>
        </is>
      </c>
      <c r="C271" s="10" t="inlineStr">
        <is>
          <t>RX</t>
        </is>
      </c>
      <c r="D271" s="9" t="inlineStr">
        <is>
          <t>A</t>
        </is>
      </c>
      <c r="E271" s="9" t="n">
        <v>2</v>
      </c>
      <c r="F271" s="9" t="n">
        <v>50</v>
      </c>
      <c r="G271" s="11" t="n">
        <v>105.04</v>
      </c>
      <c r="H271" s="10" t="inlineStr">
        <is>
          <t>SB COMERCIO LTDA 0179-15</t>
        </is>
      </c>
      <c r="I271" s="12" t="inlineStr">
        <is>
          <t>7896094914155</t>
        </is>
      </c>
      <c r="J271" s="10" t="inlineStr">
        <is>
          <t>ESTOMAZIL EFERVESCENTE ABACAXI C/50 ENVELOPES 5G</t>
        </is>
      </c>
      <c r="K271" s="11" t="n">
        <v>126.7</v>
      </c>
      <c r="L271" s="13" t="n">
        <v>0.035</v>
      </c>
      <c r="M271" s="11">
        <f>IF(K271="","",ROUND(K271*(1-L271),2))</f>
        <v/>
      </c>
      <c r="N271" s="9" t="n">
        <v>374</v>
      </c>
      <c r="O271" s="14">
        <f>IF(OR(M271="",R271&lt;&gt;""),"",M271/G271-1)</f>
        <v/>
      </c>
      <c r="P271" s="11">
        <f>IF(OR(M271="",R271&lt;&gt;""),"",(G271-M271)*E271)</f>
        <v/>
      </c>
      <c r="Q271" s="9">
        <f>IF(R271&lt;&gt;"","—",IF(M271&lt;G271,"Mais barato",IF(M271&gt;G271,"Mais caro","Igual")))</f>
        <v/>
      </c>
      <c r="R271" s="10" t="n"/>
    </row>
    <row r="272">
      <c r="A272" s="9" t="n">
        <v>550801</v>
      </c>
      <c r="B272" s="10" t="inlineStr">
        <is>
          <t>ETNA 1+2,5+1,5MG CX 20 CAP</t>
        </is>
      </c>
      <c r="C272" s="10" t="inlineStr">
        <is>
          <t>RX</t>
        </is>
      </c>
      <c r="D272" s="9" t="inlineStr">
        <is>
          <t>B</t>
        </is>
      </c>
      <c r="E272" s="9" t="n">
        <v>3</v>
      </c>
      <c r="F272" s="9" t="n">
        <v>1</v>
      </c>
      <c r="G272" s="11" t="n">
        <v>49.61</v>
      </c>
      <c r="H272" s="10" t="inlineStr">
        <is>
          <t>SC DISTRIBUICAO LTDA</t>
        </is>
      </c>
      <c r="I272" s="12" t="inlineStr">
        <is>
          <t>7892828001337</t>
        </is>
      </c>
      <c r="J272" s="10" t="inlineStr">
        <is>
          <t>ETNA C/20 CAPSULAS</t>
        </is>
      </c>
      <c r="K272" s="11" t="n">
        <v>48.74</v>
      </c>
      <c r="L272" s="13" t="n">
        <v>0.03</v>
      </c>
      <c r="M272" s="11">
        <f>IF(K272="","",ROUND(K272*(1-L272),2))</f>
        <v/>
      </c>
      <c r="N272" s="9" t="n">
        <v>269</v>
      </c>
      <c r="O272" s="14">
        <f>IF(OR(M272="",R272&lt;&gt;""),"",M272/G272-1)</f>
        <v/>
      </c>
      <c r="P272" s="11">
        <f>IF(OR(M272="",R272&lt;&gt;""),"",(G272-M272)*E272)</f>
        <v/>
      </c>
      <c r="Q272" s="9">
        <f>IF(R272&lt;&gt;"","—",IF(M272&lt;G272,"Mais barato",IF(M272&gt;G272,"Mais caro","Igual")))</f>
        <v/>
      </c>
      <c r="R272" s="10" t="n"/>
    </row>
    <row r="273">
      <c r="A273" s="9" t="n">
        <v>658021</v>
      </c>
      <c r="B273" s="10" t="inlineStr">
        <is>
          <t>EUCERIN HYDRO FLUID SUN FPS60 50ML</t>
        </is>
      </c>
      <c r="C273" s="10" t="inlineStr">
        <is>
          <t>RX - DERMO</t>
        </is>
      </c>
      <c r="D273" s="9" t="inlineStr">
        <is>
          <t>C</t>
        </is>
      </c>
      <c r="E273" s="9" t="n">
        <v>1</v>
      </c>
      <c r="F273" s="9" t="n">
        <v>1</v>
      </c>
      <c r="G273" s="11" t="n">
        <v>75.47</v>
      </c>
      <c r="H273" s="10" t="inlineStr">
        <is>
          <t>NAZARIA DISTRIBUIDORA DE PRODUTOS FARMACEUTICOS LTDA</t>
        </is>
      </c>
      <c r="I273" s="12" t="n"/>
      <c r="J273" s="10" t="n"/>
      <c r="K273" s="11" t="n"/>
      <c r="L273" s="13" t="n"/>
      <c r="M273" s="11">
        <f>IF(K273="","",ROUND(K273*(1-L273),2))</f>
        <v/>
      </c>
      <c r="N273" s="9" t="n"/>
      <c r="O273" s="14">
        <f>IF(OR(M273="",R273&lt;&gt;""),"",M273/G273-1)</f>
        <v/>
      </c>
      <c r="P273" s="11">
        <f>IF(OR(M273="",R273&lt;&gt;""),"",(G273-M273)*E273)</f>
        <v/>
      </c>
      <c r="Q273" s="9">
        <f>IF(R273&lt;&gt;"","—",IF(M273&lt;G273,"Mais barato",IF(M273&gt;G273,"Mais caro","Igual")))</f>
        <v/>
      </c>
      <c r="R273" s="10" t="inlineStr">
        <is>
          <t>Sem preço</t>
        </is>
      </c>
    </row>
    <row r="274">
      <c r="A274" s="9" t="n">
        <v>669141</v>
      </c>
      <c r="B274" s="10" t="inlineStr">
        <is>
          <t>EXIMIA FORTALIZE FORTALIZE KERA D FR 30 COMP</t>
        </is>
      </c>
      <c r="C274" s="10" t="inlineStr">
        <is>
          <t>RX</t>
        </is>
      </c>
      <c r="D274" s="9" t="inlineStr">
        <is>
          <t>A</t>
        </is>
      </c>
      <c r="E274" s="9" t="n">
        <v>1</v>
      </c>
      <c r="F274" s="9" t="n">
        <v>1</v>
      </c>
      <c r="G274" s="11" t="n">
        <v>132.71</v>
      </c>
      <c r="H274" s="10" t="inlineStr">
        <is>
          <t>SC DISTRIBUICAO LTDA</t>
        </is>
      </c>
      <c r="I274" s="12" t="inlineStr">
        <is>
          <t>7898040325466</t>
        </is>
      </c>
      <c r="J274" s="10" t="inlineStr">
        <is>
          <t>EXIMIA FORTALIZE KERA D C/30 COMPRIMIDOS</t>
        </is>
      </c>
      <c r="K274" s="11" t="n">
        <v>122.71</v>
      </c>
      <c r="L274" s="13" t="n">
        <v>0</v>
      </c>
      <c r="M274" s="11">
        <f>IF(K274="","",ROUND(K274*(1-L274),2))</f>
        <v/>
      </c>
      <c r="N274" s="9" t="n">
        <v>3411</v>
      </c>
      <c r="O274" s="14">
        <f>IF(OR(M274="",R274&lt;&gt;""),"",M274/G274-1)</f>
        <v/>
      </c>
      <c r="P274" s="11">
        <f>IF(OR(M274="",R274&lt;&gt;""),"",(G274-M274)*E274)</f>
        <v/>
      </c>
      <c r="Q274" s="9">
        <f>IF(R274&lt;&gt;"","—",IF(M274&lt;G274,"Mais barato",IF(M274&gt;G274,"Mais caro","Igual")))</f>
        <v/>
      </c>
      <c r="R274" s="10" t="n"/>
    </row>
    <row r="275">
      <c r="A275" s="9" t="n">
        <v>490681</v>
      </c>
      <c r="B275" s="10" t="inlineStr">
        <is>
          <t>FACOBA 5+1MG/ML SOL OFT FR 5ML-L</t>
        </is>
      </c>
      <c r="C275" s="10" t="inlineStr">
        <is>
          <t>RX - SIMILAR - ATB</t>
        </is>
      </c>
      <c r="D275" s="9" t="inlineStr">
        <is>
          <t>A</t>
        </is>
      </c>
      <c r="E275" s="9" t="n">
        <v>6</v>
      </c>
      <c r="F275" s="9" t="n">
        <v>1</v>
      </c>
      <c r="G275" s="11" t="n">
        <v>35.32</v>
      </c>
      <c r="H275" s="10" t="inlineStr">
        <is>
          <t>SC DISTRIBUICAO LTDA</t>
        </is>
      </c>
      <c r="I275" s="12" t="inlineStr">
        <is>
          <t>7896004777221</t>
        </is>
      </c>
      <c r="J275" s="10" t="inlineStr">
        <is>
          <t>FACOBA SOLUCAO OFTALMICA 5MG/ 1MG 5ML</t>
        </is>
      </c>
      <c r="K275" s="11" t="n">
        <v>35.78</v>
      </c>
      <c r="L275" s="13" t="n">
        <v>0</v>
      </c>
      <c r="M275" s="11">
        <f>IF(K275="","",ROUND(K275*(1-L275),2))</f>
        <v/>
      </c>
      <c r="N275" s="9" t="n">
        <v>2018</v>
      </c>
      <c r="O275" s="14">
        <f>IF(OR(M275="",R275&lt;&gt;""),"",M275/G275-1)</f>
        <v/>
      </c>
      <c r="P275" s="11">
        <f>IF(OR(M275="",R275&lt;&gt;""),"",(G275-M275)*E275)</f>
        <v/>
      </c>
      <c r="Q275" s="9">
        <f>IF(R275&lt;&gt;"","—",IF(M275&lt;G275,"Mais barato",IF(M275&gt;G275,"Mais caro","Igual")))</f>
        <v/>
      </c>
      <c r="R275" s="10" t="n"/>
    </row>
    <row r="276">
      <c r="A276" s="9" t="n">
        <v>646991</v>
      </c>
      <c r="B276" s="10" t="inlineStr">
        <is>
          <t>FEMIBION 1 C/28 COMP-DEMAIS PROD</t>
        </is>
      </c>
      <c r="C276" s="10" t="inlineStr">
        <is>
          <t>RX - OTC</t>
        </is>
      </c>
      <c r="D276" s="9" t="inlineStr">
        <is>
          <t>C</t>
        </is>
      </c>
      <c r="E276" s="9" t="n">
        <v>1</v>
      </c>
      <c r="F276" s="9" t="n">
        <v>1</v>
      </c>
      <c r="G276" s="11" t="n">
        <v>69.4517</v>
      </c>
      <c r="H276" s="10" t="inlineStr">
        <is>
          <t>SC DISTRIBUICAO LTDA</t>
        </is>
      </c>
      <c r="I276" s="12" t="inlineStr">
        <is>
          <t>7500435185011</t>
        </is>
      </c>
      <c r="J276" s="10" t="inlineStr">
        <is>
          <t>FEMIBION 1 C/28 COMPRIMIDOS</t>
        </is>
      </c>
      <c r="K276" s="11" t="n">
        <v>86.48</v>
      </c>
      <c r="L276" s="13" t="n">
        <v>0</v>
      </c>
      <c r="M276" s="11">
        <f>IF(K276="","",ROUND(K276*(1-L276),2))</f>
        <v/>
      </c>
      <c r="N276" s="9" t="n">
        <v>3</v>
      </c>
      <c r="O276" s="14">
        <f>IF(OR(M276="",R276&lt;&gt;""),"",M276/G276-1)</f>
        <v/>
      </c>
      <c r="P276" s="11">
        <f>IF(OR(M276="",R276&lt;&gt;""),"",(G276-M276)*E276)</f>
        <v/>
      </c>
      <c r="Q276" s="9">
        <f>IF(R276&lt;&gt;"","—",IF(M276&lt;G276,"Mais barato",IF(M276&gt;G276,"Mais caro","Igual")))</f>
        <v/>
      </c>
      <c r="R276" s="10" t="n"/>
    </row>
    <row r="277">
      <c r="A277" s="9" t="n">
        <v>634431</v>
      </c>
      <c r="B277" s="10" t="inlineStr">
        <is>
          <t>FEMINIS CX 30 CAP</t>
        </is>
      </c>
      <c r="C277" s="10" t="inlineStr">
        <is>
          <t>RX - OTC</t>
        </is>
      </c>
      <c r="D277" s="9" t="inlineStr">
        <is>
          <t>A</t>
        </is>
      </c>
      <c r="E277" s="9" t="n">
        <v>5</v>
      </c>
      <c r="F277" s="9" t="n">
        <v>1</v>
      </c>
      <c r="G277" s="11" t="n">
        <v>107.11</v>
      </c>
      <c r="H277" s="10" t="inlineStr">
        <is>
          <t>SC DISTRIBUICAO LTDA</t>
        </is>
      </c>
      <c r="I277" s="12" t="inlineStr">
        <is>
          <t>7891317025137</t>
        </is>
      </c>
      <c r="J277" s="10" t="inlineStr">
        <is>
          <t>FEMINIS 943MG C/30 CAPSULAS</t>
        </is>
      </c>
      <c r="K277" s="11" t="n">
        <v>121.82</v>
      </c>
      <c r="L277" s="13" t="n">
        <v>0</v>
      </c>
      <c r="M277" s="11">
        <f>IF(K277="","",ROUND(K277*(1-L277),2))</f>
        <v/>
      </c>
      <c r="N277" s="9" t="n">
        <v>175</v>
      </c>
      <c r="O277" s="14">
        <f>IF(OR(M277="",R277&lt;&gt;""),"",M277/G277-1)</f>
        <v/>
      </c>
      <c r="P277" s="11">
        <f>IF(OR(M277="",R277&lt;&gt;""),"",(G277-M277)*E277)</f>
        <v/>
      </c>
      <c r="Q277" s="9">
        <f>IF(R277&lt;&gt;"","—",IF(M277&lt;G277,"Mais barato",IF(M277&gt;G277,"Mais caro","Igual")))</f>
        <v/>
      </c>
      <c r="R277" s="10" t="n"/>
    </row>
    <row r="278">
      <c r="A278" s="9" t="n">
        <v>365641</v>
      </c>
      <c r="B278" s="10" t="inlineStr">
        <is>
          <t>FENTIZOL 0,02G/G CREME DERM BG 20G</t>
        </is>
      </c>
      <c r="C278" s="10" t="inlineStr">
        <is>
          <t>RX</t>
        </is>
      </c>
      <c r="D278" s="9" t="inlineStr">
        <is>
          <t>C</t>
        </is>
      </c>
      <c r="E278" s="9" t="n">
        <v>1</v>
      </c>
      <c r="F278" s="9" t="n">
        <v>1</v>
      </c>
      <c r="G278" s="11" t="n">
        <v>32</v>
      </c>
      <c r="H278" s="10" t="inlineStr">
        <is>
          <t>SC DISTRIBUICAO LTDA</t>
        </is>
      </c>
      <c r="I278" s="12" t="n"/>
      <c r="J278" s="10" t="n"/>
      <c r="K278" s="11" t="n"/>
      <c r="L278" s="13" t="n"/>
      <c r="M278" s="11">
        <f>IF(K278="","",ROUND(K278*(1-L278),2))</f>
        <v/>
      </c>
      <c r="N278" s="9" t="n"/>
      <c r="O278" s="14">
        <f>IF(OR(M278="",R278&lt;&gt;""),"",M278/G278-1)</f>
        <v/>
      </c>
      <c r="P278" s="11">
        <f>IF(OR(M278="",R278&lt;&gt;""),"",(G278-M278)*E278)</f>
        <v/>
      </c>
      <c r="Q278" s="9">
        <f>IF(R278&lt;&gt;"","—",IF(M278&lt;G278,"Mais barato",IF(M278&gt;G278,"Mais caro","Igual")))</f>
        <v/>
      </c>
      <c r="R278" s="10" t="inlineStr">
        <is>
          <t>Não encontrado</t>
        </is>
      </c>
    </row>
    <row r="279">
      <c r="A279" s="9" t="n">
        <v>365581</v>
      </c>
      <c r="B279" s="10" t="inlineStr">
        <is>
          <t>FENTIZOL 0,02G/G CREME VAG BG 40G+7APLIC</t>
        </is>
      </c>
      <c r="C279" s="10" t="inlineStr">
        <is>
          <t>RX</t>
        </is>
      </c>
      <c r="D279" s="9" t="inlineStr">
        <is>
          <t>C</t>
        </is>
      </c>
      <c r="E279" s="9" t="n">
        <v>1</v>
      </c>
      <c r="F279" s="9" t="n">
        <v>1</v>
      </c>
      <c r="G279" s="11" t="n">
        <v>36.02</v>
      </c>
      <c r="H279" s="10" t="inlineStr">
        <is>
          <t>NAZARIA DISTRIBUIDORA DE PRODUTOS FARMACEUTICOS LTDA</t>
        </is>
      </c>
      <c r="I279" s="12" t="n"/>
      <c r="J279" s="10" t="n"/>
      <c r="K279" s="11" t="n"/>
      <c r="L279" s="13" t="n"/>
      <c r="M279" s="11">
        <f>IF(K279="","",ROUND(K279*(1-L279),2))</f>
        <v/>
      </c>
      <c r="N279" s="9" t="n"/>
      <c r="O279" s="14">
        <f>IF(OR(M279="",R279&lt;&gt;""),"",M279/G279-1)</f>
        <v/>
      </c>
      <c r="P279" s="11">
        <f>IF(OR(M279="",R279&lt;&gt;""),"",(G279-M279)*E279)</f>
        <v/>
      </c>
      <c r="Q279" s="9">
        <f>IF(R279&lt;&gt;"","—",IF(M279&lt;G279,"Mais barato",IF(M279&gt;G279,"Mais caro","Igual")))</f>
        <v/>
      </c>
      <c r="R279" s="10" t="inlineStr">
        <is>
          <t>Não encontrado</t>
        </is>
      </c>
    </row>
    <row r="280">
      <c r="A280" s="9" t="n">
        <v>430141</v>
      </c>
      <c r="B280" s="10" t="inlineStr">
        <is>
          <t>FERROPURUM 20 MG/ML SOL INJ 5 AMP 5ML</t>
        </is>
      </c>
      <c r="C280" s="10" t="inlineStr">
        <is>
          <t>RX</t>
        </is>
      </c>
      <c r="D280" s="9" t="inlineStr">
        <is>
          <t>A</t>
        </is>
      </c>
      <c r="E280" s="9" t="n">
        <v>7</v>
      </c>
      <c r="F280" s="9" t="n">
        <v>1</v>
      </c>
      <c r="G280" s="11" t="n">
        <v>69.76000000000001</v>
      </c>
      <c r="H280" s="10" t="inlineStr">
        <is>
          <t>NAZARIA DISTRIBUIDORA DE PRODUTOS FARMACEUTICOS LTDA</t>
        </is>
      </c>
      <c r="I280" s="12" t="n"/>
      <c r="J280" s="10" t="n"/>
      <c r="K280" s="11" t="n"/>
      <c r="L280" s="13" t="n"/>
      <c r="M280" s="11">
        <f>IF(K280="","",ROUND(K280*(1-L280),2))</f>
        <v/>
      </c>
      <c r="N280" s="9" t="n"/>
      <c r="O280" s="14">
        <f>IF(OR(M280="",R280&lt;&gt;""),"",M280/G280-1)</f>
        <v/>
      </c>
      <c r="P280" s="11">
        <f>IF(OR(M280="",R280&lt;&gt;""),"",(G280-M280)*E280)</f>
        <v/>
      </c>
      <c r="Q280" s="9">
        <f>IF(R280&lt;&gt;"","—",IF(M280&lt;G280,"Mais barato",IF(M280&gt;G280,"Mais caro","Igual")))</f>
        <v/>
      </c>
      <c r="R280" s="10" t="inlineStr">
        <is>
          <t>Não encontrado</t>
        </is>
      </c>
    </row>
    <row r="281">
      <c r="A281" s="9" t="n">
        <v>626071</v>
      </c>
      <c r="B281" s="10" t="inlineStr">
        <is>
          <t>FIGATIL 10ML FLACONETE</t>
        </is>
      </c>
      <c r="C281" s="10" t="inlineStr">
        <is>
          <t>RX - OTC</t>
        </is>
      </c>
      <c r="D281" s="9" t="inlineStr">
        <is>
          <t>B</t>
        </is>
      </c>
      <c r="E281" s="9" t="n">
        <v>1</v>
      </c>
      <c r="F281" s="9" t="n">
        <v>48</v>
      </c>
      <c r="G281" s="11" t="n">
        <v>116.27</v>
      </c>
      <c r="H281" s="10" t="inlineStr">
        <is>
          <t>SC DISTRIBUICAO LTDA</t>
        </is>
      </c>
      <c r="I281" s="12" t="inlineStr">
        <is>
          <t>7896023756849</t>
        </is>
      </c>
      <c r="J281" s="10" t="inlineStr">
        <is>
          <t>FIGATIL C/48 FLACONETE 10ML</t>
        </is>
      </c>
      <c r="K281" s="11" t="n">
        <v>276.75</v>
      </c>
      <c r="L281" s="13" t="n">
        <v>0.06</v>
      </c>
      <c r="M281" s="11">
        <f>IF(K281="","",ROUND(K281*(1-L281),2))</f>
        <v/>
      </c>
      <c r="N281" s="9" t="n">
        <v>44</v>
      </c>
      <c r="O281" s="14">
        <f>IF(OR(M281="",R281&lt;&gt;""),"",M281/G281-1)</f>
        <v/>
      </c>
      <c r="P281" s="11">
        <f>IF(OR(M281="",R281&lt;&gt;""),"",(G281-M281)*E281)</f>
        <v/>
      </c>
      <c r="Q281" s="9">
        <f>IF(R281&lt;&gt;"","—",IF(M281&lt;G281,"Mais barato",IF(M281&gt;G281,"Mais caro","Igual")))</f>
        <v/>
      </c>
      <c r="R281" s="10" t="inlineStr">
        <is>
          <t>Conferir embalagem/EAN</t>
        </is>
      </c>
    </row>
    <row r="282">
      <c r="A282" s="9" t="n">
        <v>1841</v>
      </c>
      <c r="B282" s="10" t="inlineStr">
        <is>
          <t>FILINAR 5MG/ML GEL FR 120ML</t>
        </is>
      </c>
      <c r="C282" s="10" t="inlineStr">
        <is>
          <t>RX</t>
        </is>
      </c>
      <c r="D282" s="9" t="inlineStr">
        <is>
          <t>C</t>
        </is>
      </c>
      <c r="E282" s="9" t="n">
        <v>1</v>
      </c>
      <c r="F282" s="9" t="n">
        <v>1</v>
      </c>
      <c r="G282" s="11" t="n">
        <v>22.32</v>
      </c>
      <c r="H282" s="10" t="inlineStr">
        <is>
          <t>SC DISTRIBUICAO LTDA</t>
        </is>
      </c>
      <c r="I282" s="12" t="inlineStr">
        <is>
          <t>7891317485153</t>
        </is>
      </c>
      <c r="J282" s="10" t="inlineStr">
        <is>
          <t>FILINAR GEL ORAL 5MG 120ML</t>
        </is>
      </c>
      <c r="K282" s="11" t="n">
        <v>22.79</v>
      </c>
      <c r="L282" s="13" t="n">
        <v>0.04</v>
      </c>
      <c r="M282" s="11">
        <f>IF(K282="","",ROUND(K282*(1-L282),2))</f>
        <v/>
      </c>
      <c r="N282" s="9" t="n">
        <v>298</v>
      </c>
      <c r="O282" s="14">
        <f>IF(OR(M282="",R282&lt;&gt;""),"",M282/G282-1)</f>
        <v/>
      </c>
      <c r="P282" s="11">
        <f>IF(OR(M282="",R282&lt;&gt;""),"",(G282-M282)*E282)</f>
        <v/>
      </c>
      <c r="Q282" s="9">
        <f>IF(R282&lt;&gt;"","—",IF(M282&lt;G282,"Mais barato",IF(M282&gt;G282,"Mais caro","Igual")))</f>
        <v/>
      </c>
      <c r="R282" s="10" t="n"/>
    </row>
    <row r="283">
      <c r="A283" s="9" t="n">
        <v>615321</v>
      </c>
      <c r="B283" s="10" t="inlineStr">
        <is>
          <t>FIRM NIVEA LOCAO Q10 VITC 200ML</t>
        </is>
      </c>
      <c r="C283" s="10" t="inlineStr">
        <is>
          <t>RX - DERMO</t>
        </is>
      </c>
      <c r="D283" s="9" t="inlineStr">
        <is>
          <t>B</t>
        </is>
      </c>
      <c r="E283" s="9" t="n">
        <v>1</v>
      </c>
      <c r="F283" s="9" t="n">
        <v>6</v>
      </c>
      <c r="G283" s="11" t="n">
        <v>114.12</v>
      </c>
      <c r="H283" s="10" t="inlineStr">
        <is>
          <t>SC DISTRIBUICAO LTDA</t>
        </is>
      </c>
      <c r="I283" s="12" t="inlineStr">
        <is>
          <t>4005808311286</t>
        </is>
      </c>
      <c r="J283" s="10" t="inlineStr">
        <is>
          <t>LOCAO BODY FIRMADOR Q10 PLUS VITAMINA C NIVEA 200ML</t>
        </is>
      </c>
      <c r="K283" s="11" t="n">
        <v>19.98</v>
      </c>
      <c r="L283" s="13" t="n">
        <v>0</v>
      </c>
      <c r="M283" s="11">
        <f>IF(K283="","",ROUND(K283*(1-L283),2))</f>
        <v/>
      </c>
      <c r="N283" s="9" t="n">
        <v>70</v>
      </c>
      <c r="O283" s="14">
        <f>IF(OR(M283="",R283&lt;&gt;""),"",M283/G283-1)</f>
        <v/>
      </c>
      <c r="P283" s="11">
        <f>IF(OR(M283="",R283&lt;&gt;""),"",(G283-M283)*E283)</f>
        <v/>
      </c>
      <c r="Q283" s="9">
        <f>IF(R283&lt;&gt;"","—",IF(M283&lt;G283,"Mais barato",IF(M283&gt;G283,"Mais caro","Igual")))</f>
        <v/>
      </c>
      <c r="R283" s="10" t="inlineStr">
        <is>
          <t>Conferir embalagem/EAN</t>
        </is>
      </c>
    </row>
    <row r="284">
      <c r="A284" s="9" t="n">
        <v>626401</v>
      </c>
      <c r="B284" s="10" t="inlineStr">
        <is>
          <t>FIRM NIVEA LOCAO Q10 VITC 400ML DUOPACK</t>
        </is>
      </c>
      <c r="C284" s="10" t="inlineStr">
        <is>
          <t>RX - DERMO</t>
        </is>
      </c>
      <c r="D284" s="9" t="inlineStr">
        <is>
          <t>A</t>
        </is>
      </c>
      <c r="E284" s="9" t="n">
        <v>2</v>
      </c>
      <c r="F284" s="9" t="n">
        <v>1</v>
      </c>
      <c r="G284" s="11" t="n">
        <v>33.5317</v>
      </c>
      <c r="H284" s="10" t="inlineStr">
        <is>
          <t>SC DISTRIBUICAO LTDA</t>
        </is>
      </c>
      <c r="I284" s="12" t="inlineStr">
        <is>
          <t>4005900549266</t>
        </is>
      </c>
      <c r="J284" s="10" t="inlineStr">
        <is>
          <t>LOCAO FIRMADOR Q10 VITAMINA C NIVEA 400ML</t>
        </is>
      </c>
      <c r="K284" s="11" t="n">
        <v>31.92</v>
      </c>
      <c r="L284" s="13" t="n">
        <v>0</v>
      </c>
      <c r="M284" s="11">
        <f>IF(K284="","",ROUND(K284*(1-L284),2))</f>
        <v/>
      </c>
      <c r="N284" s="9" t="n">
        <v>460</v>
      </c>
      <c r="O284" s="14">
        <f>IF(OR(M284="",R284&lt;&gt;""),"",M284/G284-1)</f>
        <v/>
      </c>
      <c r="P284" s="11">
        <f>IF(OR(M284="",R284&lt;&gt;""),"",(G284-M284)*E284)</f>
        <v/>
      </c>
      <c r="Q284" s="9">
        <f>IF(R284&lt;&gt;"","—",IF(M284&lt;G284,"Mais barato",IF(M284&gt;G284,"Mais caro","Igual")))</f>
        <v/>
      </c>
      <c r="R284" s="10" t="n"/>
    </row>
    <row r="285">
      <c r="A285" s="9" t="n">
        <v>643971</v>
      </c>
      <c r="B285" s="10" t="inlineStr">
        <is>
          <t>FISIOGEL HID PELE SECA 200G-DEMAIS PROD</t>
        </is>
      </c>
      <c r="C285" s="10" t="inlineStr">
        <is>
          <t>RX - DERMO</t>
        </is>
      </c>
      <c r="D285" s="9" t="inlineStr">
        <is>
          <t>A</t>
        </is>
      </c>
      <c r="E285" s="9" t="n">
        <v>5</v>
      </c>
      <c r="F285" s="9" t="n">
        <v>1</v>
      </c>
      <c r="G285" s="11" t="n">
        <v>39.97</v>
      </c>
      <c r="H285" s="10" t="inlineStr">
        <is>
          <t>SC DISTRIBUICAO LTDA</t>
        </is>
      </c>
      <c r="I285" s="12" t="inlineStr">
        <is>
          <t>7896026172639</t>
        </is>
      </c>
      <c r="J285" s="10" t="inlineStr">
        <is>
          <t>CREME HIDRATANTE PELE SECA FISIOGEL 200G</t>
        </is>
      </c>
      <c r="K285" s="11" t="n">
        <v>41.94</v>
      </c>
      <c r="L285" s="13" t="n">
        <v>0</v>
      </c>
      <c r="M285" s="11">
        <f>IF(K285="","",ROUND(K285*(1-L285),2))</f>
        <v/>
      </c>
      <c r="N285" s="9" t="n"/>
      <c r="O285" s="14">
        <f>IF(OR(M285="",R285&lt;&gt;""),"",M285/G285-1)</f>
        <v/>
      </c>
      <c r="P285" s="11">
        <f>IF(OR(M285="",R285&lt;&gt;""),"",(G285-M285)*E285)</f>
        <v/>
      </c>
      <c r="Q285" s="9">
        <f>IF(R285&lt;&gt;"","—",IF(M285&lt;G285,"Mais barato",IF(M285&gt;G285,"Mais caro","Igual")))</f>
        <v/>
      </c>
      <c r="R285" s="10" t="n"/>
    </row>
    <row r="286">
      <c r="A286" s="9" t="n">
        <v>355221</v>
      </c>
      <c r="B286" s="10" t="inlineStr">
        <is>
          <t>FLANAX 275MG CX 20 COMP REV</t>
        </is>
      </c>
      <c r="C286" s="10" t="inlineStr">
        <is>
          <t>RX - OTC</t>
        </is>
      </c>
      <c r="D286" s="9" t="inlineStr">
        <is>
          <t>B</t>
        </is>
      </c>
      <c r="E286" s="9" t="n">
        <v>2</v>
      </c>
      <c r="F286" s="9" t="n">
        <v>1</v>
      </c>
      <c r="G286" s="11" t="n">
        <v>15.64</v>
      </c>
      <c r="H286" s="10" t="inlineStr">
        <is>
          <t>SC DISTRIBUICAO LTDA</t>
        </is>
      </c>
      <c r="I286" s="12" t="inlineStr">
        <is>
          <t>7891106006491</t>
        </is>
      </c>
      <c r="J286" s="10" t="inlineStr">
        <is>
          <t>FLANAX 275MG C/20 COMPRIMIDOS</t>
        </is>
      </c>
      <c r="K286" s="11" t="n">
        <v>15.36</v>
      </c>
      <c r="L286" s="13" t="n">
        <v>0.03</v>
      </c>
      <c r="M286" s="11">
        <f>IF(K286="","",ROUND(K286*(1-L286),2))</f>
        <v/>
      </c>
      <c r="N286" s="9" t="n">
        <v>277</v>
      </c>
      <c r="O286" s="14">
        <f>IF(OR(M286="",R286&lt;&gt;""),"",M286/G286-1)</f>
        <v/>
      </c>
      <c r="P286" s="11">
        <f>IF(OR(M286="",R286&lt;&gt;""),"",(G286-M286)*E286)</f>
        <v/>
      </c>
      <c r="Q286" s="9">
        <f>IF(R286&lt;&gt;"","—",IF(M286&lt;G286,"Mais barato",IF(M286&gt;G286,"Mais caro","Igual")))</f>
        <v/>
      </c>
      <c r="R286" s="10" t="n"/>
    </row>
    <row r="287">
      <c r="A287" s="9" t="n">
        <v>355201</v>
      </c>
      <c r="B287" s="10" t="inlineStr">
        <is>
          <t>FLANAX 550 MG COM 2CP(CARTELA)</t>
        </is>
      </c>
      <c r="C287" s="10" t="inlineStr">
        <is>
          <t>RX</t>
        </is>
      </c>
      <c r="D287" s="9" t="inlineStr">
        <is>
          <t>A</t>
        </is>
      </c>
      <c r="E287" s="9" t="n">
        <v>25</v>
      </c>
      <c r="F287" s="9" t="n">
        <v>1</v>
      </c>
      <c r="G287" s="11" t="n">
        <v>4.42</v>
      </c>
      <c r="H287" s="10" t="inlineStr">
        <is>
          <t>MARCOS VINICIOS DOS SANTOS</t>
        </is>
      </c>
      <c r="I287" s="12" t="inlineStr">
        <is>
          <t>7891106912471</t>
        </is>
      </c>
      <c r="J287" s="10" t="inlineStr">
        <is>
          <t>FLANAX 550MG DISPLAY C/10X2 COMPRIMIDOS</t>
        </is>
      </c>
      <c r="K287" s="11" t="n">
        <v>57.81</v>
      </c>
      <c r="L287" s="13" t="n">
        <v>0.03</v>
      </c>
      <c r="M287" s="11">
        <f>IF(K287="","",ROUND(K287*(1-L287),2))</f>
        <v/>
      </c>
      <c r="N287" s="9" t="n">
        <v>208</v>
      </c>
      <c r="O287" s="14">
        <f>IF(OR(M287="",R287&lt;&gt;""),"",M287/G287-1)</f>
        <v/>
      </c>
      <c r="P287" s="11">
        <f>IF(OR(M287="",R287&lt;&gt;""),"",(G287-M287)*E287)</f>
        <v/>
      </c>
      <c r="Q287" s="9">
        <f>IF(R287&lt;&gt;"","—",IF(M287&lt;G287,"Mais barato",IF(M287&gt;G287,"Mais caro","Igual")))</f>
        <v/>
      </c>
      <c r="R287" s="10" t="inlineStr">
        <is>
          <t>Conferir embalagem/EAN</t>
        </is>
      </c>
    </row>
    <row r="288">
      <c r="A288" s="9" t="n">
        <v>355241</v>
      </c>
      <c r="B288" s="10" t="inlineStr">
        <is>
          <t>FLANAX 550MG CX 10 COMP REV</t>
        </is>
      </c>
      <c r="C288" s="10" t="inlineStr">
        <is>
          <t>RX - OTC</t>
        </is>
      </c>
      <c r="D288" s="9" t="inlineStr">
        <is>
          <t>A</t>
        </is>
      </c>
      <c r="E288" s="9" t="n">
        <v>18</v>
      </c>
      <c r="F288" s="9" t="n">
        <v>1</v>
      </c>
      <c r="G288" s="11" t="n">
        <v>20.57</v>
      </c>
      <c r="H288" s="10" t="inlineStr">
        <is>
          <t>SC DISTRIBUICAO LTDA</t>
        </is>
      </c>
      <c r="I288" s="12" t="inlineStr">
        <is>
          <t>7891106006507</t>
        </is>
      </c>
      <c r="J288" s="10" t="inlineStr">
        <is>
          <t>FLANAX 550MG C/10 COMPRIMIDOS</t>
        </is>
      </c>
      <c r="K288" s="11" t="n">
        <v>21.22</v>
      </c>
      <c r="L288" s="13" t="n">
        <v>0.03</v>
      </c>
      <c r="M288" s="11">
        <f>IF(K288="","",ROUND(K288*(1-L288),2))</f>
        <v/>
      </c>
      <c r="N288" s="9" t="n">
        <v>2033</v>
      </c>
      <c r="O288" s="14">
        <f>IF(OR(M288="",R288&lt;&gt;""),"",M288/G288-1)</f>
        <v/>
      </c>
      <c r="P288" s="11">
        <f>IF(OR(M288="",R288&lt;&gt;""),"",(G288-M288)*E288)</f>
        <v/>
      </c>
      <c r="Q288" s="9">
        <f>IF(R288&lt;&gt;"","—",IF(M288&lt;G288,"Mais barato",IF(M288&gt;G288,"Mais caro","Igual")))</f>
        <v/>
      </c>
      <c r="R288" s="10" t="n"/>
    </row>
    <row r="289">
      <c r="A289" s="9" t="n">
        <v>668981</v>
      </c>
      <c r="B289" s="10" t="inlineStr">
        <is>
          <t>FLANAX XR 660MG C/8 COMP REV-REFERENCIA</t>
        </is>
      </c>
      <c r="C289" s="10" t="inlineStr">
        <is>
          <t>RX</t>
        </is>
      </c>
      <c r="D289" s="9" t="inlineStr">
        <is>
          <t>B</t>
        </is>
      </c>
      <c r="E289" s="9" t="n">
        <v>1</v>
      </c>
      <c r="F289" s="9" t="n">
        <v>1</v>
      </c>
      <c r="G289" s="11" t="n">
        <v>21.74</v>
      </c>
      <c r="H289" s="10" t="inlineStr">
        <is>
          <t>SC DISTRIBUICAO LTDA</t>
        </is>
      </c>
      <c r="I289" s="12" t="inlineStr">
        <is>
          <t>7891106910989</t>
        </is>
      </c>
      <c r="J289" s="10" t="inlineStr">
        <is>
          <t>FLANAX XR 660MG COM 8 COMPRIMIDOS</t>
        </is>
      </c>
      <c r="K289" s="11" t="n">
        <v>24.15</v>
      </c>
      <c r="L289" s="13" t="n">
        <v>0.03</v>
      </c>
      <c r="M289" s="11">
        <f>IF(K289="","",ROUND(K289*(1-L289),2))</f>
        <v/>
      </c>
      <c r="N289" s="9" t="n">
        <v>675</v>
      </c>
      <c r="O289" s="14">
        <f>IF(OR(M289="",R289&lt;&gt;""),"",M289/G289-1)</f>
        <v/>
      </c>
      <c r="P289" s="11">
        <f>IF(OR(M289="",R289&lt;&gt;""),"",(G289-M289)*E289)</f>
        <v/>
      </c>
      <c r="Q289" s="9">
        <f>IF(R289&lt;&gt;"","—",IF(M289&lt;G289,"Mais barato",IF(M289&gt;G289,"Mais caro","Igual")))</f>
        <v/>
      </c>
      <c r="R289" s="10" t="n"/>
    </row>
    <row r="290">
      <c r="A290" s="9" t="n">
        <v>240541</v>
      </c>
      <c r="B290" s="10" t="inlineStr">
        <is>
          <t>FLANCOX 300MG CX 14 COMP REV</t>
        </is>
      </c>
      <c r="C290" s="10" t="inlineStr">
        <is>
          <t>RX</t>
        </is>
      </c>
      <c r="D290" s="9" t="inlineStr">
        <is>
          <t>B</t>
        </is>
      </c>
      <c r="E290" s="9" t="n">
        <v>4</v>
      </c>
      <c r="F290" s="9" t="n">
        <v>1</v>
      </c>
      <c r="G290" s="11" t="n">
        <v>25.04</v>
      </c>
      <c r="H290" s="10" t="inlineStr">
        <is>
          <t>SC DISTRIBUICAO LTDA</t>
        </is>
      </c>
      <c r="I290" s="12" t="inlineStr">
        <is>
          <t>7896637023146</t>
        </is>
      </c>
      <c r="J290" s="10" t="inlineStr">
        <is>
          <t>FLANCOX 300MG C/14 COMPRIMIDOS</t>
        </is>
      </c>
      <c r="K290" s="11" t="n">
        <v>24.1</v>
      </c>
      <c r="L290" s="13" t="n">
        <v>0.04</v>
      </c>
      <c r="M290" s="11">
        <f>IF(K290="","",ROUND(K290*(1-L290),2))</f>
        <v/>
      </c>
      <c r="N290" s="9" t="n">
        <v>186</v>
      </c>
      <c r="O290" s="14">
        <f>IF(OR(M290="",R290&lt;&gt;""),"",M290/G290-1)</f>
        <v/>
      </c>
      <c r="P290" s="11">
        <f>IF(OR(M290="",R290&lt;&gt;""),"",(G290-M290)*E290)</f>
        <v/>
      </c>
      <c r="Q290" s="9">
        <f>IF(R290&lt;&gt;"","—",IF(M290&lt;G290,"Mais barato",IF(M290&gt;G290,"Mais caro","Igual")))</f>
        <v/>
      </c>
      <c r="R290" s="10" t="n"/>
    </row>
    <row r="291">
      <c r="A291" s="9" t="n">
        <v>240241</v>
      </c>
      <c r="B291" s="10" t="inlineStr">
        <is>
          <t>FLANCOX 500MG CX 14 COMP REV</t>
        </is>
      </c>
      <c r="C291" s="10" t="inlineStr">
        <is>
          <t>RX</t>
        </is>
      </c>
      <c r="D291" s="9" t="inlineStr">
        <is>
          <t>A</t>
        </is>
      </c>
      <c r="E291" s="9" t="n">
        <v>8</v>
      </c>
      <c r="F291" s="9" t="n">
        <v>1</v>
      </c>
      <c r="G291" s="11" t="n">
        <v>27.925</v>
      </c>
      <c r="H291" s="10" t="inlineStr">
        <is>
          <t>NAZARIA DISTRIBUIDORA DE PRODUTOS FARMACEUTICOS LTDA</t>
        </is>
      </c>
      <c r="I291" s="12" t="inlineStr">
        <is>
          <t>7896637023238</t>
        </is>
      </c>
      <c r="J291" s="10" t="inlineStr">
        <is>
          <t>FLANCOX 500MG C/14 COMPRIMIDOS REV</t>
        </is>
      </c>
      <c r="K291" s="11" t="n">
        <v>38.51</v>
      </c>
      <c r="L291" s="13" t="n">
        <v>0.04</v>
      </c>
      <c r="M291" s="11">
        <f>IF(K291="","",ROUND(K291*(1-L291),2))</f>
        <v/>
      </c>
      <c r="N291" s="9" t="n">
        <v>3405</v>
      </c>
      <c r="O291" s="14">
        <f>IF(OR(M291="",R291&lt;&gt;""),"",M291/G291-1)</f>
        <v/>
      </c>
      <c r="P291" s="11">
        <f>IF(OR(M291="",R291&lt;&gt;""),"",(G291-M291)*E291)</f>
        <v/>
      </c>
      <c r="Q291" s="9">
        <f>IF(R291&lt;&gt;"","—",IF(M291&lt;G291,"Mais barato",IF(M291&gt;G291,"Mais caro","Igual")))</f>
        <v/>
      </c>
      <c r="R291" s="10" t="n"/>
    </row>
    <row r="292">
      <c r="A292" s="9" t="n">
        <v>582241</v>
      </c>
      <c r="B292" s="10" t="inlineStr">
        <is>
          <t>FLANCOX 600MG CX 14 REV OR</t>
        </is>
      </c>
      <c r="C292" s="10" t="inlineStr">
        <is>
          <t>RX</t>
        </is>
      </c>
      <c r="D292" s="9" t="inlineStr">
        <is>
          <t>A</t>
        </is>
      </c>
      <c r="E292" s="9" t="n">
        <v>13</v>
      </c>
      <c r="F292" s="9" t="n">
        <v>1</v>
      </c>
      <c r="G292" s="11" t="n">
        <v>46.73</v>
      </c>
      <c r="H292" s="10" t="inlineStr">
        <is>
          <t>NAZARIA DISTRIBUIDORA DE PRODUTOS FARMACEUTICOS LTDA</t>
        </is>
      </c>
      <c r="I292" s="12" t="inlineStr">
        <is>
          <t>7896637031943</t>
        </is>
      </c>
      <c r="J292" s="10" t="inlineStr">
        <is>
          <t>FLANCOX 600MG C/14 COMPRIMIDOS</t>
        </is>
      </c>
      <c r="K292" s="11" t="n">
        <v>48.24</v>
      </c>
      <c r="L292" s="13" t="n">
        <v>0.04</v>
      </c>
      <c r="M292" s="11">
        <f>IF(K292="","",ROUND(K292*(1-L292),2))</f>
        <v/>
      </c>
      <c r="N292" s="9" t="n">
        <v>3071</v>
      </c>
      <c r="O292" s="14">
        <f>IF(OR(M292="",R292&lt;&gt;""),"",M292/G292-1)</f>
        <v/>
      </c>
      <c r="P292" s="11">
        <f>IF(OR(M292="",R292&lt;&gt;""),"",(G292-M292)*E292)</f>
        <v/>
      </c>
      <c r="Q292" s="9">
        <f>IF(R292&lt;&gt;"","—",IF(M292&lt;G292,"Mais barato",IF(M292&gt;G292,"Mais caro","Igual")))</f>
        <v/>
      </c>
      <c r="R292" s="10" t="n"/>
    </row>
    <row r="293">
      <c r="A293" s="9" t="n">
        <v>566701</v>
      </c>
      <c r="B293" s="10" t="inlineStr">
        <is>
          <t>FLETOP LOCAO 200ML</t>
        </is>
      </c>
      <c r="C293" s="10" t="inlineStr">
        <is>
          <t>RX - DERMO</t>
        </is>
      </c>
      <c r="D293" s="9" t="inlineStr">
        <is>
          <t>A</t>
        </is>
      </c>
      <c r="E293" s="9" t="n">
        <v>2</v>
      </c>
      <c r="F293" s="9" t="n">
        <v>1</v>
      </c>
      <c r="G293" s="11" t="n">
        <v>57.135</v>
      </c>
      <c r="H293" s="10" t="inlineStr">
        <is>
          <t>NAZARIA DISTRIBUIDORA DE PRODUTOS FARMACEUTICOS LTDA</t>
        </is>
      </c>
      <c r="I293" s="12" t="inlineStr">
        <is>
          <t>7898040324438</t>
        </is>
      </c>
      <c r="J293" s="10" t="inlineStr">
        <is>
          <t>FLETOP LOCAO 200ML</t>
        </is>
      </c>
      <c r="K293" s="11" t="n">
        <v>49.13</v>
      </c>
      <c r="L293" s="13" t="n">
        <v>0</v>
      </c>
      <c r="M293" s="11">
        <f>IF(K293="","",ROUND(K293*(1-L293),2))</f>
        <v/>
      </c>
      <c r="N293" s="9" t="n">
        <v>380</v>
      </c>
      <c r="O293" s="14">
        <f>IF(OR(M293="",R293&lt;&gt;""),"",M293/G293-1)</f>
        <v/>
      </c>
      <c r="P293" s="11">
        <f>IF(OR(M293="",R293&lt;&gt;""),"",(G293-M293)*E293)</f>
        <v/>
      </c>
      <c r="Q293" s="9">
        <f>IF(R293&lt;&gt;"","—",IF(M293&lt;G293,"Mais barato",IF(M293&gt;G293,"Mais caro","Igual")))</f>
        <v/>
      </c>
      <c r="R293" s="10" t="n"/>
    </row>
    <row r="294">
      <c r="A294" s="9" t="n">
        <v>242381</v>
      </c>
      <c r="B294" s="10" t="inlineStr">
        <is>
          <t>FLEXIVE CDM 350MG/G CREM DERM BG 25G</t>
        </is>
      </c>
      <c r="C294" s="10" t="inlineStr">
        <is>
          <t>RX - OTC</t>
        </is>
      </c>
      <c r="D294" s="9" t="inlineStr">
        <is>
          <t>A</t>
        </is>
      </c>
      <c r="E294" s="9" t="n">
        <v>2</v>
      </c>
      <c r="F294" s="9" t="n">
        <v>1</v>
      </c>
      <c r="G294" s="11" t="n">
        <v>40.86</v>
      </c>
      <c r="H294" s="10" t="inlineStr">
        <is>
          <t>NAZARIA DISTRIBUIDORA DE PRODUTOS FARMACEUTICOS LTDA</t>
        </is>
      </c>
      <c r="I294" s="12" t="inlineStr">
        <is>
          <t>7891721023422</t>
        </is>
      </c>
      <c r="J294" s="10" t="inlineStr">
        <is>
          <t>FLEXIVE CREME 25G</t>
        </is>
      </c>
      <c r="K294" s="11" t="n">
        <v>42.63</v>
      </c>
      <c r="L294" s="13" t="n">
        <v>0.04</v>
      </c>
      <c r="M294" s="11">
        <f>IF(K294="","",ROUND(K294*(1-L294),2))</f>
        <v/>
      </c>
      <c r="N294" s="9" t="n">
        <v>76</v>
      </c>
      <c r="O294" s="14">
        <f>IF(OR(M294="",R294&lt;&gt;""),"",M294/G294-1)</f>
        <v/>
      </c>
      <c r="P294" s="11">
        <f>IF(OR(M294="",R294&lt;&gt;""),"",(G294-M294)*E294)</f>
        <v/>
      </c>
      <c r="Q294" s="9">
        <f>IF(R294&lt;&gt;"","—",IF(M294&lt;G294,"Mais barato",IF(M294&gt;G294,"Mais caro","Igual")))</f>
        <v/>
      </c>
      <c r="R294" s="10" t="n"/>
    </row>
    <row r="295">
      <c r="A295" s="9" t="n">
        <v>127481</v>
      </c>
      <c r="B295" s="10" t="inlineStr">
        <is>
          <t>FLOGO-ROSA 50MG/ML SOL GIN X 100ML+CM</t>
        </is>
      </c>
      <c r="C295" s="10" t="inlineStr">
        <is>
          <t>RX</t>
        </is>
      </c>
      <c r="D295" s="9" t="inlineStr">
        <is>
          <t>A</t>
        </is>
      </c>
      <c r="E295" s="9" t="n">
        <v>1</v>
      </c>
      <c r="F295" s="9" t="n">
        <v>1</v>
      </c>
      <c r="G295" s="11" t="n">
        <v>29.82</v>
      </c>
      <c r="H295" s="10" t="inlineStr">
        <is>
          <t>SC DISTRIBUICAO LTDA</t>
        </is>
      </c>
      <c r="I295" s="12" t="inlineStr">
        <is>
          <t>7896658002892</t>
        </is>
      </c>
      <c r="J295" s="10" t="inlineStr">
        <is>
          <t>FLOGO-ROSA 50MG SOLUCAO 100ML</t>
        </is>
      </c>
      <c r="K295" s="11" t="n">
        <v>30.13</v>
      </c>
      <c r="L295" s="13" t="n">
        <v>0.05</v>
      </c>
      <c r="M295" s="11">
        <f>IF(K295="","",ROUND(K295*(1-L295),2))</f>
        <v/>
      </c>
      <c r="N295" s="9" t="n">
        <v>102</v>
      </c>
      <c r="O295" s="14">
        <f>IF(OR(M295="",R295&lt;&gt;""),"",M295/G295-1)</f>
        <v/>
      </c>
      <c r="P295" s="11">
        <f>IF(OR(M295="",R295&lt;&gt;""),"",(G295-M295)*E295)</f>
        <v/>
      </c>
      <c r="Q295" s="9">
        <f>IF(R295&lt;&gt;"","—",IF(M295&lt;G295,"Mais barato",IF(M295&gt;G295,"Mais caro","Igual")))</f>
        <v/>
      </c>
      <c r="R295" s="10" t="n"/>
    </row>
    <row r="296">
      <c r="A296" s="9" t="n">
        <v>127521</v>
      </c>
      <c r="B296" s="10" t="inlineStr">
        <is>
          <t>FLOGORAL CAIXA C/ 12 PAST SB CEREJA</t>
        </is>
      </c>
      <c r="C296" s="10" t="inlineStr">
        <is>
          <t>RX - OTC</t>
        </is>
      </c>
      <c r="D296" s="9" t="inlineStr">
        <is>
          <t>B</t>
        </is>
      </c>
      <c r="E296" s="9" t="n">
        <v>3</v>
      </c>
      <c r="F296" s="9" t="n">
        <v>1</v>
      </c>
      <c r="G296" s="11" t="n">
        <v>5.1763</v>
      </c>
      <c r="H296" s="10" t="inlineStr">
        <is>
          <t>SC DISTRIBUICAO LTDA</t>
        </is>
      </c>
      <c r="I296" s="12" t="inlineStr">
        <is>
          <t>7896658005466</t>
        </is>
      </c>
      <c r="J296" s="10" t="inlineStr">
        <is>
          <t>FLOGORAL CEREJA C/12 PASTILHAS</t>
        </is>
      </c>
      <c r="K296" s="11" t="n">
        <v>14.94</v>
      </c>
      <c r="L296" s="13" t="n">
        <v>0.05</v>
      </c>
      <c r="M296" s="11">
        <f>IF(K296="","",ROUND(K296*(1-L296),2))</f>
        <v/>
      </c>
      <c r="N296" s="9" t="n">
        <v>281</v>
      </c>
      <c r="O296" s="14">
        <f>IF(OR(M296="",R296&lt;&gt;""),"",M296/G296-1)</f>
        <v/>
      </c>
      <c r="P296" s="11">
        <f>IF(OR(M296="",R296&lt;&gt;""),"",(G296-M296)*E296)</f>
        <v/>
      </c>
      <c r="Q296" s="9">
        <f>IF(R296&lt;&gt;"","—",IF(M296&lt;G296,"Mais barato",IF(M296&gt;G296,"Mais caro","Igual")))</f>
        <v/>
      </c>
      <c r="R296" s="10" t="inlineStr">
        <is>
          <t>Conferir embalagem/EAN</t>
        </is>
      </c>
    </row>
    <row r="297">
      <c r="A297" s="9" t="n">
        <v>652451</v>
      </c>
      <c r="B297" s="10" t="inlineStr">
        <is>
          <t>FLOGORAL CARTELA 4 PAST SB LARANJA</t>
        </is>
      </c>
      <c r="C297" s="10" t="inlineStr">
        <is>
          <t>RX</t>
        </is>
      </c>
      <c r="D297" s="9" t="inlineStr">
        <is>
          <t>B</t>
        </is>
      </c>
      <c r="E297" s="9" t="n">
        <v>3</v>
      </c>
      <c r="F297" s="9" t="n">
        <v>3</v>
      </c>
      <c r="G297" s="11" t="n">
        <v>13.98</v>
      </c>
      <c r="H297" s="10" t="inlineStr">
        <is>
          <t>NAZARIA DISTRIBUIDORA DE PRODUTOS FARMACEUTICOS LTDA</t>
        </is>
      </c>
      <c r="I297" s="12" t="n"/>
      <c r="J297" s="10" t="n"/>
      <c r="K297" s="11" t="n"/>
      <c r="L297" s="13" t="n"/>
      <c r="M297" s="11">
        <f>IF(K297="","",ROUND(K297*(1-L297),2))</f>
        <v/>
      </c>
      <c r="N297" s="9" t="n"/>
      <c r="O297" s="14">
        <f>IF(OR(M297="",R297&lt;&gt;""),"",M297/G297-1)</f>
        <v/>
      </c>
      <c r="P297" s="11">
        <f>IF(OR(M297="",R297&lt;&gt;""),"",(G297-M297)*E297)</f>
        <v/>
      </c>
      <c r="Q297" s="9">
        <f>IF(R297&lt;&gt;"","—",IF(M297&lt;G297,"Mais barato",IF(M297&gt;G297,"Mais caro","Igual")))</f>
        <v/>
      </c>
      <c r="R297" s="10" t="inlineStr">
        <is>
          <t>Não encontrado</t>
        </is>
      </c>
    </row>
    <row r="298">
      <c r="A298" s="9" t="n">
        <v>315161</v>
      </c>
      <c r="B298" s="10" t="inlineStr">
        <is>
          <t>FLOMICIN 100MG FR 12 CAP</t>
        </is>
      </c>
      <c r="C298" s="10" t="inlineStr">
        <is>
          <t>RX</t>
        </is>
      </c>
      <c r="D298" s="9" t="inlineStr">
        <is>
          <t>B</t>
        </is>
      </c>
      <c r="E298" s="9" t="n">
        <v>3</v>
      </c>
      <c r="F298" s="9" t="n">
        <v>1</v>
      </c>
      <c r="G298" s="11" t="n">
        <v>15.84</v>
      </c>
      <c r="H298" s="10" t="inlineStr">
        <is>
          <t>CASTANHAL PARAENSE D. DE MEDICAMENTOS LTDA</t>
        </is>
      </c>
      <c r="I298" s="12" t="n"/>
      <c r="J298" s="10" t="n"/>
      <c r="K298" s="11" t="n"/>
      <c r="L298" s="13" t="n"/>
      <c r="M298" s="11">
        <f>IF(K298="","",ROUND(K298*(1-L298),2))</f>
        <v/>
      </c>
      <c r="N298" s="9" t="n"/>
      <c r="O298" s="14">
        <f>IF(OR(M298="",R298&lt;&gt;""),"",M298/G298-1)</f>
        <v/>
      </c>
      <c r="P298" s="11">
        <f>IF(OR(M298="",R298&lt;&gt;""),"",(G298-M298)*E298)</f>
        <v/>
      </c>
      <c r="Q298" s="9">
        <f>IF(R298&lt;&gt;"","—",IF(M298&lt;G298,"Mais barato",IF(M298&gt;G298,"Mais caro","Igual")))</f>
        <v/>
      </c>
      <c r="R298" s="10" t="inlineStr">
        <is>
          <t>Não encontrado</t>
        </is>
      </c>
    </row>
    <row r="299">
      <c r="A299" s="9" t="n">
        <v>634241</v>
      </c>
      <c r="B299" s="10" t="inlineStr">
        <is>
          <t>FLORATIL 100MG CX 12 CAP</t>
        </is>
      </c>
      <c r="C299" s="10" t="inlineStr">
        <is>
          <t>RX - OTC</t>
        </is>
      </c>
      <c r="D299" s="9" t="inlineStr">
        <is>
          <t>A</t>
        </is>
      </c>
      <c r="E299" s="9" t="n">
        <v>2</v>
      </c>
      <c r="F299" s="9" t="n">
        <v>1</v>
      </c>
      <c r="G299" s="11" t="n">
        <v>40.33</v>
      </c>
      <c r="H299" s="10" t="inlineStr">
        <is>
          <t>SC DISTRIBUICAO LTDA</t>
        </is>
      </c>
      <c r="I299" s="12" t="inlineStr">
        <is>
          <t>7898040329648</t>
        </is>
      </c>
      <c r="J299" s="10" t="inlineStr">
        <is>
          <t>FLORATIL 100MG C/12 CAPSULAS</t>
        </is>
      </c>
      <c r="K299" s="11" t="n">
        <v>41.49</v>
      </c>
      <c r="L299" s="13" t="n">
        <v>0.04</v>
      </c>
      <c r="M299" s="11">
        <f>IF(K299="","",ROUND(K299*(1-L299),2))</f>
        <v/>
      </c>
      <c r="N299" s="9" t="n">
        <v>406</v>
      </c>
      <c r="O299" s="14">
        <f>IF(OR(M299="",R299&lt;&gt;""),"",M299/G299-1)</f>
        <v/>
      </c>
      <c r="P299" s="11">
        <f>IF(OR(M299="",R299&lt;&gt;""),"",(G299-M299)*E299)</f>
        <v/>
      </c>
      <c r="Q299" s="9">
        <f>IF(R299&lt;&gt;"","—",IF(M299&lt;G299,"Mais barato",IF(M299&gt;G299,"Mais caro","Igual")))</f>
        <v/>
      </c>
      <c r="R299" s="10" t="n"/>
    </row>
    <row r="300">
      <c r="A300" s="9" t="n">
        <v>589581</v>
      </c>
      <c r="B300" s="10" t="inlineStr">
        <is>
          <t>FLORATIL 200MG CX 6 CAP</t>
        </is>
      </c>
      <c r="C300" s="10" t="inlineStr">
        <is>
          <t>RX - OTC</t>
        </is>
      </c>
      <c r="D300" s="9" t="inlineStr">
        <is>
          <t>C</t>
        </is>
      </c>
      <c r="E300" s="9" t="n">
        <v>1</v>
      </c>
      <c r="F300" s="9" t="n">
        <v>1</v>
      </c>
      <c r="G300" s="11" t="n">
        <v>36.79</v>
      </c>
      <c r="H300" s="10" t="inlineStr">
        <is>
          <t>SC DISTRIBUICAO LTDA</t>
        </is>
      </c>
      <c r="I300" s="12" t="inlineStr">
        <is>
          <t>7898040329655</t>
        </is>
      </c>
      <c r="J300" s="10" t="inlineStr">
        <is>
          <t>FLORATIL 200MG BLISTER C/6 CAPSULAS GELATINOSAS DURAS</t>
        </is>
      </c>
      <c r="K300" s="11" t="n">
        <v>37.57</v>
      </c>
      <c r="L300" s="13" t="n">
        <v>0.04</v>
      </c>
      <c r="M300" s="11">
        <f>IF(K300="","",ROUND(K300*(1-L300),2))</f>
        <v/>
      </c>
      <c r="N300" s="9" t="n">
        <v>470</v>
      </c>
      <c r="O300" s="14">
        <f>IF(OR(M300="",R300&lt;&gt;""),"",M300/G300-1)</f>
        <v/>
      </c>
      <c r="P300" s="11">
        <f>IF(OR(M300="",R300&lt;&gt;""),"",(G300-M300)*E300)</f>
        <v/>
      </c>
      <c r="Q300" s="9">
        <f>IF(R300&lt;&gt;"","—",IF(M300&lt;G300,"Mais barato",IF(M300&gt;G300,"Mais caro","Igual")))</f>
        <v/>
      </c>
      <c r="R300" s="10" t="n"/>
    </row>
    <row r="301">
      <c r="A301" s="9" t="n">
        <v>671851</v>
      </c>
      <c r="B301" s="10" t="inlineStr">
        <is>
          <t>FLORATIL 250MG BL 6 SACHE</t>
        </is>
      </c>
      <c r="C301" s="10" t="inlineStr">
        <is>
          <t>RX - OTC</t>
        </is>
      </c>
      <c r="D301" s="9" t="inlineStr">
        <is>
          <t>A</t>
        </is>
      </c>
      <c r="E301" s="9" t="n">
        <v>2</v>
      </c>
      <c r="F301" s="9" t="n">
        <v>1</v>
      </c>
      <c r="G301" s="11" t="n">
        <v>36.79</v>
      </c>
      <c r="H301" s="10" t="inlineStr">
        <is>
          <t>SC DISTRIBUICAO LTDA</t>
        </is>
      </c>
      <c r="I301" s="12" t="inlineStr">
        <is>
          <t>7898040329600</t>
        </is>
      </c>
      <c r="J301" s="10" t="inlineStr">
        <is>
          <t>FLORATIL AT 250MG TUTTI FRUTTI CAIXA 6 ENVELOPES DE 1,25G CADA</t>
        </is>
      </c>
      <c r="K301" s="11" t="n">
        <v>37.57</v>
      </c>
      <c r="L301" s="13" t="n">
        <v>0.04</v>
      </c>
      <c r="M301" s="11">
        <f>IF(K301="","",ROUND(K301*(1-L301),2))</f>
        <v/>
      </c>
      <c r="N301" s="9" t="n">
        <v>138</v>
      </c>
      <c r="O301" s="14">
        <f>IF(OR(M301="",R301&lt;&gt;""),"",M301/G301-1)</f>
        <v/>
      </c>
      <c r="P301" s="11">
        <f>IF(OR(M301="",R301&lt;&gt;""),"",(G301-M301)*E301)</f>
        <v/>
      </c>
      <c r="Q301" s="9">
        <f>IF(R301&lt;&gt;"","—",IF(M301&lt;G301,"Mais barato",IF(M301&gt;G301,"Mais caro","Igual")))</f>
        <v/>
      </c>
      <c r="R301" s="10" t="n"/>
    </row>
    <row r="302">
      <c r="A302" s="9" t="n">
        <v>430641</v>
      </c>
      <c r="B302" s="10" t="inlineStr">
        <is>
          <t>FLORAX CX 5 FLAC X 5ML PED</t>
        </is>
      </c>
      <c r="C302" s="10" t="inlineStr">
        <is>
          <t>RX - OTC</t>
        </is>
      </c>
      <c r="D302" s="9" t="inlineStr">
        <is>
          <t>A</t>
        </is>
      </c>
      <c r="E302" s="9" t="n">
        <v>3</v>
      </c>
      <c r="F302" s="9" t="n">
        <v>1</v>
      </c>
      <c r="G302" s="11" t="n">
        <v>27.57</v>
      </c>
      <c r="H302" s="10" t="inlineStr">
        <is>
          <t>SC DISTRIBUICAO LTDA</t>
        </is>
      </c>
      <c r="I302" s="12" t="inlineStr">
        <is>
          <t>7896685301661</t>
        </is>
      </c>
      <c r="J302" s="10" t="inlineStr">
        <is>
          <t>FLORAX SM FRAMBOESA PEDIATRICO 5ML 5 FLACONETES</t>
        </is>
      </c>
      <c r="K302" s="11" t="n">
        <v>29.2</v>
      </c>
      <c r="L302" s="13" t="n">
        <v>0.1</v>
      </c>
      <c r="M302" s="11">
        <f>IF(K302="","",ROUND(K302*(1-L302),2))</f>
        <v/>
      </c>
      <c r="N302" s="9" t="n">
        <v>921</v>
      </c>
      <c r="O302" s="14">
        <f>IF(OR(M302="",R302&lt;&gt;""),"",M302/G302-1)</f>
        <v/>
      </c>
      <c r="P302" s="11">
        <f>IF(OR(M302="",R302&lt;&gt;""),"",(G302-M302)*E302)</f>
        <v/>
      </c>
      <c r="Q302" s="9">
        <f>IF(R302&lt;&gt;"","—",IF(M302&lt;G302,"Mais barato",IF(M302&gt;G302,"Mais caro","Igual")))</f>
        <v/>
      </c>
      <c r="R302" s="10" t="n"/>
    </row>
    <row r="303">
      <c r="A303" s="9" t="n">
        <v>606661</v>
      </c>
      <c r="B303" s="10" t="inlineStr">
        <is>
          <t>FLORAX HYDRA FR 500ML SB GUARANA</t>
        </is>
      </c>
      <c r="C303" s="10" t="inlineStr">
        <is>
          <t>RX - OTC</t>
        </is>
      </c>
      <c r="D303" s="9" t="inlineStr">
        <is>
          <t>B</t>
        </is>
      </c>
      <c r="E303" s="9" t="n">
        <v>4</v>
      </c>
      <c r="F303" s="9" t="n">
        <v>1</v>
      </c>
      <c r="G303" s="11" t="n">
        <v>18.9</v>
      </c>
      <c r="H303" s="10" t="inlineStr">
        <is>
          <t>SC DISTRIBUICAO LTDA</t>
        </is>
      </c>
      <c r="I303" s="12" t="inlineStr">
        <is>
          <t>7896685303818</t>
        </is>
      </c>
      <c r="J303" s="10" t="inlineStr">
        <is>
          <t>FLORAX HYDRA 45 GUARANA 500ML</t>
        </is>
      </c>
      <c r="K303" s="11" t="n">
        <v>18.6</v>
      </c>
      <c r="L303" s="13" t="n">
        <v>0.1</v>
      </c>
      <c r="M303" s="11">
        <f>IF(K303="","",ROUND(K303*(1-L303),2))</f>
        <v/>
      </c>
      <c r="N303" s="9" t="n"/>
      <c r="O303" s="14">
        <f>IF(OR(M303="",R303&lt;&gt;""),"",M303/G303-1)</f>
        <v/>
      </c>
      <c r="P303" s="11">
        <f>IF(OR(M303="",R303&lt;&gt;""),"",(G303-M303)*E303)</f>
        <v/>
      </c>
      <c r="Q303" s="9">
        <f>IF(R303&lt;&gt;"","—",IF(M303&lt;G303,"Mais barato",IF(M303&gt;G303,"Mais caro","Igual")))</f>
        <v/>
      </c>
      <c r="R303" s="10" t="n"/>
    </row>
    <row r="304">
      <c r="A304" s="9" t="n">
        <v>606671</v>
      </c>
      <c r="B304" s="10" t="inlineStr">
        <is>
          <t>FLORAX HYDRA FR 500ML SB NATURAL</t>
        </is>
      </c>
      <c r="C304" s="10" t="inlineStr">
        <is>
          <t>RX - OTC</t>
        </is>
      </c>
      <c r="D304" s="9" t="inlineStr">
        <is>
          <t>B</t>
        </is>
      </c>
      <c r="E304" s="9" t="n">
        <v>2</v>
      </c>
      <c r="F304" s="9" t="n">
        <v>1</v>
      </c>
      <c r="G304" s="11" t="n">
        <v>18.905</v>
      </c>
      <c r="H304" s="10" t="inlineStr">
        <is>
          <t>SC DISTRIBUICAO LTDA</t>
        </is>
      </c>
      <c r="I304" s="12" t="inlineStr">
        <is>
          <t>7896685303825</t>
        </is>
      </c>
      <c r="J304" s="10" t="inlineStr">
        <is>
          <t>FLORAX HYDRA 45 NATURAL 500ML</t>
        </is>
      </c>
      <c r="K304" s="11" t="n">
        <v>18.6</v>
      </c>
      <c r="L304" s="13" t="n">
        <v>0.1</v>
      </c>
      <c r="M304" s="11">
        <f>IF(K304="","",ROUND(K304*(1-L304),2))</f>
        <v/>
      </c>
      <c r="N304" s="9" t="n">
        <v>131</v>
      </c>
      <c r="O304" s="14">
        <f>IF(OR(M304="",R304&lt;&gt;""),"",M304/G304-1)</f>
        <v/>
      </c>
      <c r="P304" s="11">
        <f>IF(OR(M304="",R304&lt;&gt;""),"",(G304-M304)*E304)</f>
        <v/>
      </c>
      <c r="Q304" s="9">
        <f>IF(R304&lt;&gt;"","—",IF(M304&lt;G304,"Mais barato",IF(M304&gt;G304,"Mais caro","Igual")))</f>
        <v/>
      </c>
      <c r="R304" s="10" t="n"/>
    </row>
    <row r="305">
      <c r="A305" s="9" t="n">
        <v>430821</v>
      </c>
      <c r="B305" s="10" t="inlineStr">
        <is>
          <t>FLORAX SM SUS ORAL CX 10 FLAC X 5ML ADU SB FRAMBOESA</t>
        </is>
      </c>
      <c r="C305" s="10" t="inlineStr">
        <is>
          <t>RX - OTC</t>
        </is>
      </c>
      <c r="D305" s="9" t="inlineStr">
        <is>
          <t>A</t>
        </is>
      </c>
      <c r="E305" s="9" t="n">
        <v>15</v>
      </c>
      <c r="F305" s="9" t="n">
        <v>10</v>
      </c>
      <c r="G305" s="11" t="n">
        <v>553.2</v>
      </c>
      <c r="H305" s="10" t="inlineStr">
        <is>
          <t>SC DISTRIBUICAO LTDA</t>
        </is>
      </c>
      <c r="I305" s="12" t="inlineStr">
        <is>
          <t>7896685303559</t>
        </is>
      </c>
      <c r="J305" s="10" t="inlineStr">
        <is>
          <t>FLORAX SM FRAMBOESA ADULTO 5ML C/10 FLACONETES</t>
        </is>
      </c>
      <c r="K305" s="11" t="n">
        <v>58.57</v>
      </c>
      <c r="L305" s="13" t="n">
        <v>0.1</v>
      </c>
      <c r="M305" s="11">
        <f>IF(K305="","",ROUND(K305*(1-L305),2))</f>
        <v/>
      </c>
      <c r="N305" s="9" t="n">
        <v>1234</v>
      </c>
      <c r="O305" s="14">
        <f>IF(OR(M305="",R305&lt;&gt;""),"",M305/G305-1)</f>
        <v/>
      </c>
      <c r="P305" s="11">
        <f>IF(OR(M305="",R305&lt;&gt;""),"",(G305-M305)*E305)</f>
        <v/>
      </c>
      <c r="Q305" s="9">
        <f>IF(R305&lt;&gt;"","—",IF(M305&lt;G305,"Mais barato",IF(M305&gt;G305,"Mais caro","Igual")))</f>
        <v/>
      </c>
      <c r="R305" s="10" t="inlineStr">
        <is>
          <t>Conferir embalagem/EAN</t>
        </is>
      </c>
    </row>
    <row r="306">
      <c r="A306" s="9" t="n">
        <v>430921</v>
      </c>
      <c r="B306" s="10" t="inlineStr">
        <is>
          <t>FLORAX SM SUS ORAL CX 5 FLAC X 5ML ADU SB UVA</t>
        </is>
      </c>
      <c r="C306" s="10" t="inlineStr">
        <is>
          <t>RX - OTC</t>
        </is>
      </c>
      <c r="D306" s="9" t="inlineStr">
        <is>
          <t>A</t>
        </is>
      </c>
      <c r="E306" s="9" t="n">
        <v>1</v>
      </c>
      <c r="F306" s="9" t="n">
        <v>1</v>
      </c>
      <c r="G306" s="11" t="n">
        <v>35.7</v>
      </c>
      <c r="H306" s="10" t="inlineStr">
        <is>
          <t>SC DISTRIBUICAO LTDA</t>
        </is>
      </c>
      <c r="I306" s="12" t="inlineStr">
        <is>
          <t>7896685303290</t>
        </is>
      </c>
      <c r="J306" s="10" t="inlineStr">
        <is>
          <t>FLORAX SM UVA ADULTO 5ML 5 FLACONETES</t>
        </is>
      </c>
      <c r="K306" s="11" t="n">
        <v>37.8</v>
      </c>
      <c r="L306" s="13" t="n">
        <v>0.1</v>
      </c>
      <c r="M306" s="11">
        <f>IF(K306="","",ROUND(K306*(1-L306),2))</f>
        <v/>
      </c>
      <c r="N306" s="9" t="n">
        <v>867</v>
      </c>
      <c r="O306" s="14">
        <f>IF(OR(M306="",R306&lt;&gt;""),"",M306/G306-1)</f>
        <v/>
      </c>
      <c r="P306" s="11">
        <f>IF(OR(M306="",R306&lt;&gt;""),"",(G306-M306)*E306)</f>
        <v/>
      </c>
      <c r="Q306" s="9">
        <f>IF(R306&lt;&gt;"","—",IF(M306&lt;G306,"Mais barato",IF(M306&gt;G306,"Mais caro","Igual")))</f>
        <v/>
      </c>
      <c r="R306" s="10" t="n"/>
    </row>
    <row r="307">
      <c r="A307" s="9" t="n">
        <v>430861</v>
      </c>
      <c r="B307" s="10" t="inlineStr">
        <is>
          <t>FLORAX SM SUS ORAL CX 5 FLAC X 5ML PED SB UVA</t>
        </is>
      </c>
      <c r="C307" s="10" t="inlineStr">
        <is>
          <t>RX - OTC</t>
        </is>
      </c>
      <c r="D307" s="9" t="inlineStr">
        <is>
          <t>A</t>
        </is>
      </c>
      <c r="E307" s="9" t="n">
        <v>6</v>
      </c>
      <c r="F307" s="9" t="n">
        <v>1</v>
      </c>
      <c r="G307" s="11" t="n">
        <v>29.6675</v>
      </c>
      <c r="H307" s="10" t="inlineStr">
        <is>
          <t>SC DISTRIBUICAO LTDA</t>
        </is>
      </c>
      <c r="I307" s="12" t="inlineStr">
        <is>
          <t>7896685303283</t>
        </is>
      </c>
      <c r="J307" s="10" t="inlineStr">
        <is>
          <t>FLORAX SM PEDIATRICO 5ML 5 FLACONETES</t>
        </is>
      </c>
      <c r="K307" s="11" t="n">
        <v>29.2</v>
      </c>
      <c r="L307" s="13" t="n">
        <v>0.1</v>
      </c>
      <c r="M307" s="11">
        <f>IF(K307="","",ROUND(K307*(1-L307),2))</f>
        <v/>
      </c>
      <c r="N307" s="9" t="n">
        <v>1158</v>
      </c>
      <c r="O307" s="14">
        <f>IF(OR(M307="",R307&lt;&gt;""),"",M307/G307-1)</f>
        <v/>
      </c>
      <c r="P307" s="11">
        <f>IF(OR(M307="",R307&lt;&gt;""),"",(G307-M307)*E307)</f>
        <v/>
      </c>
      <c r="Q307" s="9">
        <f>IF(R307&lt;&gt;"","—",IF(M307&lt;G307,"Mais barato",IF(M307&gt;G307,"Mais caro","Igual")))</f>
        <v/>
      </c>
      <c r="R307" s="10" t="n"/>
    </row>
    <row r="308">
      <c r="A308" s="9" t="n">
        <v>430681</v>
      </c>
      <c r="B308" s="10" t="inlineStr">
        <is>
          <t>FLORAX SUS ORAL CX 5 FLAC X 5ML ADU</t>
        </is>
      </c>
      <c r="C308" s="10" t="inlineStr">
        <is>
          <t>RX - OTC</t>
        </is>
      </c>
      <c r="D308" s="9" t="inlineStr">
        <is>
          <t>A</t>
        </is>
      </c>
      <c r="E308" s="9" t="n">
        <v>8</v>
      </c>
      <c r="F308" s="9" t="n">
        <v>1</v>
      </c>
      <c r="G308" s="11" t="n">
        <v>35.7</v>
      </c>
      <c r="H308" s="10" t="inlineStr">
        <is>
          <t>SC DISTRIBUICAO LTDA</t>
        </is>
      </c>
      <c r="I308" s="12" t="inlineStr">
        <is>
          <t>7896685301654</t>
        </is>
      </c>
      <c r="J308" s="10" t="inlineStr">
        <is>
          <t>FLORAX SM FRAMBOESA ADULTO 5ML 5 FLACONETES</t>
        </is>
      </c>
      <c r="K308" s="11" t="n">
        <v>37.8</v>
      </c>
      <c r="L308" s="13" t="n">
        <v>0.1</v>
      </c>
      <c r="M308" s="11">
        <f>IF(K308="","",ROUND(K308*(1-L308),2))</f>
        <v/>
      </c>
      <c r="N308" s="9" t="n">
        <v>1594</v>
      </c>
      <c r="O308" s="14">
        <f>IF(OR(M308="",R308&lt;&gt;""),"",M308/G308-1)</f>
        <v/>
      </c>
      <c r="P308" s="11">
        <f>IF(OR(M308="",R308&lt;&gt;""),"",(G308-M308)*E308)</f>
        <v/>
      </c>
      <c r="Q308" s="9">
        <f>IF(R308&lt;&gt;"","—",IF(M308&lt;G308,"Mais barato",IF(M308&gt;G308,"Mais caro","Igual")))</f>
        <v/>
      </c>
      <c r="R308" s="10" t="n"/>
    </row>
    <row r="309">
      <c r="A309" s="9" t="n">
        <v>358601</v>
      </c>
      <c r="B309" s="10" t="inlineStr">
        <is>
          <t>FLORAX SUS ORAL CX 5 FLAC X 5ML PED</t>
        </is>
      </c>
      <c r="C309" s="10" t="inlineStr">
        <is>
          <t>RX - OTC</t>
        </is>
      </c>
      <c r="D309" s="9" t="inlineStr">
        <is>
          <t>A</t>
        </is>
      </c>
      <c r="E309" s="9" t="n">
        <v>1</v>
      </c>
      <c r="F309" s="9" t="n">
        <v>1</v>
      </c>
      <c r="G309" s="11" t="n">
        <v>27.57</v>
      </c>
      <c r="H309" s="10" t="inlineStr">
        <is>
          <t>SC DISTRIBUICAO LTDA</t>
        </is>
      </c>
      <c r="I309" s="12" t="inlineStr">
        <is>
          <t>7896685300183</t>
        </is>
      </c>
      <c r="J309" s="10" t="inlineStr">
        <is>
          <t>FLORAX PEDIATRICO SUSPENSAO 5ML 5 FLACONETES</t>
        </is>
      </c>
      <c r="K309" s="11" t="n">
        <v>29.19</v>
      </c>
      <c r="L309" s="13" t="n">
        <v>0.1</v>
      </c>
      <c r="M309" s="11">
        <f>IF(K309="","",ROUND(K309*(1-L309),2))</f>
        <v/>
      </c>
      <c r="N309" s="9" t="n">
        <v>1442</v>
      </c>
      <c r="O309" s="14">
        <f>IF(OR(M309="",R309&lt;&gt;""),"",M309/G309-1)</f>
        <v/>
      </c>
      <c r="P309" s="11">
        <f>IF(OR(M309="",R309&lt;&gt;""),"",(G309-M309)*E309)</f>
        <v/>
      </c>
      <c r="Q309" s="9">
        <f>IF(R309&lt;&gt;"","—",IF(M309&lt;G309,"Mais barato",IF(M309&gt;G309,"Mais caro","Igual")))</f>
        <v/>
      </c>
      <c r="R309" s="10" t="n"/>
    </row>
    <row r="310">
      <c r="A310" s="9" t="n">
        <v>610981</v>
      </c>
      <c r="B310" s="10" t="inlineStr">
        <is>
          <t>FLORIPA GOTAS FR GTS 8 ML</t>
        </is>
      </c>
      <c r="C310" s="10" t="inlineStr">
        <is>
          <t>RX - OTC</t>
        </is>
      </c>
      <c r="D310" s="9" t="inlineStr">
        <is>
          <t>A</t>
        </is>
      </c>
      <c r="E310" s="9" t="n">
        <v>1</v>
      </c>
      <c r="F310" s="9" t="n">
        <v>1</v>
      </c>
      <c r="G310" s="11" t="n">
        <v>124.65</v>
      </c>
      <c r="H310" s="10" t="inlineStr">
        <is>
          <t>SC DISTRIBUICAO LTDA</t>
        </is>
      </c>
      <c r="I310" s="12" t="inlineStr">
        <is>
          <t>7891317011369</t>
        </is>
      </c>
      <c r="J310" s="10" t="inlineStr">
        <is>
          <t>FLORIPA SOLUCAO GOTAS 8ML</t>
        </is>
      </c>
      <c r="K310" s="11" t="n">
        <v>109.6</v>
      </c>
      <c r="L310" s="13" t="n">
        <v>0</v>
      </c>
      <c r="M310" s="11">
        <f>IF(K310="","",ROUND(K310*(1-L310),2))</f>
        <v/>
      </c>
      <c r="N310" s="9" t="n">
        <v>467</v>
      </c>
      <c r="O310" s="14">
        <f>IF(OR(M310="",R310&lt;&gt;""),"",M310/G310-1)</f>
        <v/>
      </c>
      <c r="P310" s="11">
        <f>IF(OR(M310="",R310&lt;&gt;""),"",(G310-M310)*E310)</f>
        <v/>
      </c>
      <c r="Q310" s="9">
        <f>IF(R310&lt;&gt;"","—",IF(M310&lt;G310,"Mais barato",IF(M310&gt;G310,"Mais caro","Igual")))</f>
        <v/>
      </c>
      <c r="R310" s="10" t="n"/>
    </row>
    <row r="311">
      <c r="A311" s="9" t="n">
        <v>123901</v>
      </c>
      <c r="B311" s="10" t="inlineStr">
        <is>
          <t>FLUIBRON 7,5MG/ML SOL INAL ENV 10 FLAC X 2ML</t>
        </is>
      </c>
      <c r="C311" s="10" t="inlineStr">
        <is>
          <t>RX - OTC</t>
        </is>
      </c>
      <c r="D311" s="9" t="inlineStr">
        <is>
          <t>C</t>
        </is>
      </c>
      <c r="E311" s="9" t="n">
        <v>1</v>
      </c>
      <c r="F311" s="9" t="n">
        <v>1</v>
      </c>
      <c r="G311" s="11" t="n">
        <v>43.38</v>
      </c>
      <c r="H311" s="10" t="inlineStr">
        <is>
          <t>SC DISTRIBUICAO LTDA</t>
        </is>
      </c>
      <c r="I311" s="12" t="inlineStr">
        <is>
          <t>7896672201523</t>
        </is>
      </c>
      <c r="J311" s="10" t="inlineStr">
        <is>
          <t>FLUIBRON-A ESTERIL C/10 FLACONETES 2ML</t>
        </is>
      </c>
      <c r="K311" s="11" t="n">
        <v>47.98</v>
      </c>
      <c r="L311" s="13" t="n">
        <v>0.05</v>
      </c>
      <c r="M311" s="11">
        <f>IF(K311="","",ROUND(K311*(1-L311),2))</f>
        <v/>
      </c>
      <c r="N311" s="9" t="n">
        <v>57</v>
      </c>
      <c r="O311" s="14">
        <f>IF(OR(M311="",R311&lt;&gt;""),"",M311/G311-1)</f>
        <v/>
      </c>
      <c r="P311" s="11">
        <f>IF(OR(M311="",R311&lt;&gt;""),"",(G311-M311)*E311)</f>
        <v/>
      </c>
      <c r="Q311" s="9">
        <f>IF(R311&lt;&gt;"","—",IF(M311&lt;G311,"Mais barato",IF(M311&gt;G311,"Mais caro","Igual")))</f>
        <v/>
      </c>
      <c r="R311" s="10" t="n"/>
    </row>
    <row r="312">
      <c r="A312" s="9" t="n">
        <v>574201</v>
      </c>
      <c r="B312" s="10" t="inlineStr">
        <is>
          <t>FLUIBRON 7,5MG/ML SOL OR FR X 50ML</t>
        </is>
      </c>
      <c r="C312" s="10" t="inlineStr">
        <is>
          <t>RX - OTC</t>
        </is>
      </c>
      <c r="D312" s="9" t="inlineStr">
        <is>
          <t>A</t>
        </is>
      </c>
      <c r="E312" s="9" t="n">
        <v>1</v>
      </c>
      <c r="F312" s="9" t="n">
        <v>1</v>
      </c>
      <c r="G312" s="11" t="n">
        <v>20.07</v>
      </c>
      <c r="H312" s="10" t="inlineStr">
        <is>
          <t>SC DISTRIBUICAO LTDA</t>
        </is>
      </c>
      <c r="I312" s="12" t="inlineStr">
        <is>
          <t>7896672203954</t>
        </is>
      </c>
      <c r="J312" s="10" t="inlineStr">
        <is>
          <t>FLUIBRON 7,5MG SOLUCAO GOTAS 50ML</t>
        </is>
      </c>
      <c r="K312" s="11" t="n">
        <v>20.28</v>
      </c>
      <c r="L312" s="13" t="n">
        <v>0.05</v>
      </c>
      <c r="M312" s="11">
        <f>IF(K312="","",ROUND(K312*(1-L312),2))</f>
        <v/>
      </c>
      <c r="N312" s="9" t="n">
        <v>1001</v>
      </c>
      <c r="O312" s="14">
        <f>IF(OR(M312="",R312&lt;&gt;""),"",M312/G312-1)</f>
        <v/>
      </c>
      <c r="P312" s="11">
        <f>IF(OR(M312="",R312&lt;&gt;""),"",(G312-M312)*E312)</f>
        <v/>
      </c>
      <c r="Q312" s="9">
        <f>IF(R312&lt;&gt;"","—",IF(M312&lt;G312,"Mais barato",IF(M312&gt;G312,"Mais caro","Igual")))</f>
        <v/>
      </c>
      <c r="R312" s="10" t="n"/>
    </row>
    <row r="313">
      <c r="A313" s="9" t="n">
        <v>5981</v>
      </c>
      <c r="B313" s="10" t="inlineStr">
        <is>
          <t>FLUTINOL 1MG/ML SUS OFT FR 5ML</t>
        </is>
      </c>
      <c r="C313" s="10" t="inlineStr">
        <is>
          <t>RX</t>
        </is>
      </c>
      <c r="D313" s="9" t="inlineStr">
        <is>
          <t>A</t>
        </is>
      </c>
      <c r="E313" s="9" t="n">
        <v>5</v>
      </c>
      <c r="F313" s="9" t="n">
        <v>1</v>
      </c>
      <c r="G313" s="11" t="n">
        <v>34</v>
      </c>
      <c r="H313" s="10" t="inlineStr">
        <is>
          <t>SC DISTRIBUICAO LTDA</t>
        </is>
      </c>
      <c r="I313" s="12" t="inlineStr">
        <is>
          <t>7896676432916</t>
        </is>
      </c>
      <c r="J313" s="10" t="inlineStr">
        <is>
          <t>FLUTINOL 1MG SOLUCAO OFTALMICA GOTAS 5ML</t>
        </is>
      </c>
      <c r="K313" s="11" t="n">
        <v>32.72</v>
      </c>
      <c r="L313" s="13" t="n">
        <v>0.05</v>
      </c>
      <c r="M313" s="11">
        <f>IF(K313="","",ROUND(K313*(1-L313),2))</f>
        <v/>
      </c>
      <c r="N313" s="9" t="n">
        <v>1487</v>
      </c>
      <c r="O313" s="14">
        <f>IF(OR(M313="",R313&lt;&gt;""),"",M313/G313-1)</f>
        <v/>
      </c>
      <c r="P313" s="11">
        <f>IF(OR(M313="",R313&lt;&gt;""),"",(G313-M313)*E313)</f>
        <v/>
      </c>
      <c r="Q313" s="9">
        <f>IF(R313&lt;&gt;"","—",IF(M313&lt;G313,"Mais barato",IF(M313&gt;G313,"Mais caro","Igual")))</f>
        <v/>
      </c>
      <c r="R313" s="10" t="n"/>
    </row>
    <row r="314">
      <c r="A314" s="9" t="n">
        <v>636341</v>
      </c>
      <c r="B314" s="10" t="inlineStr">
        <is>
          <t>FORFIG 200MG CX 20 CAP</t>
        </is>
      </c>
      <c r="C314" s="10" t="inlineStr">
        <is>
          <t>RX</t>
        </is>
      </c>
      <c r="D314" s="9" t="inlineStr">
        <is>
          <t>A</t>
        </is>
      </c>
      <c r="E314" s="9" t="n">
        <v>1</v>
      </c>
      <c r="F314" s="9" t="n">
        <v>1</v>
      </c>
      <c r="G314" s="11" t="n">
        <v>115.42</v>
      </c>
      <c r="H314" s="10" t="inlineStr">
        <is>
          <t>SC DISTRIBUICAO LTDA</t>
        </is>
      </c>
      <c r="I314" s="12" t="inlineStr">
        <is>
          <t>7891317023331</t>
        </is>
      </c>
      <c r="J314" s="10" t="inlineStr">
        <is>
          <t>FORFIG 200MG C/20 CAPSULAS</t>
        </is>
      </c>
      <c r="K314" s="11" t="n">
        <v>114.65</v>
      </c>
      <c r="L314" s="13" t="n">
        <v>0.04</v>
      </c>
      <c r="M314" s="11">
        <f>IF(K314="","",ROUND(K314*(1-L314),2))</f>
        <v/>
      </c>
      <c r="N314" s="9" t="n">
        <v>2</v>
      </c>
      <c r="O314" s="14">
        <f>IF(OR(M314="",R314&lt;&gt;""),"",M314/G314-1)</f>
        <v/>
      </c>
      <c r="P314" s="11">
        <f>IF(OR(M314="",R314&lt;&gt;""),"",(G314-M314)*E314)</f>
        <v/>
      </c>
      <c r="Q314" s="9">
        <f>IF(R314&lt;&gt;"","—",IF(M314&lt;G314,"Mais barato",IF(M314&gt;G314,"Mais caro","Igual")))</f>
        <v/>
      </c>
      <c r="R314" s="10" t="n"/>
    </row>
    <row r="315">
      <c r="A315" s="9" t="n">
        <v>539681</v>
      </c>
      <c r="B315" s="10" t="inlineStr">
        <is>
          <t>FORTEVIRON CX 60 COMP</t>
        </is>
      </c>
      <c r="C315" s="10" t="inlineStr">
        <is>
          <t>RX</t>
        </is>
      </c>
      <c r="D315" s="9" t="inlineStr">
        <is>
          <t>A</t>
        </is>
      </c>
      <c r="E315" s="9" t="n">
        <v>2</v>
      </c>
      <c r="F315" s="9" t="n">
        <v>1</v>
      </c>
      <c r="G315" s="11" t="n">
        <v>51.0667</v>
      </c>
      <c r="H315" s="10" t="inlineStr">
        <is>
          <t>NAZARIA DISTRIBUIDORA DE PRODUTOS FARMACEUTICOS LTDA</t>
        </is>
      </c>
      <c r="I315" s="12" t="n"/>
      <c r="J315" s="10" t="n"/>
      <c r="K315" s="11" t="n"/>
      <c r="L315" s="13" t="n"/>
      <c r="M315" s="11">
        <f>IF(K315="","",ROUND(K315*(1-L315),2))</f>
        <v/>
      </c>
      <c r="N315" s="9" t="n"/>
      <c r="O315" s="14">
        <f>IF(OR(M315="",R315&lt;&gt;""),"",M315/G315-1)</f>
        <v/>
      </c>
      <c r="P315" s="11">
        <f>IF(OR(M315="",R315&lt;&gt;""),"",(G315-M315)*E315)</f>
        <v/>
      </c>
      <c r="Q315" s="9">
        <f>IF(R315&lt;&gt;"","—",IF(M315&lt;G315,"Mais barato",IF(M315&gt;G315,"Mais caro","Igual")))</f>
        <v/>
      </c>
      <c r="R315" s="10" t="inlineStr">
        <is>
          <t>Não encontrado</t>
        </is>
      </c>
    </row>
    <row r="316">
      <c r="A316" s="9" t="n">
        <v>638781</v>
      </c>
      <c r="B316" s="10" t="inlineStr">
        <is>
          <t>FORTMAGRI 1500MG 60 CPS (BERBERINA+FENO+MOROSIL+CROMO)</t>
        </is>
      </c>
      <c r="C316" s="10" t="inlineStr">
        <is>
          <t>RX</t>
        </is>
      </c>
      <c r="D316" s="9" t="inlineStr">
        <is>
          <t>C</t>
        </is>
      </c>
      <c r="E316" s="9" t="n">
        <v>1</v>
      </c>
      <c r="F316" s="9" t="n">
        <v>1</v>
      </c>
      <c r="G316" s="11" t="n">
        <v>79.90000000000001</v>
      </c>
      <c r="H316" s="10" t="inlineStr">
        <is>
          <t>MEDCENTRO TO DISTRIBUIDORA DE PRODUTOS FARMACEUTICOS LTDA PA</t>
        </is>
      </c>
      <c r="I316" s="12" t="n"/>
      <c r="J316" s="10" t="n"/>
      <c r="K316" s="11" t="n"/>
      <c r="L316" s="13" t="n"/>
      <c r="M316" s="11">
        <f>IF(K316="","",ROUND(K316*(1-L316),2))</f>
        <v/>
      </c>
      <c r="N316" s="9" t="n"/>
      <c r="O316" s="14">
        <f>IF(OR(M316="",R316&lt;&gt;""),"",M316/G316-1)</f>
        <v/>
      </c>
      <c r="P316" s="11">
        <f>IF(OR(M316="",R316&lt;&gt;""),"",(G316-M316)*E316)</f>
        <v/>
      </c>
      <c r="Q316" s="9">
        <f>IF(R316&lt;&gt;"","—",IF(M316&lt;G316,"Mais barato",IF(M316&gt;G316,"Mais caro","Igual")))</f>
        <v/>
      </c>
      <c r="R316" s="10" t="inlineStr">
        <is>
          <t>Não encontrado</t>
        </is>
      </c>
    </row>
    <row r="317">
      <c r="A317" s="9" t="n">
        <v>622611</v>
      </c>
      <c r="B317" s="10" t="inlineStr">
        <is>
          <t>FORXIGA 10MG CX 30 COMP</t>
        </is>
      </c>
      <c r="C317" s="10" t="inlineStr">
        <is>
          <t>RX - DIABETES</t>
        </is>
      </c>
      <c r="D317" s="9" t="inlineStr">
        <is>
          <t>C</t>
        </is>
      </c>
      <c r="E317" s="9" t="n">
        <v>2</v>
      </c>
      <c r="F317" s="9" t="n">
        <v>1</v>
      </c>
      <c r="G317" s="11" t="n">
        <v>164.855</v>
      </c>
      <c r="H317" s="10" t="inlineStr">
        <is>
          <t>SC DISTRIBUICAO LTDA</t>
        </is>
      </c>
      <c r="I317" s="12" t="n"/>
      <c r="J317" s="10" t="n"/>
      <c r="K317" s="11" t="n"/>
      <c r="L317" s="13" t="n"/>
      <c r="M317" s="11">
        <f>IF(K317="","",ROUND(K317*(1-L317),2))</f>
        <v/>
      </c>
      <c r="N317" s="9" t="n"/>
      <c r="O317" s="14">
        <f>IF(OR(M317="",R317&lt;&gt;""),"",M317/G317-1)</f>
        <v/>
      </c>
      <c r="P317" s="11">
        <f>IF(OR(M317="",R317&lt;&gt;""),"",(G317-M317)*E317)</f>
        <v/>
      </c>
      <c r="Q317" s="9">
        <f>IF(R317&lt;&gt;"","—",IF(M317&lt;G317,"Mais barato",IF(M317&gt;G317,"Mais caro","Igual")))</f>
        <v/>
      </c>
      <c r="R317" s="10" t="inlineStr">
        <is>
          <t>Não encontrado</t>
        </is>
      </c>
    </row>
    <row r="318">
      <c r="A318" s="9" t="n">
        <v>670571</v>
      </c>
      <c r="B318" s="10" t="inlineStr">
        <is>
          <t>GARDENAL 100MG C/20 COMP (C1)-REFERENCIA</t>
        </is>
      </c>
      <c r="C318" s="10" t="inlineStr">
        <is>
          <t>RX</t>
        </is>
      </c>
      <c r="D318" s="9" t="inlineStr">
        <is>
          <t>C</t>
        </is>
      </c>
      <c r="E318" s="9" t="n">
        <v>2</v>
      </c>
      <c r="F318" s="9" t="n">
        <v>1</v>
      </c>
      <c r="G318" s="11" t="n">
        <v>9.4094</v>
      </c>
      <c r="H318" s="10" t="inlineStr">
        <is>
          <t>SC DISTRIBUICAO LTDA</t>
        </is>
      </c>
      <c r="I318" s="12" t="inlineStr">
        <is>
          <t>7898216368037</t>
        </is>
      </c>
      <c r="J318" s="10" t="inlineStr">
        <is>
          <t>GARDENAL 100MG C/20 COMPRIMIDOS (B1)</t>
        </is>
      </c>
      <c r="K318" s="11" t="n">
        <v>10.2</v>
      </c>
      <c r="L318" s="13" t="n">
        <v>0.03</v>
      </c>
      <c r="M318" s="11">
        <f>IF(K318="","",ROUND(K318*(1-L318),2))</f>
        <v/>
      </c>
      <c r="N318" s="9" t="n">
        <v>745</v>
      </c>
      <c r="O318" s="14">
        <f>IF(OR(M318="",R318&lt;&gt;""),"",M318/G318-1)</f>
        <v/>
      </c>
      <c r="P318" s="11">
        <f>IF(OR(M318="",R318&lt;&gt;""),"",(G318-M318)*E318)</f>
        <v/>
      </c>
      <c r="Q318" s="9">
        <f>IF(R318&lt;&gt;"","—",IF(M318&lt;G318,"Mais barato",IF(M318&gt;G318,"Mais caro","Igual")))</f>
        <v/>
      </c>
      <c r="R318" s="10" t="n"/>
    </row>
    <row r="319">
      <c r="A319" s="9" t="n">
        <v>661961</v>
      </c>
      <c r="B319" s="10" t="inlineStr">
        <is>
          <t>GARNIER HID FACIAL 85G ANTIMANCHAS</t>
        </is>
      </c>
      <c r="C319" s="10" t="inlineStr">
        <is>
          <t>RX - DERMO</t>
        </is>
      </c>
      <c r="D319" s="9" t="inlineStr">
        <is>
          <t>A</t>
        </is>
      </c>
      <c r="E319" s="9" t="n">
        <v>6</v>
      </c>
      <c r="F319" s="9" t="n">
        <v>1</v>
      </c>
      <c r="G319" s="11" t="n">
        <v>27.93</v>
      </c>
      <c r="H319" s="10" t="inlineStr">
        <is>
          <t>SC DISTRIBUICAO LTDA</t>
        </is>
      </c>
      <c r="I319" s="12" t="n"/>
      <c r="J319" s="10" t="n"/>
      <c r="K319" s="11" t="n"/>
      <c r="L319" s="13" t="n"/>
      <c r="M319" s="11">
        <f>IF(K319="","",ROUND(K319*(1-L319),2))</f>
        <v/>
      </c>
      <c r="N319" s="9" t="n"/>
      <c r="O319" s="14">
        <f>IF(OR(M319="",R319&lt;&gt;""),"",M319/G319-1)</f>
        <v/>
      </c>
      <c r="P319" s="11">
        <f>IF(OR(M319="",R319&lt;&gt;""),"",(G319-M319)*E319)</f>
        <v/>
      </c>
      <c r="Q319" s="9">
        <f>IF(R319&lt;&gt;"","—",IF(M319&lt;G319,"Mais barato",IF(M319&gt;G319,"Mais caro","Igual")))</f>
        <v/>
      </c>
      <c r="R319" s="10" t="inlineStr">
        <is>
          <t>Sem preço</t>
        </is>
      </c>
    </row>
    <row r="320">
      <c r="A320" s="9" t="n">
        <v>665861</v>
      </c>
      <c r="B320" s="10" t="inlineStr">
        <is>
          <t>GARNIER HIDRAT FAC ANTISSINAIS 85G-DEMAIS PROD</t>
        </is>
      </c>
      <c r="C320" s="10" t="inlineStr">
        <is>
          <t>RX</t>
        </is>
      </c>
      <c r="D320" s="9" t="inlineStr">
        <is>
          <t>C</t>
        </is>
      </c>
      <c r="E320" s="9" t="n">
        <v>1</v>
      </c>
      <c r="F320" s="9" t="n">
        <v>1</v>
      </c>
      <c r="G320" s="11" t="n">
        <v>27.93</v>
      </c>
      <c r="H320" s="10" t="inlineStr">
        <is>
          <t>SC DISTRIBUICAO LTDA</t>
        </is>
      </c>
      <c r="I320" s="12" t="n"/>
      <c r="J320" s="10" t="n"/>
      <c r="K320" s="11" t="n"/>
      <c r="L320" s="13" t="n"/>
      <c r="M320" s="11">
        <f>IF(K320="","",ROUND(K320*(1-L320),2))</f>
        <v/>
      </c>
      <c r="N320" s="9" t="n"/>
      <c r="O320" s="14">
        <f>IF(OR(M320="",R320&lt;&gt;""),"",M320/G320-1)</f>
        <v/>
      </c>
      <c r="P320" s="11">
        <f>IF(OR(M320="",R320&lt;&gt;""),"",(G320-M320)*E320)</f>
        <v/>
      </c>
      <c r="Q320" s="9">
        <f>IF(R320&lt;&gt;"","—",IF(M320&lt;G320,"Mais barato",IF(M320&gt;G320,"Mais caro","Igual")))</f>
        <v/>
      </c>
      <c r="R320" s="10" t="inlineStr">
        <is>
          <t>Sem preço</t>
        </is>
      </c>
    </row>
    <row r="321">
      <c r="A321" s="9" t="n">
        <v>578561</v>
      </c>
      <c r="B321" s="10" t="inlineStr">
        <is>
          <t>GASTROGEL FRESH FRESH SUSP ORAL FR 240ML</t>
        </is>
      </c>
      <c r="C321" s="10" t="inlineStr">
        <is>
          <t>RX - OTC</t>
        </is>
      </c>
      <c r="D321" s="9" t="inlineStr">
        <is>
          <t>B</t>
        </is>
      </c>
      <c r="E321" s="9" t="n">
        <v>1</v>
      </c>
      <c r="F321" s="9" t="n">
        <v>1</v>
      </c>
      <c r="G321" s="11" t="n">
        <v>21.84</v>
      </c>
      <c r="H321" s="10" t="inlineStr">
        <is>
          <t>MEDCENTRO TO DISTRIBUIDORA DE PRODUTOS FARMACEUTICOS LTDA PA</t>
        </is>
      </c>
      <c r="I321" s="12" t="n"/>
      <c r="J321" s="10" t="n"/>
      <c r="K321" s="11" t="n"/>
      <c r="L321" s="13" t="n"/>
      <c r="M321" s="11">
        <f>IF(K321="","",ROUND(K321*(1-L321),2))</f>
        <v/>
      </c>
      <c r="N321" s="9" t="n"/>
      <c r="O321" s="14">
        <f>IF(OR(M321="",R321&lt;&gt;""),"",M321/G321-1)</f>
        <v/>
      </c>
      <c r="P321" s="11">
        <f>IF(OR(M321="",R321&lt;&gt;""),"",(G321-M321)*E321)</f>
        <v/>
      </c>
      <c r="Q321" s="9">
        <f>IF(R321&lt;&gt;"","—",IF(M321&lt;G321,"Mais barato",IF(M321&gt;G321,"Mais caro","Igual")))</f>
        <v/>
      </c>
      <c r="R321" s="10" t="inlineStr">
        <is>
          <t>Não encontrado</t>
        </is>
      </c>
    </row>
    <row r="322">
      <c r="A322" s="9" t="n">
        <v>578081</v>
      </c>
      <c r="B322" s="10" t="inlineStr">
        <is>
          <t>GASTROL 5G LARANJA UN (CARTELADO)</t>
        </is>
      </c>
      <c r="C322" s="10" t="inlineStr">
        <is>
          <t>RX</t>
        </is>
      </c>
      <c r="D322" s="9" t="inlineStr">
        <is>
          <t>A</t>
        </is>
      </c>
      <c r="E322" s="9" t="n">
        <v>1</v>
      </c>
      <c r="F322" s="9" t="n">
        <v>25</v>
      </c>
      <c r="G322" s="11" t="n">
        <v>68.75</v>
      </c>
      <c r="H322" s="10" t="inlineStr">
        <is>
          <t>SC DISTRIBUICAO LTDA</t>
        </is>
      </c>
      <c r="I322" s="12" t="inlineStr">
        <is>
          <t>7896094918658</t>
        </is>
      </c>
      <c r="J322" s="10" t="inlineStr">
        <is>
          <t>GASTROL EFERVESCENTE LARANJA C/25 ENVELOPES 5G</t>
        </is>
      </c>
      <c r="K322" s="11" t="n">
        <v>75.11</v>
      </c>
      <c r="L322" s="13" t="n">
        <v>0.035</v>
      </c>
      <c r="M322" s="11">
        <f>IF(K322="","",ROUND(K322*(1-L322),2))</f>
        <v/>
      </c>
      <c r="N322" s="9" t="n">
        <v>120</v>
      </c>
      <c r="O322" s="14">
        <f>IF(OR(M322="",R322&lt;&gt;""),"",M322/G322-1)</f>
        <v/>
      </c>
      <c r="P322" s="11">
        <f>IF(OR(M322="",R322&lt;&gt;""),"",(G322-M322)*E322)</f>
        <v/>
      </c>
      <c r="Q322" s="9">
        <f>IF(R322&lt;&gt;"","—",IF(M322&lt;G322,"Mais barato",IF(M322&gt;G322,"Mais caro","Igual")))</f>
        <v/>
      </c>
      <c r="R322" s="10" t="n"/>
    </row>
    <row r="323">
      <c r="A323" s="9" t="n">
        <v>78981</v>
      </c>
      <c r="B323" s="10" t="inlineStr">
        <is>
          <t>GASTROL PAST CARTELA</t>
        </is>
      </c>
      <c r="C323" s="10" t="inlineStr">
        <is>
          <t>RX - OTC</t>
        </is>
      </c>
      <c r="D323" s="9" t="inlineStr">
        <is>
          <t>A</t>
        </is>
      </c>
      <c r="E323" s="9" t="n">
        <v>1</v>
      </c>
      <c r="F323" s="9" t="n">
        <v>20</v>
      </c>
      <c r="G323" s="11" t="n">
        <v>159.82</v>
      </c>
      <c r="H323" s="10" t="inlineStr">
        <is>
          <t>SC DISTRIBUICAO LTDA</t>
        </is>
      </c>
      <c r="I323" s="12" t="inlineStr">
        <is>
          <t>7896622302805</t>
        </is>
      </c>
      <c r="J323" s="10" t="inlineStr">
        <is>
          <t>GASTROL PASTILHAS C/20X10</t>
        </is>
      </c>
      <c r="K323" s="11" t="n">
        <v>174.6</v>
      </c>
      <c r="L323" s="13" t="n">
        <v>0.035</v>
      </c>
      <c r="M323" s="11">
        <f>IF(K323="","",ROUND(K323*(1-L323),2))</f>
        <v/>
      </c>
      <c r="N323" s="9" t="n">
        <v>118</v>
      </c>
      <c r="O323" s="14">
        <f>IF(OR(M323="",R323&lt;&gt;""),"",M323/G323-1)</f>
        <v/>
      </c>
      <c r="P323" s="11">
        <f>IF(OR(M323="",R323&lt;&gt;""),"",(G323-M323)*E323)</f>
        <v/>
      </c>
      <c r="Q323" s="9">
        <f>IF(R323&lt;&gt;"","—",IF(M323&lt;G323,"Mais barato",IF(M323&gt;G323,"Mais caro","Igual")))</f>
        <v/>
      </c>
      <c r="R323" s="10" t="n"/>
    </row>
    <row r="324">
      <c r="A324" s="9" t="n">
        <v>618661</v>
      </c>
      <c r="B324" s="10" t="inlineStr">
        <is>
          <t>GASTROL PO EFER CT 6 X ABACAXI</t>
        </is>
      </c>
      <c r="C324" s="10" t="inlineStr">
        <is>
          <t>RX - OTC</t>
        </is>
      </c>
      <c r="D324" s="9" t="inlineStr">
        <is>
          <t>C</t>
        </is>
      </c>
      <c r="E324" s="9" t="n">
        <v>1</v>
      </c>
      <c r="F324" s="9" t="n">
        <v>6</v>
      </c>
      <c r="G324" s="11" t="n">
        <v>13.82</v>
      </c>
      <c r="H324" s="10" t="inlineStr">
        <is>
          <t>SC DISTRIBUICAO LTDA</t>
        </is>
      </c>
      <c r="I324" s="12" t="inlineStr">
        <is>
          <t>7896094928459</t>
        </is>
      </c>
      <c r="J324" s="10" t="inlineStr">
        <is>
          <t>GASTROL 185MG ABACAXI CAIXA 6 ENVELOPES 5G CADA PO EFERVESCENTE EMBALAGEM ECONOMICA</t>
        </is>
      </c>
      <c r="K324" s="11" t="n">
        <v>13.82</v>
      </c>
      <c r="L324" s="13" t="n">
        <v>0.035</v>
      </c>
      <c r="M324" s="11">
        <f>IF(K324="","",ROUND(K324*(1-L324),2))</f>
        <v/>
      </c>
      <c r="N324" s="9" t="n">
        <v>238</v>
      </c>
      <c r="O324" s="14">
        <f>IF(OR(M324="",R324&lt;&gt;""),"",M324/G324-1)</f>
        <v/>
      </c>
      <c r="P324" s="11">
        <f>IF(OR(M324="",R324&lt;&gt;""),"",(G324-M324)*E324)</f>
        <v/>
      </c>
      <c r="Q324" s="9">
        <f>IF(R324&lt;&gt;"","—",IF(M324&lt;G324,"Mais barato",IF(M324&gt;G324,"Mais caro","Igual")))</f>
        <v/>
      </c>
      <c r="R324" s="10" t="n"/>
    </row>
    <row r="325">
      <c r="A325" s="9" t="n">
        <v>80841</v>
      </c>
      <c r="B325" s="10" t="inlineStr">
        <is>
          <t>GASTROL PO ENFERV SACHE UNITARIO 5G SB ABACAXI</t>
        </is>
      </c>
      <c r="C325" s="10" t="inlineStr">
        <is>
          <t>RX - OTC</t>
        </is>
      </c>
      <c r="D325" s="9" t="inlineStr">
        <is>
          <t>C</t>
        </is>
      </c>
      <c r="E325" s="9" t="n">
        <v>1</v>
      </c>
      <c r="F325" s="9" t="n">
        <v>25</v>
      </c>
      <c r="G325" s="11" t="n">
        <v>72.38</v>
      </c>
      <c r="H325" s="10" t="inlineStr">
        <is>
          <t>SC DISTRIBUICAO LTDA</t>
        </is>
      </c>
      <c r="I325" s="12" t="n"/>
      <c r="J325" s="10" t="n"/>
      <c r="K325" s="11" t="n"/>
      <c r="L325" s="13" t="n"/>
      <c r="M325" s="11">
        <f>IF(K325="","",ROUND(K325*(1-L325),2))</f>
        <v/>
      </c>
      <c r="N325" s="9" t="n"/>
      <c r="O325" s="14">
        <f>IF(OR(M325="",R325&lt;&gt;""),"",M325/G325-1)</f>
        <v/>
      </c>
      <c r="P325" s="11">
        <f>IF(OR(M325="",R325&lt;&gt;""),"",(G325-M325)*E325)</f>
        <v/>
      </c>
      <c r="Q325" s="9">
        <f>IF(R325&lt;&gt;"","—",IF(M325&lt;G325,"Mais barato",IF(M325&gt;G325,"Mais caro","Igual")))</f>
        <v/>
      </c>
      <c r="R325" s="10" t="inlineStr">
        <is>
          <t>Não encontrado</t>
        </is>
      </c>
    </row>
    <row r="326">
      <c r="A326" s="9" t="n">
        <v>80461</v>
      </c>
      <c r="B326" s="10" t="inlineStr">
        <is>
          <t>GASTROL SUS FR 250ML</t>
        </is>
      </c>
      <c r="C326" s="10" t="inlineStr">
        <is>
          <t>RX - OTC</t>
        </is>
      </c>
      <c r="D326" s="9" t="inlineStr">
        <is>
          <t>C</t>
        </is>
      </c>
      <c r="E326" s="9" t="n">
        <v>1</v>
      </c>
      <c r="F326" s="9" t="n">
        <v>1</v>
      </c>
      <c r="G326" s="11" t="n">
        <v>27.12</v>
      </c>
      <c r="H326" s="10" t="inlineStr">
        <is>
          <t>SC DISTRIBUICAO LTDA</t>
        </is>
      </c>
      <c r="I326" s="12" t="inlineStr">
        <is>
          <t>7896622300450</t>
        </is>
      </c>
      <c r="J326" s="10" t="inlineStr">
        <is>
          <t>GASTROL LIQUIDO 250ML</t>
        </is>
      </c>
      <c r="K326" s="11" t="n">
        <v>27.67</v>
      </c>
      <c r="L326" s="13" t="n">
        <v>0.035</v>
      </c>
      <c r="M326" s="11">
        <f>IF(K326="","",ROUND(K326*(1-L326),2))</f>
        <v/>
      </c>
      <c r="N326" s="9" t="n">
        <v>259</v>
      </c>
      <c r="O326" s="14">
        <f>IF(OR(M326="",R326&lt;&gt;""),"",M326/G326-1)</f>
        <v/>
      </c>
      <c r="P326" s="11">
        <f>IF(OR(M326="",R326&lt;&gt;""),"",(G326-M326)*E326)</f>
        <v/>
      </c>
      <c r="Q326" s="9">
        <f>IF(R326&lt;&gt;"","—",IF(M326&lt;G326,"Mais barato",IF(M326&gt;G326,"Mais caro","Igual")))</f>
        <v/>
      </c>
      <c r="R326" s="10" t="n"/>
    </row>
    <row r="327">
      <c r="A327" s="9" t="n">
        <v>431201</v>
      </c>
      <c r="B327" s="10" t="inlineStr">
        <is>
          <t>GELOL 0,0444ML POM DERM BG 20G</t>
        </is>
      </c>
      <c r="C327" s="10" t="inlineStr">
        <is>
          <t>RX - OTC</t>
        </is>
      </c>
      <c r="D327" s="9" t="inlineStr">
        <is>
          <t>A</t>
        </is>
      </c>
      <c r="E327" s="9" t="n">
        <v>1</v>
      </c>
      <c r="F327" s="9" t="n">
        <v>1</v>
      </c>
      <c r="G327" s="11" t="n">
        <v>19.1</v>
      </c>
      <c r="H327" s="10" t="inlineStr">
        <is>
          <t>SB COMERCIO LTDA 0179-15</t>
        </is>
      </c>
      <c r="I327" s="12" t="inlineStr">
        <is>
          <t>7896094901582</t>
        </is>
      </c>
      <c r="J327" s="10" t="inlineStr">
        <is>
          <t>POMADA GELOL 20G</t>
        </is>
      </c>
      <c r="K327" s="11" t="n">
        <v>21.68</v>
      </c>
      <c r="L327" s="13" t="n">
        <v>0.035</v>
      </c>
      <c r="M327" s="11">
        <f>IF(K327="","",ROUND(K327*(1-L327),2))</f>
        <v/>
      </c>
      <c r="N327" s="9" t="n">
        <v>173</v>
      </c>
      <c r="O327" s="14">
        <f>IF(OR(M327="",R327&lt;&gt;""),"",M327/G327-1)</f>
        <v/>
      </c>
      <c r="P327" s="11">
        <f>IF(OR(M327="",R327&lt;&gt;""),"",(G327-M327)*E327)</f>
        <v/>
      </c>
      <c r="Q327" s="9">
        <f>IF(R327&lt;&gt;"","—",IF(M327&lt;G327,"Mais barato",IF(M327&gt;G327,"Mais caro","Igual")))</f>
        <v/>
      </c>
      <c r="R327" s="10" t="n"/>
    </row>
    <row r="328">
      <c r="A328" s="9" t="n">
        <v>635741</v>
      </c>
      <c r="B328" s="10" t="inlineStr">
        <is>
          <t>GINO CANESTEN 1 500MG 1COMP+APL-REFERENCIA</t>
        </is>
      </c>
      <c r="C328" s="10" t="inlineStr">
        <is>
          <t>RX - OTC</t>
        </is>
      </c>
      <c r="D328" s="9" t="inlineStr">
        <is>
          <t>A</t>
        </is>
      </c>
      <c r="E328" s="9" t="n">
        <v>1</v>
      </c>
      <c r="F328" s="9" t="n">
        <v>1</v>
      </c>
      <c r="G328" s="11" t="n">
        <v>78.02</v>
      </c>
      <c r="H328" s="10" t="inlineStr">
        <is>
          <t>SC DISTRIBUICAO LTDA</t>
        </is>
      </c>
      <c r="I328" s="12" t="inlineStr">
        <is>
          <t>7891106916059</t>
        </is>
      </c>
      <c r="J328" s="10" t="inlineStr">
        <is>
          <t>GINO CANESTEN 500MG 1COMP VAGINAL + 1 APLICADOR</t>
        </is>
      </c>
      <c r="K328" s="11" t="n">
        <v>80.51000000000001</v>
      </c>
      <c r="L328" s="13" t="n">
        <v>0.03</v>
      </c>
      <c r="M328" s="11">
        <f>IF(K328="","",ROUND(K328*(1-L328),2))</f>
        <v/>
      </c>
      <c r="N328" s="9" t="n">
        <v>476</v>
      </c>
      <c r="O328" s="14">
        <f>IF(OR(M328="",R328&lt;&gt;""),"",M328/G328-1)</f>
        <v/>
      </c>
      <c r="P328" s="11">
        <f>IF(OR(M328="",R328&lt;&gt;""),"",(G328-M328)*E328)</f>
        <v/>
      </c>
      <c r="Q328" s="9">
        <f>IF(R328&lt;&gt;"","—",IF(M328&lt;G328,"Mais barato",IF(M328&gt;G328,"Mais caro","Igual")))</f>
        <v/>
      </c>
      <c r="R328" s="10" t="n"/>
    </row>
    <row r="329">
      <c r="A329" s="9" t="n">
        <v>189081</v>
      </c>
      <c r="B329" s="10" t="inlineStr">
        <is>
          <t>GINO CANESTEN 10MG/G CREME VAG BG 35G+6APLIC</t>
        </is>
      </c>
      <c r="C329" s="10" t="inlineStr">
        <is>
          <t>RX - OTC</t>
        </is>
      </c>
      <c r="D329" s="9" t="inlineStr">
        <is>
          <t>B</t>
        </is>
      </c>
      <c r="E329" s="9" t="n">
        <v>1</v>
      </c>
      <c r="F329" s="9" t="n">
        <v>1</v>
      </c>
      <c r="G329" s="11" t="n">
        <v>65.25</v>
      </c>
      <c r="H329" s="10" t="inlineStr">
        <is>
          <t>SC DISTRIBUICAO LTDA</t>
        </is>
      </c>
      <c r="I329" s="12" t="inlineStr">
        <is>
          <t>7891106001762</t>
        </is>
      </c>
      <c r="J329" s="10" t="inlineStr">
        <is>
          <t>GINO CANESTEN CREME 50MG/5G 35G + 6 APLICADORES</t>
        </is>
      </c>
      <c r="K329" s="11" t="n">
        <v>67.34</v>
      </c>
      <c r="L329" s="13" t="n">
        <v>0.03</v>
      </c>
      <c r="M329" s="11">
        <f>IF(K329="","",ROUND(K329*(1-L329),2))</f>
        <v/>
      </c>
      <c r="N329" s="9" t="n">
        <v>559</v>
      </c>
      <c r="O329" s="14">
        <f>IF(OR(M329="",R329&lt;&gt;""),"",M329/G329-1)</f>
        <v/>
      </c>
      <c r="P329" s="11">
        <f>IF(OR(M329="",R329&lt;&gt;""),"",(G329-M329)*E329)</f>
        <v/>
      </c>
      <c r="Q329" s="9">
        <f>IF(R329&lt;&gt;"","—",IF(M329&lt;G329,"Mais barato",IF(M329&gt;G329,"Mais caro","Igual")))</f>
        <v/>
      </c>
      <c r="R329" s="10" t="n"/>
    </row>
    <row r="330">
      <c r="A330" s="9" t="n">
        <v>189141</v>
      </c>
      <c r="B330" s="10" t="inlineStr">
        <is>
          <t>GINO CANESTEN 20 MG/G CREME VAG BG 20G+3APLIC</t>
        </is>
      </c>
      <c r="C330" s="10" t="inlineStr">
        <is>
          <t>RX - OTC</t>
        </is>
      </c>
      <c r="D330" s="9" t="inlineStr">
        <is>
          <t>A</t>
        </is>
      </c>
      <c r="E330" s="9" t="n">
        <v>2</v>
      </c>
      <c r="F330" s="9" t="n">
        <v>1</v>
      </c>
      <c r="G330" s="11" t="n">
        <v>75.28</v>
      </c>
      <c r="H330" s="10" t="inlineStr">
        <is>
          <t>SC DISTRIBUICAO LTDA</t>
        </is>
      </c>
      <c r="I330" s="12" t="inlineStr">
        <is>
          <t>7891106003230</t>
        </is>
      </c>
      <c r="J330" s="10" t="inlineStr">
        <is>
          <t>GINO CANESTEN 100MG/5G 20G + 3 APLICADORES</t>
        </is>
      </c>
      <c r="K330" s="11" t="n">
        <v>73.2</v>
      </c>
      <c r="L330" s="13" t="n">
        <v>0.03</v>
      </c>
      <c r="M330" s="11">
        <f>IF(K330="","",ROUND(K330*(1-L330),2))</f>
        <v/>
      </c>
      <c r="N330" s="9" t="n">
        <v>719</v>
      </c>
      <c r="O330" s="14">
        <f>IF(OR(M330="",R330&lt;&gt;""),"",M330/G330-1)</f>
        <v/>
      </c>
      <c r="P330" s="11">
        <f>IF(OR(M330="",R330&lt;&gt;""),"",(G330-M330)*E330)</f>
        <v/>
      </c>
      <c r="Q330" s="9">
        <f>IF(R330&lt;&gt;"","—",IF(M330&lt;G330,"Mais barato",IF(M330&gt;G330,"Mais caro","Igual")))</f>
        <v/>
      </c>
      <c r="R330" s="10" t="n"/>
    </row>
    <row r="331">
      <c r="A331" s="9" t="n">
        <v>672591</v>
      </c>
      <c r="B331" s="10" t="inlineStr">
        <is>
          <t>GINO CANESTEN TRI CUIDADO 200ML-DEMAIS PROD</t>
        </is>
      </c>
      <c r="C331" s="10" t="inlineStr">
        <is>
          <t>RX</t>
        </is>
      </c>
      <c r="D331" s="9" t="inlineStr">
        <is>
          <t>C</t>
        </is>
      </c>
      <c r="E331" s="9" t="n">
        <v>1</v>
      </c>
      <c r="F331" s="9" t="n">
        <v>1</v>
      </c>
      <c r="G331" s="11" t="n">
        <v>18.03</v>
      </c>
      <c r="H331" s="10" t="inlineStr">
        <is>
          <t>SC DISTRIBUICAO LTDA</t>
        </is>
      </c>
      <c r="I331" s="12" t="n"/>
      <c r="J331" s="10" t="n"/>
      <c r="K331" s="11" t="n"/>
      <c r="L331" s="13" t="n"/>
      <c r="M331" s="11">
        <f>IF(K331="","",ROUND(K331*(1-L331),2))</f>
        <v/>
      </c>
      <c r="N331" s="9" t="n"/>
      <c r="O331" s="14">
        <f>IF(OR(M331="",R331&lt;&gt;""),"",M331/G331-1)</f>
        <v/>
      </c>
      <c r="P331" s="11">
        <f>IF(OR(M331="",R331&lt;&gt;""),"",(G331-M331)*E331)</f>
        <v/>
      </c>
      <c r="Q331" s="9">
        <f>IF(R331&lt;&gt;"","—",IF(M331&lt;G331,"Mais barato",IF(M331&gt;G331,"Mais caro","Igual")))</f>
        <v/>
      </c>
      <c r="R331" s="10" t="inlineStr">
        <is>
          <t>Sem preço</t>
        </is>
      </c>
    </row>
    <row r="332">
      <c r="A332" s="9" t="n">
        <v>458281</v>
      </c>
      <c r="B332" s="10" t="inlineStr">
        <is>
          <t>GLAUB MD 1MG/ML FR 5ML</t>
        </is>
      </c>
      <c r="C332" s="10" t="inlineStr">
        <is>
          <t>RX</t>
        </is>
      </c>
      <c r="D332" s="9" t="inlineStr">
        <is>
          <t>B</t>
        </is>
      </c>
      <c r="E332" s="9" t="n">
        <v>2</v>
      </c>
      <c r="F332" s="9" t="n">
        <v>1</v>
      </c>
      <c r="G332" s="11" t="n">
        <v>15.3</v>
      </c>
      <c r="H332" s="10" t="inlineStr">
        <is>
          <t>SC DISTRIBUICAO LTDA</t>
        </is>
      </c>
      <c r="I332" s="12" t="inlineStr">
        <is>
          <t>7896006208266</t>
        </is>
      </c>
      <c r="J332" s="10" t="inlineStr">
        <is>
          <t>GLAUB MD SOLUCAO OFTAL 1MG 5ML</t>
        </is>
      </c>
      <c r="K332" s="11" t="n">
        <v>28.18</v>
      </c>
      <c r="L332" s="13" t="n">
        <v>0.04</v>
      </c>
      <c r="M332" s="11">
        <f>IF(K332="","",ROUND(K332*(1-L332),2))</f>
        <v/>
      </c>
      <c r="N332" s="9" t="n">
        <v>329</v>
      </c>
      <c r="O332" s="14">
        <f>IF(OR(M332="",R332&lt;&gt;""),"",M332/G332-1)</f>
        <v/>
      </c>
      <c r="P332" s="11">
        <f>IF(OR(M332="",R332&lt;&gt;""),"",(G332-M332)*E332)</f>
        <v/>
      </c>
      <c r="Q332" s="9">
        <f>IF(R332&lt;&gt;"","—",IF(M332&lt;G332,"Mais barato",IF(M332&gt;G332,"Mais caro","Igual")))</f>
        <v/>
      </c>
      <c r="R332" s="10" t="n"/>
    </row>
    <row r="333">
      <c r="A333" s="9" t="n">
        <v>328861</v>
      </c>
      <c r="B333" s="10" t="inlineStr">
        <is>
          <t>GLAUCOTRAT 0,50% SOL FR X 5ML</t>
        </is>
      </c>
      <c r="C333" s="10" t="inlineStr">
        <is>
          <t>RX</t>
        </is>
      </c>
      <c r="D333" s="9" t="inlineStr">
        <is>
          <t>A</t>
        </is>
      </c>
      <c r="E333" s="9" t="n">
        <v>3</v>
      </c>
      <c r="F333" s="9" t="n">
        <v>1</v>
      </c>
      <c r="G333" s="11" t="n">
        <v>11.2457</v>
      </c>
      <c r="H333" s="10" t="inlineStr">
        <is>
          <t>SC DISTRIBUICAO LTDA</t>
        </is>
      </c>
      <c r="I333" s="12" t="inlineStr">
        <is>
          <t>7896006290162</t>
        </is>
      </c>
      <c r="J333" s="10" t="inlineStr">
        <is>
          <t>GLAUCOTRAT SOLUCAO OFTALMICA 0.5% 5ML</t>
        </is>
      </c>
      <c r="K333" s="11" t="n">
        <v>12.27</v>
      </c>
      <c r="L333" s="13" t="n">
        <v>0.04</v>
      </c>
      <c r="M333" s="11">
        <f>IF(K333="","",ROUND(K333*(1-L333),2))</f>
        <v/>
      </c>
      <c r="N333" s="9" t="n">
        <v>888</v>
      </c>
      <c r="O333" s="14">
        <f>IF(OR(M333="",R333&lt;&gt;""),"",M333/G333-1)</f>
        <v/>
      </c>
      <c r="P333" s="11">
        <f>IF(OR(M333="",R333&lt;&gt;""),"",(G333-M333)*E333)</f>
        <v/>
      </c>
      <c r="Q333" s="9">
        <f>IF(R333&lt;&gt;"","—",IF(M333&lt;G333,"Mais barato",IF(M333&gt;G333,"Mais caro","Igual")))</f>
        <v/>
      </c>
      <c r="R333" s="10" t="n"/>
    </row>
    <row r="334">
      <c r="A334" s="9" t="n">
        <v>156321</v>
      </c>
      <c r="B334" s="10" t="inlineStr">
        <is>
          <t>GLIFAGE XR 850MG CX 30 COMP LIB PROL</t>
        </is>
      </c>
      <c r="C334" s="10" t="inlineStr">
        <is>
          <t>RX - DIABETES</t>
        </is>
      </c>
      <c r="D334" s="9" t="inlineStr">
        <is>
          <t>A</t>
        </is>
      </c>
      <c r="E334" s="9" t="n">
        <v>5</v>
      </c>
      <c r="F334" s="9" t="n">
        <v>1</v>
      </c>
      <c r="G334" s="11" t="n">
        <v>29.449</v>
      </c>
      <c r="H334" s="10" t="inlineStr">
        <is>
          <t>SC DISTRIBUICAO LTDA</t>
        </is>
      </c>
      <c r="I334" s="12" t="inlineStr">
        <is>
          <t>7891721201530</t>
        </is>
      </c>
      <c r="J334" s="10" t="inlineStr">
        <is>
          <t>GLIFAGE XR 850MG C/30 COMPRIMIDOS LIBERACAO PROLONGADA</t>
        </is>
      </c>
      <c r="K334" s="11" t="n">
        <v>30.57</v>
      </c>
      <c r="L334" s="13" t="n">
        <v>0.04</v>
      </c>
      <c r="M334" s="11">
        <f>IF(K334="","",ROUND(K334*(1-L334),2))</f>
        <v/>
      </c>
      <c r="N334" s="9" t="n">
        <v>7225</v>
      </c>
      <c r="O334" s="14">
        <f>IF(OR(M334="",R334&lt;&gt;""),"",M334/G334-1)</f>
        <v/>
      </c>
      <c r="P334" s="11">
        <f>IF(OR(M334="",R334&lt;&gt;""),"",(G334-M334)*E334)</f>
        <v/>
      </c>
      <c r="Q334" s="9">
        <f>IF(R334&lt;&gt;"","—",IF(M334&lt;G334,"Mais barato",IF(M334&gt;G334,"Mais caro","Igual")))</f>
        <v/>
      </c>
      <c r="R334" s="10" t="n"/>
    </row>
    <row r="335">
      <c r="A335" s="9" t="n">
        <v>595291</v>
      </c>
      <c r="B335" s="10" t="inlineStr">
        <is>
          <t>GROW CALCIO 150ML + SER DOS</t>
        </is>
      </c>
      <c r="C335" s="10" t="inlineStr">
        <is>
          <t>RX</t>
        </is>
      </c>
      <c r="D335" s="9" t="inlineStr">
        <is>
          <t>C</t>
        </is>
      </c>
      <c r="E335" s="9" t="n">
        <v>1</v>
      </c>
      <c r="F335" s="9" t="n">
        <v>1</v>
      </c>
      <c r="G335" s="11" t="n">
        <v>59.83</v>
      </c>
      <c r="H335" s="10" t="inlineStr">
        <is>
          <t>TAPAJOS COMERCIO DE MEDICAMENTOS LTDA</t>
        </is>
      </c>
      <c r="I335" s="12" t="n"/>
      <c r="J335" s="10" t="n"/>
      <c r="K335" s="11" t="n"/>
      <c r="L335" s="13" t="n"/>
      <c r="M335" s="11">
        <f>IF(K335="","",ROUND(K335*(1-L335),2))</f>
        <v/>
      </c>
      <c r="N335" s="9" t="n"/>
      <c r="O335" s="14">
        <f>IF(OR(M335="",R335&lt;&gt;""),"",M335/G335-1)</f>
        <v/>
      </c>
      <c r="P335" s="11">
        <f>IF(OR(M335="",R335&lt;&gt;""),"",(G335-M335)*E335)</f>
        <v/>
      </c>
      <c r="Q335" s="9">
        <f>IF(R335&lt;&gt;"","—",IF(M335&lt;G335,"Mais barato",IF(M335&gt;G335,"Mais caro","Igual")))</f>
        <v/>
      </c>
      <c r="R335" s="10" t="inlineStr">
        <is>
          <t>Não encontrado</t>
        </is>
      </c>
    </row>
    <row r="336">
      <c r="A336" s="9" t="n">
        <v>627211</v>
      </c>
      <c r="B336" s="10" t="inlineStr">
        <is>
          <t>GROW D 10ML-DEMAIS PROD</t>
        </is>
      </c>
      <c r="C336" s="10" t="inlineStr">
        <is>
          <t>RX</t>
        </is>
      </c>
      <c r="D336" s="9" t="inlineStr">
        <is>
          <t>C</t>
        </is>
      </c>
      <c r="E336" s="9" t="n">
        <v>1</v>
      </c>
      <c r="F336" s="9" t="n">
        <v>1</v>
      </c>
      <c r="G336" s="11" t="n">
        <v>39.47</v>
      </c>
      <c r="H336" s="10" t="inlineStr">
        <is>
          <t>CENTROFARMA DISTRIBUIDORA FARMACEUTICA LTDA</t>
        </is>
      </c>
      <c r="I336" s="12" t="n"/>
      <c r="J336" s="10" t="n"/>
      <c r="K336" s="11" t="n"/>
      <c r="L336" s="13" t="n"/>
      <c r="M336" s="11">
        <f>IF(K336="","",ROUND(K336*(1-L336),2))</f>
        <v/>
      </c>
      <c r="N336" s="9" t="n"/>
      <c r="O336" s="14">
        <f>IF(OR(M336="",R336&lt;&gt;""),"",M336/G336-1)</f>
        <v/>
      </c>
      <c r="P336" s="11">
        <f>IF(OR(M336="",R336&lt;&gt;""),"",(G336-M336)*E336)</f>
        <v/>
      </c>
      <c r="Q336" s="9">
        <f>IF(R336&lt;&gt;"","—",IF(M336&lt;G336,"Mais barato",IF(M336&gt;G336,"Mais caro","Igual")))</f>
        <v/>
      </c>
      <c r="R336" s="10" t="inlineStr">
        <is>
          <t>Não encontrado</t>
        </is>
      </c>
    </row>
    <row r="337">
      <c r="A337" s="9" t="n">
        <v>559601</v>
      </c>
      <c r="B337" s="10" t="inlineStr">
        <is>
          <t>GROW VIT BB C/20ML (CFE)</t>
        </is>
      </c>
      <c r="C337" s="10" t="inlineStr">
        <is>
          <t>RX</t>
        </is>
      </c>
      <c r="D337" s="9" t="inlineStr">
        <is>
          <t>C</t>
        </is>
      </c>
      <c r="E337" s="9" t="n">
        <v>1</v>
      </c>
      <c r="F337" s="9" t="n">
        <v>1</v>
      </c>
      <c r="G337" s="11" t="n">
        <v>37.1</v>
      </c>
      <c r="H337" s="10" t="inlineStr">
        <is>
          <t>CENTROFARMA DISTRIBUIDORA FARMACEUTICA LTDA</t>
        </is>
      </c>
      <c r="I337" s="12" t="n"/>
      <c r="J337" s="10" t="n"/>
      <c r="K337" s="11" t="n"/>
      <c r="L337" s="13" t="n"/>
      <c r="M337" s="11">
        <f>IF(K337="","",ROUND(K337*(1-L337),2))</f>
        <v/>
      </c>
      <c r="N337" s="9" t="n"/>
      <c r="O337" s="14">
        <f>IF(OR(M337="",R337&lt;&gt;""),"",M337/G337-1)</f>
        <v/>
      </c>
      <c r="P337" s="11">
        <f>IF(OR(M337="",R337&lt;&gt;""),"",(G337-M337)*E337)</f>
        <v/>
      </c>
      <c r="Q337" s="9">
        <f>IF(R337&lt;&gt;"","—",IF(M337&lt;G337,"Mais barato",IF(M337&gt;G337,"Mais caro","Igual")))</f>
        <v/>
      </c>
      <c r="R337" s="10" t="inlineStr">
        <is>
          <t>Não encontrado</t>
        </is>
      </c>
    </row>
    <row r="338">
      <c r="A338" s="9" t="n">
        <v>415501</v>
      </c>
      <c r="B338" s="10" t="inlineStr">
        <is>
          <t>HALOBEX 0,5MG CREM DERM BG 30G</t>
        </is>
      </c>
      <c r="C338" s="10" t="inlineStr">
        <is>
          <t>RX</t>
        </is>
      </c>
      <c r="D338" s="9" t="inlineStr">
        <is>
          <t>A</t>
        </is>
      </c>
      <c r="E338" s="9" t="n">
        <v>5</v>
      </c>
      <c r="F338" s="9" t="n">
        <v>1</v>
      </c>
      <c r="G338" s="11" t="n">
        <v>18.72</v>
      </c>
      <c r="H338" s="10" t="inlineStr">
        <is>
          <t>NAZARIA DISTRIBUIDORA DE PRODUTOS FARMACEUTICOS LTDA</t>
        </is>
      </c>
      <c r="I338" s="12" t="n"/>
      <c r="J338" s="10" t="n"/>
      <c r="K338" s="11" t="n"/>
      <c r="L338" s="13" t="n"/>
      <c r="M338" s="11">
        <f>IF(K338="","",ROUND(K338*(1-L338),2))</f>
        <v/>
      </c>
      <c r="N338" s="9" t="n"/>
      <c r="O338" s="14">
        <f>IF(OR(M338="",R338&lt;&gt;""),"",M338/G338-1)</f>
        <v/>
      </c>
      <c r="P338" s="11">
        <f>IF(OR(M338="",R338&lt;&gt;""),"",(G338-M338)*E338)</f>
        <v/>
      </c>
      <c r="Q338" s="9">
        <f>IF(R338&lt;&gt;"","—",IF(M338&lt;G338,"Mais barato",IF(M338&gt;G338,"Mais caro","Igual")))</f>
        <v/>
      </c>
      <c r="R338" s="10" t="inlineStr">
        <is>
          <t>Não encontrado</t>
        </is>
      </c>
    </row>
    <row r="339">
      <c r="A339" s="9" t="n">
        <v>626321</v>
      </c>
      <c r="B339" s="10" t="inlineStr">
        <is>
          <t>HIDRAFEMME GEL 24G C/ 8 APLIC</t>
        </is>
      </c>
      <c r="C339" s="10" t="inlineStr">
        <is>
          <t>RX - OTC</t>
        </is>
      </c>
      <c r="D339" s="9" t="inlineStr">
        <is>
          <t>A</t>
        </is>
      </c>
      <c r="E339" s="9" t="n">
        <v>2</v>
      </c>
      <c r="F339" s="9" t="n">
        <v>1</v>
      </c>
      <c r="G339" s="11" t="n">
        <v>68.95</v>
      </c>
      <c r="H339" s="10" t="inlineStr">
        <is>
          <t>SC DISTRIBUICAO LTDA</t>
        </is>
      </c>
      <c r="I339" s="12" t="inlineStr">
        <is>
          <t>7898040325008</t>
        </is>
      </c>
      <c r="J339" s="10" t="inlineStr">
        <is>
          <t>HIDRAFEMME GEL 24G C/8 APLICADADORES</t>
        </is>
      </c>
      <c r="K339" s="11" t="n">
        <v>68.38</v>
      </c>
      <c r="L339" s="13" t="n">
        <v>0</v>
      </c>
      <c r="M339" s="11">
        <f>IF(K339="","",ROUND(K339*(1-L339),2))</f>
        <v/>
      </c>
      <c r="N339" s="9" t="n">
        <v>672</v>
      </c>
      <c r="O339" s="14">
        <f>IF(OR(M339="",R339&lt;&gt;""),"",M339/G339-1)</f>
        <v/>
      </c>
      <c r="P339" s="11">
        <f>IF(OR(M339="",R339&lt;&gt;""),"",(G339-M339)*E339)</f>
        <v/>
      </c>
      <c r="Q339" s="9">
        <f>IF(R339&lt;&gt;"","—",IF(M339&lt;G339,"Mais barato",IF(M339&gt;G339,"Mais caro","Igual")))</f>
        <v/>
      </c>
      <c r="R339" s="10" t="n"/>
    </row>
    <row r="340">
      <c r="A340" s="9" t="n">
        <v>619571</v>
      </c>
      <c r="B340" s="10" t="inlineStr">
        <is>
          <t>HIDRAT NIVEA ANTIC PERNAS RENOV 400ML   NIVE %DN:2.00</t>
        </is>
      </c>
      <c r="C340" s="10" t="inlineStr">
        <is>
          <t>RX - DERMO</t>
        </is>
      </c>
      <c r="D340" s="9" t="inlineStr">
        <is>
          <t>C</t>
        </is>
      </c>
      <c r="E340" s="9" t="n">
        <v>1</v>
      </c>
      <c r="F340" s="9" t="n">
        <v>1</v>
      </c>
      <c r="G340" s="11" t="n">
        <v>35.4725</v>
      </c>
      <c r="H340" s="10" t="inlineStr">
        <is>
          <t>NAZARIA DISTRIBUIDORA DE PRODUTOS FARMACEUTICOS LTDA</t>
        </is>
      </c>
      <c r="I340" s="12" t="n"/>
      <c r="J340" s="10" t="n"/>
      <c r="K340" s="11" t="n"/>
      <c r="L340" s="13" t="n"/>
      <c r="M340" s="11">
        <f>IF(K340="","",ROUND(K340*(1-L340),2))</f>
        <v/>
      </c>
      <c r="N340" s="9" t="n"/>
      <c r="O340" s="14">
        <f>IF(OR(M340="",R340&lt;&gt;""),"",M340/G340-1)</f>
        <v/>
      </c>
      <c r="P340" s="11">
        <f>IF(OR(M340="",R340&lt;&gt;""),"",(G340-M340)*E340)</f>
        <v/>
      </c>
      <c r="Q340" s="9">
        <f>IF(R340&lt;&gt;"","—",IF(M340&lt;G340,"Mais barato",IF(M340&gt;G340,"Mais caro","Igual")))</f>
        <v/>
      </c>
      <c r="R340" s="10" t="inlineStr">
        <is>
          <t>Não encontrado</t>
        </is>
      </c>
    </row>
    <row r="341">
      <c r="A341" s="9" t="n">
        <v>554181</v>
      </c>
      <c r="B341" s="10" t="inlineStr">
        <is>
          <t>HIPOGLOS AMENDOAS 40G</t>
        </is>
      </c>
      <c r="C341" s="10" t="inlineStr">
        <is>
          <t>RX</t>
        </is>
      </c>
      <c r="D341" s="9" t="inlineStr">
        <is>
          <t>A</t>
        </is>
      </c>
      <c r="E341" s="9" t="n">
        <v>3</v>
      </c>
      <c r="F341" s="9" t="n">
        <v>1</v>
      </c>
      <c r="G341" s="11" t="n">
        <v>22.94</v>
      </c>
      <c r="H341" s="10" t="inlineStr">
        <is>
          <t>SC DISTRIBUICAO LTDA</t>
        </is>
      </c>
      <c r="I341" s="12" t="inlineStr">
        <is>
          <t>7891010249953</t>
        </is>
      </c>
      <c r="J341" s="10" t="inlineStr">
        <is>
          <t>HIPOGLOS AMENDOAS 40G</t>
        </is>
      </c>
      <c r="K341" s="11" t="n">
        <v>22.47</v>
      </c>
      <c r="L341" s="13" t="n">
        <v>0</v>
      </c>
      <c r="M341" s="11">
        <f>IF(K341="","",ROUND(K341*(1-L341),2))</f>
        <v/>
      </c>
      <c r="N341" s="9" t="n">
        <v>1469</v>
      </c>
      <c r="O341" s="14">
        <f>IF(OR(M341="",R341&lt;&gt;""),"",M341/G341-1)</f>
        <v/>
      </c>
      <c r="P341" s="11">
        <f>IF(OR(M341="",R341&lt;&gt;""),"",(G341-M341)*E341)</f>
        <v/>
      </c>
      <c r="Q341" s="9">
        <f>IF(R341&lt;&gt;"","—",IF(M341&lt;G341,"Mais barato",IF(M341&gt;G341,"Mais caro","Igual")))</f>
        <v/>
      </c>
      <c r="R341" s="10" t="n"/>
    </row>
    <row r="342">
      <c r="A342" s="9" t="n">
        <v>621551</v>
      </c>
      <c r="B342" s="10" t="inlineStr">
        <is>
          <t>HIPOGLOS ORIGINAL 40G</t>
        </is>
      </c>
      <c r="C342" s="10" t="inlineStr">
        <is>
          <t>RX</t>
        </is>
      </c>
      <c r="D342" s="9" t="inlineStr">
        <is>
          <t>A</t>
        </is>
      </c>
      <c r="E342" s="9" t="n">
        <v>4</v>
      </c>
      <c r="F342" s="9" t="n">
        <v>1</v>
      </c>
      <c r="G342" s="11" t="n">
        <v>18.73</v>
      </c>
      <c r="H342" s="10" t="inlineStr">
        <is>
          <t>SC DISTRIBUICAO LTDA</t>
        </is>
      </c>
      <c r="I342" s="12" t="inlineStr">
        <is>
          <t>7891010255763</t>
        </is>
      </c>
      <c r="J342" s="10" t="inlineStr">
        <is>
          <t>HIPOGLOS POM ORIGINAL 40G</t>
        </is>
      </c>
      <c r="K342" s="11" t="n">
        <v>21.66</v>
      </c>
      <c r="L342" s="13" t="n">
        <v>0</v>
      </c>
      <c r="M342" s="11">
        <f>IF(K342="","",ROUND(K342*(1-L342),2))</f>
        <v/>
      </c>
      <c r="N342" s="9" t="n">
        <v>2272</v>
      </c>
      <c r="O342" s="14">
        <f>IF(OR(M342="",R342&lt;&gt;""),"",M342/G342-1)</f>
        <v/>
      </c>
      <c r="P342" s="11">
        <f>IF(OR(M342="",R342&lt;&gt;""),"",(G342-M342)*E342)</f>
        <v/>
      </c>
      <c r="Q342" s="9">
        <f>IF(R342&lt;&gt;"","—",IF(M342&lt;G342,"Mais barato",IF(M342&gt;G342,"Mais caro","Igual")))</f>
        <v/>
      </c>
      <c r="R342" s="10" t="n"/>
    </row>
    <row r="343">
      <c r="A343" s="9" t="n">
        <v>406321</v>
      </c>
      <c r="B343" s="10" t="inlineStr">
        <is>
          <t>HIRUDOID 3MG/G POM BG X 40G</t>
        </is>
      </c>
      <c r="C343" s="10" t="inlineStr">
        <is>
          <t>RX - OTC</t>
        </is>
      </c>
      <c r="D343" s="9" t="inlineStr">
        <is>
          <t>B</t>
        </is>
      </c>
      <c r="E343" s="9" t="n">
        <v>1</v>
      </c>
      <c r="F343" s="9" t="n">
        <v>1</v>
      </c>
      <c r="G343" s="11" t="n">
        <v>34.02</v>
      </c>
      <c r="H343" s="10" t="inlineStr">
        <is>
          <t>SC DISTRIBUICAO LTDA</t>
        </is>
      </c>
      <c r="I343" s="12" t="inlineStr">
        <is>
          <t>7897411601529</t>
        </is>
      </c>
      <c r="J343" s="10" t="inlineStr">
        <is>
          <t>HIRUDOID 300MG POMADA 40G</t>
        </is>
      </c>
      <c r="K343" s="11" t="n">
        <v>33.08</v>
      </c>
      <c r="L343" s="13" t="n">
        <v>0.04</v>
      </c>
      <c r="M343" s="11">
        <f>IF(K343="","",ROUND(K343*(1-L343),2))</f>
        <v/>
      </c>
      <c r="N343" s="9" t="n">
        <v>77</v>
      </c>
      <c r="O343" s="14">
        <f>IF(OR(M343="",R343&lt;&gt;""),"",M343/G343-1)</f>
        <v/>
      </c>
      <c r="P343" s="11">
        <f>IF(OR(M343="",R343&lt;&gt;""),"",(G343-M343)*E343)</f>
        <v/>
      </c>
      <c r="Q343" s="9">
        <f>IF(R343&lt;&gt;"","—",IF(M343&lt;G343,"Mais barato",IF(M343&gt;G343,"Mais caro","Igual")))</f>
        <v/>
      </c>
      <c r="R343" s="10" t="n"/>
    </row>
    <row r="344">
      <c r="A344" s="9" t="n">
        <v>213481</v>
      </c>
      <c r="B344" s="10" t="inlineStr">
        <is>
          <t>HIXIZINE 2MG/ML SOL OR FR 120ML</t>
        </is>
      </c>
      <c r="C344" s="10" t="inlineStr">
        <is>
          <t>RX</t>
        </is>
      </c>
      <c r="D344" s="9" t="inlineStr">
        <is>
          <t>A</t>
        </is>
      </c>
      <c r="E344" s="9" t="n">
        <v>4</v>
      </c>
      <c r="F344" s="9" t="n">
        <v>1</v>
      </c>
      <c r="G344" s="11" t="n">
        <v>47.38</v>
      </c>
      <c r="H344" s="10" t="inlineStr">
        <is>
          <t>SC DISTRIBUICAO LTDA</t>
        </is>
      </c>
      <c r="I344" s="12" t="inlineStr">
        <is>
          <t>7897129301506</t>
        </is>
      </c>
      <c r="J344" s="10" t="inlineStr">
        <is>
          <t>XAROPE HIXIZINE FAC 2x</t>
        </is>
      </c>
      <c r="K344" s="11" t="n">
        <v>48.37</v>
      </c>
      <c r="L344" s="13" t="n">
        <v>0.04</v>
      </c>
      <c r="M344" s="11">
        <f>IF(K344="","",ROUND(K344*(1-L344),2))</f>
        <v/>
      </c>
      <c r="N344" s="9" t="n">
        <v>274</v>
      </c>
      <c r="O344" s="14">
        <f>IF(OR(M344="",R344&lt;&gt;""),"",M344/G344-1)</f>
        <v/>
      </c>
      <c r="P344" s="11">
        <f>IF(OR(M344="",R344&lt;&gt;""),"",(G344-M344)*E344)</f>
        <v/>
      </c>
      <c r="Q344" s="9">
        <f>IF(R344&lt;&gt;"","—",IF(M344&lt;G344,"Mais barato",IF(M344&gt;G344,"Mais caro","Igual")))</f>
        <v/>
      </c>
      <c r="R344" s="10" t="n"/>
    </row>
    <row r="345">
      <c r="A345" s="9" t="n">
        <v>289421</v>
      </c>
      <c r="B345" s="10" t="inlineStr">
        <is>
          <t>HOLMES H 20+12,5MG CX 30 COMP REV</t>
        </is>
      </c>
      <c r="C345" s="10" t="inlineStr">
        <is>
          <t>RX</t>
        </is>
      </c>
      <c r="D345" s="9" t="inlineStr">
        <is>
          <t>B</t>
        </is>
      </c>
      <c r="E345" s="9" t="n">
        <v>1</v>
      </c>
      <c r="F345" s="9" t="n">
        <v>1</v>
      </c>
      <c r="G345" s="11" t="n">
        <v>58.81</v>
      </c>
      <c r="H345" s="10" t="inlineStr">
        <is>
          <t>SC DISTRIBUICAO LTDA</t>
        </is>
      </c>
      <c r="I345" s="12" t="inlineStr">
        <is>
          <t>7891317124182</t>
        </is>
      </c>
      <c r="J345" s="10" t="inlineStr">
        <is>
          <t>HOLMES H 20MG+12,5MG C/30 COMPRIMIDOS</t>
        </is>
      </c>
      <c r="K345" s="11" t="n">
        <v>58.42</v>
      </c>
      <c r="L345" s="13" t="n">
        <v>0.04</v>
      </c>
      <c r="M345" s="11">
        <f>IF(K345="","",ROUND(K345*(1-L345),2))</f>
        <v/>
      </c>
      <c r="N345" s="9" t="n">
        <v>606</v>
      </c>
      <c r="O345" s="14">
        <f>IF(OR(M345="",R345&lt;&gt;""),"",M345/G345-1)</f>
        <v/>
      </c>
      <c r="P345" s="11">
        <f>IF(OR(M345="",R345&lt;&gt;""),"",(G345-M345)*E345)</f>
        <v/>
      </c>
      <c r="Q345" s="9">
        <f>IF(R345&lt;&gt;"","—",IF(M345&lt;G345,"Mais barato",IF(M345&gt;G345,"Mais caro","Igual")))</f>
        <v/>
      </c>
      <c r="R345" s="10" t="n"/>
    </row>
    <row r="346">
      <c r="A346" s="9" t="n">
        <v>289481</v>
      </c>
      <c r="B346" s="10" t="inlineStr">
        <is>
          <t>HOLMES H 40+25MG CX 30 COMP REV</t>
        </is>
      </c>
      <c r="C346" s="10" t="inlineStr">
        <is>
          <t>RX</t>
        </is>
      </c>
      <c r="D346" s="9" t="inlineStr">
        <is>
          <t>A</t>
        </is>
      </c>
      <c r="E346" s="9" t="n">
        <v>2</v>
      </c>
      <c r="F346" s="9" t="n">
        <v>1</v>
      </c>
      <c r="G346" s="11" t="n">
        <v>65.11</v>
      </c>
      <c r="H346" s="10" t="inlineStr">
        <is>
          <t>SC DISTRIBUICAO LTDA</t>
        </is>
      </c>
      <c r="I346" s="12" t="inlineStr">
        <is>
          <t>7891317124236</t>
        </is>
      </c>
      <c r="J346" s="10" t="inlineStr">
        <is>
          <t>HOLMES H 40MG+25MG C/30 COMPRIMIDOS</t>
        </is>
      </c>
      <c r="K346" s="11" t="n">
        <v>66.5</v>
      </c>
      <c r="L346" s="13" t="n">
        <v>0.04</v>
      </c>
      <c r="M346" s="11">
        <f>IF(K346="","",ROUND(K346*(1-L346),2))</f>
        <v/>
      </c>
      <c r="N346" s="9" t="n">
        <v>841</v>
      </c>
      <c r="O346" s="14">
        <f>IF(OR(M346="",R346&lt;&gt;""),"",M346/G346-1)</f>
        <v/>
      </c>
      <c r="P346" s="11">
        <f>IF(OR(M346="",R346&lt;&gt;""),"",(G346-M346)*E346)</f>
        <v/>
      </c>
      <c r="Q346" s="9">
        <f>IF(R346&lt;&gt;"","—",IF(M346&lt;G346,"Mais barato",IF(M346&gt;G346,"Mais caro","Igual")))</f>
        <v/>
      </c>
      <c r="R346" s="10" t="n"/>
    </row>
    <row r="347">
      <c r="A347" s="9" t="n">
        <v>539741</v>
      </c>
      <c r="B347" s="10" t="inlineStr">
        <is>
          <t>HYABAK SOL OFT FR X 10ML</t>
        </is>
      </c>
      <c r="C347" s="10" t="inlineStr">
        <is>
          <t>RX - OTC</t>
        </is>
      </c>
      <c r="D347" s="9" t="inlineStr">
        <is>
          <t>A</t>
        </is>
      </c>
      <c r="E347" s="9" t="n">
        <v>1</v>
      </c>
      <c r="F347" s="9" t="n">
        <v>1</v>
      </c>
      <c r="G347" s="11" t="n">
        <v>54.6422</v>
      </c>
      <c r="H347" s="10" t="inlineStr">
        <is>
          <t>SC DISTRIBUICAO LTDA</t>
        </is>
      </c>
      <c r="I347" s="12" t="inlineStr">
        <is>
          <t>3662042000058</t>
        </is>
      </c>
      <c r="J347" s="10" t="inlineStr">
        <is>
          <t>HYABAK SOLUCAO OFTALMICA 10 ML</t>
        </is>
      </c>
      <c r="K347" s="11" t="n">
        <v>62.45</v>
      </c>
      <c r="L347" s="13" t="n">
        <v>0.04</v>
      </c>
      <c r="M347" s="11">
        <f>IF(K347="","",ROUND(K347*(1-L347),2))</f>
        <v/>
      </c>
      <c r="N347" s="9" t="n">
        <v>1312</v>
      </c>
      <c r="O347" s="14">
        <f>IF(OR(M347="",R347&lt;&gt;""),"",M347/G347-1)</f>
        <v/>
      </c>
      <c r="P347" s="11">
        <f>IF(OR(M347="",R347&lt;&gt;""),"",(G347-M347)*E347)</f>
        <v/>
      </c>
      <c r="Q347" s="9">
        <f>IF(R347&lt;&gt;"","—",IF(M347&lt;G347,"Mais barato",IF(M347&gt;G347,"Mais caro","Igual")))</f>
        <v/>
      </c>
      <c r="R347" s="10" t="n"/>
    </row>
    <row r="348">
      <c r="A348" s="9" t="n">
        <v>2763</v>
      </c>
      <c r="B348" s="10" t="inlineStr">
        <is>
          <t>HYDRAPORIN AI BISNAGA 120G</t>
        </is>
      </c>
      <c r="C348" s="10" t="inlineStr">
        <is>
          <t>RX - DERMO</t>
        </is>
      </c>
      <c r="D348" s="9" t="inlineStr">
        <is>
          <t>A</t>
        </is>
      </c>
      <c r="E348" s="9" t="n">
        <v>1</v>
      </c>
      <c r="F348" s="9" t="n">
        <v>1</v>
      </c>
      <c r="G348" s="11" t="n">
        <v>79.81</v>
      </c>
      <c r="H348" s="10" t="inlineStr">
        <is>
          <t>SC DISTRIBUICAO LTDA</t>
        </is>
      </c>
      <c r="I348" s="12" t="inlineStr">
        <is>
          <t>7891142204547</t>
        </is>
      </c>
      <c r="J348" s="10" t="inlineStr">
        <is>
          <t>HYDRAPORIN AI LOCAO 120G</t>
        </is>
      </c>
      <c r="K348" s="11" t="n">
        <v>68.29000000000001</v>
      </c>
      <c r="L348" s="13" t="n">
        <v>0</v>
      </c>
      <c r="M348" s="11">
        <f>IF(K348="","",ROUND(K348*(1-L348),2))</f>
        <v/>
      </c>
      <c r="N348" s="9" t="n">
        <v>139</v>
      </c>
      <c r="O348" s="14">
        <f>IF(OR(M348="",R348&lt;&gt;""),"",M348/G348-1)</f>
        <v/>
      </c>
      <c r="P348" s="11">
        <f>IF(OR(M348="",R348&lt;&gt;""),"",(G348-M348)*E348)</f>
        <v/>
      </c>
      <c r="Q348" s="9">
        <f>IF(R348&lt;&gt;"","—",IF(M348&lt;G348,"Mais barato",IF(M348&gt;G348,"Mais caro","Igual")))</f>
        <v/>
      </c>
      <c r="R348" s="10" t="n"/>
    </row>
    <row r="349">
      <c r="A349" s="9" t="n">
        <v>572741</v>
      </c>
      <c r="B349" s="10" t="inlineStr">
        <is>
          <t>IMOLAC 120ML</t>
        </is>
      </c>
      <c r="C349" s="10" t="inlineStr">
        <is>
          <t>RX</t>
        </is>
      </c>
      <c r="D349" s="9" t="inlineStr">
        <is>
          <t>C</t>
        </is>
      </c>
      <c r="E349" s="9" t="n">
        <v>1</v>
      </c>
      <c r="F349" s="9" t="n">
        <v>1</v>
      </c>
      <c r="G349" s="11" t="n">
        <v>58.6</v>
      </c>
      <c r="H349" s="10" t="inlineStr">
        <is>
          <t>NAZARIA DISTRIBUIDORA DE PRODUTOS FARMACEUTICOS LTDA</t>
        </is>
      </c>
      <c r="I349" s="12" t="n"/>
      <c r="J349" s="10" t="n"/>
      <c r="K349" s="11" t="n"/>
      <c r="L349" s="13" t="n"/>
      <c r="M349" s="11">
        <f>IF(K349="","",ROUND(K349*(1-L349),2))</f>
        <v/>
      </c>
      <c r="N349" s="9" t="n"/>
      <c r="O349" s="14">
        <f>IF(OR(M349="",R349&lt;&gt;""),"",M349/G349-1)</f>
        <v/>
      </c>
      <c r="P349" s="11">
        <f>IF(OR(M349="",R349&lt;&gt;""),"",(G349-M349)*E349)</f>
        <v/>
      </c>
      <c r="Q349" s="9">
        <f>IF(R349&lt;&gt;"","—",IF(M349&lt;G349,"Mais barato",IF(M349&gt;G349,"Mais caro","Igual")))</f>
        <v/>
      </c>
      <c r="R349" s="10" t="inlineStr">
        <is>
          <t>Não encontrado</t>
        </is>
      </c>
    </row>
    <row r="350">
      <c r="A350" s="9" t="n">
        <v>592811</v>
      </c>
      <c r="B350" s="10" t="inlineStr">
        <is>
          <t>IMOLAC SOL C/200ML+COP (CFE)</t>
        </is>
      </c>
      <c r="C350" s="10" t="inlineStr">
        <is>
          <t>RX</t>
        </is>
      </c>
      <c r="D350" s="9" t="inlineStr">
        <is>
          <t>A</t>
        </is>
      </c>
      <c r="E350" s="9" t="n">
        <v>2</v>
      </c>
      <c r="F350" s="9" t="n">
        <v>1</v>
      </c>
      <c r="G350" s="11" t="n">
        <v>67.37</v>
      </c>
      <c r="H350" s="10" t="inlineStr">
        <is>
          <t>NAZARIA DISTRIBUIDORA DE PRODUTOS FARMACEUTICOS LTDA</t>
        </is>
      </c>
      <c r="I350" s="12" t="n"/>
      <c r="J350" s="10" t="n"/>
      <c r="K350" s="11" t="n"/>
      <c r="L350" s="13" t="n"/>
      <c r="M350" s="11">
        <f>IF(K350="","",ROUND(K350*(1-L350),2))</f>
        <v/>
      </c>
      <c r="N350" s="9" t="n"/>
      <c r="O350" s="14">
        <f>IF(OR(M350="",R350&lt;&gt;""),"",M350/G350-1)</f>
        <v/>
      </c>
      <c r="P350" s="11">
        <f>IF(OR(M350="",R350&lt;&gt;""),"",(G350-M350)*E350)</f>
        <v/>
      </c>
      <c r="Q350" s="9">
        <f>IF(R350&lt;&gt;"","—",IF(M350&lt;G350,"Mais barato",IF(M350&gt;G350,"Mais caro","Igual")))</f>
        <v/>
      </c>
      <c r="R350" s="10" t="inlineStr">
        <is>
          <t>Não encontrado</t>
        </is>
      </c>
    </row>
    <row r="351">
      <c r="A351" s="9" t="n">
        <v>153101</v>
      </c>
      <c r="B351" s="10" t="inlineStr">
        <is>
          <t>IMOSEC 2MG CX 12 COMP</t>
        </is>
      </c>
      <c r="C351" s="10" t="inlineStr">
        <is>
          <t>RX</t>
        </is>
      </c>
      <c r="D351" s="9" t="inlineStr">
        <is>
          <t>A</t>
        </is>
      </c>
      <c r="E351" s="9" t="n">
        <v>38</v>
      </c>
      <c r="F351" s="9" t="n">
        <v>1</v>
      </c>
      <c r="G351" s="11" t="n">
        <v>9.02</v>
      </c>
      <c r="H351" s="10" t="inlineStr">
        <is>
          <t>SC DISTRIBUICAO LTDA</t>
        </is>
      </c>
      <c r="I351" s="12" t="inlineStr">
        <is>
          <t>7891010256364</t>
        </is>
      </c>
      <c r="J351" s="10" t="inlineStr">
        <is>
          <t>IMOSEC 2MG C/12 COMPRIMIDOS C1</t>
        </is>
      </c>
      <c r="K351" s="11" t="n">
        <v>9.050000000000001</v>
      </c>
      <c r="L351" s="13" t="n">
        <v>0.03</v>
      </c>
      <c r="M351" s="11">
        <f>IF(K351="","",ROUND(K351*(1-L351),2))</f>
        <v/>
      </c>
      <c r="N351" s="9" t="n">
        <v>26375</v>
      </c>
      <c r="O351" s="14">
        <f>IF(OR(M351="",R351&lt;&gt;""),"",M351/G351-1)</f>
        <v/>
      </c>
      <c r="P351" s="11">
        <f>IF(OR(M351="",R351&lt;&gt;""),"",(G351-M351)*E351)</f>
        <v/>
      </c>
      <c r="Q351" s="9">
        <f>IF(R351&lt;&gt;"","—",IF(M351&lt;G351,"Mais barato",IF(M351&gt;G351,"Mais caro","Igual")))</f>
        <v/>
      </c>
      <c r="R351" s="10" t="n"/>
    </row>
    <row r="352">
      <c r="A352" s="9" t="n">
        <v>653971</v>
      </c>
      <c r="B352" s="10" t="inlineStr">
        <is>
          <t>IMUNOVALLE 120ML (DVL)</t>
        </is>
      </c>
      <c r="C352" s="10" t="inlineStr">
        <is>
          <t>RX</t>
        </is>
      </c>
      <c r="D352" s="9" t="inlineStr">
        <is>
          <t>B</t>
        </is>
      </c>
      <c r="E352" s="9" t="n">
        <v>1</v>
      </c>
      <c r="F352" s="9" t="n">
        <v>1</v>
      </c>
      <c r="G352" s="11" t="n">
        <v>59.78</v>
      </c>
      <c r="H352" s="10" t="inlineStr">
        <is>
          <t>TAPAJOS COMERCIO DE MEDICAMENTOS LTDA</t>
        </is>
      </c>
      <c r="I352" s="12" t="n"/>
      <c r="J352" s="10" t="n"/>
      <c r="K352" s="11" t="n"/>
      <c r="L352" s="13" t="n"/>
      <c r="M352" s="11">
        <f>IF(K352="","",ROUND(K352*(1-L352),2))</f>
        <v/>
      </c>
      <c r="N352" s="9" t="n"/>
      <c r="O352" s="14">
        <f>IF(OR(M352="",R352&lt;&gt;""),"",M352/G352-1)</f>
        <v/>
      </c>
      <c r="P352" s="11">
        <f>IF(OR(M352="",R352&lt;&gt;""),"",(G352-M352)*E352)</f>
        <v/>
      </c>
      <c r="Q352" s="9">
        <f>IF(R352&lt;&gt;"","—",IF(M352&lt;G352,"Mais barato",IF(M352&gt;G352,"Mais caro","Igual")))</f>
        <v/>
      </c>
      <c r="R352" s="10" t="inlineStr">
        <is>
          <t>Não encontrado</t>
        </is>
      </c>
    </row>
    <row r="353">
      <c r="A353" s="9" t="n">
        <v>594881</v>
      </c>
      <c r="B353" s="10" t="inlineStr">
        <is>
          <t>INALADOR NEBULIZADOR COMPACT DC1 G-TECH</t>
        </is>
      </c>
      <c r="C353" s="10" t="inlineStr">
        <is>
          <t>RX - OTC</t>
        </is>
      </c>
      <c r="D353" s="9" t="inlineStr">
        <is>
          <t>A</t>
        </is>
      </c>
      <c r="E353" s="9" t="n">
        <v>4</v>
      </c>
      <c r="F353" s="9" t="n">
        <v>1</v>
      </c>
      <c r="G353" s="11" t="n">
        <v>90.756</v>
      </c>
      <c r="H353" s="10" t="inlineStr">
        <is>
          <t>SC DISTRIBUICAO LTDA</t>
        </is>
      </c>
      <c r="I353" s="12" t="inlineStr">
        <is>
          <t>7898639690975</t>
        </is>
      </c>
      <c r="J353" s="10" t="inlineStr">
        <is>
          <t>G TECH INALADOR E NEBULIZADOR DE AR COMPRIMIDO COMPACT DC1</t>
        </is>
      </c>
      <c r="K353" s="11" t="n">
        <v>90.97</v>
      </c>
      <c r="L353" s="13" t="n">
        <v>0</v>
      </c>
      <c r="M353" s="11">
        <f>IF(K353="","",ROUND(K353*(1-L353),2))</f>
        <v/>
      </c>
      <c r="N353" s="9" t="n">
        <v>906</v>
      </c>
      <c r="O353" s="14">
        <f>IF(OR(M353="",R353&lt;&gt;""),"",M353/G353-1)</f>
        <v/>
      </c>
      <c r="P353" s="11">
        <f>IF(OR(M353="",R353&lt;&gt;""),"",(G353-M353)*E353)</f>
        <v/>
      </c>
      <c r="Q353" s="9">
        <f>IF(R353&lt;&gt;"","—",IF(M353&lt;G353,"Mais barato",IF(M353&gt;G353,"Mais caro","Igual")))</f>
        <v/>
      </c>
      <c r="R353" s="10" t="n"/>
    </row>
    <row r="354">
      <c r="A354" s="9" t="n">
        <v>389621</v>
      </c>
      <c r="B354" s="10" t="inlineStr">
        <is>
          <t>INILOK 40MG CX 30 COMP</t>
        </is>
      </c>
      <c r="C354" s="10" t="inlineStr">
        <is>
          <t>RX</t>
        </is>
      </c>
      <c r="D354" s="9" t="inlineStr">
        <is>
          <t>A</t>
        </is>
      </c>
      <c r="E354" s="9" t="n">
        <v>9</v>
      </c>
      <c r="F354" s="9" t="n">
        <v>1</v>
      </c>
      <c r="G354" s="11" t="n">
        <v>46.29</v>
      </c>
      <c r="H354" s="10" t="inlineStr">
        <is>
          <t>NAZARIA DISTRIBUIDORA DE PRODUTOS FARMACEUTICOS LTDA</t>
        </is>
      </c>
      <c r="I354" s="12" t="inlineStr">
        <is>
          <t>7896637031509</t>
        </is>
      </c>
      <c r="J354" s="10" t="inlineStr">
        <is>
          <t>INILOK 40MG C/30 COMPRIMIDOS LIBERACAO RETARDADA</t>
        </is>
      </c>
      <c r="K354" s="11" t="n">
        <v>55.54</v>
      </c>
      <c r="L354" s="13" t="n">
        <v>0.04</v>
      </c>
      <c r="M354" s="11">
        <f>IF(K354="","",ROUND(K354*(1-L354),2))</f>
        <v/>
      </c>
      <c r="N354" s="9" t="n">
        <v>1465</v>
      </c>
      <c r="O354" s="14">
        <f>IF(OR(M354="",R354&lt;&gt;""),"",M354/G354-1)</f>
        <v/>
      </c>
      <c r="P354" s="11">
        <f>IF(OR(M354="",R354&lt;&gt;""),"",(G354-M354)*E354)</f>
        <v/>
      </c>
      <c r="Q354" s="9">
        <f>IF(R354&lt;&gt;"","—",IF(M354&lt;G354,"Mais barato",IF(M354&gt;G354,"Mais caro","Igual")))</f>
        <v/>
      </c>
      <c r="R354" s="10" t="n"/>
    </row>
    <row r="355">
      <c r="A355" s="9" t="n">
        <v>258141</v>
      </c>
      <c r="B355" s="10" t="inlineStr">
        <is>
          <t>INZELM 20MG CX 30 COMP REV</t>
        </is>
      </c>
      <c r="C355" s="10" t="inlineStr">
        <is>
          <t>RX</t>
        </is>
      </c>
      <c r="D355" s="9" t="inlineStr">
        <is>
          <t>A</t>
        </is>
      </c>
      <c r="E355" s="9" t="n">
        <v>2</v>
      </c>
      <c r="F355" s="9" t="n">
        <v>1</v>
      </c>
      <c r="G355" s="11" t="n">
        <v>205.21</v>
      </c>
      <c r="H355" s="10" t="inlineStr">
        <is>
          <t>SC DISTRIBUICAO LTDA</t>
        </is>
      </c>
      <c r="I355" s="12" t="inlineStr">
        <is>
          <t>7896641812811</t>
        </is>
      </c>
      <c r="J355" s="10" t="inlineStr">
        <is>
          <t>INZELM 20MG C/30 COMPRIMIDOS REV</t>
        </is>
      </c>
      <c r="K355" s="11" t="n">
        <v>199.51</v>
      </c>
      <c r="L355" s="13" t="n">
        <v>0.02</v>
      </c>
      <c r="M355" s="11">
        <f>IF(K355="","",ROUND(K355*(1-L355),2))</f>
        <v/>
      </c>
      <c r="N355" s="9" t="n">
        <v>1078</v>
      </c>
      <c r="O355" s="14">
        <f>IF(OR(M355="",R355&lt;&gt;""),"",M355/G355-1)</f>
        <v/>
      </c>
      <c r="P355" s="11">
        <f>IF(OR(M355="",R355&lt;&gt;""),"",(G355-M355)*E355)</f>
        <v/>
      </c>
      <c r="Q355" s="9">
        <f>IF(R355&lt;&gt;"","—",IF(M355&lt;G355,"Mais barato",IF(M355&gt;G355,"Mais caro","Igual")))</f>
        <v/>
      </c>
      <c r="R355" s="10" t="n"/>
    </row>
    <row r="356">
      <c r="A356" s="9" t="n">
        <v>240081</v>
      </c>
      <c r="B356" s="10" t="inlineStr">
        <is>
          <t>IUMI 3+0,02MG CX 24 COMP REV</t>
        </is>
      </c>
      <c r="C356" s="10" t="inlineStr">
        <is>
          <t>RX</t>
        </is>
      </c>
      <c r="D356" s="9" t="inlineStr">
        <is>
          <t>A</t>
        </is>
      </c>
      <c r="E356" s="9" t="n">
        <v>4</v>
      </c>
      <c r="F356" s="9" t="n">
        <v>1</v>
      </c>
      <c r="G356" s="11" t="n">
        <v>56.62</v>
      </c>
      <c r="H356" s="10" t="inlineStr">
        <is>
          <t>SC DISTRIBUICAO LTDA</t>
        </is>
      </c>
      <c r="I356" s="12" t="inlineStr">
        <is>
          <t>7896094208094</t>
        </is>
      </c>
      <c r="J356" s="10" t="inlineStr">
        <is>
          <t>IUMI 3MG + 20MCG C/24 COMPRIMIDOS</t>
        </is>
      </c>
      <c r="K356" s="11" t="n">
        <v>56.62</v>
      </c>
      <c r="L356" s="13" t="n">
        <v>0.03</v>
      </c>
      <c r="M356" s="11">
        <f>IF(K356="","",ROUND(K356*(1-L356),2))</f>
        <v/>
      </c>
      <c r="N356" s="9" t="n">
        <v>906</v>
      </c>
      <c r="O356" s="14">
        <f>IF(OR(M356="",R356&lt;&gt;""),"",M356/G356-1)</f>
        <v/>
      </c>
      <c r="P356" s="11">
        <f>IF(OR(M356="",R356&lt;&gt;""),"",(G356-M356)*E356)</f>
        <v/>
      </c>
      <c r="Q356" s="9">
        <f>IF(R356&lt;&gt;"","—",IF(M356&lt;G356,"Mais barato",IF(M356&gt;G356,"Mais caro","Igual")))</f>
        <v/>
      </c>
      <c r="R356" s="10" t="n"/>
    </row>
    <row r="357">
      <c r="A357" s="9" t="n">
        <v>239381</v>
      </c>
      <c r="B357" s="10" t="inlineStr">
        <is>
          <t>IUMI 3/0,02MG CAIXA C/ 3 CARTELAS 24 COMP REV</t>
        </is>
      </c>
      <c r="C357" s="10" t="inlineStr">
        <is>
          <t>RX</t>
        </is>
      </c>
      <c r="D357" s="9" t="inlineStr">
        <is>
          <t>A</t>
        </is>
      </c>
      <c r="E357" s="9" t="n">
        <v>1</v>
      </c>
      <c r="F357" s="9" t="n">
        <v>1</v>
      </c>
      <c r="G357" s="11" t="n">
        <v>143.4897</v>
      </c>
      <c r="H357" s="10" t="inlineStr">
        <is>
          <t>SC DISTRIBUICAO LTDA</t>
        </is>
      </c>
      <c r="I357" s="12" t="inlineStr">
        <is>
          <t>7896094208674</t>
        </is>
      </c>
      <c r="J357" s="10" t="inlineStr">
        <is>
          <t>IUMI 3MG + 20MCG C/72 COMPRIMIDOS</t>
        </is>
      </c>
      <c r="K357" s="11" t="n">
        <v>138.08</v>
      </c>
      <c r="L357" s="13" t="n">
        <v>0.03</v>
      </c>
      <c r="M357" s="11">
        <f>IF(K357="","",ROUND(K357*(1-L357),2))</f>
        <v/>
      </c>
      <c r="N357" s="9" t="n">
        <v>155</v>
      </c>
      <c r="O357" s="14">
        <f>IF(OR(M357="",R357&lt;&gt;""),"",M357/G357-1)</f>
        <v/>
      </c>
      <c r="P357" s="11">
        <f>IF(OR(M357="",R357&lt;&gt;""),"",(G357-M357)*E357)</f>
        <v/>
      </c>
      <c r="Q357" s="9">
        <f>IF(R357&lt;&gt;"","—",IF(M357&lt;G357,"Mais barato",IF(M357&gt;G357,"Mais caro","Igual")))</f>
        <v/>
      </c>
      <c r="R357" s="10" t="n"/>
    </row>
    <row r="358">
      <c r="A358" s="9" t="n">
        <v>237681</v>
      </c>
      <c r="B358" s="10" t="inlineStr">
        <is>
          <t>IZIZ 2,5+1,5MG CX CARTELA COMP REV CAIXA C/ 3 CARTELAS</t>
        </is>
      </c>
      <c r="C358" s="10" t="inlineStr">
        <is>
          <t>RX</t>
        </is>
      </c>
      <c r="D358" s="9" t="inlineStr">
        <is>
          <t>B</t>
        </is>
      </c>
      <c r="E358" s="9" t="n">
        <v>1</v>
      </c>
      <c r="F358" s="9" t="n">
        <v>3</v>
      </c>
      <c r="G358" s="11" t="n">
        <v>126.35</v>
      </c>
      <c r="H358" s="10" t="inlineStr">
        <is>
          <t>SC DISTRIBUICAO LTDA</t>
        </is>
      </c>
      <c r="I358" s="12" t="inlineStr">
        <is>
          <t>7896094209510</t>
        </is>
      </c>
      <c r="J358" s="10" t="inlineStr">
        <is>
          <t>IZIZ 2,5MG + 1,5MG C/72 COMPRIMIDOS REV + 12 PLACEBOS</t>
        </is>
      </c>
      <c r="K358" s="11" t="n">
        <v>121.58</v>
      </c>
      <c r="L358" s="13" t="n">
        <v>0.03</v>
      </c>
      <c r="M358" s="11">
        <f>IF(K358="","",ROUND(K358*(1-L358),2))</f>
        <v/>
      </c>
      <c r="N358" s="9" t="n">
        <v>32</v>
      </c>
      <c r="O358" s="14">
        <f>IF(OR(M358="",R358&lt;&gt;""),"",M358/G358-1)</f>
        <v/>
      </c>
      <c r="P358" s="11">
        <f>IF(OR(M358="",R358&lt;&gt;""),"",(G358-M358)*E358)</f>
        <v/>
      </c>
      <c r="Q358" s="9">
        <f>IF(R358&lt;&gt;"","—",IF(M358&lt;G358,"Mais barato",IF(M358&gt;G358,"Mais caro","Igual")))</f>
        <v/>
      </c>
      <c r="R358" s="10" t="n"/>
    </row>
    <row r="359">
      <c r="A359" s="9" t="n">
        <v>653301</v>
      </c>
      <c r="B359" s="10" t="inlineStr">
        <is>
          <t>KELAC 10MG C/10 COMP SUBL-SIMILAR</t>
        </is>
      </c>
      <c r="C359" s="10" t="inlineStr">
        <is>
          <t>RX</t>
        </is>
      </c>
      <c r="D359" s="9" t="inlineStr">
        <is>
          <t>A</t>
        </is>
      </c>
      <c r="E359" s="9" t="n">
        <v>1</v>
      </c>
      <c r="F359" s="9" t="n">
        <v>1</v>
      </c>
      <c r="G359" s="11" t="n">
        <v>27.48</v>
      </c>
      <c r="H359" s="10" t="inlineStr">
        <is>
          <t>NAZARIA DISTRIBUIDORA DE PRODUTOS FARMACEUTICOS LTDA</t>
        </is>
      </c>
      <c r="I359" s="12" t="inlineStr">
        <is>
          <t>7896094928312</t>
        </is>
      </c>
      <c r="J359" s="10" t="inlineStr">
        <is>
          <t>KELAC 10MG CAIXA 10 COMPRIMIDOS SUBLINGUAIS</t>
        </is>
      </c>
      <c r="K359" s="11" t="n">
        <v>27.48</v>
      </c>
      <c r="L359" s="13" t="n">
        <v>0.035</v>
      </c>
      <c r="M359" s="11">
        <f>IF(K359="","",ROUND(K359*(1-L359),2))</f>
        <v/>
      </c>
      <c r="N359" s="9" t="n">
        <v>53</v>
      </c>
      <c r="O359" s="14">
        <f>IF(OR(M359="",R359&lt;&gt;""),"",M359/G359-1)</f>
        <v/>
      </c>
      <c r="P359" s="11">
        <f>IF(OR(M359="",R359&lt;&gt;""),"",(G359-M359)*E359)</f>
        <v/>
      </c>
      <c r="Q359" s="9">
        <f>IF(R359&lt;&gt;"","—",IF(M359&lt;G359,"Mais barato",IF(M359&gt;G359,"Mais caro","Igual")))</f>
        <v/>
      </c>
      <c r="R359" s="10" t="n"/>
    </row>
    <row r="360">
      <c r="A360" s="9" t="n">
        <v>646621</v>
      </c>
      <c r="B360" s="10" t="inlineStr">
        <is>
          <t>KIT MEDIDOR DE GLICOSE G-TECH FREE 1</t>
        </is>
      </c>
      <c r="C360" s="10" t="inlineStr">
        <is>
          <t>RX - DIABETES</t>
        </is>
      </c>
      <c r="D360" s="9" t="inlineStr">
        <is>
          <t>A</t>
        </is>
      </c>
      <c r="E360" s="9" t="n">
        <v>8</v>
      </c>
      <c r="F360" s="9" t="n">
        <v>1</v>
      </c>
      <c r="G360" s="11" t="n">
        <v>37.929</v>
      </c>
      <c r="H360" s="10" t="inlineStr">
        <is>
          <t>SC DISTRIBUICAO LTDA</t>
        </is>
      </c>
      <c r="I360" s="12" t="inlineStr">
        <is>
          <t>7898301056726</t>
        </is>
      </c>
      <c r="J360" s="10" t="inlineStr">
        <is>
          <t>KIT G-TECH FREE1 MONITOR + TIRAS 10 C/1</t>
        </is>
      </c>
      <c r="K360" s="11" t="n">
        <v>40.82</v>
      </c>
      <c r="L360" s="13" t="n">
        <v>0</v>
      </c>
      <c r="M360" s="11">
        <f>IF(K360="","",ROUND(K360*(1-L360),2))</f>
        <v/>
      </c>
      <c r="N360" s="9" t="n">
        <v>330</v>
      </c>
      <c r="O360" s="14">
        <f>IF(OR(M360="",R360&lt;&gt;""),"",M360/G360-1)</f>
        <v/>
      </c>
      <c r="P360" s="11">
        <f>IF(OR(M360="",R360&lt;&gt;""),"",(G360-M360)*E360)</f>
        <v/>
      </c>
      <c r="Q360" s="9">
        <f>IF(R360&lt;&gt;"","—",IF(M360&lt;G360,"Mais barato",IF(M360&gt;G360,"Mais caro","Igual")))</f>
        <v/>
      </c>
      <c r="R360" s="10" t="n"/>
    </row>
    <row r="361">
      <c r="A361" s="9" t="n">
        <v>619221</v>
      </c>
      <c r="B361" s="10" t="inlineStr">
        <is>
          <t>KIT MEDIDOR DE GLICOSE LITE - COMPLETO</t>
        </is>
      </c>
      <c r="C361" s="10" t="inlineStr">
        <is>
          <t>RX - DIABETES</t>
        </is>
      </c>
      <c r="D361" s="9" t="inlineStr">
        <is>
          <t>A</t>
        </is>
      </c>
      <c r="E361" s="9" t="n">
        <v>2</v>
      </c>
      <c r="F361" s="9" t="n">
        <v>1</v>
      </c>
      <c r="G361" s="11" t="n">
        <v>43.56</v>
      </c>
      <c r="H361" s="10" t="inlineStr">
        <is>
          <t>SC DISTRIBUICAO LTDA</t>
        </is>
      </c>
      <c r="I361" s="12" t="inlineStr">
        <is>
          <t>7898301059666</t>
        </is>
      </c>
      <c r="J361" s="10" t="inlineStr">
        <is>
          <t>KIT G-TECH FREE LITE MONITOR GLICOSE + 10 TIRAS + 10 LANCETAS + CANETA C/1</t>
        </is>
      </c>
      <c r="K361" s="11" t="n">
        <v>46.34</v>
      </c>
      <c r="L361" s="13" t="n">
        <v>0</v>
      </c>
      <c r="M361" s="11">
        <f>IF(K361="","",ROUND(K361*(1-L361),2))</f>
        <v/>
      </c>
      <c r="N361" s="9" t="n">
        <v>225</v>
      </c>
      <c r="O361" s="14">
        <f>IF(OR(M361="",R361&lt;&gt;""),"",M361/G361-1)</f>
        <v/>
      </c>
      <c r="P361" s="11">
        <f>IF(OR(M361="",R361&lt;&gt;""),"",(G361-M361)*E361)</f>
        <v/>
      </c>
      <c r="Q361" s="9">
        <f>IF(R361&lt;&gt;"","—",IF(M361&lt;G361,"Mais barato",IF(M361&gt;G361,"Mais caro","Igual")))</f>
        <v/>
      </c>
      <c r="R361" s="10" t="n"/>
    </row>
    <row r="362">
      <c r="A362" s="9" t="n">
        <v>556341</v>
      </c>
      <c r="B362" s="10" t="inlineStr">
        <is>
          <t>KOIDE D 0,25MG/5ML+2 MG/5ML XPE FR 120ML+CP MED</t>
        </is>
      </c>
      <c r="C362" s="10" t="inlineStr">
        <is>
          <t>RX</t>
        </is>
      </c>
      <c r="D362" s="9" t="inlineStr">
        <is>
          <t>A</t>
        </is>
      </c>
      <c r="E362" s="9" t="n">
        <v>12</v>
      </c>
      <c r="F362" s="9" t="n">
        <v>1</v>
      </c>
      <c r="G362" s="11" t="n">
        <v>38.1</v>
      </c>
      <c r="H362" s="10" t="inlineStr">
        <is>
          <t>SC DISTRIBUICAO LTDA</t>
        </is>
      </c>
      <c r="I362" s="12" t="inlineStr">
        <is>
          <t>7891317015060</t>
        </is>
      </c>
      <c r="J362" s="10" t="inlineStr">
        <is>
          <t>XAROPE KOIDE D 120ML</t>
        </is>
      </c>
      <c r="K362" s="11" t="n">
        <v>38.91</v>
      </c>
      <c r="L362" s="13" t="n">
        <v>0.04</v>
      </c>
      <c r="M362" s="11">
        <f>IF(K362="","",ROUND(K362*(1-L362),2))</f>
        <v/>
      </c>
      <c r="N362" s="9" t="n">
        <v>1800</v>
      </c>
      <c r="O362" s="14">
        <f>IF(OR(M362="",R362&lt;&gt;""),"",M362/G362-1)</f>
        <v/>
      </c>
      <c r="P362" s="11">
        <f>IF(OR(M362="",R362&lt;&gt;""),"",(G362-M362)*E362)</f>
        <v/>
      </c>
      <c r="Q362" s="9">
        <f>IF(R362&lt;&gt;"","—",IF(M362&lt;G362,"Mais barato",IF(M362&gt;G362,"Mais caro","Igual")))</f>
        <v/>
      </c>
      <c r="R362" s="10" t="n"/>
    </row>
    <row r="363">
      <c r="A363" s="9" t="n">
        <v>190241</v>
      </c>
      <c r="B363" s="10" t="inlineStr">
        <is>
          <t>KOLLAGENASE 0,6U/G POM DERM BG 30G+ESP</t>
        </is>
      </c>
      <c r="C363" s="10" t="inlineStr">
        <is>
          <t>RX - OTC</t>
        </is>
      </c>
      <c r="D363" s="9" t="inlineStr">
        <is>
          <t>A</t>
        </is>
      </c>
      <c r="E363" s="9" t="n">
        <v>4</v>
      </c>
      <c r="F363" s="9" t="n">
        <v>1</v>
      </c>
      <c r="G363" s="11" t="n">
        <v>54.35</v>
      </c>
      <c r="H363" s="10" t="inlineStr">
        <is>
          <t>SC DISTRIBUICAO LTDA</t>
        </is>
      </c>
      <c r="I363" s="12" t="inlineStr">
        <is>
          <t>7896676427745</t>
        </is>
      </c>
      <c r="J363" s="10" t="inlineStr">
        <is>
          <t>POMADA KOLLAGENASE 0,6UI 30G + ESPATULA</t>
        </is>
      </c>
      <c r="K363" s="11" t="n">
        <v>54.94</v>
      </c>
      <c r="L363" s="13" t="n">
        <v>0.05</v>
      </c>
      <c r="M363" s="11">
        <f>IF(K363="","",ROUND(K363*(1-L363),2))</f>
        <v/>
      </c>
      <c r="N363" s="9" t="n">
        <v>725</v>
      </c>
      <c r="O363" s="14">
        <f>IF(OR(M363="",R363&lt;&gt;""),"",M363/G363-1)</f>
        <v/>
      </c>
      <c r="P363" s="11">
        <f>IF(OR(M363="",R363&lt;&gt;""),"",(G363-M363)*E363)</f>
        <v/>
      </c>
      <c r="Q363" s="9">
        <f>IF(R363&lt;&gt;"","—",IF(M363&lt;G363,"Mais barato",IF(M363&gt;G363,"Mais caro","Igual")))</f>
        <v/>
      </c>
      <c r="R363" s="10" t="n"/>
    </row>
    <row r="364">
      <c r="A364" s="9" t="n">
        <v>633041</v>
      </c>
      <c r="B364" s="10" t="inlineStr">
        <is>
          <t>KRONEL GEL GIN BG 60G+10APLIC</t>
        </is>
      </c>
      <c r="C364" s="10" t="inlineStr">
        <is>
          <t>RX - OTC</t>
        </is>
      </c>
      <c r="D364" s="9" t="inlineStr">
        <is>
          <t>C</t>
        </is>
      </c>
      <c r="E364" s="9" t="n">
        <v>1</v>
      </c>
      <c r="F364" s="9" t="n">
        <v>1</v>
      </c>
      <c r="G364" s="11" t="n">
        <v>87.86</v>
      </c>
      <c r="H364" s="10" t="inlineStr">
        <is>
          <t>NAZARIA DISTRIBUIDORA DE PRODUTOS FARMACEUTICOS LTDA</t>
        </is>
      </c>
      <c r="I364" s="12" t="inlineStr">
        <is>
          <t>7896685300657</t>
        </is>
      </c>
      <c r="J364" s="10" t="inlineStr">
        <is>
          <t>KRONEL GEL GINECOLOGICO 60G 10 APLICADORES</t>
        </is>
      </c>
      <c r="K364" s="11" t="n">
        <v>92.90000000000001</v>
      </c>
      <c r="L364" s="13" t="n">
        <v>0.1</v>
      </c>
      <c r="M364" s="11">
        <f>IF(K364="","",ROUND(K364*(1-L364),2))</f>
        <v/>
      </c>
      <c r="N364" s="9" t="n">
        <v>252</v>
      </c>
      <c r="O364" s="14">
        <f>IF(OR(M364="",R364&lt;&gt;""),"",M364/G364-1)</f>
        <v/>
      </c>
      <c r="P364" s="11">
        <f>IF(OR(M364="",R364&lt;&gt;""),"",(G364-M364)*E364)</f>
        <v/>
      </c>
      <c r="Q364" s="9">
        <f>IF(R364&lt;&gt;"","—",IF(M364&lt;G364,"Mais barato",IF(M364&gt;G364,"Mais caro","Igual")))</f>
        <v/>
      </c>
      <c r="R364" s="10" t="n"/>
    </row>
    <row r="365">
      <c r="A365" s="9" t="n">
        <v>606681</v>
      </c>
      <c r="B365" s="10" t="inlineStr">
        <is>
          <t>KRONEL SAB LIQ INTIMO FR 80ML</t>
        </is>
      </c>
      <c r="C365" s="10" t="inlineStr">
        <is>
          <t>RX</t>
        </is>
      </c>
      <c r="D365" s="9" t="inlineStr">
        <is>
          <t>A</t>
        </is>
      </c>
      <c r="E365" s="9" t="n">
        <v>7</v>
      </c>
      <c r="F365" s="9" t="n">
        <v>1</v>
      </c>
      <c r="G365" s="11" t="n">
        <v>12.33</v>
      </c>
      <c r="H365" s="10" t="inlineStr">
        <is>
          <t>SC DISTRIBUICAO LTDA</t>
        </is>
      </c>
      <c r="I365" s="12" t="inlineStr">
        <is>
          <t>7896685303863</t>
        </is>
      </c>
      <c r="J365" s="10" t="inlineStr">
        <is>
          <t>SABONETE LIQUIDO INTIMO KRONEL 80ML</t>
        </is>
      </c>
      <c r="K365" s="11" t="n">
        <v>12.29</v>
      </c>
      <c r="L365" s="13" t="n">
        <v>0</v>
      </c>
      <c r="M365" s="11">
        <f>IF(K365="","",ROUND(K365*(1-L365),2))</f>
        <v/>
      </c>
      <c r="N365" s="9" t="n">
        <v>3274</v>
      </c>
      <c r="O365" s="14">
        <f>IF(OR(M365="",R365&lt;&gt;""),"",M365/G365-1)</f>
        <v/>
      </c>
      <c r="P365" s="11">
        <f>IF(OR(M365="",R365&lt;&gt;""),"",(G365-M365)*E365)</f>
        <v/>
      </c>
      <c r="Q365" s="9">
        <f>IF(R365&lt;&gt;"","—",IF(M365&lt;G365,"Mais barato",IF(M365&gt;G365,"Mais caro","Igual")))</f>
        <v/>
      </c>
      <c r="R365" s="10" t="n"/>
    </row>
    <row r="366">
      <c r="A366" s="9" t="n">
        <v>582461</v>
      </c>
      <c r="B366" s="10" t="inlineStr">
        <is>
          <t>LABIAL NIVEA CEREJA SHINE 4,8G</t>
        </is>
      </c>
      <c r="C366" s="10" t="inlineStr">
        <is>
          <t>RX</t>
        </is>
      </c>
      <c r="D366" s="9" t="inlineStr">
        <is>
          <t>B</t>
        </is>
      </c>
      <c r="E366" s="9" t="n">
        <v>4</v>
      </c>
      <c r="F366" s="9" t="n">
        <v>1</v>
      </c>
      <c r="G366" s="11" t="n">
        <v>14.17</v>
      </c>
      <c r="H366" s="10" t="inlineStr">
        <is>
          <t>SC DISTRIBUICAO LTDA</t>
        </is>
      </c>
      <c r="I366" s="12" t="inlineStr">
        <is>
          <t>4005900663993</t>
        </is>
      </c>
      <c r="J366" s="10" t="inlineStr">
        <is>
          <t>PROTETOR LABIAL LIPE CARE CEREJA NIVEA 4,8G</t>
        </is>
      </c>
      <c r="K366" s="11" t="n">
        <v>17.75</v>
      </c>
      <c r="L366" s="13" t="n">
        <v>0</v>
      </c>
      <c r="M366" s="11">
        <f>IF(K366="","",ROUND(K366*(1-L366),2))</f>
        <v/>
      </c>
      <c r="N366" s="9" t="n">
        <v>1532</v>
      </c>
      <c r="O366" s="14">
        <f>IF(OR(M366="",R366&lt;&gt;""),"",M366/G366-1)</f>
        <v/>
      </c>
      <c r="P366" s="11">
        <f>IF(OR(M366="",R366&lt;&gt;""),"",(G366-M366)*E366)</f>
        <v/>
      </c>
      <c r="Q366" s="9">
        <f>IF(R366&lt;&gt;"","—",IF(M366&lt;G366,"Mais barato",IF(M366&gt;G366,"Mais caro","Igual")))</f>
        <v/>
      </c>
      <c r="R366" s="10" t="n"/>
    </row>
    <row r="367">
      <c r="A367" s="9" t="n">
        <v>621451</v>
      </c>
      <c r="B367" s="10" t="inlineStr">
        <is>
          <t>LABIAL NIVEA MED PROTEC 4,8G</t>
        </is>
      </c>
      <c r="C367" s="10" t="inlineStr">
        <is>
          <t>RX</t>
        </is>
      </c>
      <c r="D367" s="9" t="inlineStr">
        <is>
          <t>B</t>
        </is>
      </c>
      <c r="E367" s="9" t="n">
        <v>2</v>
      </c>
      <c r="F367" s="9" t="n">
        <v>1</v>
      </c>
      <c r="G367" s="11" t="n">
        <v>22.6983</v>
      </c>
      <c r="H367" s="10" t="inlineStr">
        <is>
          <t>SC DISTRIBUICAO LTDA</t>
        </is>
      </c>
      <c r="I367" s="12" t="inlineStr">
        <is>
          <t>4005808369621</t>
        </is>
      </c>
      <c r="J367" s="10" t="inlineStr">
        <is>
          <t>PROTETOR LABIAL LIPE CARE REPAIR NIVEA 4,8G</t>
        </is>
      </c>
      <c r="K367" s="11" t="n">
        <v>21.18</v>
      </c>
      <c r="L367" s="13" t="n">
        <v>0</v>
      </c>
      <c r="M367" s="11">
        <f>IF(K367="","",ROUND(K367*(1-L367),2))</f>
        <v/>
      </c>
      <c r="N367" s="9" t="n"/>
      <c r="O367" s="14">
        <f>IF(OR(M367="",R367&lt;&gt;""),"",M367/G367-1)</f>
        <v/>
      </c>
      <c r="P367" s="11">
        <f>IF(OR(M367="",R367&lt;&gt;""),"",(G367-M367)*E367)</f>
        <v/>
      </c>
      <c r="Q367" s="9">
        <f>IF(R367&lt;&gt;"","—",IF(M367&lt;G367,"Mais barato",IF(M367&gt;G367,"Mais caro","Igual")))</f>
        <v/>
      </c>
      <c r="R367" s="10" t="n"/>
    </row>
    <row r="368">
      <c r="A368" s="9" t="n">
        <v>621481</v>
      </c>
      <c r="B368" s="10" t="inlineStr">
        <is>
          <t>LABIAL NIVEA ROSA PINK 4,8G</t>
        </is>
      </c>
      <c r="C368" s="10" t="inlineStr">
        <is>
          <t>RX</t>
        </is>
      </c>
      <c r="D368" s="9" t="inlineStr">
        <is>
          <t>B</t>
        </is>
      </c>
      <c r="E368" s="9" t="n">
        <v>1</v>
      </c>
      <c r="F368" s="9" t="n">
        <v>1</v>
      </c>
      <c r="G368" s="11" t="n">
        <v>16.9217</v>
      </c>
      <c r="H368" s="10" t="inlineStr">
        <is>
          <t>NAZARIA DISTRIBUIDORA DE PRODUTOS FARMACEUTICOS LTDA</t>
        </is>
      </c>
      <c r="I368" s="12" t="n"/>
      <c r="J368" s="10" t="n"/>
      <c r="K368" s="11" t="n"/>
      <c r="L368" s="13" t="n"/>
      <c r="M368" s="11">
        <f>IF(K368="","",ROUND(K368*(1-L368),2))</f>
        <v/>
      </c>
      <c r="N368" s="9" t="n"/>
      <c r="O368" s="14">
        <f>IF(OR(M368="",R368&lt;&gt;""),"",M368/G368-1)</f>
        <v/>
      </c>
      <c r="P368" s="11">
        <f>IF(OR(M368="",R368&lt;&gt;""),"",(G368-M368)*E368)</f>
        <v/>
      </c>
      <c r="Q368" s="9">
        <f>IF(R368&lt;&gt;"","—",IF(M368&lt;G368,"Mais barato",IF(M368&gt;G368,"Mais caro","Igual")))</f>
        <v/>
      </c>
      <c r="R368" s="10" t="inlineStr">
        <is>
          <t>Não encontrado</t>
        </is>
      </c>
    </row>
    <row r="369">
      <c r="A369" s="9" t="n">
        <v>615351</v>
      </c>
      <c r="B369" s="10" t="inlineStr">
        <is>
          <t>LABIAL NIVEA STAR FRU STRAWB 4,8G</t>
        </is>
      </c>
      <c r="C369" s="10" t="inlineStr">
        <is>
          <t>RX</t>
        </is>
      </c>
      <c r="D369" s="9" t="inlineStr">
        <is>
          <t>A</t>
        </is>
      </c>
      <c r="E369" s="9" t="n">
        <v>5</v>
      </c>
      <c r="F369" s="9" t="n">
        <v>1</v>
      </c>
      <c r="G369" s="11" t="n">
        <v>14.2933</v>
      </c>
      <c r="H369" s="10" t="inlineStr">
        <is>
          <t>SC DISTRIBUICAO LTDA</t>
        </is>
      </c>
      <c r="I369" s="12" t="inlineStr">
        <is>
          <t>4005808850839</t>
        </is>
      </c>
      <c r="J369" s="10" t="inlineStr">
        <is>
          <t>PROTETOR LABIAL LIPE CARE MORANGO NIVEA 4,8G</t>
        </is>
      </c>
      <c r="K369" s="11" t="n">
        <v>17.75</v>
      </c>
      <c r="L369" s="13" t="n">
        <v>0</v>
      </c>
      <c r="M369" s="11">
        <f>IF(K369="","",ROUND(K369*(1-L369),2))</f>
        <v/>
      </c>
      <c r="N369" s="9" t="n">
        <v>1237</v>
      </c>
      <c r="O369" s="14">
        <f>IF(OR(M369="",R369&lt;&gt;""),"",M369/G369-1)</f>
        <v/>
      </c>
      <c r="P369" s="11">
        <f>IF(OR(M369="",R369&lt;&gt;""),"",(G369-M369)*E369)</f>
        <v/>
      </c>
      <c r="Q369" s="9">
        <f>IF(R369&lt;&gt;"","—",IF(M369&lt;G369,"Mais barato",IF(M369&gt;G369,"Mais caro","Igual")))</f>
        <v/>
      </c>
      <c r="R369" s="10" t="n"/>
    </row>
    <row r="370">
      <c r="A370" s="9" t="n">
        <v>128981</v>
      </c>
      <c r="B370" s="10" t="inlineStr">
        <is>
          <t>LABIRIN 16MG CX 30 COMP</t>
        </is>
      </c>
      <c r="C370" s="10" t="inlineStr">
        <is>
          <t>RX</t>
        </is>
      </c>
      <c r="D370" s="9" t="inlineStr">
        <is>
          <t>A</t>
        </is>
      </c>
      <c r="E370" s="9" t="n">
        <v>3</v>
      </c>
      <c r="F370" s="9" t="n">
        <v>1</v>
      </c>
      <c r="G370" s="11" t="n">
        <v>18.52</v>
      </c>
      <c r="H370" s="10" t="inlineStr">
        <is>
          <t>NAZARIA DISTRIBUIDORA DE PRODUTOS FARMACEUTICOS LTDA</t>
        </is>
      </c>
      <c r="I370" s="12" t="inlineStr">
        <is>
          <t>7896637028479</t>
        </is>
      </c>
      <c r="J370" s="10" t="inlineStr">
        <is>
          <t>LABIRIN 16MG C/30 COMPRIMIDOS</t>
        </is>
      </c>
      <c r="K370" s="11" t="n">
        <v>19.44</v>
      </c>
      <c r="L370" s="13" t="n">
        <v>0.04</v>
      </c>
      <c r="M370" s="11">
        <f>IF(K370="","",ROUND(K370*(1-L370),2))</f>
        <v/>
      </c>
      <c r="N370" s="9" t="n">
        <v>479</v>
      </c>
      <c r="O370" s="14">
        <f>IF(OR(M370="",R370&lt;&gt;""),"",M370/G370-1)</f>
        <v/>
      </c>
      <c r="P370" s="11">
        <f>IF(OR(M370="",R370&lt;&gt;""),"",(G370-M370)*E370)</f>
        <v/>
      </c>
      <c r="Q370" s="9">
        <f>IF(R370&lt;&gt;"","—",IF(M370&lt;G370,"Mais barato",IF(M370&gt;G370,"Mais caro","Igual")))</f>
        <v/>
      </c>
      <c r="R370" s="10" t="n"/>
    </row>
    <row r="371">
      <c r="A371" s="9" t="n">
        <v>129021</v>
      </c>
      <c r="B371" s="10" t="inlineStr">
        <is>
          <t>LABIRIN 24MG CX 30 COMP</t>
        </is>
      </c>
      <c r="C371" s="10" t="inlineStr">
        <is>
          <t>RX</t>
        </is>
      </c>
      <c r="D371" s="9" t="inlineStr">
        <is>
          <t>A</t>
        </is>
      </c>
      <c r="E371" s="9" t="n">
        <v>4</v>
      </c>
      <c r="F371" s="9" t="n">
        <v>1</v>
      </c>
      <c r="G371" s="11" t="n">
        <v>19.44</v>
      </c>
      <c r="H371" s="10" t="inlineStr">
        <is>
          <t>NAZARIA DISTRIBUIDORA DE PRODUTOS FARMACEUTICOS LTDA</t>
        </is>
      </c>
      <c r="I371" s="12" t="inlineStr">
        <is>
          <t>7896637028523</t>
        </is>
      </c>
      <c r="J371" s="10" t="inlineStr">
        <is>
          <t>LABIRIN 24MG C/30 COMPRIMIDOS</t>
        </is>
      </c>
      <c r="K371" s="11" t="n">
        <v>25.66</v>
      </c>
      <c r="L371" s="13" t="n">
        <v>0.04</v>
      </c>
      <c r="M371" s="11">
        <f>IF(K371="","",ROUND(K371*(1-L371),2))</f>
        <v/>
      </c>
      <c r="N371" s="9" t="n">
        <v>1258</v>
      </c>
      <c r="O371" s="14">
        <f>IF(OR(M371="",R371&lt;&gt;""),"",M371/G371-1)</f>
        <v/>
      </c>
      <c r="P371" s="11">
        <f>IF(OR(M371="",R371&lt;&gt;""),"",(G371-M371)*E371)</f>
        <v/>
      </c>
      <c r="Q371" s="9">
        <f>IF(R371&lt;&gt;"","—",IF(M371&lt;G371,"Mais barato",IF(M371&gt;G371,"Mais caro","Igual")))</f>
        <v/>
      </c>
      <c r="R371" s="10" t="n"/>
    </row>
    <row r="372">
      <c r="A372" s="9" t="n">
        <v>662291</v>
      </c>
      <c r="B372" s="10" t="inlineStr">
        <is>
          <t>LABIRIN XR 48MG 30CPR</t>
        </is>
      </c>
      <c r="C372" s="10" t="inlineStr">
        <is>
          <t>RX</t>
        </is>
      </c>
      <c r="D372" s="9" t="inlineStr">
        <is>
          <t>A</t>
        </is>
      </c>
      <c r="E372" s="9" t="n">
        <v>1</v>
      </c>
      <c r="F372" s="9" t="n">
        <v>1</v>
      </c>
      <c r="G372" s="11" t="n">
        <v>66.52</v>
      </c>
      <c r="H372" s="10" t="inlineStr">
        <is>
          <t>SC DISTRIBUICAO LTDA</t>
        </is>
      </c>
      <c r="I372" s="12" t="inlineStr">
        <is>
          <t>7896637034852</t>
        </is>
      </c>
      <c r="J372" s="10" t="inlineStr">
        <is>
          <t>LABIRIN XR 48MG C/30 COMPRIMIDOS REVESTIDOS</t>
        </is>
      </c>
      <c r="K372" s="11" t="n">
        <v>64.01000000000001</v>
      </c>
      <c r="L372" s="13" t="n">
        <v>0.04</v>
      </c>
      <c r="M372" s="11">
        <f>IF(K372="","",ROUND(K372*(1-L372),2))</f>
        <v/>
      </c>
      <c r="N372" s="9" t="n">
        <v>148</v>
      </c>
      <c r="O372" s="14">
        <f>IF(OR(M372="",R372&lt;&gt;""),"",M372/G372-1)</f>
        <v/>
      </c>
      <c r="P372" s="11">
        <f>IF(OR(M372="",R372&lt;&gt;""),"",(G372-M372)*E372)</f>
        <v/>
      </c>
      <c r="Q372" s="9">
        <f>IF(R372&lt;&gt;"","—",IF(M372&lt;G372,"Mais barato",IF(M372&gt;G372,"Mais caro","Igual")))</f>
        <v/>
      </c>
      <c r="R372" s="10" t="n"/>
    </row>
    <row r="373">
      <c r="A373" s="9" t="n">
        <v>208201</v>
      </c>
      <c r="B373" s="10" t="inlineStr">
        <is>
          <t>LACRIBELL 1+3MG SOL OFT FR 15ML</t>
        </is>
      </c>
      <c r="C373" s="10" t="inlineStr">
        <is>
          <t>RX - OTC</t>
        </is>
      </c>
      <c r="D373" s="9" t="inlineStr">
        <is>
          <t>B</t>
        </is>
      </c>
      <c r="E373" s="9" t="n">
        <v>2</v>
      </c>
      <c r="F373" s="9" t="n">
        <v>1</v>
      </c>
      <c r="G373" s="11" t="n">
        <v>18.59</v>
      </c>
      <c r="H373" s="10" t="inlineStr">
        <is>
          <t>SC DISTRIBUICAO LTDA</t>
        </is>
      </c>
      <c r="I373" s="12" t="inlineStr">
        <is>
          <t>7896676432855</t>
        </is>
      </c>
      <c r="J373" s="10" t="inlineStr">
        <is>
          <t>LACRIBELL GOTAS SOLUCAO OFTALMICA 15ML</t>
        </is>
      </c>
      <c r="K373" s="11" t="n">
        <v>18.79</v>
      </c>
      <c r="L373" s="13" t="n">
        <v>0.05</v>
      </c>
      <c r="M373" s="11">
        <f>IF(K373="","",ROUND(K373*(1-L373),2))</f>
        <v/>
      </c>
      <c r="N373" s="9" t="n">
        <v>915</v>
      </c>
      <c r="O373" s="14">
        <f>IF(OR(M373="",R373&lt;&gt;""),"",M373/G373-1)</f>
        <v/>
      </c>
      <c r="P373" s="11">
        <f>IF(OR(M373="",R373&lt;&gt;""),"",(G373-M373)*E373)</f>
        <v/>
      </c>
      <c r="Q373" s="9">
        <f>IF(R373&lt;&gt;"","—",IF(M373&lt;G373,"Mais barato",IF(M373&gt;G373,"Mais caro","Igual")))</f>
        <v/>
      </c>
      <c r="R373" s="10" t="n"/>
    </row>
    <row r="374">
      <c r="A374" s="9" t="n">
        <v>82021</v>
      </c>
      <c r="B374" s="10" t="inlineStr">
        <is>
          <t>LACRIFILM 5MG/ML SOL OFT FR GTS 10ML</t>
        </is>
      </c>
      <c r="C374" s="10" t="inlineStr">
        <is>
          <t>RX - OTC</t>
        </is>
      </c>
      <c r="D374" s="9" t="inlineStr">
        <is>
          <t>A</t>
        </is>
      </c>
      <c r="E374" s="9" t="n">
        <v>11</v>
      </c>
      <c r="F374" s="9" t="n">
        <v>1</v>
      </c>
      <c r="G374" s="11" t="n">
        <v>24.8794</v>
      </c>
      <c r="H374" s="10" t="inlineStr">
        <is>
          <t>SC DISTRIBUICAO LTDA</t>
        </is>
      </c>
      <c r="I374" s="12" t="inlineStr">
        <is>
          <t>7896006291398</t>
        </is>
      </c>
      <c r="J374" s="10" t="inlineStr">
        <is>
          <t>LACRIFILM SOLUCAO OFTALMICA 5MG 10ML</t>
        </is>
      </c>
      <c r="K374" s="11" t="n">
        <v>28.1</v>
      </c>
      <c r="L374" s="13" t="n">
        <v>0.04</v>
      </c>
      <c r="M374" s="11">
        <f>IF(K374="","",ROUND(K374*(1-L374),2))</f>
        <v/>
      </c>
      <c r="N374" s="9" t="n">
        <v>2290</v>
      </c>
      <c r="O374" s="14">
        <f>IF(OR(M374="",R374&lt;&gt;""),"",M374/G374-1)</f>
        <v/>
      </c>
      <c r="P374" s="11">
        <f>IF(OR(M374="",R374&lt;&gt;""),"",(G374-M374)*E374)</f>
        <v/>
      </c>
      <c r="Q374" s="9">
        <f>IF(R374&lt;&gt;"","—",IF(M374&lt;G374,"Mais barato",IF(M374&gt;G374,"Mais caro","Igual")))</f>
        <v/>
      </c>
      <c r="R374" s="10" t="n"/>
    </row>
    <row r="375">
      <c r="A375" s="9" t="n">
        <v>58821</v>
      </c>
      <c r="B375" s="10" t="inlineStr">
        <is>
          <t>LACTO-PURGA 5MG CARTELA 6 CP</t>
        </is>
      </c>
      <c r="C375" s="10" t="inlineStr">
        <is>
          <t>RX</t>
        </is>
      </c>
      <c r="D375" s="9" t="inlineStr">
        <is>
          <t>A</t>
        </is>
      </c>
      <c r="E375" s="9" t="n">
        <v>1</v>
      </c>
      <c r="F375" s="9" t="n">
        <v>25</v>
      </c>
      <c r="G375" s="11" t="n">
        <v>101.94</v>
      </c>
      <c r="H375" s="10" t="inlineStr">
        <is>
          <t>SC DISTRIBUICAO LTDA</t>
        </is>
      </c>
      <c r="I375" s="12" t="inlineStr">
        <is>
          <t>7896094903234</t>
        </is>
      </c>
      <c r="J375" s="10" t="inlineStr">
        <is>
          <t>LACTO PURGA 5MG C/25X6 COMPRIMIDOS REV</t>
        </is>
      </c>
      <c r="K375" s="11" t="n">
        <v>119.97</v>
      </c>
      <c r="L375" s="13" t="n">
        <v>0.035</v>
      </c>
      <c r="M375" s="11">
        <f>IF(K375="","",ROUND(K375*(1-L375),2))</f>
        <v/>
      </c>
      <c r="N375" s="9" t="n">
        <v>453</v>
      </c>
      <c r="O375" s="14">
        <f>IF(OR(M375="",R375&lt;&gt;""),"",M375/G375-1)</f>
        <v/>
      </c>
      <c r="P375" s="11">
        <f>IF(OR(M375="",R375&lt;&gt;""),"",(G375-M375)*E375)</f>
        <v/>
      </c>
      <c r="Q375" s="9">
        <f>IF(R375&lt;&gt;"","—",IF(M375&lt;G375,"Mais barato",IF(M375&gt;G375,"Mais caro","Igual")))</f>
        <v/>
      </c>
      <c r="R375" s="10" t="n"/>
    </row>
    <row r="376">
      <c r="A376" s="9" t="n">
        <v>58841</v>
      </c>
      <c r="B376" s="10" t="inlineStr">
        <is>
          <t>LACTO-PURGA CX 16 COMP REV</t>
        </is>
      </c>
      <c r="C376" s="10" t="inlineStr">
        <is>
          <t>RX - OTC</t>
        </is>
      </c>
      <c r="D376" s="9" t="inlineStr">
        <is>
          <t>A</t>
        </is>
      </c>
      <c r="E376" s="9" t="n">
        <v>7</v>
      </c>
      <c r="F376" s="9" t="n">
        <v>1</v>
      </c>
      <c r="G376" s="11" t="n">
        <v>9.585000000000001</v>
      </c>
      <c r="H376" s="10" t="inlineStr">
        <is>
          <t>SC DISTRIBUICAO LTDA</t>
        </is>
      </c>
      <c r="I376" s="12" t="inlineStr">
        <is>
          <t>7896094904118</t>
        </is>
      </c>
      <c r="J376" s="10" t="inlineStr">
        <is>
          <t>LACTO PURGA C/16 COMPRIMIDOS</t>
        </is>
      </c>
      <c r="K376" s="11" t="n">
        <v>11.28</v>
      </c>
      <c r="L376" s="13" t="n">
        <v>0.035</v>
      </c>
      <c r="M376" s="11">
        <f>IF(K376="","",ROUND(K376*(1-L376),2))</f>
        <v/>
      </c>
      <c r="N376" s="9" t="n">
        <v>305</v>
      </c>
      <c r="O376" s="14">
        <f>IF(OR(M376="",R376&lt;&gt;""),"",M376/G376-1)</f>
        <v/>
      </c>
      <c r="P376" s="11">
        <f>IF(OR(M376="",R376&lt;&gt;""),"",(G376-M376)*E376)</f>
        <v/>
      </c>
      <c r="Q376" s="9">
        <f>IF(R376&lt;&gt;"","—",IF(M376&lt;G376,"Mais barato",IF(M376&gt;G376,"Mais caro","Igual")))</f>
        <v/>
      </c>
      <c r="R376" s="10" t="n"/>
    </row>
    <row r="377">
      <c r="A377" s="9" t="n">
        <v>310061</v>
      </c>
      <c r="B377" s="10" t="inlineStr">
        <is>
          <t>LACTULONA 667MG/ML XPE FR 120ML SB AMEIXA</t>
        </is>
      </c>
      <c r="C377" s="10" t="inlineStr">
        <is>
          <t>RX - OTC</t>
        </is>
      </c>
      <c r="D377" s="9" t="inlineStr">
        <is>
          <t>A</t>
        </is>
      </c>
      <c r="E377" s="9" t="n">
        <v>1</v>
      </c>
      <c r="F377" s="9" t="n">
        <v>1</v>
      </c>
      <c r="G377" s="11" t="n">
        <v>48.17</v>
      </c>
      <c r="H377" s="10" t="inlineStr">
        <is>
          <t>SC DISTRIBUICAO LTDA</t>
        </is>
      </c>
      <c r="I377" s="12" t="inlineStr">
        <is>
          <t>7897411610750</t>
        </is>
      </c>
      <c r="J377" s="10" t="inlineStr">
        <is>
          <t>XAROPE LACTULONA AMEIXA 667MG 120ML</t>
        </is>
      </c>
      <c r="K377" s="11" t="n">
        <v>46.84</v>
      </c>
      <c r="L377" s="13" t="n">
        <v>0.04</v>
      </c>
      <c r="M377" s="11">
        <f>IF(K377="","",ROUND(K377*(1-L377),2))</f>
        <v/>
      </c>
      <c r="N377" s="9" t="n"/>
      <c r="O377" s="14">
        <f>IF(OR(M377="",R377&lt;&gt;""),"",M377/G377-1)</f>
        <v/>
      </c>
      <c r="P377" s="11">
        <f>IF(OR(M377="",R377&lt;&gt;""),"",(G377-M377)*E377)</f>
        <v/>
      </c>
      <c r="Q377" s="9">
        <f>IF(R377&lt;&gt;"","—",IF(M377&lt;G377,"Mais barato",IF(M377&gt;G377,"Mais caro","Igual")))</f>
        <v/>
      </c>
      <c r="R377" s="10" t="n"/>
    </row>
    <row r="378">
      <c r="A378" s="9" t="n">
        <v>555341</v>
      </c>
      <c r="B378" s="10" t="inlineStr">
        <is>
          <t>LAKESIA GENOMMA CAIXA 30ML SOLUÇÃO ANTIMICÓTICA</t>
        </is>
      </c>
      <c r="C378" s="10" t="inlineStr">
        <is>
          <t>RX - OTC</t>
        </is>
      </c>
      <c r="D378" s="9" t="inlineStr">
        <is>
          <t>A</t>
        </is>
      </c>
      <c r="E378" s="9" t="n">
        <v>1</v>
      </c>
      <c r="F378" s="9" t="n">
        <v>1</v>
      </c>
      <c r="G378" s="11" t="n">
        <v>35.342</v>
      </c>
      <c r="H378" s="10" t="inlineStr">
        <is>
          <t>SC DISTRIBUICAO LTDA</t>
        </is>
      </c>
      <c r="I378" s="12" t="inlineStr">
        <is>
          <t>7898949409458</t>
        </is>
      </c>
      <c r="J378" s="10" t="inlineStr">
        <is>
          <t>LA KESIA ANTIMICOTICO 30ML</t>
        </is>
      </c>
      <c r="K378" s="11" t="n">
        <v>43.65</v>
      </c>
      <c r="L378" s="13" t="n">
        <v>0</v>
      </c>
      <c r="M378" s="11">
        <f>IF(K378="","",ROUND(K378*(1-L378),2))</f>
        <v/>
      </c>
      <c r="N378" s="9" t="n">
        <v>310</v>
      </c>
      <c r="O378" s="14">
        <f>IF(OR(M378="",R378&lt;&gt;""),"",M378/G378-1)</f>
        <v/>
      </c>
      <c r="P378" s="11">
        <f>IF(OR(M378="",R378&lt;&gt;""),"",(G378-M378)*E378)</f>
        <v/>
      </c>
      <c r="Q378" s="9">
        <f>IF(R378&lt;&gt;"","—",IF(M378&lt;G378,"Mais barato",IF(M378&gt;G378,"Mais caro","Igual")))</f>
        <v/>
      </c>
      <c r="R378" s="10" t="n"/>
    </row>
    <row r="379">
      <c r="A379" s="9" t="n">
        <v>1173</v>
      </c>
      <c r="B379" s="10" t="inlineStr">
        <is>
          <t>LANCETAS PARA LANCETADOR 28G C/100 UND</t>
        </is>
      </c>
      <c r="C379" s="10" t="inlineStr">
        <is>
          <t>RX - OTC</t>
        </is>
      </c>
      <c r="D379" s="9" t="inlineStr">
        <is>
          <t>B</t>
        </is>
      </c>
      <c r="E379" s="9" t="n">
        <v>6</v>
      </c>
      <c r="F379" s="9" t="n">
        <v>1</v>
      </c>
      <c r="G379" s="11" t="n">
        <v>5.6025</v>
      </c>
      <c r="H379" s="10" t="inlineStr">
        <is>
          <t>SC DISTRIBUICAO LTDA</t>
        </is>
      </c>
      <c r="I379" s="12" t="inlineStr">
        <is>
          <t>7898639691934</t>
        </is>
      </c>
      <c r="J379" s="10" t="inlineStr">
        <is>
          <t>LANCETA C/100 LANCETAS</t>
        </is>
      </c>
      <c r="K379" s="11" t="n">
        <v>5.54</v>
      </c>
      <c r="L379" s="13" t="n">
        <v>0</v>
      </c>
      <c r="M379" s="11">
        <f>IF(K379="","",ROUND(K379*(1-L379),2))</f>
        <v/>
      </c>
      <c r="N379" s="9" t="n">
        <v>495</v>
      </c>
      <c r="O379" s="14">
        <f>IF(OR(M379="",R379&lt;&gt;""),"",M379/G379-1)</f>
        <v/>
      </c>
      <c r="P379" s="11">
        <f>IF(OR(M379="",R379&lt;&gt;""),"",(G379-M379)*E379)</f>
        <v/>
      </c>
      <c r="Q379" s="9">
        <f>IF(R379&lt;&gt;"","—",IF(M379&lt;G379,"Mais barato",IF(M379&gt;G379,"Mais caro","Igual")))</f>
        <v/>
      </c>
      <c r="R379" s="10" t="n"/>
    </row>
    <row r="380">
      <c r="A380" s="9" t="n">
        <v>1183</v>
      </c>
      <c r="B380" s="10" t="inlineStr">
        <is>
          <t>LANCETAS PARA LANCETADOR 30G C/50 UND</t>
        </is>
      </c>
      <c r="C380" s="10" t="inlineStr">
        <is>
          <t>RX - DIABETES</t>
        </is>
      </c>
      <c r="D380" s="9" t="inlineStr">
        <is>
          <t>C</t>
        </is>
      </c>
      <c r="E380" s="9" t="n">
        <v>1</v>
      </c>
      <c r="F380" s="9" t="n">
        <v>1</v>
      </c>
      <c r="G380" s="11" t="n">
        <v>2.84</v>
      </c>
      <c r="H380" s="10" t="inlineStr">
        <is>
          <t>DSC DISTRIBUIDORA DE MEDICAMENTOS LTDA</t>
        </is>
      </c>
      <c r="I380" s="12" t="n"/>
      <c r="J380" s="10" t="n"/>
      <c r="K380" s="11" t="n"/>
      <c r="L380" s="13" t="n"/>
      <c r="M380" s="11">
        <f>IF(K380="","",ROUND(K380*(1-L380),2))</f>
        <v/>
      </c>
      <c r="N380" s="9" t="n"/>
      <c r="O380" s="14">
        <f>IF(OR(M380="",R380&lt;&gt;""),"",M380/G380-1)</f>
        <v/>
      </c>
      <c r="P380" s="11">
        <f>IF(OR(M380="",R380&lt;&gt;""),"",(G380-M380)*E380)</f>
        <v/>
      </c>
      <c r="Q380" s="9">
        <f>IF(R380&lt;&gt;"","—",IF(M380&lt;G380,"Mais barato",IF(M380&gt;G380,"Mais caro","Igual")))</f>
        <v/>
      </c>
      <c r="R380" s="10" t="inlineStr">
        <is>
          <t>Não encontrado</t>
        </is>
      </c>
    </row>
    <row r="381">
      <c r="A381" s="9" t="n">
        <v>655561</v>
      </c>
      <c r="B381" s="10" t="inlineStr">
        <is>
          <t>LARC 500MG C/14 COMP-SIMILAR</t>
        </is>
      </c>
      <c r="C381" s="10" t="inlineStr">
        <is>
          <t>RX</t>
        </is>
      </c>
      <c r="D381" s="9" t="inlineStr">
        <is>
          <t>C</t>
        </is>
      </c>
      <c r="E381" s="9" t="n">
        <v>2</v>
      </c>
      <c r="F381" s="9" t="n">
        <v>1</v>
      </c>
      <c r="G381" s="11" t="n">
        <v>33.36</v>
      </c>
      <c r="H381" s="10" t="inlineStr">
        <is>
          <t>SC DISTRIBUICAO LTDA</t>
        </is>
      </c>
      <c r="I381" s="12" t="n"/>
      <c r="J381" s="10" t="n"/>
      <c r="K381" s="11" t="n"/>
      <c r="L381" s="13" t="n"/>
      <c r="M381" s="11">
        <f>IF(K381="","",ROUND(K381*(1-L381),2))</f>
        <v/>
      </c>
      <c r="N381" s="9" t="n"/>
      <c r="O381" s="14">
        <f>IF(OR(M381="",R381&lt;&gt;""),"",M381/G381-1)</f>
        <v/>
      </c>
      <c r="P381" s="11">
        <f>IF(OR(M381="",R381&lt;&gt;""),"",(G381-M381)*E381)</f>
        <v/>
      </c>
      <c r="Q381" s="9">
        <f>IF(R381&lt;&gt;"","—",IF(M381&lt;G381,"Mais barato",IF(M381&gt;G381,"Mais caro","Igual")))</f>
        <v/>
      </c>
      <c r="R381" s="10" t="inlineStr">
        <is>
          <t>Não encontrado</t>
        </is>
      </c>
    </row>
    <row r="382">
      <c r="A382" s="9" t="n">
        <v>671941</v>
      </c>
      <c r="B382" s="10" t="inlineStr">
        <is>
          <t>LARC 600MG C/14 COMP REV-SIMILAR</t>
        </is>
      </c>
      <c r="C382" s="10" t="inlineStr">
        <is>
          <t>RX</t>
        </is>
      </c>
      <c r="D382" s="9" t="inlineStr">
        <is>
          <t>A</t>
        </is>
      </c>
      <c r="E382" s="9" t="n">
        <v>2</v>
      </c>
      <c r="F382" s="9" t="n">
        <v>1</v>
      </c>
      <c r="G382" s="11" t="n">
        <v>43.96</v>
      </c>
      <c r="H382" s="10" t="inlineStr">
        <is>
          <t>SC DISTRIBUICAO LTDA</t>
        </is>
      </c>
      <c r="I382" s="12" t="inlineStr">
        <is>
          <t>7891317040949</t>
        </is>
      </c>
      <c r="J382" s="10" t="inlineStr">
        <is>
          <t>LARC 600MG C/14 COMPRIMIDOS REVESTIDOS</t>
        </is>
      </c>
      <c r="K382" s="11" t="n">
        <v>43.66</v>
      </c>
      <c r="L382" s="13" t="n">
        <v>0.04</v>
      </c>
      <c r="M382" s="11">
        <f>IF(K382="","",ROUND(K382*(1-L382),2))</f>
        <v/>
      </c>
      <c r="N382" s="9" t="n"/>
      <c r="O382" s="14">
        <f>IF(OR(M382="",R382&lt;&gt;""),"",M382/G382-1)</f>
        <v/>
      </c>
      <c r="P382" s="11">
        <f>IF(OR(M382="",R382&lt;&gt;""),"",(G382-M382)*E382)</f>
        <v/>
      </c>
      <c r="Q382" s="9">
        <f>IF(R382&lt;&gt;"","—",IF(M382&lt;G382,"Mais barato",IF(M382&gt;G382,"Mais caro","Igual")))</f>
        <v/>
      </c>
      <c r="R382" s="10" t="n"/>
    </row>
    <row r="383">
      <c r="A383" s="9" t="n">
        <v>259401</v>
      </c>
      <c r="B383" s="10" t="inlineStr">
        <is>
          <t>LASIX 40MG CX 20 COMP</t>
        </is>
      </c>
      <c r="C383" s="10" t="inlineStr">
        <is>
          <t>RX</t>
        </is>
      </c>
      <c r="D383" s="9" t="inlineStr">
        <is>
          <t>C</t>
        </is>
      </c>
      <c r="E383" s="9" t="n">
        <v>2</v>
      </c>
      <c r="F383" s="9" t="n">
        <v>1</v>
      </c>
      <c r="G383" s="11" t="n">
        <v>19.615</v>
      </c>
      <c r="H383" s="10" t="inlineStr">
        <is>
          <t>SC DISTRIBUICAO LTDA</t>
        </is>
      </c>
      <c r="I383" s="12" t="inlineStr">
        <is>
          <t>7891058431037</t>
        </is>
      </c>
      <c r="J383" s="10" t="inlineStr">
        <is>
          <t>LASIX 40MG C/20 COMPRIMIDOS</t>
        </is>
      </c>
      <c r="K383" s="11" t="n">
        <v>19.61</v>
      </c>
      <c r="L383" s="13" t="n">
        <v>0.03</v>
      </c>
      <c r="M383" s="11">
        <f>IF(K383="","",ROUND(K383*(1-L383),2))</f>
        <v/>
      </c>
      <c r="N383" s="9" t="n">
        <v>934</v>
      </c>
      <c r="O383" s="14">
        <f>IF(OR(M383="",R383&lt;&gt;""),"",M383/G383-1)</f>
        <v/>
      </c>
      <c r="P383" s="11">
        <f>IF(OR(M383="",R383&lt;&gt;""),"",(G383-M383)*E383)</f>
        <v/>
      </c>
      <c r="Q383" s="9">
        <f>IF(R383&lt;&gt;"","—",IF(M383&lt;G383,"Mais barato",IF(M383&gt;G383,"Mais caro","Igual")))</f>
        <v/>
      </c>
      <c r="R383" s="10" t="n"/>
    </row>
    <row r="384">
      <c r="A384" s="9" t="n">
        <v>651991</v>
      </c>
      <c r="B384" s="10" t="inlineStr">
        <is>
          <t>LEITE DE MAGNESIA PHILLIPS HORT 120ML</t>
        </is>
      </c>
      <c r="C384" s="10" t="inlineStr">
        <is>
          <t>RX</t>
        </is>
      </c>
      <c r="D384" s="9" t="inlineStr">
        <is>
          <t>B</t>
        </is>
      </c>
      <c r="E384" s="9" t="n">
        <v>4</v>
      </c>
      <c r="F384" s="9" t="n">
        <v>1</v>
      </c>
      <c r="G384" s="11" t="n">
        <v>14.72</v>
      </c>
      <c r="H384" s="10" t="inlineStr">
        <is>
          <t>SC DISTRIBUICAO LTDA</t>
        </is>
      </c>
      <c r="I384" s="12" t="inlineStr">
        <is>
          <t>7895858015664</t>
        </is>
      </c>
      <c r="J384" s="10" t="inlineStr">
        <is>
          <t>LEITE MAGNESIA PHILLIPS HORTELA 120ML</t>
        </is>
      </c>
      <c r="K384" s="11" t="n">
        <v>18.12</v>
      </c>
      <c r="L384" s="13" t="n">
        <v>0.04</v>
      </c>
      <c r="M384" s="11">
        <f>IF(K384="","",ROUND(K384*(1-L384),2))</f>
        <v/>
      </c>
      <c r="N384" s="9" t="n">
        <v>460</v>
      </c>
      <c r="O384" s="14">
        <f>IF(OR(M384="",R384&lt;&gt;""),"",M384/G384-1)</f>
        <v/>
      </c>
      <c r="P384" s="11">
        <f>IF(OR(M384="",R384&lt;&gt;""),"",(G384-M384)*E384)</f>
        <v/>
      </c>
      <c r="Q384" s="9">
        <f>IF(R384&lt;&gt;"","—",IF(M384&lt;G384,"Mais barato",IF(M384&gt;G384,"Mais caro","Igual")))</f>
        <v/>
      </c>
      <c r="R384" s="10" t="n"/>
    </row>
    <row r="385">
      <c r="A385" s="9" t="n">
        <v>539621</v>
      </c>
      <c r="B385" s="10" t="inlineStr">
        <is>
          <t>LEITE MAGNESIA PHIL C/120ML</t>
        </is>
      </c>
      <c r="C385" s="10" t="inlineStr">
        <is>
          <t>RX - OTC</t>
        </is>
      </c>
      <c r="D385" s="9" t="inlineStr">
        <is>
          <t>A</t>
        </is>
      </c>
      <c r="E385" s="9" t="n">
        <v>18</v>
      </c>
      <c r="F385" s="9" t="n">
        <v>1</v>
      </c>
      <c r="G385" s="11" t="n">
        <v>16.875</v>
      </c>
      <c r="H385" s="10" t="inlineStr">
        <is>
          <t>SC DISTRIBUICAO LTDA</t>
        </is>
      </c>
      <c r="I385" s="12" t="inlineStr">
        <is>
          <t>7895858015688</t>
        </is>
      </c>
      <c r="J385" s="10" t="inlineStr">
        <is>
          <t>LEITE MAGNESIA PHILLIPS 120ML</t>
        </is>
      </c>
      <c r="K385" s="11" t="n">
        <v>18.12</v>
      </c>
      <c r="L385" s="13" t="n">
        <v>0.04</v>
      </c>
      <c r="M385" s="11">
        <f>IF(K385="","",ROUND(K385*(1-L385),2))</f>
        <v/>
      </c>
      <c r="N385" s="9" t="n">
        <v>5240</v>
      </c>
      <c r="O385" s="14">
        <f>IF(OR(M385="",R385&lt;&gt;""),"",M385/G385-1)</f>
        <v/>
      </c>
      <c r="P385" s="11">
        <f>IF(OR(M385="",R385&lt;&gt;""),"",(G385-M385)*E385)</f>
        <v/>
      </c>
      <c r="Q385" s="9">
        <f>IF(R385&lt;&gt;"","—",IF(M385&lt;G385,"Mais barato",IF(M385&gt;G385,"Mais caro","Igual")))</f>
        <v/>
      </c>
      <c r="R385" s="10" t="n"/>
    </row>
    <row r="386">
      <c r="A386" s="9" t="n">
        <v>560961</v>
      </c>
      <c r="B386" s="10" t="inlineStr">
        <is>
          <t>LEITE MAGNESIA PHILL 350ML</t>
        </is>
      </c>
      <c r="C386" s="10" t="inlineStr">
        <is>
          <t>RX - OTC</t>
        </is>
      </c>
      <c r="D386" s="9" t="inlineStr">
        <is>
          <t>A</t>
        </is>
      </c>
      <c r="E386" s="9" t="n">
        <v>5</v>
      </c>
      <c r="F386" s="9" t="n">
        <v>1</v>
      </c>
      <c r="G386" s="11" t="n">
        <v>27.2467</v>
      </c>
      <c r="H386" s="10" t="inlineStr">
        <is>
          <t>SC DISTRIBUICAO LTDA</t>
        </is>
      </c>
      <c r="I386" s="12" t="inlineStr">
        <is>
          <t>7895858015695</t>
        </is>
      </c>
      <c r="J386" s="10" t="inlineStr">
        <is>
          <t>LEITE MAGNESIA PHILLIPS 350ML</t>
        </is>
      </c>
      <c r="K386" s="11" t="n">
        <v>29.27</v>
      </c>
      <c r="L386" s="13" t="n">
        <v>0.04</v>
      </c>
      <c r="M386" s="11">
        <f>IF(K386="","",ROUND(K386*(1-L386),2))</f>
        <v/>
      </c>
      <c r="N386" s="9" t="n">
        <v>3306</v>
      </c>
      <c r="O386" s="14">
        <f>IF(OR(M386="",R386&lt;&gt;""),"",M386/G386-1)</f>
        <v/>
      </c>
      <c r="P386" s="11">
        <f>IF(OR(M386="",R386&lt;&gt;""),"",(G386-M386)*E386)</f>
        <v/>
      </c>
      <c r="Q386" s="9">
        <f>IF(R386&lt;&gt;"","—",IF(M386&lt;G386,"Mais barato",IF(M386&gt;G386,"Mais caro","Igual")))</f>
        <v/>
      </c>
      <c r="R386" s="10" t="n"/>
    </row>
    <row r="387">
      <c r="A387" s="9" t="n">
        <v>463241</v>
      </c>
      <c r="B387" s="10" t="inlineStr">
        <is>
          <t>LEUCOGEN 20MG/5ML XPE FR 120ML</t>
        </is>
      </c>
      <c r="C387" s="10" t="inlineStr">
        <is>
          <t>RX</t>
        </is>
      </c>
      <c r="D387" s="9" t="inlineStr">
        <is>
          <t>A</t>
        </is>
      </c>
      <c r="E387" s="9" t="n">
        <v>3</v>
      </c>
      <c r="F387" s="9" t="n">
        <v>1</v>
      </c>
      <c r="G387" s="11" t="n">
        <v>69.9892</v>
      </c>
      <c r="H387" s="10" t="inlineStr">
        <is>
          <t>SC DISTRIBUICAO LTDA</t>
        </is>
      </c>
      <c r="I387" s="12" t="inlineStr">
        <is>
          <t>7896658002403</t>
        </is>
      </c>
      <c r="J387" s="10" t="inlineStr">
        <is>
          <t>LEUCOGEN XAROPE 120ML</t>
        </is>
      </c>
      <c r="K387" s="11" t="n">
        <v>85.23999999999999</v>
      </c>
      <c r="L387" s="13" t="n">
        <v>0.05</v>
      </c>
      <c r="M387" s="11">
        <f>IF(K387="","",ROUND(K387*(1-L387),2))</f>
        <v/>
      </c>
      <c r="N387" s="9" t="n">
        <v>1256</v>
      </c>
      <c r="O387" s="14">
        <f>IF(OR(M387="",R387&lt;&gt;""),"",M387/G387-1)</f>
        <v/>
      </c>
      <c r="P387" s="11">
        <f>IF(OR(M387="",R387&lt;&gt;""),"",(G387-M387)*E387)</f>
        <v/>
      </c>
      <c r="Q387" s="9">
        <f>IF(R387&lt;&gt;"","—",IF(M387&lt;G387,"Mais barato",IF(M387&gt;G387,"Mais caro","Igual")))</f>
        <v/>
      </c>
      <c r="R387" s="10" t="n"/>
    </row>
    <row r="388">
      <c r="A388" s="9" t="n">
        <v>319301</v>
      </c>
      <c r="B388" s="10" t="inlineStr">
        <is>
          <t>LEVEL 0,10+0,02MG CX 21 COMP REV</t>
        </is>
      </c>
      <c r="C388" s="10" t="inlineStr">
        <is>
          <t>RX</t>
        </is>
      </c>
      <c r="D388" s="9" t="inlineStr">
        <is>
          <t>A</t>
        </is>
      </c>
      <c r="E388" s="9" t="n">
        <v>4</v>
      </c>
      <c r="F388" s="9" t="n">
        <v>1</v>
      </c>
      <c r="G388" s="11" t="n">
        <v>22.6238</v>
      </c>
      <c r="H388" s="10" t="inlineStr">
        <is>
          <t>SB COMERCIO LTDA 0179-15</t>
        </is>
      </c>
      <c r="I388" s="12" t="inlineStr">
        <is>
          <t>7896241248287</t>
        </is>
      </c>
      <c r="J388" s="10" t="inlineStr">
        <is>
          <t>LEVEL C/21 COMPRIMIDOS</t>
        </is>
      </c>
      <c r="K388" s="11" t="n">
        <v>22</v>
      </c>
      <c r="L388" s="13" t="n">
        <v>0.05</v>
      </c>
      <c r="M388" s="11">
        <f>IF(K388="","",ROUND(K388*(1-L388),2))</f>
        <v/>
      </c>
      <c r="N388" s="9" t="n">
        <v>273</v>
      </c>
      <c r="O388" s="14">
        <f>IF(OR(M388="",R388&lt;&gt;""),"",M388/G388-1)</f>
        <v/>
      </c>
      <c r="P388" s="11">
        <f>IF(OR(M388="",R388&lt;&gt;""),"",(G388-M388)*E388)</f>
        <v/>
      </c>
      <c r="Q388" s="9">
        <f>IF(R388&lt;&gt;"","—",IF(M388&lt;G388,"Mais barato",IF(M388&gt;G388,"Mais caro","Igual")))</f>
        <v/>
      </c>
      <c r="R388" s="10" t="n"/>
    </row>
    <row r="389">
      <c r="A389" s="9" t="n">
        <v>643941</v>
      </c>
      <c r="B389" s="10" t="inlineStr">
        <is>
          <t>LIDE 400MG CX 10 COMP</t>
        </is>
      </c>
      <c r="C389" s="10" t="inlineStr">
        <is>
          <t>RX</t>
        </is>
      </c>
      <c r="D389" s="9" t="inlineStr">
        <is>
          <t>A</t>
        </is>
      </c>
      <c r="E389" s="9" t="n">
        <v>2</v>
      </c>
      <c r="F389" s="9" t="n">
        <v>1</v>
      </c>
      <c r="G389" s="11" t="n">
        <v>29.45</v>
      </c>
      <c r="H389" s="10" t="inlineStr">
        <is>
          <t>SB COMERCIO LTDA 0179-15</t>
        </is>
      </c>
      <c r="I389" s="12" t="inlineStr">
        <is>
          <t>7896112408727</t>
        </is>
      </c>
      <c r="J389" s="10" t="inlineStr">
        <is>
          <t>LIDE 400MG C/10 COMPRIMIDOS</t>
        </is>
      </c>
      <c r="K389" s="11" t="n">
        <v>30.09</v>
      </c>
      <c r="L389" s="13" t="n">
        <v>0.05</v>
      </c>
      <c r="M389" s="11">
        <f>IF(K389="","",ROUND(K389*(1-L389),2))</f>
        <v/>
      </c>
      <c r="N389" s="9" t="n">
        <v>91</v>
      </c>
      <c r="O389" s="14">
        <f>IF(OR(M389="",R389&lt;&gt;""),"",M389/G389-1)</f>
        <v/>
      </c>
      <c r="P389" s="11">
        <f>IF(OR(M389="",R389&lt;&gt;""),"",(G389-M389)*E389)</f>
        <v/>
      </c>
      <c r="Q389" s="9">
        <f>IF(R389&lt;&gt;"","—",IF(M389&lt;G389,"Mais barato",IF(M389&gt;G389,"Mais caro","Igual")))</f>
        <v/>
      </c>
      <c r="R389" s="10" t="n"/>
    </row>
    <row r="390">
      <c r="A390" s="9" t="n">
        <v>623531</v>
      </c>
      <c r="B390" s="10" t="inlineStr">
        <is>
          <t>LIPIKAR BAUME LIGHT AP+M 400ML-DEMAIS PROD</t>
        </is>
      </c>
      <c r="C390" s="10" t="inlineStr">
        <is>
          <t>RX - DERMO</t>
        </is>
      </c>
      <c r="D390" s="9" t="inlineStr">
        <is>
          <t>C</t>
        </is>
      </c>
      <c r="E390" s="9" t="n">
        <v>1</v>
      </c>
      <c r="F390" s="9" t="n">
        <v>1</v>
      </c>
      <c r="G390" s="11" t="n">
        <v>162.55</v>
      </c>
      <c r="H390" s="10" t="inlineStr">
        <is>
          <t>NAZARIA DISTRIBUIDORA DE PRODUTOS FARMACEUTICOS LTDA</t>
        </is>
      </c>
      <c r="I390" s="12" t="n"/>
      <c r="J390" s="10" t="n"/>
      <c r="K390" s="11" t="n"/>
      <c r="L390" s="13" t="n"/>
      <c r="M390" s="11">
        <f>IF(K390="","",ROUND(K390*(1-L390),2))</f>
        <v/>
      </c>
      <c r="N390" s="9" t="n"/>
      <c r="O390" s="14">
        <f>IF(OR(M390="",R390&lt;&gt;""),"",M390/G390-1)</f>
        <v/>
      </c>
      <c r="P390" s="11">
        <f>IF(OR(M390="",R390&lt;&gt;""),"",(G390-M390)*E390)</f>
        <v/>
      </c>
      <c r="Q390" s="9">
        <f>IF(R390&lt;&gt;"","—",IF(M390&lt;G390,"Mais barato",IF(M390&gt;G390,"Mais caro","Igual")))</f>
        <v/>
      </c>
      <c r="R390" s="10" t="inlineStr">
        <is>
          <t>Não encontrado</t>
        </is>
      </c>
    </row>
    <row r="391">
      <c r="A391" s="9" t="n">
        <v>82061</v>
      </c>
      <c r="B391" s="10" t="inlineStr">
        <is>
          <t>LIRIS 5MG/ML SOL OFT FR 10ML</t>
        </is>
      </c>
      <c r="C391" s="10" t="inlineStr">
        <is>
          <t>RX - OTC</t>
        </is>
      </c>
      <c r="D391" s="9" t="inlineStr">
        <is>
          <t>B</t>
        </is>
      </c>
      <c r="E391" s="9" t="n">
        <v>1</v>
      </c>
      <c r="F391" s="9" t="n">
        <v>1</v>
      </c>
      <c r="G391" s="11" t="n">
        <v>28</v>
      </c>
      <c r="H391" s="10" t="inlineStr">
        <is>
          <t>SC DISTRIBUICAO LTDA</t>
        </is>
      </c>
      <c r="I391" s="12" t="inlineStr">
        <is>
          <t>7898636192182</t>
        </is>
      </c>
      <c r="J391" s="10" t="inlineStr">
        <is>
          <t>LIRIS 5MG SOLUCAO OFTALMICA 10ML</t>
        </is>
      </c>
      <c r="K391" s="11" t="n">
        <v>34.21</v>
      </c>
      <c r="L391" s="13" t="n">
        <v>0.0554</v>
      </c>
      <c r="M391" s="11">
        <f>IF(K391="","",ROUND(K391*(1-L391),2))</f>
        <v/>
      </c>
      <c r="N391" s="9" t="n">
        <v>929</v>
      </c>
      <c r="O391" s="14">
        <f>IF(OR(M391="",R391&lt;&gt;""),"",M391/G391-1)</f>
        <v/>
      </c>
      <c r="P391" s="11">
        <f>IF(OR(M391="",R391&lt;&gt;""),"",(G391-M391)*E391)</f>
        <v/>
      </c>
      <c r="Q391" s="9">
        <f>IF(R391&lt;&gt;"","—",IF(M391&lt;G391,"Mais barato",IF(M391&gt;G391,"Mais caro","Igual")))</f>
        <v/>
      </c>
      <c r="R391" s="10" t="n"/>
    </row>
    <row r="392">
      <c r="A392" s="9" t="n">
        <v>223361</v>
      </c>
      <c r="B392" s="10" t="inlineStr">
        <is>
          <t>LISADOR DIP 1G BL 10 COMP</t>
        </is>
      </c>
      <c r="C392" s="10" t="inlineStr">
        <is>
          <t>RX - OTC</t>
        </is>
      </c>
      <c r="D392" s="9" t="inlineStr">
        <is>
          <t>A</t>
        </is>
      </c>
      <c r="E392" s="9" t="n">
        <v>11</v>
      </c>
      <c r="F392" s="9" t="n">
        <v>1</v>
      </c>
      <c r="G392" s="11" t="n">
        <v>16.6189</v>
      </c>
      <c r="H392" s="10" t="inlineStr">
        <is>
          <t>SB COMERCIO LTDA 0179-15</t>
        </is>
      </c>
      <c r="I392" s="12" t="inlineStr">
        <is>
          <t>7896094916227</t>
        </is>
      </c>
      <c r="J392" s="10" t="inlineStr">
        <is>
          <t>LISADOR DIP 1G C/10 COMPRIMIDOS</t>
        </is>
      </c>
      <c r="K392" s="11" t="n">
        <v>19.29</v>
      </c>
      <c r="L392" s="13" t="n">
        <v>0.035</v>
      </c>
      <c r="M392" s="11">
        <f>IF(K392="","",ROUND(K392*(1-L392),2))</f>
        <v/>
      </c>
      <c r="N392" s="9" t="n">
        <v>1785</v>
      </c>
      <c r="O392" s="14">
        <f>IF(OR(M392="",R392&lt;&gt;""),"",M392/G392-1)</f>
        <v/>
      </c>
      <c r="P392" s="11">
        <f>IF(OR(M392="",R392&lt;&gt;""),"",(G392-M392)*E392)</f>
        <v/>
      </c>
      <c r="Q392" s="9">
        <f>IF(R392&lt;&gt;"","—",IF(M392&lt;G392,"Mais barato",IF(M392&gt;G392,"Mais caro","Igual")))</f>
        <v/>
      </c>
      <c r="R392" s="10" t="n"/>
    </row>
    <row r="393">
      <c r="A393" s="9" t="n">
        <v>223381</v>
      </c>
      <c r="B393" s="10" t="inlineStr">
        <is>
          <t>LISADOR DIP 1G BL 20 COMP</t>
        </is>
      </c>
      <c r="C393" s="10" t="inlineStr">
        <is>
          <t>RX - OTC</t>
        </is>
      </c>
      <c r="D393" s="9" t="inlineStr">
        <is>
          <t>A</t>
        </is>
      </c>
      <c r="E393" s="9" t="n">
        <v>8</v>
      </c>
      <c r="F393" s="9" t="n">
        <v>1</v>
      </c>
      <c r="G393" s="11" t="n">
        <v>28.4533</v>
      </c>
      <c r="H393" s="10" t="inlineStr">
        <is>
          <t>SC DISTRIBUICAO LTDA</t>
        </is>
      </c>
      <c r="I393" s="12" t="inlineStr">
        <is>
          <t>7896094916234</t>
        </is>
      </c>
      <c r="J393" s="10" t="inlineStr">
        <is>
          <t>LISADOR DIP 1G C/20 COMPRIMIDOS</t>
        </is>
      </c>
      <c r="K393" s="11" t="n">
        <v>33.49</v>
      </c>
      <c r="L393" s="13" t="n">
        <v>0.035</v>
      </c>
      <c r="M393" s="11">
        <f>IF(K393="","",ROUND(K393*(1-L393),2))</f>
        <v/>
      </c>
      <c r="N393" s="9" t="n">
        <v>340</v>
      </c>
      <c r="O393" s="14">
        <f>IF(OR(M393="",R393&lt;&gt;""),"",M393/G393-1)</f>
        <v/>
      </c>
      <c r="P393" s="11">
        <f>IF(OR(M393="",R393&lt;&gt;""),"",(G393-M393)*E393)</f>
        <v/>
      </c>
      <c r="Q393" s="9">
        <f>IF(R393&lt;&gt;"","—",IF(M393&lt;G393,"Mais barato",IF(M393&gt;G393,"Mais caro","Igual")))</f>
        <v/>
      </c>
      <c r="R393" s="10" t="n"/>
    </row>
    <row r="394">
      <c r="A394" s="9" t="n">
        <v>619591</v>
      </c>
      <c r="B394" s="10" t="inlineStr">
        <is>
          <t>LOC NIVEA DEO HIDRA DERMA CARE 200ML</t>
        </is>
      </c>
      <c r="C394" s="10" t="inlineStr">
        <is>
          <t>RX - DERMO</t>
        </is>
      </c>
      <c r="D394" s="9" t="inlineStr">
        <is>
          <t>C</t>
        </is>
      </c>
      <c r="E394" s="9" t="n">
        <v>1</v>
      </c>
      <c r="F394" s="9" t="n">
        <v>1</v>
      </c>
      <c r="G394" s="11" t="n">
        <v>35.77</v>
      </c>
      <c r="H394" s="10" t="inlineStr">
        <is>
          <t>SC DISTRIBUICAO LTDA</t>
        </is>
      </c>
      <c r="I394" s="12" t="n"/>
      <c r="J394" s="10" t="n"/>
      <c r="K394" s="11" t="n"/>
      <c r="L394" s="13" t="n"/>
      <c r="M394" s="11">
        <f>IF(K394="","",ROUND(K394*(1-L394),2))</f>
        <v/>
      </c>
      <c r="N394" s="9" t="n"/>
      <c r="O394" s="14">
        <f>IF(OR(M394="",R394&lt;&gt;""),"",M394/G394-1)</f>
        <v/>
      </c>
      <c r="P394" s="11">
        <f>IF(OR(M394="",R394&lt;&gt;""),"",(G394-M394)*E394)</f>
        <v/>
      </c>
      <c r="Q394" s="9">
        <f>IF(R394&lt;&gt;"","—",IF(M394&lt;G394,"Mais barato",IF(M394&gt;G394,"Mais caro","Igual")))</f>
        <v/>
      </c>
      <c r="R394" s="10" t="inlineStr">
        <is>
          <t>Não encontrado</t>
        </is>
      </c>
    </row>
    <row r="395">
      <c r="A395" s="9" t="n">
        <v>62761</v>
      </c>
      <c r="B395" s="10" t="inlineStr">
        <is>
          <t>LONIUM 40MG CX 30 COMP REV</t>
        </is>
      </c>
      <c r="C395" s="10" t="inlineStr">
        <is>
          <t>RX</t>
        </is>
      </c>
      <c r="D395" s="9" t="inlineStr">
        <is>
          <t>C</t>
        </is>
      </c>
      <c r="E395" s="9" t="n">
        <v>1</v>
      </c>
      <c r="F395" s="9" t="n">
        <v>1</v>
      </c>
      <c r="G395" s="11" t="n">
        <v>59.94</v>
      </c>
      <c r="H395" s="10" t="inlineStr">
        <is>
          <t>SC DISTRIBUICAO LTDA</t>
        </is>
      </c>
      <c r="I395" s="12" t="n"/>
      <c r="J395" s="10" t="n"/>
      <c r="K395" s="11" t="n"/>
      <c r="L395" s="13" t="n"/>
      <c r="M395" s="11">
        <f>IF(K395="","",ROUND(K395*(1-L395),2))</f>
        <v/>
      </c>
      <c r="N395" s="9" t="n"/>
      <c r="O395" s="14">
        <f>IF(OR(M395="",R395&lt;&gt;""),"",M395/G395-1)</f>
        <v/>
      </c>
      <c r="P395" s="11">
        <f>IF(OR(M395="",R395&lt;&gt;""),"",(G395-M395)*E395)</f>
        <v/>
      </c>
      <c r="Q395" s="9">
        <f>IF(R395&lt;&gt;"","—",IF(M395&lt;G395,"Mais barato",IF(M395&gt;G395,"Mais caro","Igual")))</f>
        <v/>
      </c>
      <c r="R395" s="10" t="inlineStr">
        <is>
          <t>Não encontrado</t>
        </is>
      </c>
    </row>
    <row r="396">
      <c r="A396" s="9" t="n">
        <v>553001</v>
      </c>
      <c r="B396" s="10" t="inlineStr">
        <is>
          <t>LUFTAL (N.S.) 125MG FR 10 CAP GEL</t>
        </is>
      </c>
      <c r="C396" s="10" t="inlineStr">
        <is>
          <t>RX - OTC</t>
        </is>
      </c>
      <c r="D396" s="9" t="inlineStr">
        <is>
          <t>A</t>
        </is>
      </c>
      <c r="E396" s="9" t="n">
        <v>3</v>
      </c>
      <c r="F396" s="9" t="n">
        <v>1</v>
      </c>
      <c r="G396" s="11" t="n">
        <v>20.616</v>
      </c>
      <c r="H396" s="10" t="inlineStr">
        <is>
          <t>SC DISTRIBUICAO LTDA</t>
        </is>
      </c>
      <c r="I396" s="12" t="inlineStr">
        <is>
          <t>7896016804939</t>
        </is>
      </c>
      <c r="J396" s="10" t="inlineStr">
        <is>
          <t>LUFTAL MAX 125MG C/10 CAPSULAS GEL</t>
        </is>
      </c>
      <c r="K396" s="11" t="n">
        <v>23.02</v>
      </c>
      <c r="L396" s="13" t="n">
        <v>0.06</v>
      </c>
      <c r="M396" s="11">
        <f>IF(K396="","",ROUND(K396*(1-L396),2))</f>
        <v/>
      </c>
      <c r="N396" s="9" t="n">
        <v>2606</v>
      </c>
      <c r="O396" s="14">
        <f>IF(OR(M396="",R396&lt;&gt;""),"",M396/G396-1)</f>
        <v/>
      </c>
      <c r="P396" s="11">
        <f>IF(OR(M396="",R396&lt;&gt;""),"",(G396-M396)*E396)</f>
        <v/>
      </c>
      <c r="Q396" s="9">
        <f>IF(R396&lt;&gt;"","—",IF(M396&lt;G396,"Mais barato",IF(M396&gt;G396,"Mais caro","Igual")))</f>
        <v/>
      </c>
      <c r="R396" s="10" t="n"/>
    </row>
    <row r="397">
      <c r="A397" s="9" t="n">
        <v>434541</v>
      </c>
      <c r="B397" s="10" t="inlineStr">
        <is>
          <t>LUFTAL 75MG EMU INF FR GOT 15ML</t>
        </is>
      </c>
      <c r="C397" s="10" t="inlineStr">
        <is>
          <t>RX - OTC</t>
        </is>
      </c>
      <c r="D397" s="9" t="inlineStr">
        <is>
          <t>A</t>
        </is>
      </c>
      <c r="E397" s="9" t="n">
        <v>1</v>
      </c>
      <c r="F397" s="9" t="n">
        <v>1</v>
      </c>
      <c r="G397" s="11" t="n">
        <v>28.988</v>
      </c>
      <c r="H397" s="10" t="inlineStr">
        <is>
          <t>SC DISTRIBUICAO LTDA</t>
        </is>
      </c>
      <c r="I397" s="12" t="inlineStr">
        <is>
          <t>7896222720887</t>
        </is>
      </c>
      <c r="J397" s="10" t="inlineStr">
        <is>
          <t>LUFTAL 75MG INFANTIL 15ML</t>
        </is>
      </c>
      <c r="K397" s="11" t="n">
        <v>32.37</v>
      </c>
      <c r="L397" s="13" t="n">
        <v>0.06</v>
      </c>
      <c r="M397" s="11">
        <f>IF(K397="","",ROUND(K397*(1-L397),2))</f>
        <v/>
      </c>
      <c r="N397" s="9" t="n">
        <v>4239</v>
      </c>
      <c r="O397" s="14">
        <f>IF(OR(M397="",R397&lt;&gt;""),"",M397/G397-1)</f>
        <v/>
      </c>
      <c r="P397" s="11">
        <f>IF(OR(M397="",R397&lt;&gt;""),"",(G397-M397)*E397)</f>
        <v/>
      </c>
      <c r="Q397" s="9">
        <f>IF(R397&lt;&gt;"","—",IF(M397&lt;G397,"Mais barato",IF(M397&gt;G397,"Mais caro","Igual")))</f>
        <v/>
      </c>
      <c r="R397" s="10" t="n"/>
    </row>
    <row r="398">
      <c r="A398" s="9" t="n">
        <v>415301</v>
      </c>
      <c r="B398" s="10" t="inlineStr">
        <is>
          <t>LUGANO 12+250MCG CX 60 CAP PO INAL</t>
        </is>
      </c>
      <c r="C398" s="10" t="inlineStr">
        <is>
          <t>RX</t>
        </is>
      </c>
      <c r="D398" s="9" t="inlineStr">
        <is>
          <t>A</t>
        </is>
      </c>
      <c r="E398" s="9" t="n">
        <v>1</v>
      </c>
      <c r="F398" s="9" t="n">
        <v>1</v>
      </c>
      <c r="G398" s="11" t="n">
        <v>81.0975</v>
      </c>
      <c r="H398" s="10" t="inlineStr">
        <is>
          <t>SC DISTRIBUICAO LTDA</t>
        </is>
      </c>
      <c r="I398" s="12" t="inlineStr">
        <is>
          <t>7891317132392</t>
        </is>
      </c>
      <c r="J398" s="10" t="inlineStr">
        <is>
          <t>LUGANO 12MCG + 250MCG C/60 REFIL</t>
        </is>
      </c>
      <c r="K398" s="11" t="n">
        <v>80.55</v>
      </c>
      <c r="L398" s="13" t="n">
        <v>0.04</v>
      </c>
      <c r="M398" s="11">
        <f>IF(K398="","",ROUND(K398*(1-L398),2))</f>
        <v/>
      </c>
      <c r="N398" s="9" t="n">
        <v>395</v>
      </c>
      <c r="O398" s="14">
        <f>IF(OR(M398="",R398&lt;&gt;""),"",M398/G398-1)</f>
        <v/>
      </c>
      <c r="P398" s="11">
        <f>IF(OR(M398="",R398&lt;&gt;""),"",(G398-M398)*E398)</f>
        <v/>
      </c>
      <c r="Q398" s="9">
        <f>IF(R398&lt;&gt;"","—",IF(M398&lt;G398,"Mais barato",IF(M398&gt;G398,"Mais caro","Igual")))</f>
        <v/>
      </c>
      <c r="R398" s="10" t="n"/>
    </row>
    <row r="399">
      <c r="A399" s="9" t="n">
        <v>367761</v>
      </c>
      <c r="B399" s="10" t="inlineStr">
        <is>
          <t>MACRODANTINA 100MG CX 28 ACP</t>
        </is>
      </c>
      <c r="C399" s="10" t="inlineStr">
        <is>
          <t>RX</t>
        </is>
      </c>
      <c r="D399" s="9" t="inlineStr">
        <is>
          <t>A</t>
        </is>
      </c>
      <c r="E399" s="9" t="n">
        <v>6</v>
      </c>
      <c r="F399" s="9" t="n">
        <v>1</v>
      </c>
      <c r="G399" s="11" t="n">
        <v>12.91</v>
      </c>
      <c r="H399" s="10" t="inlineStr">
        <is>
          <t>SC DISTRIBUICAO LTDA</t>
        </is>
      </c>
      <c r="I399" s="12" t="inlineStr">
        <is>
          <t>7891142165770</t>
        </is>
      </c>
      <c r="J399" s="10" t="inlineStr">
        <is>
          <t>MACRODANTINA 100MG C/28 CAPSULAS DURAS</t>
        </is>
      </c>
      <c r="K399" s="11" t="n">
        <v>12.46</v>
      </c>
      <c r="L399" s="13" t="n">
        <v>0.035</v>
      </c>
      <c r="M399" s="11">
        <f>IF(K399="","",ROUND(K399*(1-L399),2))</f>
        <v/>
      </c>
      <c r="N399" s="9" t="n">
        <v>2962</v>
      </c>
      <c r="O399" s="14">
        <f>IF(OR(M399="",R399&lt;&gt;""),"",M399/G399-1)</f>
        <v/>
      </c>
      <c r="P399" s="11">
        <f>IF(OR(M399="",R399&lt;&gt;""),"",(G399-M399)*E399)</f>
        <v/>
      </c>
      <c r="Q399" s="9">
        <f>IF(R399&lt;&gt;"","—",IF(M399&lt;G399,"Mais barato",IF(M399&gt;G399,"Mais caro","Igual")))</f>
        <v/>
      </c>
      <c r="R399" s="10" t="n"/>
    </row>
    <row r="400">
      <c r="A400" s="9" t="n">
        <v>553481</v>
      </c>
      <c r="B400" s="10" t="inlineStr">
        <is>
          <t>MAGNESIA BISURADA 63,7+521+67+3,3MG(CARTELA)</t>
        </is>
      </c>
      <c r="C400" s="10" t="inlineStr">
        <is>
          <t>RX</t>
        </is>
      </c>
      <c r="D400" s="9" t="inlineStr">
        <is>
          <t>A</t>
        </is>
      </c>
      <c r="E400" s="9" t="n">
        <v>6</v>
      </c>
      <c r="F400" s="9" t="n">
        <v>4</v>
      </c>
      <c r="G400" s="11" t="n">
        <v>36.795</v>
      </c>
      <c r="H400" s="10" t="inlineStr">
        <is>
          <t>SC DISTRIBUICAO LTDA</t>
        </is>
      </c>
      <c r="I400" s="12" t="inlineStr">
        <is>
          <t>7895858017439</t>
        </is>
      </c>
      <c r="J400" s="10" t="inlineStr">
        <is>
          <t>MAGNESIA BISURADA C/40 PASTILHAS</t>
        </is>
      </c>
      <c r="K400" s="11" t="n">
        <v>39.52</v>
      </c>
      <c r="L400" s="13" t="n">
        <v>0.04</v>
      </c>
      <c r="M400" s="11">
        <f>IF(K400="","",ROUND(K400*(1-L400),2))</f>
        <v/>
      </c>
      <c r="N400" s="9" t="n">
        <v>1043</v>
      </c>
      <c r="O400" s="14">
        <f>IF(OR(M400="",R400&lt;&gt;""),"",M400/G400-1)</f>
        <v/>
      </c>
      <c r="P400" s="11">
        <f>IF(OR(M400="",R400&lt;&gt;""),"",(G400-M400)*E400)</f>
        <v/>
      </c>
      <c r="Q400" s="9">
        <f>IF(R400&lt;&gt;"","—",IF(M400&lt;G400,"Mais barato",IF(M400&gt;G400,"Mais caro","Igual")))</f>
        <v/>
      </c>
      <c r="R400" s="10" t="n"/>
    </row>
    <row r="401">
      <c r="A401" s="9" t="n">
        <v>449941</v>
      </c>
      <c r="B401" s="10" t="inlineStr">
        <is>
          <t>MALVATRICIN 0,1+1MG/ML SOL TOP FR 250ML</t>
        </is>
      </c>
      <c r="C401" s="10" t="inlineStr">
        <is>
          <t>RX - OTC</t>
        </is>
      </c>
      <c r="D401" s="9" t="inlineStr">
        <is>
          <t>C</t>
        </is>
      </c>
      <c r="E401" s="9" t="n">
        <v>1</v>
      </c>
      <c r="F401" s="9" t="n">
        <v>1</v>
      </c>
      <c r="G401" s="11" t="n">
        <v>27.715</v>
      </c>
      <c r="H401" s="10" t="inlineStr">
        <is>
          <t>SC DISTRIBUICAO LTDA</t>
        </is>
      </c>
      <c r="I401" s="12" t="n"/>
      <c r="J401" s="10" t="n"/>
      <c r="K401" s="11" t="n"/>
      <c r="L401" s="13" t="n"/>
      <c r="M401" s="11">
        <f>IF(K401="","",ROUND(K401*(1-L401),2))</f>
        <v/>
      </c>
      <c r="N401" s="9" t="n"/>
      <c r="O401" s="14">
        <f>IF(OR(M401="",R401&lt;&gt;""),"",M401/G401-1)</f>
        <v/>
      </c>
      <c r="P401" s="11">
        <f>IF(OR(M401="",R401&lt;&gt;""),"",(G401-M401)*E401)</f>
        <v/>
      </c>
      <c r="Q401" s="9">
        <f>IF(R401&lt;&gt;"","—",IF(M401&lt;G401,"Mais barato",IF(M401&gt;G401,"Mais caro","Igual")))</f>
        <v/>
      </c>
      <c r="R401" s="10" t="inlineStr">
        <is>
          <t>Não encontrado</t>
        </is>
      </c>
    </row>
    <row r="402">
      <c r="A402" s="9" t="n">
        <v>654211</v>
      </c>
      <c r="B402" s="10" t="inlineStr">
        <is>
          <t>MALVATRIKIDS BABY CR DEN S/FLUOR 70G</t>
        </is>
      </c>
      <c r="C402" s="10" t="inlineStr">
        <is>
          <t>RX</t>
        </is>
      </c>
      <c r="D402" s="9" t="inlineStr">
        <is>
          <t>B</t>
        </is>
      </c>
      <c r="E402" s="9" t="n">
        <v>3</v>
      </c>
      <c r="F402" s="9" t="n">
        <v>1</v>
      </c>
      <c r="G402" s="11" t="n">
        <v>13.26</v>
      </c>
      <c r="H402" s="10" t="inlineStr">
        <is>
          <t>SC DISTRIBUICAO LTDA</t>
        </is>
      </c>
      <c r="I402" s="12" t="inlineStr">
        <is>
          <t>7896026170406</t>
        </is>
      </c>
      <c r="J402" s="10" t="inlineStr">
        <is>
          <t>MALVATRIKIDS BABY GEL DENTAL 70G</t>
        </is>
      </c>
      <c r="K402" s="11" t="n">
        <v>16.46</v>
      </c>
      <c r="L402" s="13" t="n">
        <v>0</v>
      </c>
      <c r="M402" s="11">
        <f>IF(K402="","",ROUND(K402*(1-L402),2))</f>
        <v/>
      </c>
      <c r="N402" s="9" t="n"/>
      <c r="O402" s="14">
        <f>IF(OR(M402="",R402&lt;&gt;""),"",M402/G402-1)</f>
        <v/>
      </c>
      <c r="P402" s="11">
        <f>IF(OR(M402="",R402&lt;&gt;""),"",(G402-M402)*E402)</f>
        <v/>
      </c>
      <c r="Q402" s="9">
        <f>IF(R402&lt;&gt;"","—",IF(M402&lt;G402,"Mais barato",IF(M402&gt;G402,"Mais caro","Igual")))</f>
        <v/>
      </c>
      <c r="R402" s="10" t="n"/>
    </row>
    <row r="403">
      <c r="A403" s="9" t="n">
        <v>654241</v>
      </c>
      <c r="B403" s="10" t="inlineStr">
        <is>
          <t>MALVATRIKIDS JUNIOR GEL DENT 85G</t>
        </is>
      </c>
      <c r="C403" s="10" t="inlineStr">
        <is>
          <t>RX</t>
        </is>
      </c>
      <c r="D403" s="9" t="inlineStr">
        <is>
          <t>C</t>
        </is>
      </c>
      <c r="E403" s="9" t="n">
        <v>1</v>
      </c>
      <c r="F403" s="9" t="n">
        <v>1</v>
      </c>
      <c r="G403" s="11" t="n">
        <v>16.725</v>
      </c>
      <c r="H403" s="10" t="inlineStr">
        <is>
          <t>NAZARIA DISTRIBUIDORA DE PRODUTOS FARMACEUTICOS LTDA</t>
        </is>
      </c>
      <c r="I403" s="12" t="n"/>
      <c r="J403" s="10" t="n"/>
      <c r="K403" s="11" t="n"/>
      <c r="L403" s="13" t="n"/>
      <c r="M403" s="11">
        <f>IF(K403="","",ROUND(K403*(1-L403),2))</f>
        <v/>
      </c>
      <c r="N403" s="9" t="n"/>
      <c r="O403" s="14">
        <f>IF(OR(M403="",R403&lt;&gt;""),"",M403/G403-1)</f>
        <v/>
      </c>
      <c r="P403" s="11">
        <f>IF(OR(M403="",R403&lt;&gt;""),"",(G403-M403)*E403)</f>
        <v/>
      </c>
      <c r="Q403" s="9">
        <f>IF(R403&lt;&gt;"","—",IF(M403&lt;G403,"Mais barato",IF(M403&gt;G403,"Mais caro","Igual")))</f>
        <v/>
      </c>
      <c r="R403" s="10" t="inlineStr">
        <is>
          <t>Não encontrado</t>
        </is>
      </c>
    </row>
    <row r="404">
      <c r="A404" s="9" t="n">
        <v>654231</v>
      </c>
      <c r="B404" s="10" t="inlineStr">
        <is>
          <t>MALVATRIKIDS-F CR DEN C/FLUOR 70GR</t>
        </is>
      </c>
      <c r="C404" s="10" t="inlineStr">
        <is>
          <t>RX</t>
        </is>
      </c>
      <c r="D404" s="9" t="inlineStr">
        <is>
          <t>C</t>
        </is>
      </c>
      <c r="E404" s="9" t="n">
        <v>2</v>
      </c>
      <c r="F404" s="9" t="n">
        <v>1</v>
      </c>
      <c r="G404" s="11" t="n">
        <v>14.11</v>
      </c>
      <c r="H404" s="10" t="inlineStr">
        <is>
          <t>SC DISTRIBUICAO LTDA</t>
        </is>
      </c>
      <c r="I404" s="12" t="inlineStr">
        <is>
          <t>7896026170390</t>
        </is>
      </c>
      <c r="J404" s="10" t="inlineStr">
        <is>
          <t>MALVATRIKIDS COM FLUOR GEL DENTAL 70G</t>
        </is>
      </c>
      <c r="K404" s="11" t="n">
        <v>16.46</v>
      </c>
      <c r="L404" s="13" t="n">
        <v>0</v>
      </c>
      <c r="M404" s="11">
        <f>IF(K404="","",ROUND(K404*(1-L404),2))</f>
        <v/>
      </c>
      <c r="N404" s="9" t="n">
        <v>125</v>
      </c>
      <c r="O404" s="14">
        <f>IF(OR(M404="",R404&lt;&gt;""),"",M404/G404-1)</f>
        <v/>
      </c>
      <c r="P404" s="11">
        <f>IF(OR(M404="",R404&lt;&gt;""),"",(G404-M404)*E404)</f>
        <v/>
      </c>
      <c r="Q404" s="9">
        <f>IF(R404&lt;&gt;"","—",IF(M404&lt;G404,"Mais barato",IF(M404&gt;G404,"Mais caro","Igual")))</f>
        <v/>
      </c>
      <c r="R404" s="10" t="n"/>
    </row>
    <row r="405">
      <c r="A405" s="9" t="n">
        <v>652311</v>
      </c>
      <c r="B405" s="10" t="inlineStr">
        <is>
          <t>MALVONA PROPOLIS SPRAY 30ML</t>
        </is>
      </c>
      <c r="C405" s="10" t="inlineStr">
        <is>
          <t>RX - OTC</t>
        </is>
      </c>
      <c r="D405" s="9" t="inlineStr">
        <is>
          <t>C</t>
        </is>
      </c>
      <c r="E405" s="9" t="n">
        <v>1</v>
      </c>
      <c r="F405" s="9" t="n">
        <v>1</v>
      </c>
      <c r="G405" s="11" t="n">
        <v>11.25</v>
      </c>
      <c r="H405" s="10" t="inlineStr">
        <is>
          <t>SC DISTRIBUICAO LTDA</t>
        </is>
      </c>
      <c r="I405" s="12" t="inlineStr">
        <is>
          <t>7896026170994</t>
        </is>
      </c>
      <c r="J405" s="10" t="inlineStr">
        <is>
          <t>MALVONA PROPOLIS SPRAY 30ML</t>
        </is>
      </c>
      <c r="K405" s="11" t="n">
        <v>15.38</v>
      </c>
      <c r="L405" s="13" t="n">
        <v>0</v>
      </c>
      <c r="M405" s="11">
        <f>IF(K405="","",ROUND(K405*(1-L405),2))</f>
        <v/>
      </c>
      <c r="N405" s="9" t="n">
        <v>45</v>
      </c>
      <c r="O405" s="14">
        <f>IF(OR(M405="",R405&lt;&gt;""),"",M405/G405-1)</f>
        <v/>
      </c>
      <c r="P405" s="11">
        <f>IF(OR(M405="",R405&lt;&gt;""),"",(G405-M405)*E405)</f>
        <v/>
      </c>
      <c r="Q405" s="9">
        <f>IF(R405&lt;&gt;"","—",IF(M405&lt;G405,"Mais barato",IF(M405&gt;G405,"Mais caro","Igual")))</f>
        <v/>
      </c>
      <c r="R405" s="10" t="n"/>
    </row>
    <row r="406">
      <c r="A406" s="9" t="n">
        <v>205141</v>
      </c>
      <c r="B406" s="10" t="inlineStr">
        <is>
          <t>MAMADES 0,075MG CX 28 COMP REV</t>
        </is>
      </c>
      <c r="C406" s="10" t="inlineStr">
        <is>
          <t>RX</t>
        </is>
      </c>
      <c r="D406" s="9" t="inlineStr">
        <is>
          <t>B</t>
        </is>
      </c>
      <c r="E406" s="9" t="n">
        <v>1</v>
      </c>
      <c r="F406" s="9" t="n">
        <v>1</v>
      </c>
      <c r="G406" s="11" t="n">
        <v>33.69</v>
      </c>
      <c r="H406" s="10" t="inlineStr">
        <is>
          <t>SC DISTRIBUICAO LTDA</t>
        </is>
      </c>
      <c r="I406" s="12" t="inlineStr">
        <is>
          <t>7891317180621</t>
        </is>
      </c>
      <c r="J406" s="10" t="inlineStr">
        <is>
          <t>MAMADES 75MCG C/28 COMPRIMIDOS REV</t>
        </is>
      </c>
      <c r="K406" s="11" t="n">
        <v>33.47</v>
      </c>
      <c r="L406" s="13" t="n">
        <v>0.04</v>
      </c>
      <c r="M406" s="11">
        <f>IF(K406="","",ROUND(K406*(1-L406),2))</f>
        <v/>
      </c>
      <c r="N406" s="9" t="n">
        <v>321</v>
      </c>
      <c r="O406" s="14">
        <f>IF(OR(M406="",R406&lt;&gt;""),"",M406/G406-1)</f>
        <v/>
      </c>
      <c r="P406" s="11">
        <f>IF(OR(M406="",R406&lt;&gt;""),"",(G406-M406)*E406)</f>
        <v/>
      </c>
      <c r="Q406" s="9">
        <f>IF(R406&lt;&gt;"","—",IF(M406&lt;G406,"Mais barato",IF(M406&gt;G406,"Mais caro","Igual")))</f>
        <v/>
      </c>
      <c r="R406" s="10" t="n"/>
    </row>
    <row r="407">
      <c r="A407" s="9" t="n">
        <v>652061</v>
      </c>
      <c r="B407" s="10" t="inlineStr">
        <is>
          <t>MAQ SENIOR PREMIUM 30CPR-DEMAIS PROD</t>
        </is>
      </c>
      <c r="C407" s="10" t="inlineStr">
        <is>
          <t>RX - OTC</t>
        </is>
      </c>
      <c r="D407" s="9" t="inlineStr">
        <is>
          <t>A</t>
        </is>
      </c>
      <c r="E407" s="9" t="n">
        <v>2</v>
      </c>
      <c r="F407" s="9" t="n">
        <v>1</v>
      </c>
      <c r="G407" s="11" t="n">
        <v>40.97</v>
      </c>
      <c r="H407" s="10" t="inlineStr">
        <is>
          <t>SC DISTRIBUICAO LTDA</t>
        </is>
      </c>
      <c r="I407" s="12" t="n"/>
      <c r="J407" s="10" t="n"/>
      <c r="K407" s="11" t="n"/>
      <c r="L407" s="13" t="n"/>
      <c r="M407" s="11">
        <f>IF(K407="","",ROUND(K407*(1-L407),2))</f>
        <v/>
      </c>
      <c r="N407" s="9" t="n"/>
      <c r="O407" s="14">
        <f>IF(OR(M407="",R407&lt;&gt;""),"",M407/G407-1)</f>
        <v/>
      </c>
      <c r="P407" s="11">
        <f>IF(OR(M407="",R407&lt;&gt;""),"",(G407-M407)*E407)</f>
        <v/>
      </c>
      <c r="Q407" s="9">
        <f>IF(R407&lt;&gt;"","—",IF(M407&lt;G407,"Mais barato",IF(M407&gt;G407,"Mais caro","Igual")))</f>
        <v/>
      </c>
      <c r="R407" s="10" t="inlineStr">
        <is>
          <t>Não encontrado</t>
        </is>
      </c>
    </row>
    <row r="408">
      <c r="A408" s="9" t="n">
        <v>550821</v>
      </c>
      <c r="B408" s="10" t="inlineStr">
        <is>
          <t>MARESIS (N.S.) BABY SOL SPRAY FR 100ML</t>
        </is>
      </c>
      <c r="C408" s="10" t="inlineStr">
        <is>
          <t>RX - OTC</t>
        </is>
      </c>
      <c r="D408" s="9" t="inlineStr">
        <is>
          <t>A</t>
        </is>
      </c>
      <c r="E408" s="9" t="n">
        <v>6</v>
      </c>
      <c r="F408" s="9" t="n">
        <v>1</v>
      </c>
      <c r="G408" s="11" t="n">
        <v>38.41</v>
      </c>
      <c r="H408" s="10" t="inlineStr">
        <is>
          <t>SC DISTRIBUICAO LTDA</t>
        </is>
      </c>
      <c r="I408" s="12" t="inlineStr">
        <is>
          <t>7898040325237</t>
        </is>
      </c>
      <c r="J408" s="10" t="inlineStr">
        <is>
          <t>MARESIS BABY SOLUCAO SPRAY FRASCO 100ML</t>
        </is>
      </c>
      <c r="K408" s="11" t="n">
        <v>43.57</v>
      </c>
      <c r="L408" s="13" t="n">
        <v>0.04</v>
      </c>
      <c r="M408" s="11">
        <f>IF(K408="","",ROUND(K408*(1-L408),2))</f>
        <v/>
      </c>
      <c r="N408" s="9" t="n">
        <v>1341</v>
      </c>
      <c r="O408" s="14">
        <f>IF(OR(M408="",R408&lt;&gt;""),"",M408/G408-1)</f>
        <v/>
      </c>
      <c r="P408" s="11">
        <f>IF(OR(M408="",R408&lt;&gt;""),"",(G408-M408)*E408)</f>
        <v/>
      </c>
      <c r="Q408" s="9">
        <f>IF(R408&lt;&gt;"","—",IF(M408&lt;G408,"Mais barato",IF(M408&gt;G408,"Mais caro","Igual")))</f>
        <v/>
      </c>
      <c r="R408" s="10" t="n"/>
    </row>
    <row r="409">
      <c r="A409" s="9" t="n">
        <v>1563</v>
      </c>
      <c r="B409" s="10" t="inlineStr">
        <is>
          <t>MARESIS (N.S.) BABY SOL SPRAY FR 150ML</t>
        </is>
      </c>
      <c r="C409" s="10" t="inlineStr">
        <is>
          <t>RX - OTC</t>
        </is>
      </c>
      <c r="D409" s="9" t="inlineStr">
        <is>
          <t>A</t>
        </is>
      </c>
      <c r="E409" s="9" t="n">
        <v>5</v>
      </c>
      <c r="F409" s="9" t="n">
        <v>1</v>
      </c>
      <c r="G409" s="11" t="n">
        <v>50.0033</v>
      </c>
      <c r="H409" s="10" t="inlineStr">
        <is>
          <t>SC DISTRIBUICAO LTDA</t>
        </is>
      </c>
      <c r="I409" s="12" t="inlineStr">
        <is>
          <t>7898040326531</t>
        </is>
      </c>
      <c r="J409" s="10" t="inlineStr">
        <is>
          <t>MARESIS BABY SPRAY 150ML</t>
        </is>
      </c>
      <c r="K409" s="11" t="n">
        <v>56.91</v>
      </c>
      <c r="L409" s="13" t="n">
        <v>0.04</v>
      </c>
      <c r="M409" s="11">
        <f>IF(K409="","",ROUND(K409*(1-L409),2))</f>
        <v/>
      </c>
      <c r="N409" s="9" t="n">
        <v>259</v>
      </c>
      <c r="O409" s="14">
        <f>IF(OR(M409="",R409&lt;&gt;""),"",M409/G409-1)</f>
        <v/>
      </c>
      <c r="P409" s="11">
        <f>IF(OR(M409="",R409&lt;&gt;""),"",(G409-M409)*E409)</f>
        <v/>
      </c>
      <c r="Q409" s="9">
        <f>IF(R409&lt;&gt;"","—",IF(M409&lt;G409,"Mais barato",IF(M409&gt;G409,"Mais caro","Igual")))</f>
        <v/>
      </c>
      <c r="R409" s="10" t="n"/>
    </row>
    <row r="410">
      <c r="A410" s="9" t="n">
        <v>653761</v>
      </c>
      <c r="B410" s="10" t="inlineStr">
        <is>
          <t>MARESIS FLEX 1,08G KIT FR+15SACH   FQM %DN:15.00</t>
        </is>
      </c>
      <c r="C410" s="10" t="inlineStr">
        <is>
          <t>RX - OTC</t>
        </is>
      </c>
      <c r="D410" s="9" t="inlineStr">
        <is>
          <t>C</t>
        </is>
      </c>
      <c r="E410" s="9" t="n">
        <v>1</v>
      </c>
      <c r="F410" s="9" t="n">
        <v>1</v>
      </c>
      <c r="G410" s="11" t="n">
        <v>33.8425</v>
      </c>
      <c r="H410" s="10" t="inlineStr">
        <is>
          <t>NAZARIA DISTRIBUIDORA DE PRODUTOS FARMACEUTICOS LTDA</t>
        </is>
      </c>
      <c r="I410" s="12" t="inlineStr">
        <is>
          <t>7898244720609</t>
        </is>
      </c>
      <c r="J410" s="10" t="inlineStr">
        <is>
          <t>MARESIS FLEX 1,08G PO PARA SOLUCAO KIT FRASCO + 15 ENVELOPES</t>
        </is>
      </c>
      <c r="K410" s="11" t="n">
        <v>36.81</v>
      </c>
      <c r="L410" s="13" t="n">
        <v>0.04</v>
      </c>
      <c r="M410" s="11">
        <f>IF(K410="","",ROUND(K410*(1-L410),2))</f>
        <v/>
      </c>
      <c r="N410" s="9" t="n">
        <v>31</v>
      </c>
      <c r="O410" s="14">
        <f>IF(OR(M410="",R410&lt;&gt;""),"",M410/G410-1)</f>
        <v/>
      </c>
      <c r="P410" s="11">
        <f>IF(OR(M410="",R410&lt;&gt;""),"",(G410-M410)*E410)</f>
        <v/>
      </c>
      <c r="Q410" s="9">
        <f>IF(R410&lt;&gt;"","—",IF(M410&lt;G410,"Mais barato",IF(M410&gt;G410,"Mais caro","Igual")))</f>
        <v/>
      </c>
      <c r="R410" s="10" t="n"/>
    </row>
    <row r="411">
      <c r="A411" s="9" t="n">
        <v>653771</v>
      </c>
      <c r="B411" s="10" t="inlineStr">
        <is>
          <t>MARESIS FLEX 2,16G KIT FR+30SACH   FQM %DN:15.00</t>
        </is>
      </c>
      <c r="C411" s="10" t="inlineStr">
        <is>
          <t>RX - OTC</t>
        </is>
      </c>
      <c r="D411" s="9" t="inlineStr">
        <is>
          <t>C</t>
        </is>
      </c>
      <c r="E411" s="9" t="n">
        <v>1</v>
      </c>
      <c r="F411" s="9" t="n">
        <v>1</v>
      </c>
      <c r="G411" s="11" t="n">
        <v>52.78</v>
      </c>
      <c r="H411" s="10" t="inlineStr">
        <is>
          <t>SC DISTRIBUICAO LTDA</t>
        </is>
      </c>
      <c r="I411" s="12" t="inlineStr">
        <is>
          <t>7898244720630</t>
        </is>
      </c>
      <c r="J411" s="10" t="inlineStr">
        <is>
          <t>MARESIS FLEX 216G PO PARA SOLLUCAO KIT FRASCO 30 ENVELOPES</t>
        </is>
      </c>
      <c r="K411" s="11" t="n">
        <v>62.55</v>
      </c>
      <c r="L411" s="13" t="n">
        <v>0.04</v>
      </c>
      <c r="M411" s="11">
        <f>IF(K411="","",ROUND(K411*(1-L411),2))</f>
        <v/>
      </c>
      <c r="N411" s="9" t="n">
        <v>5</v>
      </c>
      <c r="O411" s="14">
        <f>IF(OR(M411="",R411&lt;&gt;""),"",M411/G411-1)</f>
        <v/>
      </c>
      <c r="P411" s="11">
        <f>IF(OR(M411="",R411&lt;&gt;""),"",(G411-M411)*E411)</f>
        <v/>
      </c>
      <c r="Q411" s="9">
        <f>IF(R411&lt;&gt;"","—",IF(M411&lt;G411,"Mais barato",IF(M411&gt;G411,"Mais caro","Igual")))</f>
        <v/>
      </c>
      <c r="R411" s="10" t="n"/>
    </row>
    <row r="412">
      <c r="A412" s="9" t="n">
        <v>478621</v>
      </c>
      <c r="B412" s="10" t="inlineStr">
        <is>
          <t>MAREVAN 5MG CX 10 COMP</t>
        </is>
      </c>
      <c r="C412" s="10" t="inlineStr">
        <is>
          <t>RX</t>
        </is>
      </c>
      <c r="D412" s="9" t="inlineStr">
        <is>
          <t>C</t>
        </is>
      </c>
      <c r="E412" s="9" t="n">
        <v>3</v>
      </c>
      <c r="F412" s="9" t="n">
        <v>1</v>
      </c>
      <c r="G412" s="11" t="n">
        <v>8.550000000000001</v>
      </c>
      <c r="H412" s="10" t="inlineStr">
        <is>
          <t>SC DISTRIBUICAO LTDA</t>
        </is>
      </c>
      <c r="I412" s="12" t="inlineStr">
        <is>
          <t>7898040320911</t>
        </is>
      </c>
      <c r="J412" s="10" t="inlineStr">
        <is>
          <t>MAREVAN 5MG C/10 COMPRIMIDOS</t>
        </is>
      </c>
      <c r="K412" s="11" t="n">
        <v>8.41</v>
      </c>
      <c r="L412" s="13" t="n">
        <v>0.04</v>
      </c>
      <c r="M412" s="11">
        <f>IF(K412="","",ROUND(K412*(1-L412),2))</f>
        <v/>
      </c>
      <c r="N412" s="9" t="n">
        <v>405</v>
      </c>
      <c r="O412" s="14">
        <f>IF(OR(M412="",R412&lt;&gt;""),"",M412/G412-1)</f>
        <v/>
      </c>
      <c r="P412" s="11">
        <f>IF(OR(M412="",R412&lt;&gt;""),"",(G412-M412)*E412)</f>
        <v/>
      </c>
      <c r="Q412" s="9">
        <f>IF(R412&lt;&gt;"","—",IF(M412&lt;G412,"Mais barato",IF(M412&gt;G412,"Mais caro","Igual")))</f>
        <v/>
      </c>
      <c r="R412" s="10" t="n"/>
    </row>
    <row r="413">
      <c r="A413" s="9" t="n">
        <v>478641</v>
      </c>
      <c r="B413" s="10" t="inlineStr">
        <is>
          <t>MAREVAN 5MG CX 30 COMP</t>
        </is>
      </c>
      <c r="C413" s="10" t="inlineStr">
        <is>
          <t>RX</t>
        </is>
      </c>
      <c r="D413" s="9" t="inlineStr">
        <is>
          <t>B</t>
        </is>
      </c>
      <c r="E413" s="9" t="n">
        <v>1</v>
      </c>
      <c r="F413" s="9" t="n">
        <v>1</v>
      </c>
      <c r="G413" s="11" t="n">
        <v>25.8</v>
      </c>
      <c r="H413" s="10" t="inlineStr">
        <is>
          <t>SC DISTRIBUICAO LTDA</t>
        </is>
      </c>
      <c r="I413" s="12" t="inlineStr">
        <is>
          <t>7898040320928</t>
        </is>
      </c>
      <c r="J413" s="10" t="inlineStr">
        <is>
          <t>MAREVAN 5MG C/30 COMPRIMIDOS</t>
        </is>
      </c>
      <c r="K413" s="11" t="n">
        <v>25.35</v>
      </c>
      <c r="L413" s="13" t="n">
        <v>0.04</v>
      </c>
      <c r="M413" s="11">
        <f>IF(K413="","",ROUND(K413*(1-L413),2))</f>
        <v/>
      </c>
      <c r="N413" s="9" t="n">
        <v>680</v>
      </c>
      <c r="O413" s="14">
        <f>IF(OR(M413="",R413&lt;&gt;""),"",M413/G413-1)</f>
        <v/>
      </c>
      <c r="P413" s="11">
        <f>IF(OR(M413="",R413&lt;&gt;""),"",(G413-M413)*E413)</f>
        <v/>
      </c>
      <c r="Q413" s="9">
        <f>IF(R413&lt;&gt;"","—",IF(M413&lt;G413,"Mais barato",IF(M413&gt;G413,"Mais caro","Igual")))</f>
        <v/>
      </c>
      <c r="R413" s="10" t="n"/>
    </row>
    <row r="414">
      <c r="A414" s="9" t="n">
        <v>664741</v>
      </c>
      <c r="B414" s="10" t="inlineStr">
        <is>
          <t>MATERNA DHA 30CAP</t>
        </is>
      </c>
      <c r="C414" s="10" t="inlineStr">
        <is>
          <t>RX</t>
        </is>
      </c>
      <c r="D414" s="9" t="inlineStr">
        <is>
          <t>C</t>
        </is>
      </c>
      <c r="E414" s="9" t="n">
        <v>1</v>
      </c>
      <c r="F414" s="9" t="n">
        <v>1</v>
      </c>
      <c r="G414" s="11" t="n">
        <v>62.74</v>
      </c>
      <c r="H414" s="10" t="inlineStr">
        <is>
          <t>SC DISTRIBUICAO LTDA</t>
        </is>
      </c>
      <c r="I414" s="12" t="inlineStr">
        <is>
          <t>7891000359426</t>
        </is>
      </c>
      <c r="J414" s="10" t="inlineStr">
        <is>
          <t>MATERNA OMEGA DHA C/30 CAPSULAS</t>
        </is>
      </c>
      <c r="K414" s="11" t="n">
        <v>65.67</v>
      </c>
      <c r="L414" s="13" t="n">
        <v>0</v>
      </c>
      <c r="M414" s="11">
        <f>IF(K414="","",ROUND(K414*(1-L414),2))</f>
        <v/>
      </c>
      <c r="N414" s="9" t="n"/>
      <c r="O414" s="14">
        <f>IF(OR(M414="",R414&lt;&gt;""),"",M414/G414-1)</f>
        <v/>
      </c>
      <c r="P414" s="11">
        <f>IF(OR(M414="",R414&lt;&gt;""),"",(G414-M414)*E414)</f>
        <v/>
      </c>
      <c r="Q414" s="9">
        <f>IF(R414&lt;&gt;"","—",IF(M414&lt;G414,"Mais barato",IF(M414&gt;G414,"Mais caro","Igual")))</f>
        <v/>
      </c>
      <c r="R414" s="10" t="n"/>
    </row>
    <row r="415">
      <c r="A415" s="9" t="n">
        <v>667521</v>
      </c>
      <c r="B415" s="10" t="inlineStr">
        <is>
          <t>MATERNA SUPL MV DHA 30 CAPS-DEMAIS PROD</t>
        </is>
      </c>
      <c r="C415" s="10" t="inlineStr">
        <is>
          <t>RX</t>
        </is>
      </c>
      <c r="D415" s="9" t="inlineStr">
        <is>
          <t>C</t>
        </is>
      </c>
      <c r="E415" s="9" t="n">
        <v>1</v>
      </c>
      <c r="F415" s="9" t="n">
        <v>1</v>
      </c>
      <c r="G415" s="11" t="n">
        <v>104.56</v>
      </c>
      <c r="H415" s="10" t="inlineStr">
        <is>
          <t>SC DISTRIBUICAO LTDA</t>
        </is>
      </c>
      <c r="I415" s="12" t="inlineStr">
        <is>
          <t>7891000361887</t>
        </is>
      </c>
      <c r="J415" s="10" t="inlineStr">
        <is>
          <t>MATERNA DHA SUPLEMENTO ALIMENTAR MULTIVITAMINICO NESTLE 30 CAPS GEL</t>
        </is>
      </c>
      <c r="K415" s="11" t="n">
        <v>109.48</v>
      </c>
      <c r="L415" s="13" t="n">
        <v>0</v>
      </c>
      <c r="M415" s="11">
        <f>IF(K415="","",ROUND(K415*(1-L415),2))</f>
        <v/>
      </c>
      <c r="N415" s="9" t="n"/>
      <c r="O415" s="14">
        <f>IF(OR(M415="",R415&lt;&gt;""),"",M415/G415-1)</f>
        <v/>
      </c>
      <c r="P415" s="11">
        <f>IF(OR(M415="",R415&lt;&gt;""),"",(G415-M415)*E415)</f>
        <v/>
      </c>
      <c r="Q415" s="9">
        <f>IF(R415&lt;&gt;"","—",IF(M415&lt;G415,"Mais barato",IF(M415&gt;G415,"Mais caro","Igual")))</f>
        <v/>
      </c>
      <c r="R415" s="10" t="n"/>
    </row>
    <row r="416">
      <c r="A416" s="9" t="n">
        <v>206681</v>
      </c>
      <c r="B416" s="10" t="inlineStr">
        <is>
          <t>MAXIDEX 1MG/ML SUS OFT FR GTS 5ML</t>
        </is>
      </c>
      <c r="C416" s="10" t="inlineStr">
        <is>
          <t>RX</t>
        </is>
      </c>
      <c r="D416" s="9" t="inlineStr">
        <is>
          <t>A</t>
        </is>
      </c>
      <c r="E416" s="9" t="n">
        <v>7</v>
      </c>
      <c r="F416" s="9" t="n">
        <v>1</v>
      </c>
      <c r="G416" s="11" t="n">
        <v>8.27</v>
      </c>
      <c r="H416" s="10" t="inlineStr">
        <is>
          <t>SC DISTRIBUICAO LTDA</t>
        </is>
      </c>
      <c r="I416" s="12" t="inlineStr">
        <is>
          <t>7896548111727</t>
        </is>
      </c>
      <c r="J416" s="10" t="inlineStr">
        <is>
          <t>MAXIDEX SOLUCAO OFTALMICA 5ML</t>
        </is>
      </c>
      <c r="K416" s="11" t="n">
        <v>8.49</v>
      </c>
      <c r="L416" s="13" t="n">
        <v>0.035</v>
      </c>
      <c r="M416" s="11">
        <f>IF(K416="","",ROUND(K416*(1-L416),2))</f>
        <v/>
      </c>
      <c r="N416" s="9" t="n">
        <v>3735</v>
      </c>
      <c r="O416" s="14">
        <f>IF(OR(M416="",R416&lt;&gt;""),"",M416/G416-1)</f>
        <v/>
      </c>
      <c r="P416" s="11">
        <f>IF(OR(M416="",R416&lt;&gt;""),"",(G416-M416)*E416)</f>
        <v/>
      </c>
      <c r="Q416" s="9">
        <f>IF(R416&lt;&gt;"","—",IF(M416&lt;G416,"Mais barato",IF(M416&gt;G416,"Mais caro","Igual")))</f>
        <v/>
      </c>
      <c r="R416" s="10" t="n"/>
    </row>
    <row r="417">
      <c r="A417" s="9" t="n">
        <v>137761</v>
      </c>
      <c r="B417" s="10" t="inlineStr">
        <is>
          <t>MAXIFLOX-D 3,5+1MG POM OFT BG 3,5G</t>
        </is>
      </c>
      <c r="C417" s="10" t="inlineStr">
        <is>
          <t>RX - SIMILAR - ATB</t>
        </is>
      </c>
      <c r="D417" s="9" t="inlineStr">
        <is>
          <t>B</t>
        </is>
      </c>
      <c r="E417" s="9" t="n">
        <v>2</v>
      </c>
      <c r="F417" s="9" t="n">
        <v>1</v>
      </c>
      <c r="G417" s="11" t="n">
        <v>41.99</v>
      </c>
      <c r="H417" s="10" t="inlineStr">
        <is>
          <t>SC DISTRIBUICAO LTDA</t>
        </is>
      </c>
      <c r="I417" s="12" t="inlineStr">
        <is>
          <t>7896676432824</t>
        </is>
      </c>
      <c r="J417" s="10" t="inlineStr">
        <is>
          <t>POMADA OFTALMICA MAXIFLOX-D 3.5G</t>
        </is>
      </c>
      <c r="K417" s="11" t="n">
        <v>35.65</v>
      </c>
      <c r="L417" s="13" t="n">
        <v>0.05</v>
      </c>
      <c r="M417" s="11">
        <f>IF(K417="","",ROUND(K417*(1-L417),2))</f>
        <v/>
      </c>
      <c r="N417" s="9" t="n">
        <v>613</v>
      </c>
      <c r="O417" s="14">
        <f>IF(OR(M417="",R417&lt;&gt;""),"",M417/G417-1)</f>
        <v/>
      </c>
      <c r="P417" s="11">
        <f>IF(OR(M417="",R417&lt;&gt;""),"",(G417-M417)*E417)</f>
        <v/>
      </c>
      <c r="Q417" s="9">
        <f>IF(R417&lt;&gt;"","—",IF(M417&lt;G417,"Mais barato",IF(M417&gt;G417,"Mais caro","Igual")))</f>
        <v/>
      </c>
      <c r="R417" s="10" t="n"/>
    </row>
    <row r="418">
      <c r="A418" s="9" t="n">
        <v>137781</v>
      </c>
      <c r="B418" s="10" t="inlineStr">
        <is>
          <t>MAXIFLOX-D 3,5+1MG SUS OFT FR 5ML</t>
        </is>
      </c>
      <c r="C418" s="10" t="inlineStr">
        <is>
          <t>RX - SIMILAR - ATB</t>
        </is>
      </c>
      <c r="D418" s="9" t="inlineStr">
        <is>
          <t>B</t>
        </is>
      </c>
      <c r="E418" s="9" t="n">
        <v>1</v>
      </c>
      <c r="F418" s="9" t="n">
        <v>1</v>
      </c>
      <c r="G418" s="11" t="n">
        <v>41.99</v>
      </c>
      <c r="H418" s="10" t="inlineStr">
        <is>
          <t>SC DISTRIBUICAO LTDA</t>
        </is>
      </c>
      <c r="I418" s="12" t="inlineStr">
        <is>
          <t>7896676432800</t>
        </is>
      </c>
      <c r="J418" s="10" t="inlineStr">
        <is>
          <t>MAXIFLOX-D GOTAS SUSPENSAO OFTALMICA 5ML</t>
        </is>
      </c>
      <c r="K418" s="11" t="n">
        <v>32.43</v>
      </c>
      <c r="L418" s="13" t="n">
        <v>0.05</v>
      </c>
      <c r="M418" s="11">
        <f>IF(K418="","",ROUND(K418*(1-L418),2))</f>
        <v/>
      </c>
      <c r="N418" s="9" t="n">
        <v>1494</v>
      </c>
      <c r="O418" s="14">
        <f>IF(OR(M418="",R418&lt;&gt;""),"",M418/G418-1)</f>
        <v/>
      </c>
      <c r="P418" s="11">
        <f>IF(OR(M418="",R418&lt;&gt;""),"",(G418-M418)*E418)</f>
        <v/>
      </c>
      <c r="Q418" s="9">
        <f>IF(R418&lt;&gt;"","—",IF(M418&lt;G418,"Mais barato",IF(M418&gt;G418,"Mais caro","Igual")))</f>
        <v/>
      </c>
      <c r="R418" s="10" t="n"/>
    </row>
    <row r="419">
      <c r="A419" s="9" t="n">
        <v>588701</v>
      </c>
      <c r="B419" s="10" t="inlineStr">
        <is>
          <t>MAXIMUS A-Z C/30CP (CFE)</t>
        </is>
      </c>
      <c r="C419" s="10" t="inlineStr">
        <is>
          <t>RX</t>
        </is>
      </c>
      <c r="D419" s="9" t="inlineStr">
        <is>
          <t>C</t>
        </is>
      </c>
      <c r="E419" s="9" t="n">
        <v>1</v>
      </c>
      <c r="F419" s="9" t="n">
        <v>1</v>
      </c>
      <c r="G419" s="11" t="n">
        <v>85.77</v>
      </c>
      <c r="H419" s="10" t="inlineStr">
        <is>
          <t>NAZARIA DISTRIBUIDORA DE PRODUTOS FARMACEUTICOS LTDA</t>
        </is>
      </c>
      <c r="I419" s="12" t="n"/>
      <c r="J419" s="10" t="n"/>
      <c r="K419" s="11" t="n"/>
      <c r="L419" s="13" t="n"/>
      <c r="M419" s="11">
        <f>IF(K419="","",ROUND(K419*(1-L419),2))</f>
        <v/>
      </c>
      <c r="N419" s="9" t="n"/>
      <c r="O419" s="14">
        <f>IF(OR(M419="",R419&lt;&gt;""),"",M419/G419-1)</f>
        <v/>
      </c>
      <c r="P419" s="11">
        <f>IF(OR(M419="",R419&lt;&gt;""),"",(G419-M419)*E419)</f>
        <v/>
      </c>
      <c r="Q419" s="9">
        <f>IF(R419&lt;&gt;"","—",IF(M419&lt;G419,"Mais barato",IF(M419&gt;G419,"Mais caro","Igual")))</f>
        <v/>
      </c>
      <c r="R419" s="10" t="inlineStr">
        <is>
          <t>Não encontrado</t>
        </is>
      </c>
    </row>
    <row r="420">
      <c r="A420" s="9" t="n">
        <v>207461</v>
      </c>
      <c r="B420" s="10" t="inlineStr">
        <is>
          <t>MAXINOM SUS OFT FR GTS 5ML</t>
        </is>
      </c>
      <c r="C420" s="10" t="inlineStr">
        <is>
          <t>RX - SIMILAR - ATB</t>
        </is>
      </c>
      <c r="D420" s="9" t="inlineStr">
        <is>
          <t>C</t>
        </is>
      </c>
      <c r="E420" s="9" t="n">
        <v>1</v>
      </c>
      <c r="F420" s="9" t="n">
        <v>1</v>
      </c>
      <c r="G420" s="11" t="n">
        <v>16.88</v>
      </c>
      <c r="H420" s="10" t="inlineStr">
        <is>
          <t>SC DISTRIBUICAO LTDA</t>
        </is>
      </c>
      <c r="I420" s="12" t="inlineStr">
        <is>
          <t>7896006290322</t>
        </is>
      </c>
      <c r="J420" s="10" t="inlineStr">
        <is>
          <t>MAXINOM SUSPENSAO OFTALMICA 5ML</t>
        </is>
      </c>
      <c r="K420" s="11" t="n">
        <v>16.07</v>
      </c>
      <c r="L420" s="13" t="n">
        <v>0.04</v>
      </c>
      <c r="M420" s="11">
        <f>IF(K420="","",ROUND(K420*(1-L420),2))</f>
        <v/>
      </c>
      <c r="N420" s="9" t="n">
        <v>126</v>
      </c>
      <c r="O420" s="14">
        <f>IF(OR(M420="",R420&lt;&gt;""),"",M420/G420-1)</f>
        <v/>
      </c>
      <c r="P420" s="11">
        <f>IF(OR(M420="",R420&lt;&gt;""),"",(G420-M420)*E420)</f>
        <v/>
      </c>
      <c r="Q420" s="9">
        <f>IF(R420&lt;&gt;"","—",IF(M420&lt;G420,"Mais barato",IF(M420&gt;G420,"Mais caro","Igual")))</f>
        <v/>
      </c>
      <c r="R420" s="10" t="n"/>
    </row>
    <row r="421">
      <c r="A421" s="9" t="n">
        <v>207481</v>
      </c>
      <c r="B421" s="10" t="inlineStr">
        <is>
          <t>MAXITROL 1+5MG+6MUI SUS OFT FR GTS 5ML</t>
        </is>
      </c>
      <c r="C421" s="10" t="inlineStr">
        <is>
          <t>RX - REFERENCIA - ATB</t>
        </is>
      </c>
      <c r="D421" s="9" t="inlineStr">
        <is>
          <t>C</t>
        </is>
      </c>
      <c r="E421" s="9" t="n">
        <v>1</v>
      </c>
      <c r="F421" s="9" t="n">
        <v>1</v>
      </c>
      <c r="G421" s="11" t="n">
        <v>17.49</v>
      </c>
      <c r="H421" s="10" t="inlineStr">
        <is>
          <t>SC DISTRIBUICAO LTDA</t>
        </is>
      </c>
      <c r="I421" s="12" t="inlineStr">
        <is>
          <t>7896548111987</t>
        </is>
      </c>
      <c r="J421" s="10" t="inlineStr">
        <is>
          <t>MAXITROL SOLUCAO OFTALMICA 5ML</t>
        </is>
      </c>
      <c r="K421" s="11" t="n">
        <v>18.05</v>
      </c>
      <c r="L421" s="13" t="n">
        <v>0.035</v>
      </c>
      <c r="M421" s="11">
        <f>IF(K421="","",ROUND(K421*(1-L421),2))</f>
        <v/>
      </c>
      <c r="N421" s="9" t="n">
        <v>1019</v>
      </c>
      <c r="O421" s="14">
        <f>IF(OR(M421="",R421&lt;&gt;""),"",M421/G421-1)</f>
        <v/>
      </c>
      <c r="P421" s="11">
        <f>IF(OR(M421="",R421&lt;&gt;""),"",(G421-M421)*E421)</f>
        <v/>
      </c>
      <c r="Q421" s="9">
        <f>IF(R421&lt;&gt;"","—",IF(M421&lt;G421,"Mais barato",IF(M421&gt;G421,"Mais caro","Igual")))</f>
        <v/>
      </c>
      <c r="R421" s="10" t="n"/>
    </row>
    <row r="422">
      <c r="A422" s="9" t="n">
        <v>337741</v>
      </c>
      <c r="B422" s="10" t="inlineStr">
        <is>
          <t>MECLIN 50MG CX 15 COMP</t>
        </is>
      </c>
      <c r="C422" s="10" t="inlineStr">
        <is>
          <t>RX</t>
        </is>
      </c>
      <c r="D422" s="9" t="inlineStr">
        <is>
          <t>B</t>
        </is>
      </c>
      <c r="E422" s="9" t="n">
        <v>4</v>
      </c>
      <c r="F422" s="9" t="n">
        <v>1</v>
      </c>
      <c r="G422" s="11" t="n">
        <v>39.38</v>
      </c>
      <c r="H422" s="10" t="inlineStr">
        <is>
          <t>SC DISTRIBUICAO LTDA</t>
        </is>
      </c>
      <c r="I422" s="12" t="inlineStr">
        <is>
          <t>7896637023641</t>
        </is>
      </c>
      <c r="J422" s="10" t="inlineStr">
        <is>
          <t>MECLIN 50MG C/15 COMPRIMIDOS</t>
        </is>
      </c>
      <c r="K422" s="11" t="n">
        <v>39.12</v>
      </c>
      <c r="L422" s="13" t="n">
        <v>0.04</v>
      </c>
      <c r="M422" s="11">
        <f>IF(K422="","",ROUND(K422*(1-L422),2))</f>
        <v/>
      </c>
      <c r="N422" s="9" t="n">
        <v>499</v>
      </c>
      <c r="O422" s="14">
        <f>IF(OR(M422="",R422&lt;&gt;""),"",M422/G422-1)</f>
        <v/>
      </c>
      <c r="P422" s="11">
        <f>IF(OR(M422="",R422&lt;&gt;""),"",(G422-M422)*E422)</f>
        <v/>
      </c>
      <c r="Q422" s="9">
        <f>IF(R422&lt;&gt;"","—",IF(M422&lt;G422,"Mais barato",IF(M422&gt;G422,"Mais caro","Igual")))</f>
        <v/>
      </c>
      <c r="R422" s="10" t="n"/>
    </row>
    <row r="423">
      <c r="A423" s="9" t="n">
        <v>640331</v>
      </c>
      <c r="B423" s="10" t="inlineStr">
        <is>
          <t>MEGA DAY JUNIOR XPE FR 240ML</t>
        </is>
      </c>
      <c r="C423" s="10" t="inlineStr">
        <is>
          <t>RX</t>
        </is>
      </c>
      <c r="D423" s="9" t="inlineStr">
        <is>
          <t>C</t>
        </is>
      </c>
      <c r="E423" s="9" t="n">
        <v>1</v>
      </c>
      <c r="F423" s="9" t="n">
        <v>1</v>
      </c>
      <c r="G423" s="11" t="n">
        <v>8.4</v>
      </c>
      <c r="H423" s="10" t="inlineStr">
        <is>
          <t>NAZARIA DISTRIBUIDORA DE PRODUTOS FARMACEUTICOS LTDA</t>
        </is>
      </c>
      <c r="I423" s="12" t="n"/>
      <c r="J423" s="10" t="n"/>
      <c r="K423" s="11" t="n"/>
      <c r="L423" s="13" t="n"/>
      <c r="M423" s="11">
        <f>IF(K423="","",ROUND(K423*(1-L423),2))</f>
        <v/>
      </c>
      <c r="N423" s="9" t="n"/>
      <c r="O423" s="14">
        <f>IF(OR(M423="",R423&lt;&gt;""),"",M423/G423-1)</f>
        <v/>
      </c>
      <c r="P423" s="11">
        <f>IF(OR(M423="",R423&lt;&gt;""),"",(G423-M423)*E423)</f>
        <v/>
      </c>
      <c r="Q423" s="9">
        <f>IF(R423&lt;&gt;"","—",IF(M423&lt;G423,"Mais barato",IF(M423&gt;G423,"Mais caro","Igual")))</f>
        <v/>
      </c>
      <c r="R423" s="10" t="inlineStr">
        <is>
          <t>Não encontrado</t>
        </is>
      </c>
    </row>
    <row r="424">
      <c r="A424" s="9" t="n">
        <v>673191</v>
      </c>
      <c r="B424" s="10" t="inlineStr">
        <is>
          <t>MELAGRIAO SPRAY - MENTA - 30ML-DEMAIS PROD</t>
        </is>
      </c>
      <c r="C424" s="10" t="inlineStr">
        <is>
          <t>RX</t>
        </is>
      </c>
      <c r="D424" s="9" t="inlineStr">
        <is>
          <t>A</t>
        </is>
      </c>
      <c r="E424" s="9" t="n">
        <v>9</v>
      </c>
      <c r="F424" s="9" t="n">
        <v>1</v>
      </c>
      <c r="G424" s="11" t="n">
        <v>12.6067</v>
      </c>
      <c r="H424" s="10" t="inlineStr">
        <is>
          <t>SC DISTRIBUICAO LTDA</t>
        </is>
      </c>
      <c r="I424" s="12" t="inlineStr">
        <is>
          <t>7896023752513</t>
        </is>
      </c>
      <c r="J424" s="10" t="inlineStr">
        <is>
          <t>MELAGRIAO SPRAY 30ML</t>
        </is>
      </c>
      <c r="K424" s="11" t="n">
        <v>14.28</v>
      </c>
      <c r="L424" s="13" t="n">
        <v>0</v>
      </c>
      <c r="M424" s="11">
        <f>IF(K424="","",ROUND(K424*(1-L424),2))</f>
        <v/>
      </c>
      <c r="N424" s="9" t="n">
        <v>156</v>
      </c>
      <c r="O424" s="14">
        <f>IF(OR(M424="",R424&lt;&gt;""),"",M424/G424-1)</f>
        <v/>
      </c>
      <c r="P424" s="11">
        <f>IF(OR(M424="",R424&lt;&gt;""),"",(G424-M424)*E424)</f>
        <v/>
      </c>
      <c r="Q424" s="9">
        <f>IF(R424&lt;&gt;"","—",IF(M424&lt;G424,"Mais barato",IF(M424&gt;G424,"Mais caro","Igual")))</f>
        <v/>
      </c>
      <c r="R424" s="10" t="n"/>
    </row>
    <row r="425">
      <c r="A425" s="9" t="n">
        <v>3223</v>
      </c>
      <c r="B425" s="10" t="inlineStr">
        <is>
          <t>MELAGRIAO SPRAY 30ML EXTRA FORTE</t>
        </is>
      </c>
      <c r="C425" s="10" t="inlineStr">
        <is>
          <t>RX - OTC</t>
        </is>
      </c>
      <c r="D425" s="9" t="inlineStr">
        <is>
          <t>B</t>
        </is>
      </c>
      <c r="E425" s="9" t="n">
        <v>1</v>
      </c>
      <c r="F425" s="9" t="n">
        <v>1</v>
      </c>
      <c r="G425" s="11" t="n">
        <v>13.22</v>
      </c>
      <c r="H425" s="10" t="inlineStr">
        <is>
          <t>SC DISTRIBUICAO LTDA</t>
        </is>
      </c>
      <c r="I425" s="12" t="inlineStr">
        <is>
          <t>7896023708626</t>
        </is>
      </c>
      <c r="J425" s="10" t="inlineStr">
        <is>
          <t>MELAGRIAO SPRAY 30ML EXTRA FORTE</t>
        </is>
      </c>
      <c r="K425" s="11" t="n">
        <v>18.02</v>
      </c>
      <c r="L425" s="13" t="n">
        <v>0</v>
      </c>
      <c r="M425" s="11">
        <f>IF(K425="","",ROUND(K425*(1-L425),2))</f>
        <v/>
      </c>
      <c r="N425" s="9" t="n">
        <v>64</v>
      </c>
      <c r="O425" s="14">
        <f>IF(OR(M425="",R425&lt;&gt;""),"",M425/G425-1)</f>
        <v/>
      </c>
      <c r="P425" s="11">
        <f>IF(OR(M425="",R425&lt;&gt;""),"",(G425-M425)*E425)</f>
        <v/>
      </c>
      <c r="Q425" s="9">
        <f>IF(R425&lt;&gt;"","—",IF(M425&lt;G425,"Mais barato",IF(M425&gt;G425,"Mais caro","Igual")))</f>
        <v/>
      </c>
      <c r="R425" s="10" t="n"/>
    </row>
    <row r="426">
      <c r="A426" s="9" t="n">
        <v>627701</v>
      </c>
      <c r="B426" s="10" t="inlineStr">
        <is>
          <t>MELAGRIAO SPRAY LIMÃO 30ML</t>
        </is>
      </c>
      <c r="C426" s="10" t="inlineStr">
        <is>
          <t>RX - OTC</t>
        </is>
      </c>
      <c r="D426" s="9" t="inlineStr">
        <is>
          <t>A</t>
        </is>
      </c>
      <c r="E426" s="9" t="n">
        <v>5</v>
      </c>
      <c r="F426" s="9" t="n">
        <v>1</v>
      </c>
      <c r="G426" s="11" t="n">
        <v>14.76</v>
      </c>
      <c r="H426" s="10" t="inlineStr">
        <is>
          <t>SC DISTRIBUICAO LTDA</t>
        </is>
      </c>
      <c r="I426" s="12" t="inlineStr">
        <is>
          <t>7896023793332</t>
        </is>
      </c>
      <c r="J426" s="10" t="inlineStr">
        <is>
          <t>MELAGRIAO SPRAY LIMAO 30ML</t>
        </is>
      </c>
      <c r="K426" s="11" t="n">
        <v>18.02</v>
      </c>
      <c r="L426" s="13" t="n">
        <v>0</v>
      </c>
      <c r="M426" s="11">
        <f>IF(K426="","",ROUND(K426*(1-L426),2))</f>
        <v/>
      </c>
      <c r="N426" s="9" t="n">
        <v>32</v>
      </c>
      <c r="O426" s="14">
        <f>IF(OR(M426="",R426&lt;&gt;""),"",M426/G426-1)</f>
        <v/>
      </c>
      <c r="P426" s="11">
        <f>IF(OR(M426="",R426&lt;&gt;""),"",(G426-M426)*E426)</f>
        <v/>
      </c>
      <c r="Q426" s="9">
        <f>IF(R426&lt;&gt;"","—",IF(M426&lt;G426,"Mais barato",IF(M426&gt;G426,"Mais caro","Igual")))</f>
        <v/>
      </c>
      <c r="R426" s="10" t="n"/>
    </row>
    <row r="427">
      <c r="A427" s="9" t="n">
        <v>548221</v>
      </c>
      <c r="B427" s="10" t="inlineStr">
        <is>
          <t>MELAGRIÃO EXPECTORANTE CATARINENSE 150ML</t>
        </is>
      </c>
      <c r="C427" s="10" t="inlineStr">
        <is>
          <t>RX - OTC</t>
        </is>
      </c>
      <c r="D427" s="9" t="inlineStr">
        <is>
          <t>A</t>
        </is>
      </c>
      <c r="E427" s="9" t="n">
        <v>2</v>
      </c>
      <c r="F427" s="9" t="n">
        <v>1</v>
      </c>
      <c r="G427" s="11" t="n">
        <v>15.82</v>
      </c>
      <c r="H427" s="10" t="inlineStr">
        <is>
          <t>SC DISTRIBUICAO LTDA</t>
        </is>
      </c>
      <c r="I427" s="12" t="inlineStr">
        <is>
          <t>7896023719899</t>
        </is>
      </c>
      <c r="J427" s="10" t="inlineStr">
        <is>
          <t>XAROPE MELAGRIAO 150ML</t>
        </is>
      </c>
      <c r="K427" s="11" t="n">
        <v>34.71</v>
      </c>
      <c r="L427" s="13" t="n">
        <v>0.06</v>
      </c>
      <c r="M427" s="11">
        <f>IF(K427="","",ROUND(K427*(1-L427),2))</f>
        <v/>
      </c>
      <c r="N427" s="9" t="n">
        <v>490</v>
      </c>
      <c r="O427" s="14">
        <f>IF(OR(M427="",R427&lt;&gt;""),"",M427/G427-1)</f>
        <v/>
      </c>
      <c r="P427" s="11">
        <f>IF(OR(M427="",R427&lt;&gt;""),"",(G427-M427)*E427)</f>
        <v/>
      </c>
      <c r="Q427" s="9">
        <f>IF(R427&lt;&gt;"","—",IF(M427&lt;G427,"Mais barato",IF(M427&gt;G427,"Mais caro","Igual")))</f>
        <v/>
      </c>
      <c r="R427" s="10" t="inlineStr">
        <is>
          <t>Conferir embalagem/EAN</t>
        </is>
      </c>
    </row>
    <row r="428">
      <c r="A428" s="9" t="n">
        <v>626141</v>
      </c>
      <c r="B428" s="10" t="inlineStr">
        <is>
          <t>MELOCOX ODT 15MG CX 10 COMP ORODISP</t>
        </is>
      </c>
      <c r="C428" s="10" t="inlineStr">
        <is>
          <t>RX</t>
        </is>
      </c>
      <c r="D428" s="9" t="inlineStr">
        <is>
          <t>B</t>
        </is>
      </c>
      <c r="E428" s="9" t="n">
        <v>2</v>
      </c>
      <c r="F428" s="9" t="n">
        <v>1</v>
      </c>
      <c r="G428" s="11" t="n">
        <v>34.7333</v>
      </c>
      <c r="H428" s="10" t="inlineStr">
        <is>
          <t>SC DISTRIBUICAO LTDA</t>
        </is>
      </c>
      <c r="I428" s="12" t="inlineStr">
        <is>
          <t>7891317011598</t>
        </is>
      </c>
      <c r="J428" s="10" t="inlineStr">
        <is>
          <t>MELOCOX ODT 15MG C/10 COMPRIMIDOS ORODISPERSIVEIS</t>
        </is>
      </c>
      <c r="K428" s="11" t="n">
        <v>37.28</v>
      </c>
      <c r="L428" s="13" t="n">
        <v>0.04</v>
      </c>
      <c r="M428" s="11">
        <f>IF(K428="","",ROUND(K428*(1-L428),2))</f>
        <v/>
      </c>
      <c r="N428" s="9" t="n"/>
      <c r="O428" s="14">
        <f>IF(OR(M428="",R428&lt;&gt;""),"",M428/G428-1)</f>
        <v/>
      </c>
      <c r="P428" s="11">
        <f>IF(OR(M428="",R428&lt;&gt;""),"",(G428-M428)*E428)</f>
        <v/>
      </c>
      <c r="Q428" s="9">
        <f>IF(R428&lt;&gt;"","—",IF(M428&lt;G428,"Mais barato",IF(M428&gt;G428,"Mais caro","Igual")))</f>
        <v/>
      </c>
      <c r="R428" s="10" t="n"/>
    </row>
    <row r="429">
      <c r="A429" s="9" t="n">
        <v>618311</v>
      </c>
      <c r="B429" s="10" t="inlineStr">
        <is>
          <t>MELYSSE 25MG/5ML XPE PED FR 120ML</t>
        </is>
      </c>
      <c r="C429" s="10" t="inlineStr">
        <is>
          <t>RX</t>
        </is>
      </c>
      <c r="D429" s="9" t="inlineStr">
        <is>
          <t>C</t>
        </is>
      </c>
      <c r="E429" s="9" t="n">
        <v>1</v>
      </c>
      <c r="F429" s="9" t="n">
        <v>1</v>
      </c>
      <c r="G429" s="11" t="n">
        <v>27.51</v>
      </c>
      <c r="H429" s="10" t="inlineStr">
        <is>
          <t>SC DISTRIBUICAO LTDA</t>
        </is>
      </c>
      <c r="I429" s="12" t="n"/>
      <c r="J429" s="10" t="n"/>
      <c r="K429" s="11" t="n"/>
      <c r="L429" s="13" t="n"/>
      <c r="M429" s="11">
        <f>IF(K429="","",ROUND(K429*(1-L429),2))</f>
        <v/>
      </c>
      <c r="N429" s="9" t="n"/>
      <c r="O429" s="14">
        <f>IF(OR(M429="",R429&lt;&gt;""),"",M429/G429-1)</f>
        <v/>
      </c>
      <c r="P429" s="11">
        <f>IF(OR(M429="",R429&lt;&gt;""),"",(G429-M429)*E429)</f>
        <v/>
      </c>
      <c r="Q429" s="9">
        <f>IF(R429&lt;&gt;"","—",IF(M429&lt;G429,"Mais barato",IF(M429&gt;G429,"Mais caro","Igual")))</f>
        <v/>
      </c>
      <c r="R429" s="10" t="inlineStr">
        <is>
          <t>Não encontrado</t>
        </is>
      </c>
    </row>
    <row r="430">
      <c r="A430" s="9" t="n">
        <v>158801</v>
      </c>
      <c r="B430" s="10" t="inlineStr">
        <is>
          <t>MERITOR 4+1000MG CX 30 COMP REV</t>
        </is>
      </c>
      <c r="C430" s="10" t="inlineStr">
        <is>
          <t>RX - DIABETES</t>
        </is>
      </c>
      <c r="D430" s="9" t="inlineStr">
        <is>
          <t>A</t>
        </is>
      </c>
      <c r="E430" s="9" t="n">
        <v>1</v>
      </c>
      <c r="F430" s="9" t="n">
        <v>1</v>
      </c>
      <c r="G430" s="11" t="n">
        <v>64.8</v>
      </c>
      <c r="H430" s="10" t="inlineStr">
        <is>
          <t>SC DISTRIBUICAO LTDA</t>
        </is>
      </c>
      <c r="I430" s="12" t="inlineStr">
        <is>
          <t>7896658012419</t>
        </is>
      </c>
      <c r="J430" s="10" t="inlineStr">
        <is>
          <t>MERITOR 4/1000MG C/30 COMPRIMIDOS</t>
        </is>
      </c>
      <c r="K430" s="11" t="n">
        <v>63.7</v>
      </c>
      <c r="L430" s="13" t="n">
        <v>0.05</v>
      </c>
      <c r="M430" s="11">
        <f>IF(K430="","",ROUND(K430*(1-L430),2))</f>
        <v/>
      </c>
      <c r="N430" s="9" t="n">
        <v>1762</v>
      </c>
      <c r="O430" s="14">
        <f>IF(OR(M430="",R430&lt;&gt;""),"",M430/G430-1)</f>
        <v/>
      </c>
      <c r="P430" s="11">
        <f>IF(OR(M430="",R430&lt;&gt;""),"",(G430-M430)*E430)</f>
        <v/>
      </c>
      <c r="Q430" s="9">
        <f>IF(R430&lt;&gt;"","—",IF(M430&lt;G430,"Mais barato",IF(M430&gt;G430,"Mais caro","Igual")))</f>
        <v/>
      </c>
      <c r="R430" s="10" t="n"/>
    </row>
    <row r="431">
      <c r="A431" s="9" t="n">
        <v>626611</v>
      </c>
      <c r="B431" s="10" t="inlineStr">
        <is>
          <t>MERTHIOLATE LIQ SPR PET AMBAR 30ML</t>
        </is>
      </c>
      <c r="C431" s="10" t="inlineStr">
        <is>
          <t>RX</t>
        </is>
      </c>
      <c r="D431" s="9" t="inlineStr">
        <is>
          <t>B</t>
        </is>
      </c>
      <c r="E431" s="9" t="n">
        <v>1</v>
      </c>
      <c r="F431" s="9" t="n">
        <v>1</v>
      </c>
      <c r="G431" s="11" t="n">
        <v>19.235</v>
      </c>
      <c r="H431" s="10" t="inlineStr">
        <is>
          <t>NAZARIA DISTRIBUIDORA DE PRODUTOS FARMACEUTICOS LTDA</t>
        </is>
      </c>
      <c r="I431" s="12" t="n"/>
      <c r="J431" s="10" t="n"/>
      <c r="K431" s="11" t="n"/>
      <c r="L431" s="13" t="n"/>
      <c r="M431" s="11">
        <f>IF(K431="","",ROUND(K431*(1-L431),2))</f>
        <v/>
      </c>
      <c r="N431" s="9" t="n"/>
      <c r="O431" s="14">
        <f>IF(OR(M431="",R431&lt;&gt;""),"",M431/G431-1)</f>
        <v/>
      </c>
      <c r="P431" s="11">
        <f>IF(OR(M431="",R431&lt;&gt;""),"",(G431-M431)*E431)</f>
        <v/>
      </c>
      <c r="Q431" s="9">
        <f>IF(R431&lt;&gt;"","—",IF(M431&lt;G431,"Mais barato",IF(M431&gt;G431,"Mais caro","Igual")))</f>
        <v/>
      </c>
      <c r="R431" s="10" t="inlineStr">
        <is>
          <t>Não encontrado</t>
        </is>
      </c>
    </row>
    <row r="432">
      <c r="A432" s="9" t="n">
        <v>663861</v>
      </c>
      <c r="B432" s="10" t="inlineStr">
        <is>
          <t>MESIGYNA 50+5MG/ML C/1 SER PR+AG-REFERENCIA</t>
        </is>
      </c>
      <c r="C432" s="10" t="inlineStr">
        <is>
          <t>RX</t>
        </is>
      </c>
      <c r="D432" s="9" t="inlineStr">
        <is>
          <t>A</t>
        </is>
      </c>
      <c r="E432" s="9" t="n">
        <v>3</v>
      </c>
      <c r="F432" s="9" t="n">
        <v>1</v>
      </c>
      <c r="G432" s="11" t="n">
        <v>35.54</v>
      </c>
      <c r="H432" s="10" t="inlineStr">
        <is>
          <t>SC DISTRIBUICAO LTDA</t>
        </is>
      </c>
      <c r="I432" s="12" t="inlineStr">
        <is>
          <t>7891106916233</t>
        </is>
      </c>
      <c r="J432" s="10" t="inlineStr">
        <is>
          <t>MESIGYNA 50+5MG/ML C/1 SERINGA PREENCHIDA + AGULHA</t>
        </is>
      </c>
      <c r="K432" s="11" t="n">
        <v>34.92</v>
      </c>
      <c r="L432" s="13" t="n">
        <v>0.03</v>
      </c>
      <c r="M432" s="11">
        <f>IF(K432="","",ROUND(K432*(1-L432),2))</f>
        <v/>
      </c>
      <c r="N432" s="9" t="n"/>
      <c r="O432" s="14">
        <f>IF(OR(M432="",R432&lt;&gt;""),"",M432/G432-1)</f>
        <v/>
      </c>
      <c r="P432" s="11">
        <f>IF(OR(M432="",R432&lt;&gt;""),"",(G432-M432)*E432)</f>
        <v/>
      </c>
      <c r="Q432" s="9">
        <f>IF(R432&lt;&gt;"","—",IF(M432&lt;G432,"Mais barato",IF(M432&gt;G432,"Mais caro","Igual")))</f>
        <v/>
      </c>
      <c r="R432" s="10" t="n"/>
    </row>
    <row r="433">
      <c r="A433" s="9" t="n">
        <v>622911</v>
      </c>
      <c r="B433" s="10" t="inlineStr">
        <is>
          <t>METAMUCIL 0,562G PO PREP 10 ENV X 1 SACHE SB LARANJA</t>
        </is>
      </c>
      <c r="C433" s="10" t="inlineStr">
        <is>
          <t>RX - OTC</t>
        </is>
      </c>
      <c r="D433" s="9" t="inlineStr">
        <is>
          <t>B</t>
        </is>
      </c>
      <c r="E433" s="9" t="n">
        <v>2</v>
      </c>
      <c r="F433" s="9" t="n">
        <v>1</v>
      </c>
      <c r="G433" s="11" t="n">
        <v>54.15</v>
      </c>
      <c r="H433" s="10" t="inlineStr">
        <is>
          <t>SC DISTRIBUICAO LTDA</t>
        </is>
      </c>
      <c r="I433" s="12" t="inlineStr">
        <is>
          <t>20800750165</t>
        </is>
      </c>
      <c r="J433" s="10" t="inlineStr">
        <is>
          <t>METAMUCIL SOLUVEL LARANJA 10X5,85G</t>
        </is>
      </c>
      <c r="K433" s="11" t="n">
        <v>55.17</v>
      </c>
      <c r="L433" s="13" t="n">
        <v>0.04</v>
      </c>
      <c r="M433" s="11">
        <f>IF(K433="","",ROUND(K433*(1-L433),2))</f>
        <v/>
      </c>
      <c r="N433" s="9" t="n">
        <v>199</v>
      </c>
      <c r="O433" s="14">
        <f>IF(OR(M433="",R433&lt;&gt;""),"",M433/G433-1)</f>
        <v/>
      </c>
      <c r="P433" s="11">
        <f>IF(OR(M433="",R433&lt;&gt;""),"",(G433-M433)*E433)</f>
        <v/>
      </c>
      <c r="Q433" s="9">
        <f>IF(R433&lt;&gt;"","—",IF(M433&lt;G433,"Mais barato",IF(M433&gt;G433,"Mais caro","Igual")))</f>
        <v/>
      </c>
      <c r="R433" s="10" t="n"/>
    </row>
    <row r="434">
      <c r="A434" s="9" t="n">
        <v>665551</v>
      </c>
      <c r="B434" s="10" t="inlineStr">
        <is>
          <t>METAMUCIL SOLUVEL LARANJA 174G-OUTROS</t>
        </is>
      </c>
      <c r="C434" s="10" t="inlineStr">
        <is>
          <t>RX</t>
        </is>
      </c>
      <c r="D434" s="9" t="inlineStr">
        <is>
          <t>C</t>
        </is>
      </c>
      <c r="E434" s="9" t="n">
        <v>1</v>
      </c>
      <c r="F434" s="9" t="n">
        <v>1</v>
      </c>
      <c r="G434" s="11" t="n">
        <v>101.27</v>
      </c>
      <c r="H434" s="10" t="inlineStr">
        <is>
          <t>SC DISTRIBUICAO LTDA</t>
        </is>
      </c>
      <c r="I434" s="12" t="inlineStr">
        <is>
          <t>20800750158</t>
        </is>
      </c>
      <c r="J434" s="10" t="inlineStr">
        <is>
          <t>METAMUCIL SOLUVEL LARANJA 174G</t>
        </is>
      </c>
      <c r="K434" s="11" t="n">
        <v>106.43</v>
      </c>
      <c r="L434" s="13" t="n">
        <v>0.04</v>
      </c>
      <c r="M434" s="11">
        <f>IF(K434="","",ROUND(K434*(1-L434),2))</f>
        <v/>
      </c>
      <c r="N434" s="9" t="n"/>
      <c r="O434" s="14">
        <f>IF(OR(M434="",R434&lt;&gt;""),"",M434/G434-1)</f>
        <v/>
      </c>
      <c r="P434" s="11">
        <f>IF(OR(M434="",R434&lt;&gt;""),"",(G434-M434)*E434)</f>
        <v/>
      </c>
      <c r="Q434" s="9">
        <f>IF(R434&lt;&gt;"","—",IF(M434&lt;G434,"Mais barato",IF(M434&gt;G434,"Mais caro","Igual")))</f>
        <v/>
      </c>
      <c r="R434" s="10" t="n"/>
    </row>
    <row r="435">
      <c r="A435" s="9" t="n">
        <v>345701</v>
      </c>
      <c r="B435" s="10" t="inlineStr">
        <is>
          <t>METREXATO 2,5MG CX 24 COMP</t>
        </is>
      </c>
      <c r="C435" s="10" t="inlineStr">
        <is>
          <t>RX</t>
        </is>
      </c>
      <c r="D435" s="9" t="inlineStr">
        <is>
          <t>A</t>
        </is>
      </c>
      <c r="E435" s="9" t="n">
        <v>2</v>
      </c>
      <c r="F435" s="9" t="n">
        <v>1</v>
      </c>
      <c r="G435" s="11" t="n">
        <v>24.8457</v>
      </c>
      <c r="H435" s="10" t="inlineStr">
        <is>
          <t>NAZARIA DISTRIBUIDORA DE PRODUTOS FARMACEUTICOS LTDA</t>
        </is>
      </c>
      <c r="I435" s="12" t="n"/>
      <c r="J435" s="10" t="n"/>
      <c r="K435" s="11" t="n"/>
      <c r="L435" s="13" t="n"/>
      <c r="M435" s="11">
        <f>IF(K435="","",ROUND(K435*(1-L435),2))</f>
        <v/>
      </c>
      <c r="N435" s="9" t="n"/>
      <c r="O435" s="14">
        <f>IF(OR(M435="",R435&lt;&gt;""),"",M435/G435-1)</f>
        <v/>
      </c>
      <c r="P435" s="11">
        <f>IF(OR(M435="",R435&lt;&gt;""),"",(G435-M435)*E435)</f>
        <v/>
      </c>
      <c r="Q435" s="9">
        <f>IF(R435&lt;&gt;"","—",IF(M435&lt;G435,"Mais barato",IF(M435&gt;G435,"Mais caro","Igual")))</f>
        <v/>
      </c>
      <c r="R435" s="10" t="inlineStr">
        <is>
          <t>Não encontrado</t>
        </is>
      </c>
    </row>
    <row r="436">
      <c r="A436" s="9" t="n">
        <v>599161</v>
      </c>
      <c r="B436" s="10" t="inlineStr">
        <is>
          <t>MICROVLAR 0,15+0,03MG CX 21 DRG</t>
        </is>
      </c>
      <c r="C436" s="10" t="inlineStr">
        <is>
          <t>RX</t>
        </is>
      </c>
      <c r="D436" s="9" t="inlineStr">
        <is>
          <t>B</t>
        </is>
      </c>
      <c r="E436" s="9" t="n">
        <v>1</v>
      </c>
      <c r="F436" s="9" t="n">
        <v>1</v>
      </c>
      <c r="G436" s="11" t="n">
        <v>7.3167</v>
      </c>
      <c r="H436" s="10" t="inlineStr">
        <is>
          <t>SC DISTRIBUICAO LTDA</t>
        </is>
      </c>
      <c r="I436" s="12" t="inlineStr">
        <is>
          <t>7896006201618</t>
        </is>
      </c>
      <c r="J436" s="10" t="inlineStr">
        <is>
          <t>MICROVLAR C/21 DRAGEAS</t>
        </is>
      </c>
      <c r="K436" s="11" t="n">
        <v>8.07</v>
      </c>
      <c r="L436" s="13" t="n">
        <v>0.04</v>
      </c>
      <c r="M436" s="11">
        <f>IF(K436="","",ROUND(K436*(1-L436),2))</f>
        <v/>
      </c>
      <c r="N436" s="9" t="n">
        <v>2272</v>
      </c>
      <c r="O436" s="14">
        <f>IF(OR(M436="",R436&lt;&gt;""),"",M436/G436-1)</f>
        <v/>
      </c>
      <c r="P436" s="11">
        <f>IF(OR(M436="",R436&lt;&gt;""),"",(G436-M436)*E436)</f>
        <v/>
      </c>
      <c r="Q436" s="9">
        <f>IF(R436&lt;&gt;"","—",IF(M436&lt;G436,"Mais barato",IF(M436&gt;G436,"Mais caro","Igual")))</f>
        <v/>
      </c>
      <c r="R436" s="10" t="n"/>
    </row>
    <row r="437">
      <c r="A437" s="9" t="n">
        <v>225321</v>
      </c>
      <c r="B437" s="10" t="inlineStr">
        <is>
          <t>MIGRALIV CX 12 COMP</t>
        </is>
      </c>
      <c r="C437" s="10" t="inlineStr">
        <is>
          <t>RX</t>
        </is>
      </c>
      <c r="D437" s="9" t="inlineStr">
        <is>
          <t>C</t>
        </is>
      </c>
      <c r="E437" s="9" t="n">
        <v>1</v>
      </c>
      <c r="F437" s="9" t="n">
        <v>1</v>
      </c>
      <c r="G437" s="11" t="n">
        <v>12.36</v>
      </c>
      <c r="H437" s="10" t="inlineStr">
        <is>
          <t>NAZARIA DISTRIBUIDORA DE PRODUTOS FARMACEUTICOS LTDA</t>
        </is>
      </c>
      <c r="I437" s="12" t="inlineStr">
        <is>
          <t>7896004760995</t>
        </is>
      </c>
      <c r="J437" s="10" t="inlineStr">
        <is>
          <t>MIGRALIV C/12 COMPRIMIDOS</t>
        </is>
      </c>
      <c r="K437" s="11" t="n">
        <v>16.99</v>
      </c>
      <c r="L437" s="13" t="n">
        <v>0</v>
      </c>
      <c r="M437" s="11">
        <f>IF(K437="","",ROUND(K437*(1-L437),2))</f>
        <v/>
      </c>
      <c r="N437" s="9" t="n">
        <v>103</v>
      </c>
      <c r="O437" s="14">
        <f>IF(OR(M437="",R437&lt;&gt;""),"",M437/G437-1)</f>
        <v/>
      </c>
      <c r="P437" s="11">
        <f>IF(OR(M437="",R437&lt;&gt;""),"",(G437-M437)*E437)</f>
        <v/>
      </c>
      <c r="Q437" s="9">
        <f>IF(R437&lt;&gt;"","—",IF(M437&lt;G437,"Mais barato",IF(M437&gt;G437,"Mais caro","Igual")))</f>
        <v/>
      </c>
      <c r="R437" s="10" t="n"/>
    </row>
    <row r="438">
      <c r="A438" s="9" t="n">
        <v>621241</v>
      </c>
      <c r="B438" s="10" t="inlineStr">
        <is>
          <t>MILMUNE CONCENTRADO 120ML</t>
        </is>
      </c>
      <c r="C438" s="10" t="inlineStr">
        <is>
          <t>RX - OTC</t>
        </is>
      </c>
      <c r="D438" s="9" t="inlineStr">
        <is>
          <t>A</t>
        </is>
      </c>
      <c r="E438" s="9" t="n">
        <v>5</v>
      </c>
      <c r="F438" s="9" t="n">
        <v>1</v>
      </c>
      <c r="G438" s="11" t="n">
        <v>21.33</v>
      </c>
      <c r="H438" s="10" t="inlineStr">
        <is>
          <t>AMERICAN FARMA LTDA (MATRIZ)</t>
        </is>
      </c>
      <c r="I438" s="12" t="n"/>
      <c r="J438" s="10" t="n"/>
      <c r="K438" s="11" t="n"/>
      <c r="L438" s="13" t="n"/>
      <c r="M438" s="11">
        <f>IF(K438="","",ROUND(K438*(1-L438),2))</f>
        <v/>
      </c>
      <c r="N438" s="9" t="n"/>
      <c r="O438" s="14">
        <f>IF(OR(M438="",R438&lt;&gt;""),"",M438/G438-1)</f>
        <v/>
      </c>
      <c r="P438" s="11">
        <f>IF(OR(M438="",R438&lt;&gt;""),"",(G438-M438)*E438)</f>
        <v/>
      </c>
      <c r="Q438" s="9">
        <f>IF(R438&lt;&gt;"","—",IF(M438&lt;G438,"Mais barato",IF(M438&gt;G438,"Mais caro","Igual")))</f>
        <v/>
      </c>
      <c r="R438" s="10" t="inlineStr">
        <is>
          <t>Não encontrado</t>
        </is>
      </c>
    </row>
    <row r="439">
      <c r="A439" s="9" t="n">
        <v>557961</v>
      </c>
      <c r="B439" s="10" t="inlineStr">
        <is>
          <t>MILMUNE CONCENTRADO 30CP</t>
        </is>
      </c>
      <c r="C439" s="10" t="inlineStr">
        <is>
          <t>RX</t>
        </is>
      </c>
      <c r="D439" s="9" t="inlineStr">
        <is>
          <t>A</t>
        </is>
      </c>
      <c r="E439" s="9" t="n">
        <v>7</v>
      </c>
      <c r="F439" s="9" t="n">
        <v>1</v>
      </c>
      <c r="G439" s="11" t="n">
        <v>37.65</v>
      </c>
      <c r="H439" s="10" t="inlineStr">
        <is>
          <t>DSC DISTRIBUIDORA DE MEDICAMENTOS LTDA</t>
        </is>
      </c>
      <c r="I439" s="12" t="n"/>
      <c r="J439" s="10" t="n"/>
      <c r="K439" s="11" t="n"/>
      <c r="L439" s="13" t="n"/>
      <c r="M439" s="11">
        <f>IF(K439="","",ROUND(K439*(1-L439),2))</f>
        <v/>
      </c>
      <c r="N439" s="9" t="n"/>
      <c r="O439" s="14">
        <f>IF(OR(M439="",R439&lt;&gt;""),"",M439/G439-1)</f>
        <v/>
      </c>
      <c r="P439" s="11">
        <f>IF(OR(M439="",R439&lt;&gt;""),"",(G439-M439)*E439)</f>
        <v/>
      </c>
      <c r="Q439" s="9">
        <f>IF(R439&lt;&gt;"","—",IF(M439&lt;G439,"Mais barato",IF(M439&gt;G439,"Mais caro","Igual")))</f>
        <v/>
      </c>
      <c r="R439" s="10" t="inlineStr">
        <is>
          <t>Não encontrado</t>
        </is>
      </c>
    </row>
    <row r="440">
      <c r="A440" s="9" t="n">
        <v>582261</v>
      </c>
      <c r="B440" s="10" t="inlineStr">
        <is>
          <t>MINILAX 714,0+7,70MG/G SOL RET CAIXA C/ 7</t>
        </is>
      </c>
      <c r="C440" s="10" t="inlineStr">
        <is>
          <t>RX - OTC</t>
        </is>
      </c>
      <c r="D440" s="9" t="inlineStr">
        <is>
          <t>A</t>
        </is>
      </c>
      <c r="E440" s="9" t="n">
        <v>2</v>
      </c>
      <c r="F440" s="9" t="n">
        <v>7</v>
      </c>
      <c r="G440" s="11" t="n">
        <v>44.5</v>
      </c>
      <c r="H440" s="10" t="inlineStr">
        <is>
          <t>SC DISTRIBUICAO LTDA</t>
        </is>
      </c>
      <c r="I440" s="12" t="inlineStr">
        <is>
          <t>7891317015176</t>
        </is>
      </c>
      <c r="J440" s="10" t="inlineStr">
        <is>
          <t>MINILAX 714MG 7,7MG C/7 BISNAGAS</t>
        </is>
      </c>
      <c r="K440" s="11" t="n">
        <v>44.2</v>
      </c>
      <c r="L440" s="13" t="n">
        <v>0.04</v>
      </c>
      <c r="M440" s="11">
        <f>IF(K440="","",ROUND(K440*(1-L440),2))</f>
        <v/>
      </c>
      <c r="N440" s="9" t="n">
        <v>605</v>
      </c>
      <c r="O440" s="14">
        <f>IF(OR(M440="",R440&lt;&gt;""),"",M440/G440-1)</f>
        <v/>
      </c>
      <c r="P440" s="11">
        <f>IF(OR(M440="",R440&lt;&gt;""),"",(G440-M440)*E440)</f>
        <v/>
      </c>
      <c r="Q440" s="9">
        <f>IF(R440&lt;&gt;"","—",IF(M440&lt;G440,"Mais barato",IF(M440&gt;G440,"Mais caro","Igual")))</f>
        <v/>
      </c>
      <c r="R440" s="10" t="n"/>
    </row>
    <row r="441">
      <c r="A441" s="9" t="n">
        <v>622791</v>
      </c>
      <c r="B441" s="10" t="inlineStr">
        <is>
          <t>MINILAX PEDIATRICO 714,0+7,70MG/G SOL RET 7 BG X 6,5G</t>
        </is>
      </c>
      <c r="C441" s="10" t="inlineStr">
        <is>
          <t>RX - OTC</t>
        </is>
      </c>
      <c r="D441" s="9" t="inlineStr">
        <is>
          <t>A</t>
        </is>
      </c>
      <c r="E441" s="9" t="n">
        <v>1</v>
      </c>
      <c r="F441" s="9" t="n">
        <v>1</v>
      </c>
      <c r="G441" s="11" t="n">
        <v>44.5</v>
      </c>
      <c r="H441" s="10" t="inlineStr">
        <is>
          <t>SC DISTRIBUICAO LTDA</t>
        </is>
      </c>
      <c r="I441" s="12" t="inlineStr">
        <is>
          <t>7891317022174</t>
        </is>
      </c>
      <c r="J441" s="10" t="inlineStr">
        <is>
          <t>MINILAX PEDIATRICO SORBITOL 714MG + LAURILSULFATO DE SODIO 7,70MG SOLUÇAO RETAL 7 BISNAGAS</t>
        </is>
      </c>
      <c r="K441" s="11" t="n">
        <v>44.2</v>
      </c>
      <c r="L441" s="13" t="n">
        <v>0.04</v>
      </c>
      <c r="M441" s="11">
        <f>IF(K441="","",ROUND(K441*(1-L441),2))</f>
        <v/>
      </c>
      <c r="N441" s="9" t="n">
        <v>423</v>
      </c>
      <c r="O441" s="14">
        <f>IF(OR(M441="",R441&lt;&gt;""),"",M441/G441-1)</f>
        <v/>
      </c>
      <c r="P441" s="11">
        <f>IF(OR(M441="",R441&lt;&gt;""),"",(G441-M441)*E441)</f>
        <v/>
      </c>
      <c r="Q441" s="9">
        <f>IF(R441&lt;&gt;"","—",IF(M441&lt;G441,"Mais barato",IF(M441&gt;G441,"Mais caro","Igual")))</f>
        <v/>
      </c>
      <c r="R441" s="10" t="n"/>
    </row>
    <row r="442">
      <c r="A442" s="9" t="n">
        <v>82321</v>
      </c>
      <c r="B442" s="10" t="inlineStr">
        <is>
          <t>MIOFLEX A 500+300+125+30MG CX 12 COMP</t>
        </is>
      </c>
      <c r="C442" s="10" t="inlineStr">
        <is>
          <t>RX</t>
        </is>
      </c>
      <c r="D442" s="9" t="inlineStr">
        <is>
          <t>B</t>
        </is>
      </c>
      <c r="E442" s="9" t="n">
        <v>2</v>
      </c>
      <c r="F442" s="9" t="n">
        <v>1</v>
      </c>
      <c r="G442" s="11" t="n">
        <v>20.9925</v>
      </c>
      <c r="H442" s="10" t="inlineStr">
        <is>
          <t>SC DISTRIBUICAO LTDA</t>
        </is>
      </c>
      <c r="I442" s="12" t="inlineStr">
        <is>
          <t>7897322714462</t>
        </is>
      </c>
      <c r="J442" s="10" t="inlineStr">
        <is>
          <t>MIOFLEX A C/12 COMPRIMIDOS</t>
        </is>
      </c>
      <c r="K442" s="11" t="n">
        <v>19.49</v>
      </c>
      <c r="L442" s="13" t="n">
        <v>0.035</v>
      </c>
      <c r="M442" s="11">
        <f>IF(K442="","",ROUND(K442*(1-L442),2))</f>
        <v/>
      </c>
      <c r="N442" s="9" t="n">
        <v>671</v>
      </c>
      <c r="O442" s="14">
        <f>IF(OR(M442="",R442&lt;&gt;""),"",M442/G442-1)</f>
        <v/>
      </c>
      <c r="P442" s="11">
        <f>IF(OR(M442="",R442&lt;&gt;""),"",(G442-M442)*E442)</f>
        <v/>
      </c>
      <c r="Q442" s="9">
        <f>IF(R442&lt;&gt;"","—",IF(M442&lt;G442,"Mais barato",IF(M442&gt;G442,"Mais caro","Igual")))</f>
        <v/>
      </c>
      <c r="R442" s="10" t="n"/>
    </row>
    <row r="443">
      <c r="A443" s="9" t="n">
        <v>133581</v>
      </c>
      <c r="B443" s="10" t="inlineStr">
        <is>
          <t>MIOSAN 10MG CX 10 COMP REV</t>
        </is>
      </c>
      <c r="C443" s="10" t="inlineStr">
        <is>
          <t>RX</t>
        </is>
      </c>
      <c r="D443" s="9" t="inlineStr">
        <is>
          <t>A</t>
        </is>
      </c>
      <c r="E443" s="9" t="n">
        <v>9</v>
      </c>
      <c r="F443" s="9" t="n">
        <v>1</v>
      </c>
      <c r="G443" s="11" t="n">
        <v>12.4417</v>
      </c>
      <c r="H443" s="10" t="inlineStr">
        <is>
          <t>SC DISTRIBUICAO LTDA</t>
        </is>
      </c>
      <c r="I443" s="12" t="inlineStr">
        <is>
          <t>7896637023665</t>
        </is>
      </c>
      <c r="J443" s="10" t="inlineStr">
        <is>
          <t>MIOSAN 10MG C/10 COMPRIMIDOS</t>
        </is>
      </c>
      <c r="K443" s="11" t="n">
        <v>16.66</v>
      </c>
      <c r="L443" s="13" t="n">
        <v>0.04</v>
      </c>
      <c r="M443" s="11">
        <f>IF(K443="","",ROUND(K443*(1-L443),2))</f>
        <v/>
      </c>
      <c r="N443" s="9" t="n">
        <v>875</v>
      </c>
      <c r="O443" s="14">
        <f>IF(OR(M443="",R443&lt;&gt;""),"",M443/G443-1)</f>
        <v/>
      </c>
      <c r="P443" s="11">
        <f>IF(OR(M443="",R443&lt;&gt;""),"",(G443-M443)*E443)</f>
        <v/>
      </c>
      <c r="Q443" s="9">
        <f>IF(R443&lt;&gt;"","—",IF(M443&lt;G443,"Mais barato",IF(M443&gt;G443,"Mais caro","Igual")))</f>
        <v/>
      </c>
      <c r="R443" s="10" t="n"/>
    </row>
    <row r="444">
      <c r="A444" s="9" t="n">
        <v>133601</v>
      </c>
      <c r="B444" s="10" t="inlineStr">
        <is>
          <t>MIOSAN 5MG CX 10 COMP REV</t>
        </is>
      </c>
      <c r="C444" s="10" t="inlineStr">
        <is>
          <t>RX</t>
        </is>
      </c>
      <c r="D444" s="9" t="inlineStr">
        <is>
          <t>B</t>
        </is>
      </c>
      <c r="E444" s="9" t="n">
        <v>1</v>
      </c>
      <c r="F444" s="9" t="n">
        <v>1</v>
      </c>
      <c r="G444" s="11" t="n">
        <v>9.83</v>
      </c>
      <c r="H444" s="10" t="inlineStr">
        <is>
          <t>NAZARIA DISTRIBUIDORA DE PRODUTOS FARMACEUTICOS LTDA</t>
        </is>
      </c>
      <c r="I444" s="12" t="inlineStr">
        <is>
          <t>7896637023658</t>
        </is>
      </c>
      <c r="J444" s="10" t="inlineStr">
        <is>
          <t>MIOSAN 5MG C/10 COMPRIMIDOS</t>
        </is>
      </c>
      <c r="K444" s="11" t="n">
        <v>14.95</v>
      </c>
      <c r="L444" s="13" t="n">
        <v>0.04</v>
      </c>
      <c r="M444" s="11">
        <f>IF(K444="","",ROUND(K444*(1-L444),2))</f>
        <v/>
      </c>
      <c r="N444" s="9" t="n">
        <v>343</v>
      </c>
      <c r="O444" s="14">
        <f>IF(OR(M444="",R444&lt;&gt;""),"",M444/G444-1)</f>
        <v/>
      </c>
      <c r="P444" s="11">
        <f>IF(OR(M444="",R444&lt;&gt;""),"",(G444-M444)*E444)</f>
        <v/>
      </c>
      <c r="Q444" s="9">
        <f>IF(R444&lt;&gt;"","—",IF(M444&lt;G444,"Mais barato",IF(M444&gt;G444,"Mais caro","Igual")))</f>
        <v/>
      </c>
      <c r="R444" s="10" t="n"/>
    </row>
    <row r="445">
      <c r="A445" s="9" t="n">
        <v>134741</v>
      </c>
      <c r="B445" s="10" t="inlineStr">
        <is>
          <t>MIOSAN CAF 10+60MG CX 15 COMP REV</t>
        </is>
      </c>
      <c r="C445" s="10" t="inlineStr">
        <is>
          <t>RX</t>
        </is>
      </c>
      <c r="D445" s="9" t="inlineStr">
        <is>
          <t>A</t>
        </is>
      </c>
      <c r="E445" s="9" t="n">
        <v>4</v>
      </c>
      <c r="F445" s="9" t="n">
        <v>1</v>
      </c>
      <c r="G445" s="11" t="n">
        <v>25.27</v>
      </c>
      <c r="H445" s="10" t="inlineStr">
        <is>
          <t>NAZARIA DISTRIBUIDORA DE PRODUTOS FARMACEUTICOS LTDA</t>
        </is>
      </c>
      <c r="I445" s="12" t="inlineStr">
        <is>
          <t>7896637025102</t>
        </is>
      </c>
      <c r="J445" s="10" t="inlineStr">
        <is>
          <t>MIOSAN CAF 10/60MG C/15 COMPRIMIDOS</t>
        </is>
      </c>
      <c r="K445" s="11" t="n">
        <v>25.8</v>
      </c>
      <c r="L445" s="13" t="n">
        <v>0.04</v>
      </c>
      <c r="M445" s="11">
        <f>IF(K445="","",ROUND(K445*(1-L445),2))</f>
        <v/>
      </c>
      <c r="N445" s="9" t="n">
        <v>95</v>
      </c>
      <c r="O445" s="14">
        <f>IF(OR(M445="",R445&lt;&gt;""),"",M445/G445-1)</f>
        <v/>
      </c>
      <c r="P445" s="11">
        <f>IF(OR(M445="",R445&lt;&gt;""),"",(G445-M445)*E445)</f>
        <v/>
      </c>
      <c r="Q445" s="9">
        <f>IF(R445&lt;&gt;"","—",IF(M445&lt;G445,"Mais barato",IF(M445&gt;G445,"Mais caro","Igual")))</f>
        <v/>
      </c>
      <c r="R445" s="10" t="n"/>
    </row>
    <row r="446">
      <c r="A446" s="9" t="n">
        <v>351341</v>
      </c>
      <c r="B446" s="10" t="inlineStr">
        <is>
          <t>MONOCORDIL 20MG CX 30 COMP</t>
        </is>
      </c>
      <c r="C446" s="10" t="inlineStr">
        <is>
          <t>RX</t>
        </is>
      </c>
      <c r="D446" s="9" t="inlineStr">
        <is>
          <t>C</t>
        </is>
      </c>
      <c r="E446" s="9" t="n">
        <v>1</v>
      </c>
      <c r="F446" s="9" t="n">
        <v>1</v>
      </c>
      <c r="G446" s="11" t="n">
        <v>15.22</v>
      </c>
      <c r="H446" s="10" t="inlineStr">
        <is>
          <t>NAZARIA DISTRIBUIDORA DE PRODUTOS FARMACEUTICOS LTDA</t>
        </is>
      </c>
      <c r="I446" s="12" t="n"/>
      <c r="J446" s="10" t="n"/>
      <c r="K446" s="11" t="n"/>
      <c r="L446" s="13" t="n"/>
      <c r="M446" s="11">
        <f>IF(K446="","",ROUND(K446*(1-L446),2))</f>
        <v/>
      </c>
      <c r="N446" s="9" t="n"/>
      <c r="O446" s="14">
        <f>IF(OR(M446="",R446&lt;&gt;""),"",M446/G446-1)</f>
        <v/>
      </c>
      <c r="P446" s="11">
        <f>IF(OR(M446="",R446&lt;&gt;""),"",(G446-M446)*E446)</f>
        <v/>
      </c>
      <c r="Q446" s="9">
        <f>IF(R446&lt;&gt;"","—",IF(M446&lt;G446,"Mais barato",IF(M446&gt;G446,"Mais caro","Igual")))</f>
        <v/>
      </c>
      <c r="R446" s="10" t="inlineStr">
        <is>
          <t>Não encontrado</t>
        </is>
      </c>
    </row>
    <row r="447">
      <c r="A447" s="9" t="n">
        <v>351361</v>
      </c>
      <c r="B447" s="10" t="inlineStr">
        <is>
          <t>MONOCORDIL 40MG CX 30 COMP</t>
        </is>
      </c>
      <c r="C447" s="10" t="inlineStr">
        <is>
          <t>RX</t>
        </is>
      </c>
      <c r="D447" s="9" t="inlineStr">
        <is>
          <t>C</t>
        </is>
      </c>
      <c r="E447" s="9" t="n">
        <v>1</v>
      </c>
      <c r="F447" s="9" t="n">
        <v>1</v>
      </c>
      <c r="G447" s="11" t="n">
        <v>25.57</v>
      </c>
      <c r="H447" s="10" t="inlineStr">
        <is>
          <t>NAZARIA DISTRIBUIDORA DE PRODUTOS FARMACEUTICOS LTDA</t>
        </is>
      </c>
      <c r="I447" s="12" t="n"/>
      <c r="J447" s="10" t="n"/>
      <c r="K447" s="11" t="n"/>
      <c r="L447" s="13" t="n"/>
      <c r="M447" s="11">
        <f>IF(K447="","",ROUND(K447*(1-L447),2))</f>
        <v/>
      </c>
      <c r="N447" s="9" t="n"/>
      <c r="O447" s="14">
        <f>IF(OR(M447="",R447&lt;&gt;""),"",M447/G447-1)</f>
        <v/>
      </c>
      <c r="P447" s="11">
        <f>IF(OR(M447="",R447&lt;&gt;""),"",(G447-M447)*E447)</f>
        <v/>
      </c>
      <c r="Q447" s="9">
        <f>IF(R447&lt;&gt;"","—",IF(M447&lt;G447,"Mais barato",IF(M447&gt;G447,"Mais caro","Igual")))</f>
        <v/>
      </c>
      <c r="R447" s="10" t="inlineStr">
        <is>
          <t>Não encontrado</t>
        </is>
      </c>
    </row>
    <row r="448">
      <c r="A448" s="9" t="n">
        <v>229001</v>
      </c>
      <c r="B448" s="10" t="inlineStr">
        <is>
          <t>MOTILIUM 10MG CX 30 COMP</t>
        </is>
      </c>
      <c r="C448" s="10" t="inlineStr">
        <is>
          <t>RX</t>
        </is>
      </c>
      <c r="D448" s="9" t="inlineStr">
        <is>
          <t>B</t>
        </is>
      </c>
      <c r="E448" s="9" t="n">
        <v>2</v>
      </c>
      <c r="F448" s="9" t="n">
        <v>1</v>
      </c>
      <c r="G448" s="11" t="n">
        <v>28.63</v>
      </c>
      <c r="H448" s="10" t="inlineStr">
        <is>
          <t>SC DISTRIBUICAO LTDA</t>
        </is>
      </c>
      <c r="I448" s="12" t="inlineStr">
        <is>
          <t>7891010256388</t>
        </is>
      </c>
      <c r="J448" s="10" t="inlineStr">
        <is>
          <t>MOTILIUM 10MG C/30 COMPRIMIDOS</t>
        </is>
      </c>
      <c r="K448" s="11" t="n">
        <v>28.63</v>
      </c>
      <c r="L448" s="13" t="n">
        <v>0.03</v>
      </c>
      <c r="M448" s="11">
        <f>IF(K448="","",ROUND(K448*(1-L448),2))</f>
        <v/>
      </c>
      <c r="N448" s="9" t="n">
        <v>364</v>
      </c>
      <c r="O448" s="14">
        <f>IF(OR(M448="",R448&lt;&gt;""),"",M448/G448-1)</f>
        <v/>
      </c>
      <c r="P448" s="11">
        <f>IF(OR(M448="",R448&lt;&gt;""),"",(G448-M448)*E448)</f>
        <v/>
      </c>
      <c r="Q448" s="9">
        <f>IF(R448&lt;&gt;"","—",IF(M448&lt;G448,"Mais barato",IF(M448&gt;G448,"Mais caro","Igual")))</f>
        <v/>
      </c>
      <c r="R448" s="10" t="n"/>
    </row>
    <row r="449">
      <c r="A449" s="9" t="n">
        <v>133441</v>
      </c>
      <c r="B449" s="10" t="inlineStr">
        <is>
          <t>MUSCULARE 10MG CX 15 COMP REV</t>
        </is>
      </c>
      <c r="C449" s="10" t="inlineStr">
        <is>
          <t>RX</t>
        </is>
      </c>
      <c r="D449" s="9" t="inlineStr">
        <is>
          <t>A</t>
        </is>
      </c>
      <c r="E449" s="9" t="n">
        <v>6</v>
      </c>
      <c r="F449" s="9" t="n">
        <v>1</v>
      </c>
      <c r="G449" s="11" t="n">
        <v>16.48</v>
      </c>
      <c r="H449" s="10" t="inlineStr">
        <is>
          <t>SC DISTRIBUICAO LTDA</t>
        </is>
      </c>
      <c r="I449" s="12" t="inlineStr">
        <is>
          <t>7891317432362</t>
        </is>
      </c>
      <c r="J449" s="10" t="inlineStr">
        <is>
          <t>MUSCULARE 10MG C/15 COMPRIMIDOS</t>
        </is>
      </c>
      <c r="K449" s="11" t="n">
        <v>16.83</v>
      </c>
      <c r="L449" s="13" t="n">
        <v>0.04</v>
      </c>
      <c r="M449" s="11">
        <f>IF(K449="","",ROUND(K449*(1-L449),2))</f>
        <v/>
      </c>
      <c r="N449" s="9" t="n">
        <v>1947</v>
      </c>
      <c r="O449" s="14">
        <f>IF(OR(M449="",R449&lt;&gt;""),"",M449/G449-1)</f>
        <v/>
      </c>
      <c r="P449" s="11">
        <f>IF(OR(M449="",R449&lt;&gt;""),"",(G449-M449)*E449)</f>
        <v/>
      </c>
      <c r="Q449" s="9">
        <f>IF(R449&lt;&gt;"","—",IF(M449&lt;G449,"Mais barato",IF(M449&gt;G449,"Mais caro","Igual")))</f>
        <v/>
      </c>
      <c r="R449" s="10" t="n"/>
    </row>
    <row r="450">
      <c r="A450" s="9" t="n">
        <v>328301</v>
      </c>
      <c r="B450" s="10" t="inlineStr">
        <is>
          <t>MUVINLAX CX 20 SACH X 14G</t>
        </is>
      </c>
      <c r="C450" s="10" t="inlineStr">
        <is>
          <t>RX - OTC</t>
        </is>
      </c>
      <c r="D450" s="9" t="inlineStr">
        <is>
          <t>A</t>
        </is>
      </c>
      <c r="E450" s="9" t="n">
        <v>3</v>
      </c>
      <c r="F450" s="9" t="n">
        <v>1</v>
      </c>
      <c r="G450" s="11" t="n">
        <v>55.41</v>
      </c>
      <c r="H450" s="10" t="inlineStr">
        <is>
          <t>SC DISTRIBUICAO LTDA</t>
        </is>
      </c>
      <c r="I450" s="12" t="inlineStr">
        <is>
          <t>7896094201637</t>
        </is>
      </c>
      <c r="J450" s="10" t="inlineStr">
        <is>
          <t>MUVINLAX 14G C/20 ENVELOPES</t>
        </is>
      </c>
      <c r="K450" s="11" t="n">
        <v>53.32</v>
      </c>
      <c r="L450" s="13" t="n">
        <v>0.03</v>
      </c>
      <c r="M450" s="11">
        <f>IF(K450="","",ROUND(K450*(1-L450),2))</f>
        <v/>
      </c>
      <c r="N450" s="9" t="n"/>
      <c r="O450" s="14">
        <f>IF(OR(M450="",R450&lt;&gt;""),"",M450/G450-1)</f>
        <v/>
      </c>
      <c r="P450" s="11">
        <f>IF(OR(M450="",R450&lt;&gt;""),"",(G450-M450)*E450)</f>
        <v/>
      </c>
      <c r="Q450" s="9">
        <f>IF(R450&lt;&gt;"","—",IF(M450&lt;G450,"Mais barato",IF(M450&gt;G450,"Mais caro","Igual")))</f>
        <v/>
      </c>
      <c r="R450" s="10" t="n"/>
    </row>
    <row r="451">
      <c r="A451" s="9" t="n">
        <v>434881</v>
      </c>
      <c r="B451" s="10" t="inlineStr">
        <is>
          <t>MYLANTA PLUS 80+80+6MG SUS OR FR 240ML SB MORANGO</t>
        </is>
      </c>
      <c r="C451" s="10" t="inlineStr">
        <is>
          <t>RX - OTC</t>
        </is>
      </c>
      <c r="D451" s="9" t="inlineStr">
        <is>
          <t>A</t>
        </is>
      </c>
      <c r="E451" s="9" t="n">
        <v>2</v>
      </c>
      <c r="F451" s="9" t="n">
        <v>1</v>
      </c>
      <c r="G451" s="11" t="n">
        <v>44.04</v>
      </c>
      <c r="H451" s="10" t="inlineStr">
        <is>
          <t>SC DISTRIBUICAO LTDA</t>
        </is>
      </c>
      <c r="I451" s="12" t="inlineStr">
        <is>
          <t>7891010256432</t>
        </is>
      </c>
      <c r="J451" s="10" t="inlineStr">
        <is>
          <t>MYLANTA PLUS MORANGO 240ML</t>
        </is>
      </c>
      <c r="K451" s="11" t="n">
        <v>45.99</v>
      </c>
      <c r="L451" s="13" t="n">
        <v>0.06</v>
      </c>
      <c r="M451" s="11">
        <f>IF(K451="","",ROUND(K451*(1-L451),2))</f>
        <v/>
      </c>
      <c r="N451" s="9" t="n">
        <v>744</v>
      </c>
      <c r="O451" s="14">
        <f>IF(OR(M451="",R451&lt;&gt;""),"",M451/G451-1)</f>
        <v/>
      </c>
      <c r="P451" s="11">
        <f>IF(OR(M451="",R451&lt;&gt;""),"",(G451-M451)*E451)</f>
        <v/>
      </c>
      <c r="Q451" s="9">
        <f>IF(R451&lt;&gt;"","—",IF(M451&lt;G451,"Mais barato",IF(M451&gt;G451,"Mais caro","Igual")))</f>
        <v/>
      </c>
      <c r="R451" s="10" t="n"/>
    </row>
    <row r="452">
      <c r="A452" s="9" t="n">
        <v>634361</v>
      </c>
      <c r="B452" s="10" t="inlineStr">
        <is>
          <t>MYLANTA PLUS 80+80+6MG/ML SUS OR FR 240ML SB MENTA</t>
        </is>
      </c>
      <c r="C452" s="10" t="inlineStr">
        <is>
          <t>RX - OTC</t>
        </is>
      </c>
      <c r="D452" s="9" t="inlineStr">
        <is>
          <t>A</t>
        </is>
      </c>
      <c r="E452" s="9" t="n">
        <v>4</v>
      </c>
      <c r="F452" s="9" t="n">
        <v>1</v>
      </c>
      <c r="G452" s="11" t="n">
        <v>50.85</v>
      </c>
      <c r="H452" s="10" t="inlineStr">
        <is>
          <t>SC DISTRIBUICAO LTDA</t>
        </is>
      </c>
      <c r="I452" s="12" t="inlineStr">
        <is>
          <t>7891010256425</t>
        </is>
      </c>
      <c r="J452" s="10" t="inlineStr">
        <is>
          <t>MYLANTA PLUS MENTA 240ML</t>
        </is>
      </c>
      <c r="K452" s="11" t="n">
        <v>45.99</v>
      </c>
      <c r="L452" s="13" t="n">
        <v>0.06</v>
      </c>
      <c r="M452" s="11">
        <f>IF(K452="","",ROUND(K452*(1-L452),2))</f>
        <v/>
      </c>
      <c r="N452" s="9" t="n">
        <v>595</v>
      </c>
      <c r="O452" s="14">
        <f>IF(OR(M452="",R452&lt;&gt;""),"",M452/G452-1)</f>
        <v/>
      </c>
      <c r="P452" s="11">
        <f>IF(OR(M452="",R452&lt;&gt;""),"",(G452-M452)*E452)</f>
        <v/>
      </c>
      <c r="Q452" s="9">
        <f>IF(R452&lt;&gt;"","—",IF(M452&lt;G452,"Mais barato",IF(M452&gt;G452,"Mais caro","Igual")))</f>
        <v/>
      </c>
      <c r="R452" s="10" t="n"/>
    </row>
    <row r="453">
      <c r="A453" s="9" t="n">
        <v>611031</v>
      </c>
      <c r="B453" s="10" t="inlineStr">
        <is>
          <t>N ACCU-CHEK ACTIVE 10TIRAS   ROCH %DN:0.00</t>
        </is>
      </c>
      <c r="C453" s="10" t="inlineStr">
        <is>
          <t>RX - DIABETES</t>
        </is>
      </c>
      <c r="D453" s="9" t="inlineStr">
        <is>
          <t>C</t>
        </is>
      </c>
      <c r="E453" s="9" t="n">
        <v>1</v>
      </c>
      <c r="F453" s="9" t="n">
        <v>1</v>
      </c>
      <c r="G453" s="11" t="n">
        <v>29.16</v>
      </c>
      <c r="H453" s="10" t="inlineStr">
        <is>
          <t>NAZARIA DISTRIBUIDORA DE PRODUTOS FARMACEUTICOS LTDA</t>
        </is>
      </c>
      <c r="I453" s="12" t="n"/>
      <c r="J453" s="10" t="n"/>
      <c r="K453" s="11" t="n"/>
      <c r="L453" s="13" t="n"/>
      <c r="M453" s="11">
        <f>IF(K453="","",ROUND(K453*(1-L453),2))</f>
        <v/>
      </c>
      <c r="N453" s="9" t="n"/>
      <c r="O453" s="14">
        <f>IF(OR(M453="",R453&lt;&gt;""),"",M453/G453-1)</f>
        <v/>
      </c>
      <c r="P453" s="11">
        <f>IF(OR(M453="",R453&lt;&gt;""),"",(G453-M453)*E453)</f>
        <v/>
      </c>
      <c r="Q453" s="9">
        <f>IF(R453&lt;&gt;"","—",IF(M453&lt;G453,"Mais barato",IF(M453&gt;G453,"Mais caro","Igual")))</f>
        <v/>
      </c>
      <c r="R453" s="10" t="inlineStr">
        <is>
          <t>Não encontrado</t>
        </is>
      </c>
    </row>
    <row r="454">
      <c r="A454" s="9" t="n">
        <v>579461</v>
      </c>
      <c r="B454" s="10" t="inlineStr">
        <is>
          <t>NALDECON MULTI 800+20MG CARTELA C/ 4 CP</t>
        </is>
      </c>
      <c r="C454" s="10" t="inlineStr">
        <is>
          <t>RX</t>
        </is>
      </c>
      <c r="D454" s="9" t="inlineStr">
        <is>
          <t>C</t>
        </is>
      </c>
      <c r="E454" s="9" t="n">
        <v>1</v>
      </c>
      <c r="F454" s="9" t="n">
        <v>10</v>
      </c>
      <c r="G454" s="11" t="n">
        <v>69.6696</v>
      </c>
      <c r="H454" s="10" t="inlineStr">
        <is>
          <t>SC DISTRIBUICAO LTDA</t>
        </is>
      </c>
      <c r="I454" s="12" t="n"/>
      <c r="J454" s="10" t="n"/>
      <c r="K454" s="11" t="n"/>
      <c r="L454" s="13" t="n"/>
      <c r="M454" s="11">
        <f>IF(K454="","",ROUND(K454*(1-L454),2))</f>
        <v/>
      </c>
      <c r="N454" s="9" t="n"/>
      <c r="O454" s="14">
        <f>IF(OR(M454="",R454&lt;&gt;""),"",M454/G454-1)</f>
        <v/>
      </c>
      <c r="P454" s="11">
        <f>IF(OR(M454="",R454&lt;&gt;""),"",(G454-M454)*E454)</f>
        <v/>
      </c>
      <c r="Q454" s="9">
        <f>IF(R454&lt;&gt;"","—",IF(M454&lt;G454,"Mais barato",IF(M454&gt;G454,"Mais caro","Igual")))</f>
        <v/>
      </c>
      <c r="R454" s="10" t="inlineStr">
        <is>
          <t>Não encontrado</t>
        </is>
      </c>
    </row>
    <row r="455">
      <c r="A455" s="9" t="n">
        <v>624201</v>
      </c>
      <c r="B455" s="10" t="inlineStr">
        <is>
          <t>NANTHELIOS LRP ULTRA COVER FPS60 COR3.0 30G</t>
        </is>
      </c>
      <c r="C455" s="10" t="inlineStr">
        <is>
          <t>RX - DERMO</t>
        </is>
      </c>
      <c r="D455" s="9" t="inlineStr">
        <is>
          <t>A</t>
        </is>
      </c>
      <c r="E455" s="9" t="n">
        <v>1</v>
      </c>
      <c r="F455" s="9" t="n">
        <v>1</v>
      </c>
      <c r="G455" s="11" t="n">
        <v>68.41</v>
      </c>
      <c r="H455" s="10" t="inlineStr">
        <is>
          <t>SC DISTRIBUICAO LTDA</t>
        </is>
      </c>
      <c r="I455" s="12" t="inlineStr">
        <is>
          <t>7899706185844</t>
        </is>
      </c>
      <c r="J455" s="10" t="inlineStr">
        <is>
          <t>ANTHELIOS PROTETOR SOLAR FACIAL ULT COVER FPS60 COR 3.0 30G</t>
        </is>
      </c>
      <c r="K455" s="11" t="n">
        <v>70.68000000000001</v>
      </c>
      <c r="L455" s="13" t="n">
        <v>0</v>
      </c>
      <c r="M455" s="11">
        <f>IF(K455="","",ROUND(K455*(1-L455),2))</f>
        <v/>
      </c>
      <c r="N455" s="9" t="n">
        <v>256</v>
      </c>
      <c r="O455" s="14">
        <f>IF(OR(M455="",R455&lt;&gt;""),"",M455/G455-1)</f>
        <v/>
      </c>
      <c r="P455" s="11">
        <f>IF(OR(M455="",R455&lt;&gt;""),"",(G455-M455)*E455)</f>
        <v/>
      </c>
      <c r="Q455" s="9">
        <f>IF(R455&lt;&gt;"","—",IF(M455&lt;G455,"Mais barato",IF(M455&gt;G455,"Mais caro","Igual")))</f>
        <v/>
      </c>
      <c r="R455" s="10" t="n"/>
    </row>
    <row r="456">
      <c r="A456" s="9" t="n">
        <v>417161</v>
      </c>
      <c r="B456" s="10" t="inlineStr">
        <is>
          <t>NAPRIX A 5+5MG FR 30 CAP</t>
        </is>
      </c>
      <c r="C456" s="10" t="inlineStr">
        <is>
          <t>RX</t>
        </is>
      </c>
      <c r="D456" s="9" t="inlineStr">
        <is>
          <t>A</t>
        </is>
      </c>
      <c r="E456" s="9" t="n">
        <v>3</v>
      </c>
      <c r="F456" s="9" t="n">
        <v>1</v>
      </c>
      <c r="G456" s="11" t="n">
        <v>57.65</v>
      </c>
      <c r="H456" s="10" t="inlineStr">
        <is>
          <t>SC DISTRIBUICAO LTDA</t>
        </is>
      </c>
      <c r="I456" s="12" t="inlineStr">
        <is>
          <t>7896094201392</t>
        </is>
      </c>
      <c r="J456" s="10" t="inlineStr">
        <is>
          <t>NAPRIX A 5 / 5MG C/30 CAPSULAS</t>
        </is>
      </c>
      <c r="K456" s="11" t="n">
        <v>57.65</v>
      </c>
      <c r="L456" s="13" t="n">
        <v>0.03</v>
      </c>
      <c r="M456" s="11">
        <f>IF(K456="","",ROUND(K456*(1-L456),2))</f>
        <v/>
      </c>
      <c r="N456" s="9" t="n">
        <v>146</v>
      </c>
      <c r="O456" s="14">
        <f>IF(OR(M456="",R456&lt;&gt;""),"",M456/G456-1)</f>
        <v/>
      </c>
      <c r="P456" s="11">
        <f>IF(OR(M456="",R456&lt;&gt;""),"",(G456-M456)*E456)</f>
        <v/>
      </c>
      <c r="Q456" s="9">
        <f>IF(R456&lt;&gt;"","—",IF(M456&lt;G456,"Mais barato",IF(M456&gt;G456,"Mais caro","Igual")))</f>
        <v/>
      </c>
      <c r="R456" s="10" t="n"/>
    </row>
    <row r="457">
      <c r="A457" s="9" t="n">
        <v>161341</v>
      </c>
      <c r="B457" s="10" t="inlineStr">
        <is>
          <t>NARIDRIN SOL FR 15ML ADU</t>
        </is>
      </c>
      <c r="C457" s="10" t="inlineStr">
        <is>
          <t>RX</t>
        </is>
      </c>
      <c r="D457" s="9" t="inlineStr">
        <is>
          <t>C</t>
        </is>
      </c>
      <c r="E457" s="9" t="n">
        <v>1</v>
      </c>
      <c r="F457" s="9" t="n">
        <v>1</v>
      </c>
      <c r="G457" s="11" t="n">
        <v>5.53</v>
      </c>
      <c r="H457" s="10" t="inlineStr">
        <is>
          <t>MEDCENTRO TO DISTRIBUIDORA DE PRODUTOS FARMACEUTICOS LTDA PA</t>
        </is>
      </c>
      <c r="I457" s="12" t="n"/>
      <c r="J457" s="10" t="n"/>
      <c r="K457" s="11" t="n"/>
      <c r="L457" s="13" t="n"/>
      <c r="M457" s="11">
        <f>IF(K457="","",ROUND(K457*(1-L457),2))</f>
        <v/>
      </c>
      <c r="N457" s="9" t="n"/>
      <c r="O457" s="14">
        <f>IF(OR(M457="",R457&lt;&gt;""),"",M457/G457-1)</f>
        <v/>
      </c>
      <c r="P457" s="11">
        <f>IF(OR(M457="",R457&lt;&gt;""),"",(G457-M457)*E457)</f>
        <v/>
      </c>
      <c r="Q457" s="9">
        <f>IF(R457&lt;&gt;"","—",IF(M457&lt;G457,"Mais barato",IF(M457&gt;G457,"Mais caro","Igual")))</f>
        <v/>
      </c>
      <c r="R457" s="10" t="inlineStr">
        <is>
          <t>Não encontrado</t>
        </is>
      </c>
    </row>
    <row r="458">
      <c r="A458" s="9" t="n">
        <v>638901</v>
      </c>
      <c r="B458" s="10" t="inlineStr">
        <is>
          <t>NASOAR 0,9% FR C/15 ENV</t>
        </is>
      </c>
      <c r="C458" s="10" t="inlineStr">
        <is>
          <t>RX - OTC</t>
        </is>
      </c>
      <c r="D458" s="9" t="inlineStr">
        <is>
          <t>B</t>
        </is>
      </c>
      <c r="E458" s="9" t="n">
        <v>1</v>
      </c>
      <c r="F458" s="9" t="n">
        <v>1</v>
      </c>
      <c r="G458" s="11" t="n">
        <v>23.6267</v>
      </c>
      <c r="H458" s="10" t="inlineStr">
        <is>
          <t>SC DISTRIBUICAO LTDA</t>
        </is>
      </c>
      <c r="I458" s="12" t="inlineStr">
        <is>
          <t>7898430192586</t>
        </is>
      </c>
      <c r="J458" s="10" t="inlineStr">
        <is>
          <t>LAVAGEM NASAL GRANULADO NASOAR CAIXA 15 ENVELOPES 2,16G CADA + 1 LAVADOR NASAL</t>
        </is>
      </c>
      <c r="K458" s="11" t="n">
        <v>28.95</v>
      </c>
      <c r="L458" s="13" t="n">
        <v>0.07000000000000001</v>
      </c>
      <c r="M458" s="11">
        <f>IF(K458="","",ROUND(K458*(1-L458),2))</f>
        <v/>
      </c>
      <c r="N458" s="9" t="n">
        <v>24</v>
      </c>
      <c r="O458" s="14">
        <f>IF(OR(M458="",R458&lt;&gt;""),"",M458/G458-1)</f>
        <v/>
      </c>
      <c r="P458" s="11">
        <f>IF(OR(M458="",R458&lt;&gt;""),"",(G458-M458)*E458)</f>
        <v/>
      </c>
      <c r="Q458" s="9">
        <f>IF(R458&lt;&gt;"","—",IF(M458&lt;G458,"Mais barato",IF(M458&gt;G458,"Mais caro","Igual")))</f>
        <v/>
      </c>
      <c r="R458" s="10" t="n"/>
    </row>
    <row r="459">
      <c r="A459" s="9" t="n">
        <v>582301</v>
      </c>
      <c r="B459" s="10" t="inlineStr">
        <is>
          <t>NASONEX 0,5MG/G SUS NAS FR SPR 60 ATOMIZ</t>
        </is>
      </c>
      <c r="C459" s="10" t="inlineStr">
        <is>
          <t>RX</t>
        </is>
      </c>
      <c r="D459" s="9" t="inlineStr">
        <is>
          <t>A</t>
        </is>
      </c>
      <c r="E459" s="9" t="n">
        <v>4</v>
      </c>
      <c r="F459" s="9" t="n">
        <v>1</v>
      </c>
      <c r="G459" s="11" t="n">
        <v>37.12</v>
      </c>
      <c r="H459" s="10" t="inlineStr">
        <is>
          <t>SC DISTRIBUICAO LTDA</t>
        </is>
      </c>
      <c r="I459" s="12" t="inlineStr">
        <is>
          <t>7897337716550</t>
        </is>
      </c>
      <c r="J459" s="10" t="inlineStr">
        <is>
          <t>NASONEX SPRAY NASAL SEM CHEIRO C/60 DOSES</t>
        </is>
      </c>
      <c r="K459" s="11" t="n">
        <v>36.49</v>
      </c>
      <c r="L459" s="13" t="n">
        <v>0.05</v>
      </c>
      <c r="M459" s="11">
        <f>IF(K459="","",ROUND(K459*(1-L459),2))</f>
        <v/>
      </c>
      <c r="N459" s="9" t="n">
        <v>288</v>
      </c>
      <c r="O459" s="14">
        <f>IF(OR(M459="",R459&lt;&gt;""),"",M459/G459-1)</f>
        <v/>
      </c>
      <c r="P459" s="11">
        <f>IF(OR(M459="",R459&lt;&gt;""),"",(G459-M459)*E459)</f>
        <v/>
      </c>
      <c r="Q459" s="9">
        <f>IF(R459&lt;&gt;"","—",IF(M459&lt;G459,"Mais barato",IF(M459&gt;G459,"Mais caro","Igual")))</f>
        <v/>
      </c>
      <c r="R459" s="10" t="n"/>
    </row>
    <row r="460">
      <c r="A460" s="9" t="n">
        <v>237701</v>
      </c>
      <c r="B460" s="10" t="inlineStr">
        <is>
          <t>NATIFA PRO 1+0,5MG CX 28 COMP REV</t>
        </is>
      </c>
      <c r="C460" s="10" t="inlineStr">
        <is>
          <t>RX</t>
        </is>
      </c>
      <c r="D460" s="9" t="inlineStr">
        <is>
          <t>A</t>
        </is>
      </c>
      <c r="E460" s="9" t="n">
        <v>5</v>
      </c>
      <c r="F460" s="9" t="n">
        <v>1</v>
      </c>
      <c r="G460" s="11" t="n">
        <v>71.38</v>
      </c>
      <c r="H460" s="10" t="inlineStr">
        <is>
          <t>SC DISTRIBUICAO LTDA</t>
        </is>
      </c>
      <c r="I460" s="12" t="inlineStr">
        <is>
          <t>7896094201477</t>
        </is>
      </c>
      <c r="J460" s="10" t="inlineStr">
        <is>
          <t>NATIFA PRO C/28 COMPRIMIDOS</t>
        </is>
      </c>
      <c r="K460" s="11" t="n">
        <v>71.38</v>
      </c>
      <c r="L460" s="13" t="n">
        <v>0.03</v>
      </c>
      <c r="M460" s="11">
        <f>IF(K460="","",ROUND(K460*(1-L460),2))</f>
        <v/>
      </c>
      <c r="N460" s="9" t="n">
        <v>1106</v>
      </c>
      <c r="O460" s="14">
        <f>IF(OR(M460="",R460&lt;&gt;""),"",M460/G460-1)</f>
        <v/>
      </c>
      <c r="P460" s="11">
        <f>IF(OR(M460="",R460&lt;&gt;""),"",(G460-M460)*E460)</f>
        <v/>
      </c>
      <c r="Q460" s="9">
        <f>IF(R460&lt;&gt;"","—",IF(M460&lt;G460,"Mais barato",IF(M460&gt;G460,"Mais caro","Igual")))</f>
        <v/>
      </c>
      <c r="R460" s="10" t="n"/>
    </row>
    <row r="461">
      <c r="A461" s="9" t="n">
        <v>556221</v>
      </c>
      <c r="B461" s="10" t="inlineStr">
        <is>
          <t>NEBACETIN POMADA BG 15G</t>
        </is>
      </c>
      <c r="C461" s="10" t="inlineStr">
        <is>
          <t>RX - OTC</t>
        </is>
      </c>
      <c r="D461" s="9" t="inlineStr">
        <is>
          <t>A</t>
        </is>
      </c>
      <c r="E461" s="9" t="n">
        <v>3</v>
      </c>
      <c r="F461" s="9" t="n">
        <v>1</v>
      </c>
      <c r="G461" s="11" t="n">
        <v>24.219</v>
      </c>
      <c r="H461" s="10" t="inlineStr">
        <is>
          <t>SC DISTRIBUICAO LTDA</t>
        </is>
      </c>
      <c r="I461" s="12" t="inlineStr">
        <is>
          <t>7896094922105</t>
        </is>
      </c>
      <c r="J461" s="10" t="inlineStr">
        <is>
          <t>NEBACETIN POMADA 15G</t>
        </is>
      </c>
      <c r="K461" s="11" t="n">
        <v>23.3</v>
      </c>
      <c r="L461" s="13" t="n">
        <v>0.035</v>
      </c>
      <c r="M461" s="11">
        <f>IF(K461="","",ROUND(K461*(1-L461),2))</f>
        <v/>
      </c>
      <c r="N461" s="9" t="n">
        <v>1218</v>
      </c>
      <c r="O461" s="14">
        <f>IF(OR(M461="",R461&lt;&gt;""),"",M461/G461-1)</f>
        <v/>
      </c>
      <c r="P461" s="11">
        <f>IF(OR(M461="",R461&lt;&gt;""),"",(G461-M461)*E461)</f>
        <v/>
      </c>
      <c r="Q461" s="9">
        <f>IF(R461&lt;&gt;"","—",IF(M461&lt;G461,"Mais barato",IF(M461&gt;G461,"Mais caro","Igual")))</f>
        <v/>
      </c>
      <c r="R461" s="10" t="n"/>
    </row>
    <row r="462">
      <c r="A462" s="9" t="n">
        <v>644711</v>
      </c>
      <c r="B462" s="10" t="inlineStr">
        <is>
          <t>NEOS MINESOL COR/ROS FPS70 120ML</t>
        </is>
      </c>
      <c r="C462" s="10" t="inlineStr">
        <is>
          <t>RX - DERMO</t>
        </is>
      </c>
      <c r="D462" s="9" t="inlineStr">
        <is>
          <t>C</t>
        </is>
      </c>
      <c r="E462" s="9" t="n">
        <v>1</v>
      </c>
      <c r="F462" s="9" t="n">
        <v>1</v>
      </c>
      <c r="G462" s="11" t="n">
        <v>82.5275</v>
      </c>
      <c r="H462" s="10" t="inlineStr">
        <is>
          <t>NAZARIA DISTRIBUIDORA DE PRODUTOS FARMACEUTICOS LTDA</t>
        </is>
      </c>
      <c r="I462" s="12" t="inlineStr">
        <is>
          <t>7891010254025</t>
        </is>
      </c>
      <c r="J462" s="10" t="inlineStr">
        <is>
          <t>PROTETOR SOLAR NEOSTRATA MINESOL CORPO E ROSTO FPS70 120ML</t>
        </is>
      </c>
      <c r="K462" s="11" t="n">
        <v>104.68</v>
      </c>
      <c r="L462" s="13" t="n">
        <v>0</v>
      </c>
      <c r="M462" s="11">
        <f>IF(K462="","",ROUND(K462*(1-L462),2))</f>
        <v/>
      </c>
      <c r="N462" s="9" t="n"/>
      <c r="O462" s="14">
        <f>IF(OR(M462="",R462&lt;&gt;""),"",M462/G462-1)</f>
        <v/>
      </c>
      <c r="P462" s="11">
        <f>IF(OR(M462="",R462&lt;&gt;""),"",(G462-M462)*E462)</f>
        <v/>
      </c>
      <c r="Q462" s="9">
        <f>IF(R462&lt;&gt;"","—",IF(M462&lt;G462,"Mais barato",IF(M462&gt;G462,"Mais caro","Igual")))</f>
        <v/>
      </c>
      <c r="R462" s="10" t="n"/>
    </row>
    <row r="463">
      <c r="A463" s="9" t="n">
        <v>644791</v>
      </c>
      <c r="B463" s="10" t="inlineStr">
        <is>
          <t>NEOS MINESOL COR/ROS FPS99 200ML</t>
        </is>
      </c>
      <c r="C463" s="10" t="inlineStr">
        <is>
          <t>RX - DERMO</t>
        </is>
      </c>
      <c r="D463" s="9" t="inlineStr">
        <is>
          <t>A</t>
        </is>
      </c>
      <c r="E463" s="9" t="n">
        <v>2</v>
      </c>
      <c r="F463" s="9" t="n">
        <v>1</v>
      </c>
      <c r="G463" s="11" t="n">
        <v>126.85</v>
      </c>
      <c r="H463" s="10" t="inlineStr">
        <is>
          <t>SC DISTRIBUICAO LTDA</t>
        </is>
      </c>
      <c r="I463" s="12" t="inlineStr">
        <is>
          <t>7891010248130</t>
        </is>
      </c>
      <c r="J463" s="10" t="inlineStr">
        <is>
          <t>PROTETOR SOLAR NEOSTRATA MINESOL ANTIOXIDANTE FPS99 200ML</t>
        </is>
      </c>
      <c r="K463" s="11" t="n">
        <v>128.52</v>
      </c>
      <c r="L463" s="13" t="n">
        <v>0</v>
      </c>
      <c r="M463" s="11">
        <f>IF(K463="","",ROUND(K463*(1-L463),2))</f>
        <v/>
      </c>
      <c r="N463" s="9" t="n">
        <v>54</v>
      </c>
      <c r="O463" s="14">
        <f>IF(OR(M463="",R463&lt;&gt;""),"",M463/G463-1)</f>
        <v/>
      </c>
      <c r="P463" s="11">
        <f>IF(OR(M463="",R463&lt;&gt;""),"",(G463-M463)*E463)</f>
        <v/>
      </c>
      <c r="Q463" s="9">
        <f>IF(R463&lt;&gt;"","—",IF(M463&lt;G463,"Mais barato",IF(M463&gt;G463,"Mais caro","Igual")))</f>
        <v/>
      </c>
      <c r="R463" s="10" t="n"/>
    </row>
    <row r="464">
      <c r="A464" s="9" t="n">
        <v>72461</v>
      </c>
      <c r="B464" s="10" t="inlineStr">
        <is>
          <t>NEOSALDINA 10 COMP</t>
        </is>
      </c>
      <c r="C464" s="10" t="inlineStr">
        <is>
          <t>RX</t>
        </is>
      </c>
      <c r="D464" s="9" t="inlineStr">
        <is>
          <t>A</t>
        </is>
      </c>
      <c r="E464" s="9" t="n">
        <v>1</v>
      </c>
      <c r="F464" s="9" t="n">
        <v>24</v>
      </c>
      <c r="G464" s="11" t="n">
        <v>292</v>
      </c>
      <c r="H464" s="10" t="inlineStr">
        <is>
          <t>SB COMERCIO LTDA 0179-15</t>
        </is>
      </c>
      <c r="I464" s="12" t="inlineStr">
        <is>
          <t>7896094921993</t>
        </is>
      </c>
      <c r="J464" s="10" t="inlineStr">
        <is>
          <t>NEOSALDINA C/24X10 DRAGEAS</t>
        </is>
      </c>
      <c r="K464" s="11" t="n">
        <v>347.64</v>
      </c>
      <c r="L464" s="13" t="n">
        <v>0.035</v>
      </c>
      <c r="M464" s="11">
        <f>IF(K464="","",ROUND(K464*(1-L464),2))</f>
        <v/>
      </c>
      <c r="N464" s="9" t="n">
        <v>271</v>
      </c>
      <c r="O464" s="14">
        <f>IF(OR(M464="",R464&lt;&gt;""),"",M464/G464-1)</f>
        <v/>
      </c>
      <c r="P464" s="11">
        <f>IF(OR(M464="",R464&lt;&gt;""),"",(G464-M464)*E464)</f>
        <v/>
      </c>
      <c r="Q464" s="9">
        <f>IF(R464&lt;&gt;"","—",IF(M464&lt;G464,"Mais barato",IF(M464&gt;G464,"Mais caro","Igual")))</f>
        <v/>
      </c>
      <c r="R464" s="10" t="n"/>
    </row>
    <row r="465">
      <c r="A465" s="9" t="n">
        <v>669601</v>
      </c>
      <c r="B465" s="10" t="inlineStr">
        <is>
          <t>NEOVITE MAX 30CAP BLPA</t>
        </is>
      </c>
      <c r="C465" s="10" t="inlineStr">
        <is>
          <t>RX</t>
        </is>
      </c>
      <c r="D465" s="9" t="inlineStr">
        <is>
          <t>B</t>
        </is>
      </c>
      <c r="E465" s="9" t="n">
        <v>1</v>
      </c>
      <c r="F465" s="9" t="n">
        <v>1</v>
      </c>
      <c r="G465" s="11" t="n">
        <v>81.84</v>
      </c>
      <c r="H465" s="10" t="inlineStr">
        <is>
          <t>SC DISTRIBUICAO LTDA</t>
        </is>
      </c>
      <c r="I465" s="12" t="inlineStr">
        <is>
          <t>7896046304126</t>
        </is>
      </c>
      <c r="J465" s="10" t="inlineStr">
        <is>
          <t>NEOVITE MAX C/30 CAPSULAS</t>
        </is>
      </c>
      <c r="K465" s="11" t="n">
        <v>132.38</v>
      </c>
      <c r="L465" s="13" t="n">
        <v>0</v>
      </c>
      <c r="M465" s="11">
        <f>IF(K465="","",ROUND(K465*(1-L465),2))</f>
        <v/>
      </c>
      <c r="N465" s="9" t="n">
        <v>16</v>
      </c>
      <c r="O465" s="14">
        <f>IF(OR(M465="",R465&lt;&gt;""),"",M465/G465-1)</f>
        <v/>
      </c>
      <c r="P465" s="11">
        <f>IF(OR(M465="",R465&lt;&gt;""),"",(G465-M465)*E465)</f>
        <v/>
      </c>
      <c r="Q465" s="9">
        <f>IF(R465&lt;&gt;"","—",IF(M465&lt;G465,"Mais barato",IF(M465&gt;G465,"Mais caro","Igual")))</f>
        <v/>
      </c>
      <c r="R465" s="10" t="n"/>
    </row>
    <row r="466">
      <c r="A466" s="9" t="n">
        <v>539781</v>
      </c>
      <c r="B466" s="10" t="inlineStr">
        <is>
          <t>NEOVLAR 0,25+0,05MG CX 21 COMP REV</t>
        </is>
      </c>
      <c r="C466" s="10" t="inlineStr">
        <is>
          <t>RX</t>
        </is>
      </c>
      <c r="D466" s="9" t="inlineStr">
        <is>
          <t>B</t>
        </is>
      </c>
      <c r="E466" s="9" t="n">
        <v>2</v>
      </c>
      <c r="F466" s="9" t="n">
        <v>1</v>
      </c>
      <c r="G466" s="11" t="n">
        <v>6.1489</v>
      </c>
      <c r="H466" s="10" t="inlineStr">
        <is>
          <t>SC DISTRIBUICAO LTDA</t>
        </is>
      </c>
      <c r="I466" s="12" t="inlineStr">
        <is>
          <t>7896006201687</t>
        </is>
      </c>
      <c r="J466" s="10" t="inlineStr">
        <is>
          <t>NEOVLAR C/21 DRAGEAS</t>
        </is>
      </c>
      <c r="K466" s="11" t="n">
        <v>7.03</v>
      </c>
      <c r="L466" s="13" t="n">
        <v>0.04</v>
      </c>
      <c r="M466" s="11">
        <f>IF(K466="","",ROUND(K466*(1-L466),2))</f>
        <v/>
      </c>
      <c r="N466" s="9" t="n">
        <v>1666</v>
      </c>
      <c r="O466" s="14">
        <f>IF(OR(M466="",R466&lt;&gt;""),"",M466/G466-1)</f>
        <v/>
      </c>
      <c r="P466" s="11">
        <f>IF(OR(M466="",R466&lt;&gt;""),"",(G466-M466)*E466)</f>
        <v/>
      </c>
      <c r="Q466" s="9">
        <f>IF(R466&lt;&gt;"","—",IF(M466&lt;G466,"Mais barato",IF(M466&gt;G466,"Mais caro","Igual")))</f>
        <v/>
      </c>
      <c r="R466" s="10" t="n"/>
    </row>
    <row r="467">
      <c r="A467" s="9" t="n">
        <v>622591</v>
      </c>
      <c r="B467" s="10" t="inlineStr">
        <is>
          <t>NESINA MET 12,5+850MG CX 60 COMP REV</t>
        </is>
      </c>
      <c r="C467" s="10" t="inlineStr">
        <is>
          <t>RX - DIABETES</t>
        </is>
      </c>
      <c r="D467" s="9" t="inlineStr">
        <is>
          <t>A</t>
        </is>
      </c>
      <c r="E467" s="9" t="n">
        <v>5</v>
      </c>
      <c r="F467" s="9" t="n">
        <v>1</v>
      </c>
      <c r="G467" s="11" t="n">
        <v>135.37</v>
      </c>
      <c r="H467" s="10" t="inlineStr">
        <is>
          <t>SB COMERCIO LTDA 0179-15</t>
        </is>
      </c>
      <c r="I467" s="12" t="inlineStr">
        <is>
          <t>7896094999527</t>
        </is>
      </c>
      <c r="J467" s="10" t="inlineStr">
        <is>
          <t>NESINA MET 12,5MG+850MG C/60 COMPRIMIDOS</t>
        </is>
      </c>
      <c r="K467" s="11" t="n">
        <v>142.84</v>
      </c>
      <c r="L467" s="13" t="n">
        <v>0.035</v>
      </c>
      <c r="M467" s="11">
        <f>IF(K467="","",ROUND(K467*(1-L467),2))</f>
        <v/>
      </c>
      <c r="N467" s="9" t="n">
        <v>391</v>
      </c>
      <c r="O467" s="14">
        <f>IF(OR(M467="",R467&lt;&gt;""),"",M467/G467-1)</f>
        <v/>
      </c>
      <c r="P467" s="11">
        <f>IF(OR(M467="",R467&lt;&gt;""),"",(G467-M467)*E467)</f>
        <v/>
      </c>
      <c r="Q467" s="9">
        <f>IF(R467&lt;&gt;"","—",IF(M467&lt;G467,"Mais barato",IF(M467&gt;G467,"Mais caro","Igual")))</f>
        <v/>
      </c>
      <c r="R467" s="10" t="n"/>
    </row>
    <row r="468">
      <c r="A468" s="9" t="n">
        <v>674111</v>
      </c>
      <c r="B468" s="10" t="inlineStr">
        <is>
          <t>NESINA PIO 25MG+30 30CPR REV</t>
        </is>
      </c>
      <c r="C468" s="10" t="inlineStr">
        <is>
          <t>RX</t>
        </is>
      </c>
      <c r="D468" s="9" t="inlineStr">
        <is>
          <t>A</t>
        </is>
      </c>
      <c r="E468" s="9" t="n">
        <v>1</v>
      </c>
      <c r="F468" s="9" t="n">
        <v>1</v>
      </c>
      <c r="G468" s="11" t="n">
        <v>185.46</v>
      </c>
      <c r="H468" s="10" t="inlineStr">
        <is>
          <t>SB COMERCIO LTDA 0179-15</t>
        </is>
      </c>
      <c r="I468" s="12" t="inlineStr">
        <is>
          <t>7896094999510</t>
        </is>
      </c>
      <c r="J468" s="10" t="inlineStr">
        <is>
          <t>NESINA PIO 25MG/30MG C/30 COMPRIMIDOS</t>
        </is>
      </c>
      <c r="K468" s="11" t="n">
        <v>208.03</v>
      </c>
      <c r="L468" s="13" t="n">
        <v>0.035</v>
      </c>
      <c r="M468" s="11">
        <f>IF(K468="","",ROUND(K468*(1-L468),2))</f>
        <v/>
      </c>
      <c r="N468" s="9" t="n"/>
      <c r="O468" s="14">
        <f>IF(OR(M468="",R468&lt;&gt;""),"",M468/G468-1)</f>
        <v/>
      </c>
      <c r="P468" s="11">
        <f>IF(OR(M468="",R468&lt;&gt;""),"",(G468-M468)*E468)</f>
        <v/>
      </c>
      <c r="Q468" s="9">
        <f>IF(R468&lt;&gt;"","—",IF(M468&lt;G468,"Mais barato",IF(M468&gt;G468,"Mais caro","Igual")))</f>
        <v/>
      </c>
      <c r="R468" s="10" t="n"/>
    </row>
    <row r="469">
      <c r="A469" s="9" t="n">
        <v>588721</v>
      </c>
      <c r="B469" s="10" t="inlineStr">
        <is>
          <t>NESTLE MATERNA FR 30 COMP</t>
        </is>
      </c>
      <c r="C469" s="10" t="inlineStr">
        <is>
          <t>RX - OTC</t>
        </is>
      </c>
      <c r="D469" s="9" t="inlineStr">
        <is>
          <t>A</t>
        </is>
      </c>
      <c r="E469" s="9" t="n">
        <v>9</v>
      </c>
      <c r="F469" s="9" t="n">
        <v>1</v>
      </c>
      <c r="G469" s="11" t="n">
        <v>58.1583</v>
      </c>
      <c r="H469" s="10" t="inlineStr">
        <is>
          <t>SC DISTRIBUICAO LTDA</t>
        </is>
      </c>
      <c r="I469" s="12" t="inlineStr">
        <is>
          <t>7891045031257</t>
        </is>
      </c>
      <c r="J469" s="10" t="inlineStr">
        <is>
          <t>NESTLE MATERNA C/30 COMPRIMIDOS</t>
        </is>
      </c>
      <c r="K469" s="11" t="n">
        <v>55.76</v>
      </c>
      <c r="L469" s="13" t="n">
        <v>0</v>
      </c>
      <c r="M469" s="11">
        <f>IF(K469="","",ROUND(K469*(1-L469),2))</f>
        <v/>
      </c>
      <c r="N469" s="9" t="n"/>
      <c r="O469" s="14">
        <f>IF(OR(M469="",R469&lt;&gt;""),"",M469/G469-1)</f>
        <v/>
      </c>
      <c r="P469" s="11">
        <f>IF(OR(M469="",R469&lt;&gt;""),"",(G469-M469)*E469)</f>
        <v/>
      </c>
      <c r="Q469" s="9">
        <f>IF(R469&lt;&gt;"","—",IF(M469&lt;G469,"Mais barato",IF(M469&gt;G469,"Mais caro","Igual")))</f>
        <v/>
      </c>
      <c r="R469" s="10" t="n"/>
    </row>
    <row r="470">
      <c r="A470" s="9" t="n">
        <v>613781</v>
      </c>
      <c r="B470" s="10" t="inlineStr">
        <is>
          <t>NEUT SUN FRESH FPS90 200ML</t>
        </is>
      </c>
      <c r="C470" s="10" t="inlineStr">
        <is>
          <t>RX - DERMO</t>
        </is>
      </c>
      <c r="D470" s="9" t="inlineStr">
        <is>
          <t>A</t>
        </is>
      </c>
      <c r="E470" s="9" t="n">
        <v>1</v>
      </c>
      <c r="F470" s="9" t="n">
        <v>1</v>
      </c>
      <c r="G470" s="11" t="n">
        <v>76.9183</v>
      </c>
      <c r="H470" s="10" t="inlineStr">
        <is>
          <t>NAZARIA DISTRIBUIDORA DE PRODUTOS FARMACEUTICOS LTDA</t>
        </is>
      </c>
      <c r="I470" s="12" t="inlineStr">
        <is>
          <t>7891010249106</t>
        </is>
      </c>
      <c r="J470" s="10" t="inlineStr">
        <is>
          <t>PROTETOR SOLAR NEUTROGENA SUN FRESH FACIAL E CORPORAL FPS90 200ML</t>
        </is>
      </c>
      <c r="K470" s="11" t="n">
        <v>97.56999999999999</v>
      </c>
      <c r="L470" s="13" t="n">
        <v>0</v>
      </c>
      <c r="M470" s="11">
        <f>IF(K470="","",ROUND(K470*(1-L470),2))</f>
        <v/>
      </c>
      <c r="N470" s="9" t="n">
        <v>868</v>
      </c>
      <c r="O470" s="14">
        <f>IF(OR(M470="",R470&lt;&gt;""),"",M470/G470-1)</f>
        <v/>
      </c>
      <c r="P470" s="11">
        <f>IF(OR(M470="",R470&lt;&gt;""),"",(G470-M470)*E470)</f>
        <v/>
      </c>
      <c r="Q470" s="9">
        <f>IF(R470&lt;&gt;"","—",IF(M470&lt;G470,"Mais barato",IF(M470&gt;G470,"Mais caro","Igual")))</f>
        <v/>
      </c>
      <c r="R470" s="10" t="n"/>
    </row>
    <row r="471">
      <c r="A471" s="9" t="n">
        <v>358281</v>
      </c>
      <c r="B471" s="10" t="inlineStr">
        <is>
          <t>NEUTROFER 150MG FR 30 COMP</t>
        </is>
      </c>
      <c r="C471" s="10" t="inlineStr">
        <is>
          <t>RX</t>
        </is>
      </c>
      <c r="D471" s="9" t="inlineStr">
        <is>
          <t>A</t>
        </is>
      </c>
      <c r="E471" s="9" t="n">
        <v>6</v>
      </c>
      <c r="F471" s="9" t="n">
        <v>1</v>
      </c>
      <c r="G471" s="11" t="n">
        <v>26.435</v>
      </c>
      <c r="H471" s="10" t="inlineStr">
        <is>
          <t>NAZARIA DISTRIBUIDORA DE PRODUTOS FARMACEUTICOS LTDA</t>
        </is>
      </c>
      <c r="I471" s="12" t="inlineStr">
        <is>
          <t>7894916500548</t>
        </is>
      </c>
      <c r="J471" s="10" t="inlineStr">
        <is>
          <t>NEUTROFER 150MG C/30 COMPRIMIDOS</t>
        </is>
      </c>
      <c r="K471" s="11" t="n">
        <v>27.65</v>
      </c>
      <c r="L471" s="13" t="n">
        <v>0</v>
      </c>
      <c r="M471" s="11">
        <f>IF(K471="","",ROUND(K471*(1-L471),2))</f>
        <v/>
      </c>
      <c r="N471" s="9" t="n">
        <v>439</v>
      </c>
      <c r="O471" s="14">
        <f>IF(OR(M471="",R471&lt;&gt;""),"",M471/G471-1)</f>
        <v/>
      </c>
      <c r="P471" s="11">
        <f>IF(OR(M471="",R471&lt;&gt;""),"",(G471-M471)*E471)</f>
        <v/>
      </c>
      <c r="Q471" s="9">
        <f>IF(R471&lt;&gt;"","—",IF(M471&lt;G471,"Mais barato",IF(M471&gt;G471,"Mais caro","Igual")))</f>
        <v/>
      </c>
      <c r="R471" s="10" t="n"/>
    </row>
    <row r="472">
      <c r="A472" s="9" t="n">
        <v>358321</v>
      </c>
      <c r="B472" s="10" t="inlineStr">
        <is>
          <t>NEUTROFER 300MG FR 30 COMP</t>
        </is>
      </c>
      <c r="C472" s="10" t="inlineStr">
        <is>
          <t>RX</t>
        </is>
      </c>
      <c r="D472" s="9" t="inlineStr">
        <is>
          <t>A</t>
        </is>
      </c>
      <c r="E472" s="9" t="n">
        <v>4</v>
      </c>
      <c r="F472" s="9" t="n">
        <v>1</v>
      </c>
      <c r="G472" s="11" t="n">
        <v>48.5667</v>
      </c>
      <c r="H472" s="10" t="inlineStr">
        <is>
          <t>SC DISTRIBUICAO LTDA</t>
        </is>
      </c>
      <c r="I472" s="12" t="inlineStr">
        <is>
          <t>7894916500333</t>
        </is>
      </c>
      <c r="J472" s="10" t="inlineStr">
        <is>
          <t>NEUTROFER 300MG C/30 COMPRIMIDOS</t>
        </is>
      </c>
      <c r="K472" s="11" t="n">
        <v>48.43</v>
      </c>
      <c r="L472" s="13" t="n">
        <v>0</v>
      </c>
      <c r="M472" s="11">
        <f>IF(K472="","",ROUND(K472*(1-L472),2))</f>
        <v/>
      </c>
      <c r="N472" s="9" t="n">
        <v>429</v>
      </c>
      <c r="O472" s="14">
        <f>IF(OR(M472="",R472&lt;&gt;""),"",M472/G472-1)</f>
        <v/>
      </c>
      <c r="P472" s="11">
        <f>IF(OR(M472="",R472&lt;&gt;""),"",(G472-M472)*E472)</f>
        <v/>
      </c>
      <c r="Q472" s="9">
        <f>IF(R472&lt;&gt;"","—",IF(M472&lt;G472,"Mais barato",IF(M472&gt;G472,"Mais caro","Igual")))</f>
        <v/>
      </c>
      <c r="R472" s="10" t="n"/>
    </row>
    <row r="473">
      <c r="A473" s="9" t="n">
        <v>358301</v>
      </c>
      <c r="B473" s="10" t="inlineStr">
        <is>
          <t>NEUTROFER 500MG FR 30 COMP</t>
        </is>
      </c>
      <c r="C473" s="10" t="inlineStr">
        <is>
          <t>RX</t>
        </is>
      </c>
      <c r="D473" s="9" t="inlineStr">
        <is>
          <t>A</t>
        </is>
      </c>
      <c r="E473" s="9" t="n">
        <v>6</v>
      </c>
      <c r="F473" s="9" t="n">
        <v>1</v>
      </c>
      <c r="G473" s="11" t="n">
        <v>67.05</v>
      </c>
      <c r="H473" s="10" t="inlineStr">
        <is>
          <t>SC DISTRIBUICAO LTDA</t>
        </is>
      </c>
      <c r="I473" s="12" t="inlineStr">
        <is>
          <t>7894916500272</t>
        </is>
      </c>
      <c r="J473" s="10" t="inlineStr">
        <is>
          <t>NEUTROFER 500MG C/30 COMPRIMIDOS</t>
        </is>
      </c>
      <c r="K473" s="11" t="n">
        <v>72.09999999999999</v>
      </c>
      <c r="L473" s="13" t="n">
        <v>0</v>
      </c>
      <c r="M473" s="11">
        <f>IF(K473="","",ROUND(K473*(1-L473),2))</f>
        <v/>
      </c>
      <c r="N473" s="9" t="n">
        <v>377</v>
      </c>
      <c r="O473" s="14">
        <f>IF(OR(M473="",R473&lt;&gt;""),"",M473/G473-1)</f>
        <v/>
      </c>
      <c r="P473" s="11">
        <f>IF(OR(M473="",R473&lt;&gt;""),"",(G473-M473)*E473)</f>
        <v/>
      </c>
      <c r="Q473" s="9">
        <f>IF(R473&lt;&gt;"","—",IF(M473&lt;G473,"Mais barato",IF(M473&gt;G473,"Mais caro","Igual")))</f>
        <v/>
      </c>
      <c r="R473" s="10" t="n"/>
    </row>
    <row r="474">
      <c r="A474" s="9" t="n">
        <v>16441</v>
      </c>
      <c r="B474" s="10" t="inlineStr">
        <is>
          <t>NEUTROFER FOLICO 150MG FR 30 COMP</t>
        </is>
      </c>
      <c r="C474" s="10" t="inlineStr">
        <is>
          <t>RX</t>
        </is>
      </c>
      <c r="D474" s="9" t="inlineStr">
        <is>
          <t>A</t>
        </is>
      </c>
      <c r="E474" s="9" t="n">
        <v>3</v>
      </c>
      <c r="F474" s="9" t="n">
        <v>1</v>
      </c>
      <c r="G474" s="11" t="n">
        <v>34.74</v>
      </c>
      <c r="H474" s="10" t="inlineStr">
        <is>
          <t>SC DISTRIBUICAO LTDA</t>
        </is>
      </c>
      <c r="I474" s="12" t="inlineStr">
        <is>
          <t>7894916500425</t>
        </is>
      </c>
      <c r="J474" s="10" t="inlineStr">
        <is>
          <t>NEUTROFER FOLICO 150MG C/30 COMPRIMIDOS</t>
        </is>
      </c>
      <c r="K474" s="11" t="n">
        <v>35.81</v>
      </c>
      <c r="L474" s="13" t="n">
        <v>0</v>
      </c>
      <c r="M474" s="11">
        <f>IF(K474="","",ROUND(K474*(1-L474),2))</f>
        <v/>
      </c>
      <c r="N474" s="9" t="n">
        <v>329</v>
      </c>
      <c r="O474" s="14">
        <f>IF(OR(M474="",R474&lt;&gt;""),"",M474/G474-1)</f>
        <v/>
      </c>
      <c r="P474" s="11">
        <f>IF(OR(M474="",R474&lt;&gt;""),"",(G474-M474)*E474)</f>
        <v/>
      </c>
      <c r="Q474" s="9">
        <f>IF(R474&lt;&gt;"","—",IF(M474&lt;G474,"Mais barato",IF(M474&gt;G474,"Mais caro","Igual")))</f>
        <v/>
      </c>
      <c r="R474" s="10" t="n"/>
    </row>
    <row r="475">
      <c r="A475" s="9" t="n">
        <v>473</v>
      </c>
      <c r="B475" s="10" t="inlineStr">
        <is>
          <t>NEUTROG HIDRATA &amp; REPARA 200ML</t>
        </is>
      </c>
      <c r="C475" s="10" t="inlineStr">
        <is>
          <t>RX - DERMO</t>
        </is>
      </c>
      <c r="D475" s="9" t="inlineStr">
        <is>
          <t>B</t>
        </is>
      </c>
      <c r="E475" s="9" t="n">
        <v>4</v>
      </c>
      <c r="F475" s="9" t="n">
        <v>1</v>
      </c>
      <c r="G475" s="11" t="n">
        <v>17.1617</v>
      </c>
      <c r="H475" s="10" t="inlineStr">
        <is>
          <t>SC DISTRIBUICAO LTDA</t>
        </is>
      </c>
      <c r="I475" s="12" t="inlineStr">
        <is>
          <t>7891010253899</t>
        </is>
      </c>
      <c r="J475" s="10" t="inlineStr">
        <is>
          <t>NEUTROGENA LOCAO BODY CARE INTENSIVE HIDRATA E REPARA 200ML</t>
        </is>
      </c>
      <c r="K475" s="11" t="n">
        <v>19.47</v>
      </c>
      <c r="L475" s="13" t="n">
        <v>0</v>
      </c>
      <c r="M475" s="11">
        <f>IF(K475="","",ROUND(K475*(1-L475),2))</f>
        <v/>
      </c>
      <c r="N475" s="9" t="n"/>
      <c r="O475" s="14">
        <f>IF(OR(M475="",R475&lt;&gt;""),"",M475/G475-1)</f>
        <v/>
      </c>
      <c r="P475" s="11">
        <f>IF(OR(M475="",R475&lt;&gt;""),"",(G475-M475)*E475)</f>
        <v/>
      </c>
      <c r="Q475" s="9">
        <f>IF(R475&lt;&gt;"","—",IF(M475&lt;G475,"Mais barato",IF(M475&gt;G475,"Mais caro","Igual")))</f>
        <v/>
      </c>
      <c r="R475" s="10" t="n"/>
    </row>
    <row r="476">
      <c r="A476" s="9" t="n">
        <v>652651</v>
      </c>
      <c r="B476" s="10" t="inlineStr">
        <is>
          <t>NIVEA VISAGE CELLULLAR LIFT EXPERT DIA SPF 30 50GRS</t>
        </is>
      </c>
      <c r="C476" s="10" t="inlineStr">
        <is>
          <t>RX - DERMO</t>
        </is>
      </c>
      <c r="D476" s="9" t="inlineStr">
        <is>
          <t>B</t>
        </is>
      </c>
      <c r="E476" s="9" t="n">
        <v>1</v>
      </c>
      <c r="F476" s="9" t="n">
        <v>1</v>
      </c>
      <c r="G476" s="11" t="n">
        <v>50.02</v>
      </c>
      <c r="H476" s="10" t="inlineStr">
        <is>
          <t>ARCOM S A</t>
        </is>
      </c>
      <c r="I476" s="12" t="n"/>
      <c r="J476" s="10" t="n"/>
      <c r="K476" s="11" t="n"/>
      <c r="L476" s="13" t="n"/>
      <c r="M476" s="11">
        <f>IF(K476="","",ROUND(K476*(1-L476),2))</f>
        <v/>
      </c>
      <c r="N476" s="9" t="n"/>
      <c r="O476" s="14">
        <f>IF(OR(M476="",R476&lt;&gt;""),"",M476/G476-1)</f>
        <v/>
      </c>
      <c r="P476" s="11">
        <f>IF(OR(M476="",R476&lt;&gt;""),"",(G476-M476)*E476)</f>
        <v/>
      </c>
      <c r="Q476" s="9">
        <f>IF(R476&lt;&gt;"","—",IF(M476&lt;G476,"Mais barato",IF(M476&gt;G476,"Mais caro","Igual")))</f>
        <v/>
      </c>
      <c r="R476" s="10" t="inlineStr">
        <is>
          <t>Não encontrado</t>
        </is>
      </c>
    </row>
    <row r="477">
      <c r="A477" s="9" t="n">
        <v>652661</v>
      </c>
      <c r="B477" s="10" t="inlineStr">
        <is>
          <t>NIVEA VISAGE CELLULLAR LIFT EXPERT NOITE 48GRS</t>
        </is>
      </c>
      <c r="C477" s="10" t="inlineStr">
        <is>
          <t>RX - DERMO</t>
        </is>
      </c>
      <c r="D477" s="9" t="inlineStr">
        <is>
          <t>C</t>
        </is>
      </c>
      <c r="E477" s="9" t="n">
        <v>1</v>
      </c>
      <c r="F477" s="9" t="n">
        <v>1</v>
      </c>
      <c r="G477" s="11" t="n">
        <v>50.02</v>
      </c>
      <c r="H477" s="10" t="inlineStr">
        <is>
          <t>ARCOM S A</t>
        </is>
      </c>
      <c r="I477" s="12" t="inlineStr">
        <is>
          <t>4005900929686</t>
        </is>
      </c>
      <c r="J477" s="10" t="inlineStr">
        <is>
          <t>CREME FACIAL ANTISSINAIS NOITE EXPERT LIFT CELLULAR NIVEA 50G</t>
        </is>
      </c>
      <c r="K477" s="11" t="n">
        <v>58.77</v>
      </c>
      <c r="L477" s="13" t="n">
        <v>0</v>
      </c>
      <c r="M477" s="11">
        <f>IF(K477="","",ROUND(K477*(1-L477),2))</f>
        <v/>
      </c>
      <c r="N477" s="9" t="n">
        <v>7</v>
      </c>
      <c r="O477" s="14">
        <f>IF(OR(M477="",R477&lt;&gt;""),"",M477/G477-1)</f>
        <v/>
      </c>
      <c r="P477" s="11">
        <f>IF(OR(M477="",R477&lt;&gt;""),"",(G477-M477)*E477)</f>
        <v/>
      </c>
      <c r="Q477" s="9">
        <f>IF(R477&lt;&gt;"","—",IF(M477&lt;G477,"Mais barato",IF(M477&gt;G477,"Mais caro","Igual")))</f>
        <v/>
      </c>
      <c r="R477" s="10" t="n"/>
    </row>
    <row r="478">
      <c r="A478" s="9" t="n">
        <v>393401</v>
      </c>
      <c r="B478" s="10" t="inlineStr">
        <is>
          <t>NIVUX 100+20MG CX 12 COMP</t>
        </is>
      </c>
      <c r="C478" s="10" t="inlineStr">
        <is>
          <t>RX</t>
        </is>
      </c>
      <c r="D478" s="9" t="inlineStr">
        <is>
          <t>A</t>
        </is>
      </c>
      <c r="E478" s="9" t="n">
        <v>3</v>
      </c>
      <c r="F478" s="9" t="n">
        <v>1</v>
      </c>
      <c r="G478" s="11" t="n">
        <v>45.53</v>
      </c>
      <c r="H478" s="10" t="inlineStr">
        <is>
          <t>SC DISTRIBUICAO LTDA</t>
        </is>
      </c>
      <c r="I478" s="12" t="inlineStr">
        <is>
          <t>7894916513661</t>
        </is>
      </c>
      <c r="J478" s="10" t="inlineStr">
        <is>
          <t>NIVUX 100MG + 20MG C/12 COMPRIMIDOS</t>
        </is>
      </c>
      <c r="K478" s="11" t="n">
        <v>49.78</v>
      </c>
      <c r="L478" s="13" t="n">
        <v>0</v>
      </c>
      <c r="M478" s="11">
        <f>IF(K478="","",ROUND(K478*(1-L478),2))</f>
        <v/>
      </c>
      <c r="N478" s="9" t="n">
        <v>217</v>
      </c>
      <c r="O478" s="14">
        <f>IF(OR(M478="",R478&lt;&gt;""),"",M478/G478-1)</f>
        <v/>
      </c>
      <c r="P478" s="11">
        <f>IF(OR(M478="",R478&lt;&gt;""),"",(G478-M478)*E478)</f>
        <v/>
      </c>
      <c r="Q478" s="9">
        <f>IF(R478&lt;&gt;"","—",IF(M478&lt;G478,"Mais barato",IF(M478&gt;G478,"Mais caro","Igual")))</f>
        <v/>
      </c>
      <c r="R478" s="10" t="n"/>
    </row>
    <row r="479">
      <c r="A479" s="9" t="n">
        <v>69161</v>
      </c>
      <c r="B479" s="10" t="inlineStr">
        <is>
          <t>NOEX 32MCG SUS NAS FR 120 DOS</t>
        </is>
      </c>
      <c r="C479" s="10" t="inlineStr">
        <is>
          <t>RX</t>
        </is>
      </c>
      <c r="D479" s="9" t="inlineStr">
        <is>
          <t>A</t>
        </is>
      </c>
      <c r="E479" s="9" t="n">
        <v>2</v>
      </c>
      <c r="F479" s="9" t="n">
        <v>1</v>
      </c>
      <c r="G479" s="11" t="n">
        <v>22.75</v>
      </c>
      <c r="H479" s="10" t="inlineStr">
        <is>
          <t>SC DISTRIBUICAO LTDA</t>
        </is>
      </c>
      <c r="I479" s="12" t="inlineStr">
        <is>
          <t>7891317460532</t>
        </is>
      </c>
      <c r="J479" s="10" t="inlineStr">
        <is>
          <t>NOEX 32MCG SPRAY NASAL C/120 DOSES</t>
        </is>
      </c>
      <c r="K479" s="11" t="n">
        <v>33.89</v>
      </c>
      <c r="L479" s="13" t="n">
        <v>0.04</v>
      </c>
      <c r="M479" s="11">
        <f>IF(K479="","",ROUND(K479*(1-L479),2))</f>
        <v/>
      </c>
      <c r="N479" s="9" t="n">
        <v>538</v>
      </c>
      <c r="O479" s="14">
        <f>IF(OR(M479="",R479&lt;&gt;""),"",M479/G479-1)</f>
        <v/>
      </c>
      <c r="P479" s="11">
        <f>IF(OR(M479="",R479&lt;&gt;""),"",(G479-M479)*E479)</f>
        <v/>
      </c>
      <c r="Q479" s="9">
        <f>IF(R479&lt;&gt;"","—",IF(M479&lt;G479,"Mais barato",IF(M479&gt;G479,"Mais caro","Igual")))</f>
        <v/>
      </c>
      <c r="R479" s="10" t="n"/>
    </row>
    <row r="480">
      <c r="A480" s="9" t="n">
        <v>652411</v>
      </c>
      <c r="B480" s="10" t="inlineStr">
        <is>
          <t>NOPLAK SEM ALCOOL SOLUCAO 250ML</t>
        </is>
      </c>
      <c r="C480" s="10" t="inlineStr">
        <is>
          <t>RX</t>
        </is>
      </c>
      <c r="D480" s="9" t="inlineStr">
        <is>
          <t>B</t>
        </is>
      </c>
      <c r="E480" s="9" t="n">
        <v>5</v>
      </c>
      <c r="F480" s="9" t="n">
        <v>1</v>
      </c>
      <c r="G480" s="11" t="n">
        <v>21.435</v>
      </c>
      <c r="H480" s="10" t="inlineStr">
        <is>
          <t>NAZARIA DISTRIBUIDORA DE PRODUTOS FARMACEUTICOS LTDA</t>
        </is>
      </c>
      <c r="I480" s="12" t="n"/>
      <c r="J480" s="10" t="n"/>
      <c r="K480" s="11" t="n"/>
      <c r="L480" s="13" t="n"/>
      <c r="M480" s="11">
        <f>IF(K480="","",ROUND(K480*(1-L480),2))</f>
        <v/>
      </c>
      <c r="N480" s="9" t="n"/>
      <c r="O480" s="14">
        <f>IF(OR(M480="",R480&lt;&gt;""),"",M480/G480-1)</f>
        <v/>
      </c>
      <c r="P480" s="11">
        <f>IF(OR(M480="",R480&lt;&gt;""),"",(G480-M480)*E480)</f>
        <v/>
      </c>
      <c r="Q480" s="9">
        <f>IF(R480&lt;&gt;"","—",IF(M480&lt;G480,"Mais barato",IF(M480&gt;G480,"Mais caro","Igual")))</f>
        <v/>
      </c>
      <c r="R480" s="10" t="inlineStr">
        <is>
          <t>Não encontrado</t>
        </is>
      </c>
    </row>
    <row r="481">
      <c r="A481" s="9" t="n">
        <v>579481</v>
      </c>
      <c r="B481" s="10" t="inlineStr">
        <is>
          <t>NORIPURUM 100+0,35MG CX 30 COMP MAST</t>
        </is>
      </c>
      <c r="C481" s="10" t="inlineStr">
        <is>
          <t>RX</t>
        </is>
      </c>
      <c r="D481" s="9" t="inlineStr">
        <is>
          <t>A</t>
        </is>
      </c>
      <c r="E481" s="9" t="n">
        <v>1</v>
      </c>
      <c r="F481" s="9" t="n">
        <v>1</v>
      </c>
      <c r="G481" s="11" t="n">
        <v>55.58</v>
      </c>
      <c r="H481" s="10" t="inlineStr">
        <is>
          <t>NAZARIA DISTRIBUIDORA DE PRODUTOS FARMACEUTICOS LTDA</t>
        </is>
      </c>
      <c r="I481" s="12" t="inlineStr">
        <is>
          <t>7898581710608</t>
        </is>
      </c>
      <c r="J481" s="10" t="inlineStr">
        <is>
          <t>NORIPURUM FOLICO C/30 COMPRIMIDOS</t>
        </is>
      </c>
      <c r="K481" s="11" t="n">
        <v>57.77</v>
      </c>
      <c r="L481" s="13" t="n">
        <v>0.03</v>
      </c>
      <c r="M481" s="11">
        <f>IF(K481="","",ROUND(K481*(1-L481),2))</f>
        <v/>
      </c>
      <c r="N481" s="9" t="n"/>
      <c r="O481" s="14">
        <f>IF(OR(M481="",R481&lt;&gt;""),"",M481/G481-1)</f>
        <v/>
      </c>
      <c r="P481" s="11">
        <f>IF(OR(M481="",R481&lt;&gt;""),"",(G481-M481)*E481)</f>
        <v/>
      </c>
      <c r="Q481" s="9">
        <f>IF(R481&lt;&gt;"","—",IF(M481&lt;G481,"Mais barato",IF(M481&gt;G481,"Mais caro","Igual")))</f>
        <v/>
      </c>
      <c r="R481" s="10" t="n"/>
    </row>
    <row r="482">
      <c r="A482" s="9" t="n">
        <v>588811</v>
      </c>
      <c r="B482" s="10" t="inlineStr">
        <is>
          <t>NORIPURUM 100MG CX 30 COMP MAST</t>
        </is>
      </c>
      <c r="C482" s="10" t="inlineStr">
        <is>
          <t>RX</t>
        </is>
      </c>
      <c r="D482" s="9" t="inlineStr">
        <is>
          <t>A</t>
        </is>
      </c>
      <c r="E482" s="9" t="n">
        <v>7</v>
      </c>
      <c r="F482" s="9" t="n">
        <v>1</v>
      </c>
      <c r="G482" s="11" t="n">
        <v>54.97</v>
      </c>
      <c r="H482" s="10" t="inlineStr">
        <is>
          <t>NAZARIA DISTRIBUIDORA DE PRODUTOS FARMACEUTICOS LTDA</t>
        </is>
      </c>
      <c r="I482" s="12" t="inlineStr">
        <is>
          <t>7898581710547</t>
        </is>
      </c>
      <c r="J482" s="10" t="inlineStr">
        <is>
          <t>NORIPURUM C/30 COMPRIMIDOS</t>
        </is>
      </c>
      <c r="K482" s="11" t="n">
        <v>56.73</v>
      </c>
      <c r="L482" s="13" t="n">
        <v>0.03</v>
      </c>
      <c r="M482" s="11">
        <f>IF(K482="","",ROUND(K482*(1-L482),2))</f>
        <v/>
      </c>
      <c r="N482" s="9" t="n"/>
      <c r="O482" s="14">
        <f>IF(OR(M482="",R482&lt;&gt;""),"",M482/G482-1)</f>
        <v/>
      </c>
      <c r="P482" s="11">
        <f>IF(OR(M482="",R482&lt;&gt;""),"",(G482-M482)*E482)</f>
        <v/>
      </c>
      <c r="Q482" s="9">
        <f>IF(R482&lt;&gt;"","—",IF(M482&lt;G482,"Mais barato",IF(M482&gt;G482,"Mais caro","Igual")))</f>
        <v/>
      </c>
      <c r="R482" s="10" t="n"/>
    </row>
    <row r="483">
      <c r="A483" s="9" t="n">
        <v>588801</v>
      </c>
      <c r="B483" s="10" t="inlineStr">
        <is>
          <t>NORIPURUM 10MG/ML XPE FR 120ML</t>
        </is>
      </c>
      <c r="C483" s="10" t="inlineStr">
        <is>
          <t>RX</t>
        </is>
      </c>
      <c r="D483" s="9" t="inlineStr">
        <is>
          <t>A</t>
        </is>
      </c>
      <c r="E483" s="9" t="n">
        <v>2</v>
      </c>
      <c r="F483" s="9" t="n">
        <v>1</v>
      </c>
      <c r="G483" s="11" t="n">
        <v>26.25</v>
      </c>
      <c r="H483" s="10" t="inlineStr">
        <is>
          <t>NAZARIA DISTRIBUIDORA DE PRODUTOS FARMACEUTICOS LTDA</t>
        </is>
      </c>
      <c r="I483" s="12" t="inlineStr">
        <is>
          <t>7898581710578</t>
        </is>
      </c>
      <c r="J483" s="10" t="inlineStr">
        <is>
          <t>NORIPURUM XAROPE 120ML</t>
        </is>
      </c>
      <c r="K483" s="11" t="n">
        <v>27.09</v>
      </c>
      <c r="L483" s="13" t="n">
        <v>0.03</v>
      </c>
      <c r="M483" s="11">
        <f>IF(K483="","",ROUND(K483*(1-L483),2))</f>
        <v/>
      </c>
      <c r="N483" s="9" t="n">
        <v>801</v>
      </c>
      <c r="O483" s="14">
        <f>IF(OR(M483="",R483&lt;&gt;""),"",M483/G483-1)</f>
        <v/>
      </c>
      <c r="P483" s="11">
        <f>IF(OR(M483="",R483&lt;&gt;""),"",(G483-M483)*E483)</f>
        <v/>
      </c>
      <c r="Q483" s="9">
        <f>IF(R483&lt;&gt;"","—",IF(M483&lt;G483,"Mais barato",IF(M483&gt;G483,"Mais caro","Igual")))</f>
        <v/>
      </c>
      <c r="R483" s="10" t="n"/>
    </row>
    <row r="484">
      <c r="A484" s="9" t="n">
        <v>247481</v>
      </c>
      <c r="B484" s="10" t="inlineStr">
        <is>
          <t>NORIPURUM 50MG/ML SOL OR FR GOT 30ML</t>
        </is>
      </c>
      <c r="C484" s="10" t="inlineStr">
        <is>
          <t>RX</t>
        </is>
      </c>
      <c r="D484" s="9" t="inlineStr">
        <is>
          <t>B</t>
        </is>
      </c>
      <c r="E484" s="9" t="n">
        <v>4</v>
      </c>
      <c r="F484" s="9" t="n">
        <v>1</v>
      </c>
      <c r="G484" s="11" t="n">
        <v>34.56</v>
      </c>
      <c r="H484" s="10" t="inlineStr">
        <is>
          <t>NAZARIA DISTRIBUIDORA DE PRODUTOS FARMACEUTICOS LTDA</t>
        </is>
      </c>
      <c r="I484" s="12" t="inlineStr">
        <is>
          <t>7898581710523</t>
        </is>
      </c>
      <c r="J484" s="10" t="inlineStr">
        <is>
          <t>NORIPURUM GOTAS 30ML</t>
        </is>
      </c>
      <c r="K484" s="11" t="n">
        <v>35.67</v>
      </c>
      <c r="L484" s="13" t="n">
        <v>0.03</v>
      </c>
      <c r="M484" s="11">
        <f>IF(K484="","",ROUND(K484*(1-L484),2))</f>
        <v/>
      </c>
      <c r="N484" s="9" t="n"/>
      <c r="O484" s="14">
        <f>IF(OR(M484="",R484&lt;&gt;""),"",M484/G484-1)</f>
        <v/>
      </c>
      <c r="P484" s="11">
        <f>IF(OR(M484="",R484&lt;&gt;""),"",(G484-M484)*E484)</f>
        <v/>
      </c>
      <c r="Q484" s="9">
        <f>IF(R484&lt;&gt;"","—",IF(M484&lt;G484,"Mais barato",IF(M484&gt;G484,"Mais caro","Igual")))</f>
        <v/>
      </c>
      <c r="R484" s="10" t="n"/>
    </row>
    <row r="485">
      <c r="A485" s="9" t="n">
        <v>601521</v>
      </c>
      <c r="B485" s="10" t="inlineStr">
        <is>
          <t>NORIPURUM ENDOV INJ 5 AMP X 5ML</t>
        </is>
      </c>
      <c r="C485" s="10" t="inlineStr">
        <is>
          <t>RX</t>
        </is>
      </c>
      <c r="D485" s="9" t="inlineStr">
        <is>
          <t>A</t>
        </is>
      </c>
      <c r="E485" s="9" t="n">
        <v>4</v>
      </c>
      <c r="F485" s="9" t="n">
        <v>1</v>
      </c>
      <c r="G485" s="11" t="n">
        <v>70.11</v>
      </c>
      <c r="H485" s="10" t="inlineStr">
        <is>
          <t>NAZARIA DISTRIBUIDORA DE PRODUTOS FARMACEUTICOS LTDA</t>
        </is>
      </c>
      <c r="I485" s="12" t="inlineStr">
        <is>
          <t>7898581710615</t>
        </is>
      </c>
      <c r="J485" s="10" t="inlineStr">
        <is>
          <t>NORIPURUM ENDOVENSA C/5 AMPOLAS 5ML</t>
        </is>
      </c>
      <c r="K485" s="11" t="n">
        <v>74.58</v>
      </c>
      <c r="L485" s="13" t="n">
        <v>0</v>
      </c>
      <c r="M485" s="11">
        <f>IF(K485="","",ROUND(K485*(1-L485),2))</f>
        <v/>
      </c>
      <c r="N485" s="9" t="n"/>
      <c r="O485" s="14">
        <f>IF(OR(M485="",R485&lt;&gt;""),"",M485/G485-1)</f>
        <v/>
      </c>
      <c r="P485" s="11">
        <f>IF(OR(M485="",R485&lt;&gt;""),"",(G485-M485)*E485)</f>
        <v/>
      </c>
      <c r="Q485" s="9">
        <f>IF(R485&lt;&gt;"","—",IF(M485&lt;G485,"Mais barato",IF(M485&gt;G485,"Mais caro","Igual")))</f>
        <v/>
      </c>
      <c r="R485" s="10" t="n"/>
    </row>
    <row r="486">
      <c r="A486" s="9" t="n">
        <v>224101</v>
      </c>
      <c r="B486" s="10" t="inlineStr">
        <is>
          <t>NOVALGINA 1G CX 10 COMP</t>
        </is>
      </c>
      <c r="C486" s="10" t="inlineStr">
        <is>
          <t>RX - OTC</t>
        </is>
      </c>
      <c r="D486" s="9" t="inlineStr">
        <is>
          <t>A</t>
        </is>
      </c>
      <c r="E486" s="9" t="n">
        <v>1</v>
      </c>
      <c r="F486" s="9" t="n">
        <v>1</v>
      </c>
      <c r="G486" s="11" t="n">
        <v>17.4871</v>
      </c>
      <c r="H486" s="10" t="inlineStr">
        <is>
          <t>SC DISTRIBUICAO LTDA</t>
        </is>
      </c>
      <c r="I486" s="12" t="inlineStr">
        <is>
          <t>7891058001155</t>
        </is>
      </c>
      <c r="J486" s="10" t="inlineStr">
        <is>
          <t>NOVALGINA 1G C/10 COMPRIMIDOS</t>
        </is>
      </c>
      <c r="K486" s="11" t="n">
        <v>19.04</v>
      </c>
      <c r="L486" s="13" t="n">
        <v>0.02</v>
      </c>
      <c r="M486" s="11">
        <f>IF(K486="","",ROUND(K486*(1-L486),2))</f>
        <v/>
      </c>
      <c r="N486" s="9" t="n">
        <v>1200</v>
      </c>
      <c r="O486" s="14">
        <f>IF(OR(M486="",R486&lt;&gt;""),"",M486/G486-1)</f>
        <v/>
      </c>
      <c r="P486" s="11">
        <f>IF(OR(M486="",R486&lt;&gt;""),"",(G486-M486)*E486)</f>
        <v/>
      </c>
      <c r="Q486" s="9">
        <f>IF(R486&lt;&gt;"","—",IF(M486&lt;G486,"Mais barato",IF(M486&gt;G486,"Mais caro","Igual")))</f>
        <v/>
      </c>
      <c r="R486" s="10" t="n"/>
    </row>
    <row r="487">
      <c r="A487" s="9" t="n">
        <v>507581</v>
      </c>
      <c r="B487" s="10" t="inlineStr">
        <is>
          <t>NOVALGINA 500MG/ML SOL OR FR GOT 10ML</t>
        </is>
      </c>
      <c r="C487" s="10" t="inlineStr">
        <is>
          <t>RX - OTC</t>
        </is>
      </c>
      <c r="D487" s="9" t="inlineStr">
        <is>
          <t>B</t>
        </is>
      </c>
      <c r="E487" s="9" t="n">
        <v>9</v>
      </c>
      <c r="F487" s="9" t="n">
        <v>1</v>
      </c>
      <c r="G487" s="11" t="n">
        <v>12.31</v>
      </c>
      <c r="H487" s="10" t="inlineStr">
        <is>
          <t>SC DISTRIBUICAO LTDA</t>
        </is>
      </c>
      <c r="I487" s="12" t="inlineStr">
        <is>
          <t>7891058000172</t>
        </is>
      </c>
      <c r="J487" s="10" t="inlineStr">
        <is>
          <t>NOVALGINA GOTAS VIDRO 10ML</t>
        </is>
      </c>
      <c r="K487" s="11" t="n">
        <v>13.04</v>
      </c>
      <c r="L487" s="13" t="n">
        <v>0.02</v>
      </c>
      <c r="M487" s="11">
        <f>IF(K487="","",ROUND(K487*(1-L487),2))</f>
        <v/>
      </c>
      <c r="N487" s="9" t="n">
        <v>396</v>
      </c>
      <c r="O487" s="14">
        <f>IF(OR(M487="",R487&lt;&gt;""),"",M487/G487-1)</f>
        <v/>
      </c>
      <c r="P487" s="11">
        <f>IF(OR(M487="",R487&lt;&gt;""),"",(G487-M487)*E487)</f>
        <v/>
      </c>
      <c r="Q487" s="9">
        <f>IF(R487&lt;&gt;"","—",IF(M487&lt;G487,"Mais barato",IF(M487&gt;G487,"Mais caro","Igual")))</f>
        <v/>
      </c>
      <c r="R487" s="10" t="n"/>
    </row>
    <row r="488">
      <c r="A488" s="9" t="n">
        <v>507561</v>
      </c>
      <c r="B488" s="10" t="inlineStr">
        <is>
          <t>NOVALGINA 500MG/ML SOL OR FR GOT 20ML</t>
        </is>
      </c>
      <c r="C488" s="10" t="inlineStr">
        <is>
          <t>RX - OTC</t>
        </is>
      </c>
      <c r="D488" s="9" t="inlineStr">
        <is>
          <t>B</t>
        </is>
      </c>
      <c r="E488" s="9" t="n">
        <v>3</v>
      </c>
      <c r="F488" s="9" t="n">
        <v>1</v>
      </c>
      <c r="G488" s="11" t="n">
        <v>22.77</v>
      </c>
      <c r="H488" s="10" t="inlineStr">
        <is>
          <t>SC DISTRIBUICAO LTDA</t>
        </is>
      </c>
      <c r="I488" s="12" t="inlineStr">
        <is>
          <t>7891058000165</t>
        </is>
      </c>
      <c r="J488" s="10" t="inlineStr">
        <is>
          <t>NOVALGINA GOTAS 20ML</t>
        </is>
      </c>
      <c r="K488" s="11" t="n">
        <v>23.99</v>
      </c>
      <c r="L488" s="13" t="n">
        <v>0.02</v>
      </c>
      <c r="M488" s="11">
        <f>IF(K488="","",ROUND(K488*(1-L488),2))</f>
        <v/>
      </c>
      <c r="N488" s="9" t="n">
        <v>320</v>
      </c>
      <c r="O488" s="14">
        <f>IF(OR(M488="",R488&lt;&gt;""),"",M488/G488-1)</f>
        <v/>
      </c>
      <c r="P488" s="11">
        <f>IF(OR(M488="",R488&lt;&gt;""),"",(G488-M488)*E488)</f>
        <v/>
      </c>
      <c r="Q488" s="9">
        <f>IF(R488&lt;&gt;"","—",IF(M488&lt;G488,"Mais barato",IF(M488&gt;G488,"Mais caro","Igual")))</f>
        <v/>
      </c>
      <c r="R488" s="10" t="n"/>
    </row>
    <row r="489">
      <c r="A489" s="9" t="n">
        <v>593</v>
      </c>
      <c r="B489" s="10" t="inlineStr">
        <is>
          <t>NOVALGINA 50MG/ML SOL OR FR 100ML+MED</t>
        </is>
      </c>
      <c r="C489" s="10" t="inlineStr">
        <is>
          <t>RX - OTC</t>
        </is>
      </c>
      <c r="D489" s="9" t="inlineStr">
        <is>
          <t>A</t>
        </is>
      </c>
      <c r="E489" s="9" t="n">
        <v>1</v>
      </c>
      <c r="F489" s="9" t="n">
        <v>1</v>
      </c>
      <c r="G489" s="11" t="n">
        <v>31.145</v>
      </c>
      <c r="H489" s="10" t="inlineStr">
        <is>
          <t>SC DISTRIBUICAO LTDA</t>
        </is>
      </c>
      <c r="I489" s="12" t="inlineStr">
        <is>
          <t>7891058005566</t>
        </is>
      </c>
      <c r="J489" s="10" t="inlineStr">
        <is>
          <t>NOVALGINA INF 50MG SOL 100ML CUP</t>
        </is>
      </c>
      <c r="K489" s="11" t="n">
        <v>36.26</v>
      </c>
      <c r="L489" s="13" t="n">
        <v>0.02</v>
      </c>
      <c r="M489" s="11">
        <f>IF(K489="","",ROUND(K489*(1-L489),2))</f>
        <v/>
      </c>
      <c r="N489" s="9" t="n">
        <v>347</v>
      </c>
      <c r="O489" s="14">
        <f>IF(OR(M489="",R489&lt;&gt;""),"",M489/G489-1)</f>
        <v/>
      </c>
      <c r="P489" s="11">
        <f>IF(OR(M489="",R489&lt;&gt;""),"",(G489-M489)*E489)</f>
        <v/>
      </c>
      <c r="Q489" s="9">
        <f>IF(R489&lt;&gt;"","—",IF(M489&lt;G489,"Mais barato",IF(M489&gt;G489,"Mais caro","Igual")))</f>
        <v/>
      </c>
      <c r="R489" s="10" t="n"/>
    </row>
    <row r="490">
      <c r="A490" s="9" t="n">
        <v>33081</v>
      </c>
      <c r="B490" s="10" t="inlineStr">
        <is>
          <t>NOVOCILIN 875MG CX 14 COMP</t>
        </is>
      </c>
      <c r="C490" s="10" t="inlineStr">
        <is>
          <t>RX - SIMILAR - ATB</t>
        </is>
      </c>
      <c r="D490" s="9" t="inlineStr">
        <is>
          <t>A</t>
        </is>
      </c>
      <c r="E490" s="9" t="n">
        <v>1</v>
      </c>
      <c r="F490" s="9" t="n">
        <v>1</v>
      </c>
      <c r="G490" s="11" t="n">
        <v>47.39</v>
      </c>
      <c r="H490" s="10" t="inlineStr">
        <is>
          <t>SC DISTRIBUICAO LTDA</t>
        </is>
      </c>
      <c r="I490" s="12" t="inlineStr">
        <is>
          <t>7896658004148</t>
        </is>
      </c>
      <c r="J490" s="10" t="inlineStr">
        <is>
          <t>NOVOCILIN 875MG C/14 COMPRIMIDOS</t>
        </is>
      </c>
      <c r="K490" s="11" t="n">
        <v>46.58</v>
      </c>
      <c r="L490" s="13" t="n">
        <v>0.05</v>
      </c>
      <c r="M490" s="11">
        <f>IF(K490="","",ROUND(K490*(1-L490),2))</f>
        <v/>
      </c>
      <c r="N490" s="9" t="n">
        <v>9</v>
      </c>
      <c r="O490" s="14">
        <f>IF(OR(M490="",R490&lt;&gt;""),"",M490/G490-1)</f>
        <v/>
      </c>
      <c r="P490" s="11">
        <f>IF(OR(M490="",R490&lt;&gt;""),"",(G490-M490)*E490)</f>
        <v/>
      </c>
      <c r="Q490" s="9">
        <f>IF(R490&lt;&gt;"","—",IF(M490&lt;G490,"Mais barato",IF(M490&gt;G490,"Mais caro","Igual")))</f>
        <v/>
      </c>
      <c r="R490" s="10" t="n"/>
    </row>
    <row r="491">
      <c r="A491" s="9" t="n">
        <v>669611</v>
      </c>
      <c r="B491" s="10" t="inlineStr">
        <is>
          <t>NUTREN MULTI A-Z 30CAPS SOFTGEL</t>
        </is>
      </c>
      <c r="C491" s="10" t="inlineStr">
        <is>
          <t>RX</t>
        </is>
      </c>
      <c r="D491" s="9" t="inlineStr">
        <is>
          <t>C</t>
        </is>
      </c>
      <c r="E491" s="9" t="n">
        <v>1</v>
      </c>
      <c r="F491" s="9" t="n">
        <v>1</v>
      </c>
      <c r="G491" s="11" t="n">
        <v>27.21</v>
      </c>
      <c r="H491" s="10" t="inlineStr">
        <is>
          <t>SC DISTRIBUICAO LTDA</t>
        </is>
      </c>
      <c r="I491" s="12" t="n"/>
      <c r="J491" s="10" t="n"/>
      <c r="K491" s="11" t="n"/>
      <c r="L491" s="13" t="n"/>
      <c r="M491" s="11">
        <f>IF(K491="","",ROUND(K491*(1-L491),2))</f>
        <v/>
      </c>
      <c r="N491" s="9" t="n"/>
      <c r="O491" s="14">
        <f>IF(OR(M491="",R491&lt;&gt;""),"",M491/G491-1)</f>
        <v/>
      </c>
      <c r="P491" s="11">
        <f>IF(OR(M491="",R491&lt;&gt;""),"",(G491-M491)*E491)</f>
        <v/>
      </c>
      <c r="Q491" s="9">
        <f>IF(R491&lt;&gt;"","—",IF(M491&lt;G491,"Mais barato",IF(M491&gt;G491,"Mais caro","Igual")))</f>
        <v/>
      </c>
      <c r="R491" s="10" t="inlineStr">
        <is>
          <t>Sem preço</t>
        </is>
      </c>
    </row>
    <row r="492">
      <c r="A492" s="9" t="n">
        <v>142781</v>
      </c>
      <c r="B492" s="10" t="inlineStr">
        <is>
          <t>OCUPRESS 20MG/ML SOL FR X 5ML</t>
        </is>
      </c>
      <c r="C492" s="10" t="inlineStr">
        <is>
          <t>RX</t>
        </is>
      </c>
      <c r="D492" s="9" t="inlineStr">
        <is>
          <t>A</t>
        </is>
      </c>
      <c r="E492" s="9" t="n">
        <v>4</v>
      </c>
      <c r="F492" s="9" t="n">
        <v>1</v>
      </c>
      <c r="G492" s="11" t="n">
        <v>79.25</v>
      </c>
      <c r="H492" s="10" t="inlineStr">
        <is>
          <t>SC DISTRIBUICAO LTDA</t>
        </is>
      </c>
      <c r="I492" s="12" t="inlineStr">
        <is>
          <t>7896006290209</t>
        </is>
      </c>
      <c r="J492" s="10" t="inlineStr">
        <is>
          <t>OCUPRESS SOLUCAO OFTALMICA 2% 5ML</t>
        </is>
      </c>
      <c r="K492" s="11" t="n">
        <v>81.81</v>
      </c>
      <c r="L492" s="13" t="n">
        <v>0.04</v>
      </c>
      <c r="M492" s="11">
        <f>IF(K492="","",ROUND(K492*(1-L492),2))</f>
        <v/>
      </c>
      <c r="N492" s="9" t="n">
        <v>238</v>
      </c>
      <c r="O492" s="14">
        <f>IF(OR(M492="",R492&lt;&gt;""),"",M492/G492-1)</f>
        <v/>
      </c>
      <c r="P492" s="11">
        <f>IF(OR(M492="",R492&lt;&gt;""),"",(G492-M492)*E492)</f>
        <v/>
      </c>
      <c r="Q492" s="9">
        <f>IF(R492&lt;&gt;"","—",IF(M492&lt;G492,"Mais barato",IF(M492&gt;G492,"Mais caro","Igual")))</f>
        <v/>
      </c>
      <c r="R492" s="10" t="n"/>
    </row>
    <row r="493">
      <c r="A493" s="9" t="n">
        <v>652341</v>
      </c>
      <c r="B493" s="10" t="inlineStr">
        <is>
          <t>OLIGOVIT UP C/ 60 CAPS-DEMAIS PROD</t>
        </is>
      </c>
      <c r="C493" s="10" t="inlineStr">
        <is>
          <t>RX - OTC</t>
        </is>
      </c>
      <c r="D493" s="9" t="inlineStr">
        <is>
          <t>A</t>
        </is>
      </c>
      <c r="E493" s="9" t="n">
        <v>1</v>
      </c>
      <c r="F493" s="9" t="n">
        <v>1</v>
      </c>
      <c r="G493" s="11" t="n">
        <v>72.715</v>
      </c>
      <c r="H493" s="10" t="inlineStr">
        <is>
          <t>NAZARIA DISTRIBUIDORA DE PRODUTOS FARMACEUTICOS LTDA</t>
        </is>
      </c>
      <c r="I493" s="12" t="inlineStr">
        <is>
          <t>7897460401378</t>
        </is>
      </c>
      <c r="J493" s="10" t="inlineStr">
        <is>
          <t>OLIGOVIT UP C/60 CAPSULAS</t>
        </is>
      </c>
      <c r="K493" s="11" t="n">
        <v>79.73</v>
      </c>
      <c r="L493" s="13" t="n">
        <v>0</v>
      </c>
      <c r="M493" s="11">
        <f>IF(K493="","",ROUND(K493*(1-L493),2))</f>
        <v/>
      </c>
      <c r="N493" s="9" t="n">
        <v>106</v>
      </c>
      <c r="O493" s="14">
        <f>IF(OR(M493="",R493&lt;&gt;""),"",M493/G493-1)</f>
        <v/>
      </c>
      <c r="P493" s="11">
        <f>IF(OR(M493="",R493&lt;&gt;""),"",(G493-M493)*E493)</f>
        <v/>
      </c>
      <c r="Q493" s="9">
        <f>IF(R493&lt;&gt;"","—",IF(M493&lt;G493,"Mais barato",IF(M493&gt;G493,"Mais caro","Igual")))</f>
        <v/>
      </c>
      <c r="R493" s="10" t="n"/>
    </row>
    <row r="494">
      <c r="A494" s="9" t="n">
        <v>644201</v>
      </c>
      <c r="B494" s="10" t="inlineStr">
        <is>
          <t>OLMY ANLO 20+5MG CX 30 COMP REV</t>
        </is>
      </c>
      <c r="C494" s="10" t="inlineStr">
        <is>
          <t>RX</t>
        </is>
      </c>
      <c r="D494" s="9" t="inlineStr">
        <is>
          <t>B</t>
        </is>
      </c>
      <c r="E494" s="9" t="n">
        <v>2</v>
      </c>
      <c r="F494" s="9" t="n">
        <v>1</v>
      </c>
      <c r="G494" s="11" t="n">
        <v>45.45</v>
      </c>
      <c r="H494" s="10" t="inlineStr">
        <is>
          <t>SC DISTRIBUICAO LTDA</t>
        </is>
      </c>
      <c r="I494" s="12" t="inlineStr">
        <is>
          <t>7896004775364</t>
        </is>
      </c>
      <c r="J494" s="10" t="inlineStr">
        <is>
          <t>OLMY ANLO 20+5MG C/30 COMPRIMIDOS REV</t>
        </is>
      </c>
      <c r="K494" s="11" t="n">
        <v>48.35</v>
      </c>
      <c r="L494" s="13" t="n">
        <v>0</v>
      </c>
      <c r="M494" s="11">
        <f>IF(K494="","",ROUND(K494*(1-L494),2))</f>
        <v/>
      </c>
      <c r="N494" s="9" t="n">
        <v>76</v>
      </c>
      <c r="O494" s="14">
        <f>IF(OR(M494="",R494&lt;&gt;""),"",M494/G494-1)</f>
        <v/>
      </c>
      <c r="P494" s="11">
        <f>IF(OR(M494="",R494&lt;&gt;""),"",(G494-M494)*E494)</f>
        <v/>
      </c>
      <c r="Q494" s="9">
        <f>IF(R494&lt;&gt;"","—",IF(M494&lt;G494,"Mais barato",IF(M494&gt;G494,"Mais caro","Igual")))</f>
        <v/>
      </c>
      <c r="R494" s="10" t="n"/>
    </row>
    <row r="495">
      <c r="A495" s="9" t="n">
        <v>290201</v>
      </c>
      <c r="B495" s="10" t="inlineStr">
        <is>
          <t>OLMY HCT 40+25MG CX 10 COMP REV</t>
        </is>
      </c>
      <c r="C495" s="10" t="inlineStr">
        <is>
          <t>RX</t>
        </is>
      </c>
      <c r="D495" s="9" t="inlineStr">
        <is>
          <t>C</t>
        </is>
      </c>
      <c r="E495" s="9" t="n">
        <v>1</v>
      </c>
      <c r="F495" s="9" t="n">
        <v>1</v>
      </c>
      <c r="G495" s="11" t="n">
        <v>43.2</v>
      </c>
      <c r="H495" s="10" t="inlineStr">
        <is>
          <t>NAZARIA DISTRIBUIDORA DE PRODUTOS FARMACEUTICOS LTDA</t>
        </is>
      </c>
      <c r="I495" s="12" t="inlineStr">
        <is>
          <t>7894916510431</t>
        </is>
      </c>
      <c r="J495" s="10" t="inlineStr">
        <is>
          <t>OLMY HCT 40 + 25MG C/30 COMPRIMIDOS REV</t>
        </is>
      </c>
      <c r="K495" s="11" t="n">
        <v>48.91</v>
      </c>
      <c r="L495" s="13" t="n">
        <v>0</v>
      </c>
      <c r="M495" s="11">
        <f>IF(K495="","",ROUND(K495*(1-L495),2))</f>
        <v/>
      </c>
      <c r="N495" s="9" t="n"/>
      <c r="O495" s="14">
        <f>IF(OR(M495="",R495&lt;&gt;""),"",M495/G495-1)</f>
        <v/>
      </c>
      <c r="P495" s="11">
        <f>IF(OR(M495="",R495&lt;&gt;""),"",(G495-M495)*E495)</f>
        <v/>
      </c>
      <c r="Q495" s="9">
        <f>IF(R495&lt;&gt;"","—",IF(M495&lt;G495,"Mais barato",IF(M495&gt;G495,"Mais caro","Igual")))</f>
        <v/>
      </c>
      <c r="R495" s="10" t="n"/>
    </row>
    <row r="496">
      <c r="A496" s="9" t="n">
        <v>468981</v>
      </c>
      <c r="B496" s="10" t="inlineStr">
        <is>
          <t>OMCILON A 1,0MG/G PAS BG 10G</t>
        </is>
      </c>
      <c r="C496" s="10" t="inlineStr">
        <is>
          <t>RX</t>
        </is>
      </c>
      <c r="D496" s="9" t="inlineStr">
        <is>
          <t>A</t>
        </is>
      </c>
      <c r="E496" s="9" t="n">
        <v>15</v>
      </c>
      <c r="F496" s="9" t="n">
        <v>1</v>
      </c>
      <c r="G496" s="11" t="n">
        <v>18.9862</v>
      </c>
      <c r="H496" s="10" t="inlineStr">
        <is>
          <t>SC DISTRIBUICAO LTDA</t>
        </is>
      </c>
      <c r="I496" s="12" t="inlineStr">
        <is>
          <t>7895858015824</t>
        </is>
      </c>
      <c r="J496" s="10" t="inlineStr">
        <is>
          <t>POMADA OMCILON A ORABASE 1MG 10G</t>
        </is>
      </c>
      <c r="K496" s="11" t="n">
        <v>19.49</v>
      </c>
      <c r="L496" s="13" t="n">
        <v>0.04</v>
      </c>
      <c r="M496" s="11">
        <f>IF(K496="","",ROUND(K496*(1-L496),2))</f>
        <v/>
      </c>
      <c r="N496" s="9" t="n">
        <v>3774</v>
      </c>
      <c r="O496" s="14">
        <f>IF(OR(M496="",R496&lt;&gt;""),"",M496/G496-1)</f>
        <v/>
      </c>
      <c r="P496" s="11">
        <f>IF(OR(M496="",R496&lt;&gt;""),"",(G496-M496)*E496)</f>
        <v/>
      </c>
      <c r="Q496" s="9">
        <f>IF(R496&lt;&gt;"","—",IF(M496&lt;G496,"Mais barato",IF(M496&gt;G496,"Mais caro","Igual")))</f>
        <v/>
      </c>
      <c r="R496" s="10" t="n"/>
    </row>
    <row r="497">
      <c r="A497" s="9" t="n">
        <v>627711</v>
      </c>
      <c r="B497" s="10" t="inlineStr">
        <is>
          <t>OMEGA 3 1000MG 60CAP</t>
        </is>
      </c>
      <c r="C497" s="10" t="inlineStr">
        <is>
          <t>RX - OTC</t>
        </is>
      </c>
      <c r="D497" s="9" t="inlineStr">
        <is>
          <t>A</t>
        </is>
      </c>
      <c r="E497" s="9" t="n">
        <v>3</v>
      </c>
      <c r="F497" s="9" t="n">
        <v>1</v>
      </c>
      <c r="G497" s="11" t="n">
        <v>28.5477</v>
      </c>
      <c r="H497" s="10" t="inlineStr">
        <is>
          <t>SC DISTRIBUICAO LTDA</t>
        </is>
      </c>
      <c r="I497" s="12" t="inlineStr">
        <is>
          <t>7896023799983</t>
        </is>
      </c>
      <c r="J497" s="10" t="inlineStr">
        <is>
          <t>OMEGA 3 1000MG C/60 CAPSULAS</t>
        </is>
      </c>
      <c r="K497" s="11" t="n">
        <v>27.19</v>
      </c>
      <c r="L497" s="13" t="n">
        <v>0</v>
      </c>
      <c r="M497" s="11">
        <f>IF(K497="","",ROUND(K497*(1-L497),2))</f>
        <v/>
      </c>
      <c r="N497" s="9" t="n">
        <v>94</v>
      </c>
      <c r="O497" s="14">
        <f>IF(OR(M497="",R497&lt;&gt;""),"",M497/G497-1)</f>
        <v/>
      </c>
      <c r="P497" s="11">
        <f>IF(OR(M497="",R497&lt;&gt;""),"",(G497-M497)*E497)</f>
        <v/>
      </c>
      <c r="Q497" s="9">
        <f>IF(R497&lt;&gt;"","—",IF(M497&lt;G497,"Mais barato",IF(M497&gt;G497,"Mais caro","Igual")))</f>
        <v/>
      </c>
      <c r="R497" s="10" t="n"/>
    </row>
    <row r="498">
      <c r="A498" s="9" t="n">
        <v>378761</v>
      </c>
      <c r="B498" s="10" t="inlineStr">
        <is>
          <t>OMEPRAMIX 20+500+500MG CX 35 COMP</t>
        </is>
      </c>
      <c r="C498" s="10" t="inlineStr">
        <is>
          <t>RX - SIMILAR - ATB</t>
        </is>
      </c>
      <c r="D498" s="9" t="inlineStr">
        <is>
          <t>C</t>
        </is>
      </c>
      <c r="E498" s="9" t="n">
        <v>1</v>
      </c>
      <c r="F498" s="9" t="n">
        <v>1</v>
      </c>
      <c r="G498" s="11" t="n">
        <v>182.88</v>
      </c>
      <c r="H498" s="10" t="inlineStr">
        <is>
          <t>SC DISTRIBUICAO LTDA</t>
        </is>
      </c>
      <c r="I498" s="12" t="n"/>
      <c r="J498" s="10" t="n"/>
      <c r="K498" s="11" t="n"/>
      <c r="L498" s="13" t="n"/>
      <c r="M498" s="11">
        <f>IF(K498="","",ROUND(K498*(1-L498),2))</f>
        <v/>
      </c>
      <c r="N498" s="9" t="n"/>
      <c r="O498" s="14">
        <f>IF(OR(M498="",R498&lt;&gt;""),"",M498/G498-1)</f>
        <v/>
      </c>
      <c r="P498" s="11">
        <f>IF(OR(M498="",R498&lt;&gt;""),"",(G498-M498)*E498)</f>
        <v/>
      </c>
      <c r="Q498" s="9">
        <f>IF(R498&lt;&gt;"","—",IF(M498&lt;G498,"Mais barato",IF(M498&gt;G498,"Mais caro","Igual")))</f>
        <v/>
      </c>
      <c r="R498" s="10" t="inlineStr">
        <is>
          <t>Não encontrado</t>
        </is>
      </c>
    </row>
    <row r="499">
      <c r="A499" s="9" t="n">
        <v>625711</v>
      </c>
      <c r="B499" s="10" t="inlineStr">
        <is>
          <t>ONDIF 4MG CX 10 ENV FILMES</t>
        </is>
      </c>
      <c r="C499" s="10" t="inlineStr">
        <is>
          <t>RX</t>
        </is>
      </c>
      <c r="D499" s="9" t="inlineStr">
        <is>
          <t>A</t>
        </is>
      </c>
      <c r="E499" s="9" t="n">
        <v>2</v>
      </c>
      <c r="F499" s="9" t="n">
        <v>1</v>
      </c>
      <c r="G499" s="11" t="n">
        <v>37.075</v>
      </c>
      <c r="H499" s="10" t="inlineStr">
        <is>
          <t>SB COMERCIO LTDA 0179-15</t>
        </is>
      </c>
      <c r="I499" s="12" t="inlineStr">
        <is>
          <t>7896094921870</t>
        </is>
      </c>
      <c r="J499" s="10" t="inlineStr">
        <is>
          <t>ONDIF 4MG C/10 ENVELOPES</t>
        </is>
      </c>
      <c r="K499" s="11" t="n">
        <v>37.08</v>
      </c>
      <c r="L499" s="13" t="n">
        <v>0.035</v>
      </c>
      <c r="M499" s="11">
        <f>IF(K499="","",ROUND(K499*(1-L499),2))</f>
        <v/>
      </c>
      <c r="N499" s="9" t="n">
        <v>542</v>
      </c>
      <c r="O499" s="14">
        <f>IF(OR(M499="",R499&lt;&gt;""),"",M499/G499-1)</f>
        <v/>
      </c>
      <c r="P499" s="11">
        <f>IF(OR(M499="",R499&lt;&gt;""),"",(G499-M499)*E499)</f>
        <v/>
      </c>
      <c r="Q499" s="9">
        <f>IF(R499&lt;&gt;"","—",IF(M499&lt;G499,"Mais barato",IF(M499&gt;G499,"Mais caro","Igual")))</f>
        <v/>
      </c>
      <c r="R499" s="10" t="n"/>
    </row>
    <row r="500">
      <c r="A500" s="9" t="n">
        <v>561001</v>
      </c>
      <c r="B500" s="10" t="inlineStr">
        <is>
          <t>ORGANO NEUROCEREBRAL DRG FR VD X 25</t>
        </is>
      </c>
      <c r="C500" s="10" t="inlineStr">
        <is>
          <t>RX - OTC</t>
        </is>
      </c>
      <c r="D500" s="9" t="inlineStr">
        <is>
          <t>A</t>
        </is>
      </c>
      <c r="E500" s="9" t="n">
        <v>3</v>
      </c>
      <c r="F500" s="9" t="n">
        <v>1</v>
      </c>
      <c r="G500" s="11" t="n">
        <v>85.90000000000001</v>
      </c>
      <c r="H500" s="10" t="inlineStr">
        <is>
          <t>SC DISTRIBUICAO LTDA</t>
        </is>
      </c>
      <c r="I500" s="12" t="inlineStr">
        <is>
          <t>7892828000620</t>
        </is>
      </c>
      <c r="J500" s="10" t="inlineStr">
        <is>
          <t>ORGANONEURO CEREBRAL C/25 DRAGEAS</t>
        </is>
      </c>
      <c r="K500" s="11" t="n">
        <v>84.40000000000001</v>
      </c>
      <c r="L500" s="13" t="n">
        <v>0.03</v>
      </c>
      <c r="M500" s="11">
        <f>IF(K500="","",ROUND(K500*(1-L500),2))</f>
        <v/>
      </c>
      <c r="N500" s="9" t="n"/>
      <c r="O500" s="14">
        <f>IF(OR(M500="",R500&lt;&gt;""),"",M500/G500-1)</f>
        <v/>
      </c>
      <c r="P500" s="11">
        <f>IF(OR(M500="",R500&lt;&gt;""),"",(G500-M500)*E500)</f>
        <v/>
      </c>
      <c r="Q500" s="9">
        <f>IF(R500&lt;&gt;"","—",IF(M500&lt;G500,"Mais barato",IF(M500&gt;G500,"Mais caro","Igual")))</f>
        <v/>
      </c>
      <c r="R500" s="10" t="n"/>
    </row>
    <row r="501">
      <c r="A501" s="9" t="n">
        <v>321581</v>
      </c>
      <c r="B501" s="10" t="inlineStr">
        <is>
          <t>OTO-XILODASE SOL OTO FR 8ML+AMP</t>
        </is>
      </c>
      <c r="C501" s="10" t="inlineStr">
        <is>
          <t>RX - OTC</t>
        </is>
      </c>
      <c r="D501" s="9" t="inlineStr">
        <is>
          <t>A</t>
        </is>
      </c>
      <c r="E501" s="9" t="n">
        <v>33</v>
      </c>
      <c r="F501" s="9" t="n">
        <v>1</v>
      </c>
      <c r="G501" s="11" t="n">
        <v>19.83</v>
      </c>
      <c r="H501" s="10" t="inlineStr">
        <is>
          <t>NAZARIA DISTRIBUIDORA DE PRODUTOS FARMACEUTICOS LTDA</t>
        </is>
      </c>
      <c r="I501" s="12" t="inlineStr">
        <is>
          <t>7896637022439</t>
        </is>
      </c>
      <c r="J501" s="10" t="inlineStr">
        <is>
          <t>OTO-XILODASE GOTAS 8ML</t>
        </is>
      </c>
      <c r="K501" s="11" t="n">
        <v>20.26</v>
      </c>
      <c r="L501" s="13" t="n">
        <v>0.04</v>
      </c>
      <c r="M501" s="11">
        <f>IF(K501="","",ROUND(K501*(1-L501),2))</f>
        <v/>
      </c>
      <c r="N501" s="9" t="n">
        <v>1869</v>
      </c>
      <c r="O501" s="14">
        <f>IF(OR(M501="",R501&lt;&gt;""),"",M501/G501-1)</f>
        <v/>
      </c>
      <c r="P501" s="11">
        <f>IF(OR(M501="",R501&lt;&gt;""),"",(G501-M501)*E501)</f>
        <v/>
      </c>
      <c r="Q501" s="9">
        <f>IF(R501&lt;&gt;"","—",IF(M501&lt;G501,"Mais barato",IF(M501&gt;G501,"Mais caro","Igual")))</f>
        <v/>
      </c>
      <c r="R501" s="10" t="n"/>
    </row>
    <row r="502">
      <c r="A502" s="9" t="n">
        <v>137841</v>
      </c>
      <c r="B502" s="10" t="inlineStr">
        <is>
          <t>OTOCIRIAX 2,0MG+10MG/ML CX 5ML</t>
        </is>
      </c>
      <c r="C502" s="10" t="inlineStr">
        <is>
          <t>RX - SIMILAR - ATB</t>
        </is>
      </c>
      <c r="D502" s="9" t="inlineStr">
        <is>
          <t>A</t>
        </is>
      </c>
      <c r="E502" s="9" t="n">
        <v>9</v>
      </c>
      <c r="F502" s="9" t="n">
        <v>1</v>
      </c>
      <c r="G502" s="11" t="n">
        <v>48.99</v>
      </c>
      <c r="H502" s="10" t="inlineStr">
        <is>
          <t>SC DISTRIBUICAO LTDA</t>
        </is>
      </c>
      <c r="I502" s="12" t="inlineStr">
        <is>
          <t>7898040324223</t>
        </is>
      </c>
      <c r="J502" s="10" t="inlineStr">
        <is>
          <t>OTOCIRIAX SUSPENSAO OTOLOGICA 5ML</t>
        </is>
      </c>
      <c r="K502" s="11" t="n">
        <v>37.6</v>
      </c>
      <c r="L502" s="13" t="n">
        <v>0.04</v>
      </c>
      <c r="M502" s="11">
        <f>IF(K502="","",ROUND(K502*(1-L502),2))</f>
        <v/>
      </c>
      <c r="N502" s="9" t="n">
        <v>3399</v>
      </c>
      <c r="O502" s="14">
        <f>IF(OR(M502="",R502&lt;&gt;""),"",M502/G502-1)</f>
        <v/>
      </c>
      <c r="P502" s="11">
        <f>IF(OR(M502="",R502&lt;&gt;""),"",(G502-M502)*E502)</f>
        <v/>
      </c>
      <c r="Q502" s="9">
        <f>IF(R502&lt;&gt;"","—",IF(M502&lt;G502,"Mais barato",IF(M502&gt;G502,"Mais caro","Igual")))</f>
        <v/>
      </c>
      <c r="R502" s="10" t="n"/>
    </row>
    <row r="503">
      <c r="A503" s="9" t="n">
        <v>452561</v>
      </c>
      <c r="B503" s="10" t="inlineStr">
        <is>
          <t>OTOSPORIN SOL OTO FR GTS 10ML</t>
        </is>
      </c>
      <c r="C503" s="10" t="inlineStr">
        <is>
          <t>RX - REFERENCIA - ATB</t>
        </is>
      </c>
      <c r="D503" s="9" t="inlineStr">
        <is>
          <t>C</t>
        </is>
      </c>
      <c r="E503" s="9" t="n">
        <v>2</v>
      </c>
      <c r="F503" s="9" t="n">
        <v>1</v>
      </c>
      <c r="G503" s="11" t="n">
        <v>11.99</v>
      </c>
      <c r="H503" s="10" t="inlineStr">
        <is>
          <t>SC DISTRIBUICAO LTDA</t>
        </is>
      </c>
      <c r="I503" s="12" t="inlineStr">
        <is>
          <t>7898040320942</t>
        </is>
      </c>
      <c r="J503" s="10" t="inlineStr">
        <is>
          <t>OTOSPORIN GOTAS 10ML</t>
        </is>
      </c>
      <c r="K503" s="11" t="n">
        <v>13.09</v>
      </c>
      <c r="L503" s="13" t="n">
        <v>0.04</v>
      </c>
      <c r="M503" s="11">
        <f>IF(K503="","",ROUND(K503*(1-L503),2))</f>
        <v/>
      </c>
      <c r="N503" s="9" t="n">
        <v>1321</v>
      </c>
      <c r="O503" s="14">
        <f>IF(OR(M503="",R503&lt;&gt;""),"",M503/G503-1)</f>
        <v/>
      </c>
      <c r="P503" s="11">
        <f>IF(OR(M503="",R503&lt;&gt;""),"",(G503-M503)*E503)</f>
        <v/>
      </c>
      <c r="Q503" s="9">
        <f>IF(R503&lt;&gt;"","—",IF(M503&lt;G503,"Mais barato",IF(M503&gt;G503,"Mais caro","Igual")))</f>
        <v/>
      </c>
      <c r="R503" s="10" t="n"/>
    </row>
    <row r="504">
      <c r="A504" s="9" t="n">
        <v>653701</v>
      </c>
      <c r="B504" s="10" t="inlineStr">
        <is>
          <t>OXIMETRO DE DEDO LED OXILED1</t>
        </is>
      </c>
      <c r="C504" s="10" t="inlineStr">
        <is>
          <t>RX - OTC</t>
        </is>
      </c>
      <c r="D504" s="9" t="inlineStr">
        <is>
          <t>A</t>
        </is>
      </c>
      <c r="E504" s="9" t="n">
        <v>2</v>
      </c>
      <c r="F504" s="9" t="n">
        <v>1</v>
      </c>
      <c r="G504" s="11" t="n">
        <v>72.55</v>
      </c>
      <c r="H504" s="10" t="inlineStr">
        <is>
          <t>SC DISTRIBUICAO LTDA</t>
        </is>
      </c>
      <c r="I504" s="12" t="inlineStr">
        <is>
          <t>7898639690999</t>
        </is>
      </c>
      <c r="J504" s="10" t="inlineStr">
        <is>
          <t>OXIMETRO G-TECH PULSO DIGITAL LED</t>
        </is>
      </c>
      <c r="K504" s="11" t="n">
        <v>77.25</v>
      </c>
      <c r="L504" s="13" t="n">
        <v>0</v>
      </c>
      <c r="M504" s="11">
        <f>IF(K504="","",ROUND(K504*(1-L504),2))</f>
        <v/>
      </c>
      <c r="N504" s="9" t="n">
        <v>119</v>
      </c>
      <c r="O504" s="14">
        <f>IF(OR(M504="",R504&lt;&gt;""),"",M504/G504-1)</f>
        <v/>
      </c>
      <c r="P504" s="11">
        <f>IF(OR(M504="",R504&lt;&gt;""),"",(G504-M504)*E504)</f>
        <v/>
      </c>
      <c r="Q504" s="9">
        <f>IF(R504&lt;&gt;"","—",IF(M504&lt;G504,"Mais barato",IF(M504&gt;G504,"Mais caro","Igual")))</f>
        <v/>
      </c>
      <c r="R504" s="10" t="n"/>
    </row>
    <row r="505">
      <c r="A505" s="9" t="n">
        <v>398941</v>
      </c>
      <c r="B505" s="10" t="inlineStr">
        <is>
          <t>PACO 500MG+30MG CX 12 COMP</t>
        </is>
      </c>
      <c r="C505" s="10" t="inlineStr">
        <is>
          <t>RX - SIMILAR - CONTROLE</t>
        </is>
      </c>
      <c r="D505" s="9" t="inlineStr">
        <is>
          <t>A</t>
        </is>
      </c>
      <c r="E505" s="9" t="n">
        <v>5</v>
      </c>
      <c r="F505" s="9" t="n">
        <v>1</v>
      </c>
      <c r="G505" s="11" t="n">
        <v>24.95</v>
      </c>
      <c r="H505" s="10" t="inlineStr">
        <is>
          <t>SC DISTRIBUICAO LTDA</t>
        </is>
      </c>
      <c r="I505" s="12" t="inlineStr">
        <is>
          <t>7891317000035</t>
        </is>
      </c>
      <c r="J505" s="10" t="inlineStr">
        <is>
          <t>PACO 500/30MG C/12 COMPRIMIDOS A2 C1</t>
        </is>
      </c>
      <c r="K505" s="11" t="n">
        <v>25.48</v>
      </c>
      <c r="L505" s="13" t="n">
        <v>0.04</v>
      </c>
      <c r="M505" s="11">
        <f>IF(K505="","",ROUND(K505*(1-L505),2))</f>
        <v/>
      </c>
      <c r="N505" s="9" t="n">
        <v>399</v>
      </c>
      <c r="O505" s="14">
        <f>IF(OR(M505="",R505&lt;&gt;""),"",M505/G505-1)</f>
        <v/>
      </c>
      <c r="P505" s="11">
        <f>IF(OR(M505="",R505&lt;&gt;""),"",(G505-M505)*E505)</f>
        <v/>
      </c>
      <c r="Q505" s="9">
        <f>IF(R505&lt;&gt;"","—",IF(M505&lt;G505,"Mais barato",IF(M505&gt;G505,"Mais caro","Igual")))</f>
        <v/>
      </c>
      <c r="R505" s="10" t="n"/>
    </row>
    <row r="506">
      <c r="A506" s="9" t="n">
        <v>398921</v>
      </c>
      <c r="B506" s="10" t="inlineStr">
        <is>
          <t>PACO 500MG+30MG CX 24 COMP</t>
        </is>
      </c>
      <c r="C506" s="10" t="inlineStr">
        <is>
          <t>RX - SIMILAR - CONTROLE</t>
        </is>
      </c>
      <c r="D506" s="9" t="inlineStr">
        <is>
          <t>A</t>
        </is>
      </c>
      <c r="E506" s="9" t="n">
        <v>5</v>
      </c>
      <c r="F506" s="9" t="n">
        <v>1</v>
      </c>
      <c r="G506" s="11" t="n">
        <v>45.32</v>
      </c>
      <c r="H506" s="10" t="inlineStr">
        <is>
          <t>SC DISTRIBUICAO LTDA</t>
        </is>
      </c>
      <c r="I506" s="12" t="inlineStr">
        <is>
          <t>7891317000042</t>
        </is>
      </c>
      <c r="J506" s="10" t="inlineStr">
        <is>
          <t>PACO 500MG + 30MG C/24 COMPRIMIDOS A2/C1</t>
        </is>
      </c>
      <c r="K506" s="11" t="n">
        <v>46.28</v>
      </c>
      <c r="L506" s="13" t="n">
        <v>0.04</v>
      </c>
      <c r="M506" s="11">
        <f>IF(K506="","",ROUND(K506*(1-L506),2))</f>
        <v/>
      </c>
      <c r="N506" s="9" t="n">
        <v>309</v>
      </c>
      <c r="O506" s="14">
        <f>IF(OR(M506="",R506&lt;&gt;""),"",M506/G506-1)</f>
        <v/>
      </c>
      <c r="P506" s="11">
        <f>IF(OR(M506="",R506&lt;&gt;""),"",(G506-M506)*E506)</f>
        <v/>
      </c>
      <c r="Q506" s="9">
        <f>IF(R506&lt;&gt;"","—",IF(M506&lt;G506,"Mais barato",IF(M506&gt;G506,"Mais caro","Igual")))</f>
        <v/>
      </c>
      <c r="R506" s="10" t="n"/>
    </row>
    <row r="507">
      <c r="A507" s="9" t="n">
        <v>565041</v>
      </c>
      <c r="B507" s="10" t="inlineStr">
        <is>
          <t>PASTILHAS VALDA CLASSIC 24G</t>
        </is>
      </c>
      <c r="C507" s="10" t="inlineStr">
        <is>
          <t>RX</t>
        </is>
      </c>
      <c r="D507" s="9" t="inlineStr">
        <is>
          <t>C</t>
        </is>
      </c>
      <c r="E507" s="9" t="n">
        <v>1</v>
      </c>
      <c r="F507" s="9" t="n">
        <v>12</v>
      </c>
      <c r="G507" s="11" t="n">
        <v>56.59</v>
      </c>
      <c r="H507" s="10" t="inlineStr">
        <is>
          <t>SC DISTRIBUICAO LTDA</t>
        </is>
      </c>
      <c r="I507" s="12" t="n"/>
      <c r="J507" s="10" t="n"/>
      <c r="K507" s="11" t="n"/>
      <c r="L507" s="13" t="n"/>
      <c r="M507" s="11">
        <f>IF(K507="","",ROUND(K507*(1-L507),2))</f>
        <v/>
      </c>
      <c r="N507" s="9" t="n"/>
      <c r="O507" s="14">
        <f>IF(OR(M507="",R507&lt;&gt;""),"",M507/G507-1)</f>
        <v/>
      </c>
      <c r="P507" s="11">
        <f>IF(OR(M507="",R507&lt;&gt;""),"",(G507-M507)*E507)</f>
        <v/>
      </c>
      <c r="Q507" s="9">
        <f>IF(R507&lt;&gt;"","—",IF(M507&lt;G507,"Mais barato",IF(M507&gt;G507,"Mais caro","Igual")))</f>
        <v/>
      </c>
      <c r="R507" s="10" t="inlineStr">
        <is>
          <t>Não encontrado</t>
        </is>
      </c>
    </row>
    <row r="508">
      <c r="A508" s="9" t="n">
        <v>163881</v>
      </c>
      <c r="B508" s="10" t="inlineStr">
        <is>
          <t>PATANOL S 2MG/ML SOL OFT FR GTS 2,5ML</t>
        </is>
      </c>
      <c r="C508" s="10" t="inlineStr">
        <is>
          <t>RX</t>
        </is>
      </c>
      <c r="D508" s="9" t="inlineStr">
        <is>
          <t>A</t>
        </is>
      </c>
      <c r="E508" s="9" t="n">
        <v>3</v>
      </c>
      <c r="F508" s="9" t="n">
        <v>1</v>
      </c>
      <c r="G508" s="11" t="n">
        <v>57.9225</v>
      </c>
      <c r="H508" s="10" t="inlineStr">
        <is>
          <t>SC DISTRIBUICAO LTDA</t>
        </is>
      </c>
      <c r="I508" s="12" t="inlineStr">
        <is>
          <t>7896548140581</t>
        </is>
      </c>
      <c r="J508" s="10" t="inlineStr">
        <is>
          <t>PATANOL S 2MG COLIRIO 2,5ML</t>
        </is>
      </c>
      <c r="K508" s="11" t="n">
        <v>59.45</v>
      </c>
      <c r="L508" s="13" t="n">
        <v>0.04</v>
      </c>
      <c r="M508" s="11">
        <f>IF(K508="","",ROUND(K508*(1-L508),2))</f>
        <v/>
      </c>
      <c r="N508" s="9" t="n">
        <v>88</v>
      </c>
      <c r="O508" s="14">
        <f>IF(OR(M508="",R508&lt;&gt;""),"",M508/G508-1)</f>
        <v/>
      </c>
      <c r="P508" s="11">
        <f>IF(OR(M508="",R508&lt;&gt;""),"",(G508-M508)*E508)</f>
        <v/>
      </c>
      <c r="Q508" s="9">
        <f>IF(R508&lt;&gt;"","—",IF(M508&lt;G508,"Mais barato",IF(M508&gt;G508,"Mais caro","Igual")))</f>
        <v/>
      </c>
      <c r="R508" s="10" t="n"/>
    </row>
    <row r="509">
      <c r="A509" s="9" t="n">
        <v>652011</v>
      </c>
      <c r="B509" s="10" t="inlineStr">
        <is>
          <t>PEDIALYTE MAX COCO 500ML</t>
        </is>
      </c>
      <c r="C509" s="10" t="inlineStr">
        <is>
          <t>RX</t>
        </is>
      </c>
      <c r="D509" s="9" t="inlineStr">
        <is>
          <t>C</t>
        </is>
      </c>
      <c r="E509" s="9" t="n">
        <v>2</v>
      </c>
      <c r="F509" s="9" t="n">
        <v>1</v>
      </c>
      <c r="G509" s="11" t="n">
        <v>22.32</v>
      </c>
      <c r="H509" s="10" t="inlineStr">
        <is>
          <t>SC DISTRIBUICAO LTDA</t>
        </is>
      </c>
      <c r="I509" s="12" t="inlineStr">
        <is>
          <t>7891158106460</t>
        </is>
      </c>
      <c r="J509" s="10" t="inlineStr">
        <is>
          <t>REPOSITOR HIDROELETROLÍTICO COM ZINCO COCO PEDIALYTE MAX GARRAFA 500ML SOLUÇAO ORAL ESTERIL</t>
        </is>
      </c>
      <c r="K509" s="11" t="n">
        <v>22.49</v>
      </c>
      <c r="L509" s="13" t="n">
        <v>0.04</v>
      </c>
      <c r="M509" s="11">
        <f>IF(K509="","",ROUND(K509*(1-L509),2))</f>
        <v/>
      </c>
      <c r="N509" s="9" t="n"/>
      <c r="O509" s="14">
        <f>IF(OR(M509="",R509&lt;&gt;""),"",M509/G509-1)</f>
        <v/>
      </c>
      <c r="P509" s="11">
        <f>IF(OR(M509="",R509&lt;&gt;""),"",(G509-M509)*E509)</f>
        <v/>
      </c>
      <c r="Q509" s="9">
        <f>IF(R509&lt;&gt;"","—",IF(M509&lt;G509,"Mais barato",IF(M509&gt;G509,"Mais caro","Igual")))</f>
        <v/>
      </c>
      <c r="R509" s="10" t="n"/>
    </row>
    <row r="510">
      <c r="A510" s="9" t="n">
        <v>626361</v>
      </c>
      <c r="B510" s="10" t="inlineStr">
        <is>
          <t>PEDIALYTE MAX SOL OR FR 500ML SB MACA</t>
        </is>
      </c>
      <c r="C510" s="10" t="inlineStr">
        <is>
          <t>RX</t>
        </is>
      </c>
      <c r="D510" s="9" t="inlineStr">
        <is>
          <t>A</t>
        </is>
      </c>
      <c r="E510" s="9" t="n">
        <v>2</v>
      </c>
      <c r="F510" s="9" t="n">
        <v>1</v>
      </c>
      <c r="G510" s="11" t="n">
        <v>20.2167</v>
      </c>
      <c r="H510" s="10" t="inlineStr">
        <is>
          <t>SC DISTRIBUICAO LTDA</t>
        </is>
      </c>
      <c r="I510" s="12" t="inlineStr">
        <is>
          <t>7891158106477</t>
        </is>
      </c>
      <c r="J510" s="10" t="inlineStr">
        <is>
          <t>REPOSITOR HIDROELETROLITICO COM ZINCO MAÇA PEDIALYTE MAX GARRAFA 500ML SOLUÇAO ORAL ESTERIL</t>
        </is>
      </c>
      <c r="K510" s="11" t="n">
        <v>22.49</v>
      </c>
      <c r="L510" s="13" t="n">
        <v>0.04</v>
      </c>
      <c r="M510" s="11">
        <f>IF(K510="","",ROUND(K510*(1-L510),2))</f>
        <v/>
      </c>
      <c r="N510" s="9" t="n"/>
      <c r="O510" s="14">
        <f>IF(OR(M510="",R510&lt;&gt;""),"",M510/G510-1)</f>
        <v/>
      </c>
      <c r="P510" s="11">
        <f>IF(OR(M510="",R510&lt;&gt;""),"",(G510-M510)*E510)</f>
        <v/>
      </c>
      <c r="Q510" s="9">
        <f>IF(R510&lt;&gt;"","—",IF(M510&lt;G510,"Mais barato",IF(M510&gt;G510,"Mais caro","Igual")))</f>
        <v/>
      </c>
      <c r="R510" s="10" t="n"/>
    </row>
    <row r="511">
      <c r="A511" s="9" t="n">
        <v>626351</v>
      </c>
      <c r="B511" s="10" t="inlineStr">
        <is>
          <t>PEDIALYTE MAX SOL OR FR 500ML SB MORANGO</t>
        </is>
      </c>
      <c r="C511" s="10" t="inlineStr">
        <is>
          <t>RX</t>
        </is>
      </c>
      <c r="D511" s="9" t="inlineStr">
        <is>
          <t>A</t>
        </is>
      </c>
      <c r="E511" s="9" t="n">
        <v>9</v>
      </c>
      <c r="F511" s="9" t="n">
        <v>1</v>
      </c>
      <c r="G511" s="11" t="n">
        <v>17.865</v>
      </c>
      <c r="H511" s="10" t="inlineStr">
        <is>
          <t>SC DISTRIBUICAO LTDA</t>
        </is>
      </c>
      <c r="I511" s="12" t="inlineStr">
        <is>
          <t>7891158106453</t>
        </is>
      </c>
      <c r="J511" s="10" t="inlineStr">
        <is>
          <t>REPOSITOR HIDROELETROLITICO COM ZINCO MORANGO PEDIALYTE MAX GARRAFA 500ML SOLUÇAO ORAL ESTERIL</t>
        </is>
      </c>
      <c r="K511" s="11" t="n">
        <v>22.49</v>
      </c>
      <c r="L511" s="13" t="n">
        <v>0.04</v>
      </c>
      <c r="M511" s="11">
        <f>IF(K511="","",ROUND(K511*(1-L511),2))</f>
        <v/>
      </c>
      <c r="N511" s="9" t="n">
        <v>913</v>
      </c>
      <c r="O511" s="14">
        <f>IF(OR(M511="",R511&lt;&gt;""),"",M511/G511-1)</f>
        <v/>
      </c>
      <c r="P511" s="11">
        <f>IF(OR(M511="",R511&lt;&gt;""),"",(G511-M511)*E511)</f>
        <v/>
      </c>
      <c r="Q511" s="9">
        <f>IF(R511&lt;&gt;"","—",IF(M511&lt;G511,"Mais barato",IF(M511&gt;G511,"Mais caro","Igual")))</f>
        <v/>
      </c>
      <c r="R511" s="10" t="n"/>
    </row>
    <row r="512">
      <c r="A512" s="9" t="n">
        <v>626341</v>
      </c>
      <c r="B512" s="10" t="inlineStr">
        <is>
          <t>PEDIALYTE MAX SOL OR FR 500ML SB UVA</t>
        </is>
      </c>
      <c r="C512" s="10" t="inlineStr">
        <is>
          <t>RX</t>
        </is>
      </c>
      <c r="D512" s="9" t="inlineStr">
        <is>
          <t>A</t>
        </is>
      </c>
      <c r="E512" s="9" t="n">
        <v>2</v>
      </c>
      <c r="F512" s="9" t="n">
        <v>1</v>
      </c>
      <c r="G512" s="11" t="n">
        <v>20.2167</v>
      </c>
      <c r="H512" s="10" t="inlineStr">
        <is>
          <t>SC DISTRIBUICAO LTDA</t>
        </is>
      </c>
      <c r="I512" s="12" t="inlineStr">
        <is>
          <t>7891158106446</t>
        </is>
      </c>
      <c r="J512" s="10" t="inlineStr">
        <is>
          <t>REPOSITOR HIDROELETROLÍTICO COM ZINCO UVA PEDIALYTE MAX GARRAFA 500ML SOLUÇAO ORAL ESTERIL</t>
        </is>
      </c>
      <c r="K512" s="11" t="n">
        <v>22.49</v>
      </c>
      <c r="L512" s="13" t="n">
        <v>0.04</v>
      </c>
      <c r="M512" s="11">
        <f>IF(K512="","",ROUND(K512*(1-L512),2))</f>
        <v/>
      </c>
      <c r="N512" s="9" t="n">
        <v>350</v>
      </c>
      <c r="O512" s="14">
        <f>IF(OR(M512="",R512&lt;&gt;""),"",M512/G512-1)</f>
        <v/>
      </c>
      <c r="P512" s="11">
        <f>IF(OR(M512="",R512&lt;&gt;""),"",(G512-M512)*E512)</f>
        <v/>
      </c>
      <c r="Q512" s="9">
        <f>IF(R512&lt;&gt;"","—",IF(M512&lt;G512,"Mais barato",IF(M512&gt;G512,"Mais caro","Igual")))</f>
        <v/>
      </c>
      <c r="R512" s="10" t="n"/>
    </row>
    <row r="513">
      <c r="A513" s="9" t="n">
        <v>17603</v>
      </c>
      <c r="B513" s="10" t="inlineStr">
        <is>
          <t>PENETRO SPRAY 50ML</t>
        </is>
      </c>
      <c r="C513" s="10" t="inlineStr">
        <is>
          <t>RX</t>
        </is>
      </c>
      <c r="D513" s="9" t="inlineStr">
        <is>
          <t>C</t>
        </is>
      </c>
      <c r="E513" s="9" t="n">
        <v>1</v>
      </c>
      <c r="F513" s="9" t="n">
        <v>1</v>
      </c>
      <c r="G513" s="11" t="n">
        <v>33.915</v>
      </c>
      <c r="H513" s="10" t="inlineStr">
        <is>
          <t>NAZARIA DISTRIBUIDORA DE PRODUTOS FARMACEUTICOS LTDA</t>
        </is>
      </c>
      <c r="I513" s="12" t="n"/>
      <c r="J513" s="10" t="n"/>
      <c r="K513" s="11" t="n"/>
      <c r="L513" s="13" t="n"/>
      <c r="M513" s="11">
        <f>IF(K513="","",ROUND(K513*(1-L513),2))</f>
        <v/>
      </c>
      <c r="N513" s="9" t="n"/>
      <c r="O513" s="14">
        <f>IF(OR(M513="",R513&lt;&gt;""),"",M513/G513-1)</f>
        <v/>
      </c>
      <c r="P513" s="11">
        <f>IF(OR(M513="",R513&lt;&gt;""),"",(G513-M513)*E513)</f>
        <v/>
      </c>
      <c r="Q513" s="9">
        <f>IF(R513&lt;&gt;"","—",IF(M513&lt;G513,"Mais barato",IF(M513&gt;G513,"Mais caro","Igual")))</f>
        <v/>
      </c>
      <c r="R513" s="10" t="inlineStr">
        <is>
          <t>Não encontrado</t>
        </is>
      </c>
    </row>
    <row r="514">
      <c r="A514" s="9" t="n">
        <v>316121</v>
      </c>
      <c r="B514" s="10" t="inlineStr">
        <is>
          <t>PERCOF 6 MG/ML XPE FR 120ML+COPO MED</t>
        </is>
      </c>
      <c r="C514" s="10" t="inlineStr">
        <is>
          <t>RX</t>
        </is>
      </c>
      <c r="D514" s="9" t="inlineStr">
        <is>
          <t>A</t>
        </is>
      </c>
      <c r="E514" s="9" t="n">
        <v>3</v>
      </c>
      <c r="F514" s="9" t="n">
        <v>1</v>
      </c>
      <c r="G514" s="11" t="n">
        <v>32.9686</v>
      </c>
      <c r="H514" s="10" t="inlineStr">
        <is>
          <t>SC DISTRIBUICAO LTDA</t>
        </is>
      </c>
      <c r="I514" s="12" t="inlineStr">
        <is>
          <t>7891317411909</t>
        </is>
      </c>
      <c r="J514" s="10" t="inlineStr">
        <is>
          <t>PERCOF XAROPE 120ML</t>
        </is>
      </c>
      <c r="K514" s="11" t="n">
        <v>34.61</v>
      </c>
      <c r="L514" s="13" t="n">
        <v>0.04</v>
      </c>
      <c r="M514" s="11">
        <f>IF(K514="","",ROUND(K514*(1-L514),2))</f>
        <v/>
      </c>
      <c r="N514" s="9" t="n">
        <v>1842</v>
      </c>
      <c r="O514" s="14">
        <f>IF(OR(M514="",R514&lt;&gt;""),"",M514/G514-1)</f>
        <v/>
      </c>
      <c r="P514" s="11">
        <f>IF(OR(M514="",R514&lt;&gt;""),"",(G514-M514)*E514)</f>
        <v/>
      </c>
      <c r="Q514" s="9">
        <f>IF(R514&lt;&gt;"","—",IF(M514&lt;G514,"Mais barato",IF(M514&gt;G514,"Mais caro","Igual")))</f>
        <v/>
      </c>
      <c r="R514" s="10" t="n"/>
    </row>
    <row r="515">
      <c r="A515" s="9" t="n">
        <v>594751</v>
      </c>
      <c r="B515" s="10" t="inlineStr">
        <is>
          <t>PERIOGARD S/ALCOOL 250ML</t>
        </is>
      </c>
      <c r="C515" s="10" t="inlineStr">
        <is>
          <t>RX</t>
        </is>
      </c>
      <c r="D515" s="9" t="inlineStr">
        <is>
          <t>A</t>
        </is>
      </c>
      <c r="E515" s="9" t="n">
        <v>8</v>
      </c>
      <c r="F515" s="9" t="n">
        <v>1</v>
      </c>
      <c r="G515" s="11" t="n">
        <v>25.345</v>
      </c>
      <c r="H515" s="10" t="inlineStr">
        <is>
          <t>SC DISTRIBUICAO LTDA</t>
        </is>
      </c>
      <c r="I515" s="12" t="inlineStr">
        <is>
          <t>7891024179925</t>
        </is>
      </c>
      <c r="J515" s="10" t="inlineStr">
        <is>
          <t>PERIOGARD SEM ALCOOL 250ML</t>
        </is>
      </c>
      <c r="K515" s="11" t="n">
        <v>23.8</v>
      </c>
      <c r="L515" s="13" t="n">
        <v>0</v>
      </c>
      <c r="M515" s="11">
        <f>IF(K515="","",ROUND(K515*(1-L515),2))</f>
        <v/>
      </c>
      <c r="N515" s="9" t="n">
        <v>4642</v>
      </c>
      <c r="O515" s="14">
        <f>IF(OR(M515="",R515&lt;&gt;""),"",M515/G515-1)</f>
        <v/>
      </c>
      <c r="P515" s="11">
        <f>IF(OR(M515="",R515&lt;&gt;""),"",(G515-M515)*E515)</f>
        <v/>
      </c>
      <c r="Q515" s="9">
        <f>IF(R515&lt;&gt;"","—",IF(M515&lt;G515,"Mais barato",IF(M515&gt;G515,"Mais caro","Igual")))</f>
        <v/>
      </c>
      <c r="R515" s="10" t="n"/>
    </row>
    <row r="516">
      <c r="A516" s="9" t="n">
        <v>578161</v>
      </c>
      <c r="B516" s="10" t="inlineStr">
        <is>
          <t>PERMESE 5MG/ML+2MG/ML SUS INJ AMP 1ML+SER SIST SEG</t>
        </is>
      </c>
      <c r="C516" s="10" t="inlineStr">
        <is>
          <t>RX</t>
        </is>
      </c>
      <c r="D516" s="9" t="inlineStr">
        <is>
          <t>B</t>
        </is>
      </c>
      <c r="E516" s="9" t="n">
        <v>2</v>
      </c>
      <c r="F516" s="9" t="n">
        <v>1</v>
      </c>
      <c r="G516" s="11" t="n">
        <v>22.91</v>
      </c>
      <c r="H516" s="10" t="inlineStr">
        <is>
          <t>SC DISTRIBUICAO LTDA</t>
        </is>
      </c>
      <c r="I516" s="12" t="inlineStr">
        <is>
          <t>7891317015343</t>
        </is>
      </c>
      <c r="J516" s="10" t="inlineStr">
        <is>
          <t>PERMESE 5 + 2MG SOLUCAO INJETAVEL 1ML + SERINGA</t>
        </is>
      </c>
      <c r="K516" s="11" t="n">
        <v>23.4</v>
      </c>
      <c r="L516" s="13" t="n">
        <v>0.04</v>
      </c>
      <c r="M516" s="11">
        <f>IF(K516="","",ROUND(K516*(1-L516),2))</f>
        <v/>
      </c>
      <c r="N516" s="9" t="n">
        <v>23</v>
      </c>
      <c r="O516" s="14">
        <f>IF(OR(M516="",R516&lt;&gt;""),"",M516/G516-1)</f>
        <v/>
      </c>
      <c r="P516" s="11">
        <f>IF(OR(M516="",R516&lt;&gt;""),"",(G516-M516)*E516)</f>
        <v/>
      </c>
      <c r="Q516" s="9">
        <f>IF(R516&lt;&gt;"","—",IF(M516&lt;G516,"Mais barato",IF(M516&gt;G516,"Mais caro","Igual")))</f>
        <v/>
      </c>
      <c r="R516" s="10" t="n"/>
    </row>
    <row r="517">
      <c r="A517" s="9" t="n">
        <v>553021</v>
      </c>
      <c r="B517" s="10" t="inlineStr">
        <is>
          <t>PHOSFOENEMA 160+60MG/ML ENEMA FR 130ML</t>
        </is>
      </c>
      <c r="C517" s="10" t="inlineStr">
        <is>
          <t>RX - OTC</t>
        </is>
      </c>
      <c r="D517" s="9" t="inlineStr">
        <is>
          <t>A</t>
        </is>
      </c>
      <c r="E517" s="9" t="n">
        <v>4</v>
      </c>
      <c r="F517" s="9" t="n">
        <v>1</v>
      </c>
      <c r="G517" s="11" t="n">
        <v>16.8263</v>
      </c>
      <c r="H517" s="10" t="inlineStr">
        <is>
          <t>SC DISTRIBUICAO LTDA</t>
        </is>
      </c>
      <c r="I517" s="12" t="inlineStr">
        <is>
          <t>7896676434323</t>
        </is>
      </c>
      <c r="J517" s="10" t="inlineStr">
        <is>
          <t>PHOSFOENEMA LAXANTE USO RETAL 130ML</t>
        </is>
      </c>
      <c r="K517" s="11" t="n">
        <v>16.71</v>
      </c>
      <c r="L517" s="13" t="n">
        <v>0.04</v>
      </c>
      <c r="M517" s="11">
        <f>IF(K517="","",ROUND(K517*(1-L517),2))</f>
        <v/>
      </c>
      <c r="N517" s="9" t="n">
        <v>855</v>
      </c>
      <c r="O517" s="14">
        <f>IF(OR(M517="",R517&lt;&gt;""),"",M517/G517-1)</f>
        <v/>
      </c>
      <c r="P517" s="11">
        <f>IF(OR(M517="",R517&lt;&gt;""),"",(G517-M517)*E517)</f>
        <v/>
      </c>
      <c r="Q517" s="9">
        <f>IF(R517&lt;&gt;"","—",IF(M517&lt;G517,"Mais barato",IF(M517&gt;G517,"Mais caro","Igual")))</f>
        <v/>
      </c>
      <c r="R517" s="10" t="n"/>
    </row>
    <row r="518">
      <c r="A518" s="9" t="n">
        <v>159781</v>
      </c>
      <c r="B518" s="10" t="inlineStr">
        <is>
          <t>PLASIL 10MG CX 20 COMP</t>
        </is>
      </c>
      <c r="C518" s="10" t="inlineStr">
        <is>
          <t>RX</t>
        </is>
      </c>
      <c r="D518" s="9" t="inlineStr">
        <is>
          <t>B</t>
        </is>
      </c>
      <c r="E518" s="9" t="n">
        <v>8</v>
      </c>
      <c r="F518" s="9" t="n">
        <v>1</v>
      </c>
      <c r="G518" s="11" t="n">
        <v>11.352</v>
      </c>
      <c r="H518" s="10" t="inlineStr">
        <is>
          <t>SC DISTRIBUICAO LTDA</t>
        </is>
      </c>
      <c r="I518" s="12" t="n"/>
      <c r="J518" s="10" t="n"/>
      <c r="K518" s="11" t="n"/>
      <c r="L518" s="13" t="n"/>
      <c r="M518" s="11">
        <f>IF(K518="","",ROUND(K518*(1-L518),2))</f>
        <v/>
      </c>
      <c r="N518" s="9" t="n"/>
      <c r="O518" s="14">
        <f>IF(OR(M518="",R518&lt;&gt;""),"",M518/G518-1)</f>
        <v/>
      </c>
      <c r="P518" s="11">
        <f>IF(OR(M518="",R518&lt;&gt;""),"",(G518-M518)*E518)</f>
        <v/>
      </c>
      <c r="Q518" s="9">
        <f>IF(R518&lt;&gt;"","—",IF(M518&lt;G518,"Mais barato",IF(M518&gt;G518,"Mais caro","Igual")))</f>
        <v/>
      </c>
      <c r="R518" s="10" t="inlineStr">
        <is>
          <t>Não encontrado</t>
        </is>
      </c>
    </row>
    <row r="519">
      <c r="A519" s="9" t="n">
        <v>331181</v>
      </c>
      <c r="B519" s="10" t="inlineStr">
        <is>
          <t>POLARAMINE 0,4MG LIQ FR 120ML</t>
        </is>
      </c>
      <c r="C519" s="10" t="inlineStr">
        <is>
          <t>RX - OTC</t>
        </is>
      </c>
      <c r="D519" s="9" t="inlineStr">
        <is>
          <t>B</t>
        </is>
      </c>
      <c r="E519" s="9" t="n">
        <v>3</v>
      </c>
      <c r="F519" s="9" t="n">
        <v>1</v>
      </c>
      <c r="G519" s="11" t="n">
        <v>25.645</v>
      </c>
      <c r="H519" s="10" t="inlineStr">
        <is>
          <t>SB COMERCIO LTDA 0179-15</t>
        </is>
      </c>
      <c r="I519" s="12" t="inlineStr">
        <is>
          <t>7891142171757</t>
        </is>
      </c>
      <c r="J519" s="10" t="inlineStr">
        <is>
          <t>POLARAMINE SOLUCAO 120ML</t>
        </is>
      </c>
      <c r="K519" s="11" t="n">
        <v>29.11</v>
      </c>
      <c r="L519" s="13" t="n">
        <v>0.035</v>
      </c>
      <c r="M519" s="11">
        <f>IF(K519="","",ROUND(K519*(1-L519),2))</f>
        <v/>
      </c>
      <c r="N519" s="9" t="n">
        <v>177</v>
      </c>
      <c r="O519" s="14">
        <f>IF(OR(M519="",R519&lt;&gt;""),"",M519/G519-1)</f>
        <v/>
      </c>
      <c r="P519" s="11">
        <f>IF(OR(M519="",R519&lt;&gt;""),"",(G519-M519)*E519)</f>
        <v/>
      </c>
      <c r="Q519" s="9">
        <f>IF(R519&lt;&gt;"","—",IF(M519&lt;G519,"Mais barato",IF(M519&gt;G519,"Mais caro","Igual")))</f>
        <v/>
      </c>
      <c r="R519" s="10" t="n"/>
    </row>
    <row r="520">
      <c r="A520" s="9" t="n">
        <v>331141</v>
      </c>
      <c r="B520" s="10" t="inlineStr">
        <is>
          <t>POLARAMINE 2MG CX 20 COMP</t>
        </is>
      </c>
      <c r="C520" s="10" t="inlineStr">
        <is>
          <t>RX - OTC</t>
        </is>
      </c>
      <c r="D520" s="9" t="inlineStr">
        <is>
          <t>A</t>
        </is>
      </c>
      <c r="E520" s="9" t="n">
        <v>2</v>
      </c>
      <c r="F520" s="9" t="n">
        <v>1</v>
      </c>
      <c r="G520" s="11" t="n">
        <v>20.1756</v>
      </c>
      <c r="H520" s="10" t="inlineStr">
        <is>
          <t>SC DISTRIBUICAO LTDA</t>
        </is>
      </c>
      <c r="I520" s="12" t="inlineStr">
        <is>
          <t>7891142171719</t>
        </is>
      </c>
      <c r="J520" s="10" t="inlineStr">
        <is>
          <t>POLARAMINE 2MG C/20 COMPRIMIDOS</t>
        </is>
      </c>
      <c r="K520" s="11" t="n">
        <v>24.02</v>
      </c>
      <c r="L520" s="13" t="n">
        <v>0.035</v>
      </c>
      <c r="M520" s="11">
        <f>IF(K520="","",ROUND(K520*(1-L520),2))</f>
        <v/>
      </c>
      <c r="N520" s="9" t="n">
        <v>97</v>
      </c>
      <c r="O520" s="14">
        <f>IF(OR(M520="",R520&lt;&gt;""),"",M520/G520-1)</f>
        <v/>
      </c>
      <c r="P520" s="11">
        <f>IF(OR(M520="",R520&lt;&gt;""),"",(G520-M520)*E520)</f>
        <v/>
      </c>
      <c r="Q520" s="9">
        <f>IF(R520&lt;&gt;"","—",IF(M520&lt;G520,"Mais barato",IF(M520&gt;G520,"Mais caro","Igual")))</f>
        <v/>
      </c>
      <c r="R520" s="10" t="n"/>
    </row>
    <row r="521">
      <c r="A521" s="9" t="n">
        <v>115101</v>
      </c>
      <c r="B521" s="10" t="inlineStr">
        <is>
          <t>POMADA MINANCORA 20%+0,5%+5% POM DERM BG 30G</t>
        </is>
      </c>
      <c r="C521" s="10" t="inlineStr">
        <is>
          <t>RX - OTC</t>
        </is>
      </c>
      <c r="D521" s="9" t="inlineStr">
        <is>
          <t>A</t>
        </is>
      </c>
      <c r="E521" s="9" t="n">
        <v>3</v>
      </c>
      <c r="F521" s="9" t="n">
        <v>1</v>
      </c>
      <c r="G521" s="11" t="n">
        <v>16.02</v>
      </c>
      <c r="H521" s="10" t="inlineStr">
        <is>
          <t>SC DISTRIBUICAO LTDA</t>
        </is>
      </c>
      <c r="I521" s="12" t="inlineStr">
        <is>
          <t>78905108</t>
        </is>
      </c>
      <c r="J521" s="10" t="inlineStr">
        <is>
          <t>MINANCORA POMADA 30G</t>
        </is>
      </c>
      <c r="K521" s="11" t="n">
        <v>16.12</v>
      </c>
      <c r="L521" s="13" t="n">
        <v>0.03</v>
      </c>
      <c r="M521" s="11">
        <f>IF(K521="","",ROUND(K521*(1-L521),2))</f>
        <v/>
      </c>
      <c r="N521" s="9" t="n">
        <v>4325</v>
      </c>
      <c r="O521" s="14">
        <f>IF(OR(M521="",R521&lt;&gt;""),"",M521/G521-1)</f>
        <v/>
      </c>
      <c r="P521" s="11">
        <f>IF(OR(M521="",R521&lt;&gt;""),"",(G521-M521)*E521)</f>
        <v/>
      </c>
      <c r="Q521" s="9">
        <f>IF(R521&lt;&gt;"","—",IF(M521&lt;G521,"Mais barato",IF(M521&gt;G521,"Mais caro","Igual")))</f>
        <v/>
      </c>
      <c r="R521" s="10" t="n"/>
    </row>
    <row r="522">
      <c r="A522" s="9" t="n">
        <v>17041</v>
      </c>
      <c r="B522" s="10" t="inlineStr">
        <is>
          <t>PONSTAN 500MG CX 24 COMP</t>
        </is>
      </c>
      <c r="C522" s="10" t="inlineStr">
        <is>
          <t>RX</t>
        </is>
      </c>
      <c r="D522" s="9" t="inlineStr">
        <is>
          <t>A</t>
        </is>
      </c>
      <c r="E522" s="9" t="n">
        <v>2</v>
      </c>
      <c r="F522" s="9" t="n">
        <v>1</v>
      </c>
      <c r="G522" s="11" t="n">
        <v>34.76</v>
      </c>
      <c r="H522" s="10" t="inlineStr">
        <is>
          <t>SC DISTRIBUICAO LTDA</t>
        </is>
      </c>
      <c r="I522" s="12" t="inlineStr">
        <is>
          <t>7891268118001</t>
        </is>
      </c>
      <c r="J522" s="10" t="inlineStr">
        <is>
          <t>PONSTAN 500MG C/24 COMPRIMIDOS</t>
        </is>
      </c>
      <c r="K522" s="11" t="n">
        <v>35.71</v>
      </c>
      <c r="L522" s="13" t="n">
        <v>0.02</v>
      </c>
      <c r="M522" s="11">
        <f>IF(K522="","",ROUND(K522*(1-L522),2))</f>
        <v/>
      </c>
      <c r="N522" s="9" t="n"/>
      <c r="O522" s="14">
        <f>IF(OR(M522="",R522&lt;&gt;""),"",M522/G522-1)</f>
        <v/>
      </c>
      <c r="P522" s="11">
        <f>IF(OR(M522="",R522&lt;&gt;""),"",(G522-M522)*E522)</f>
        <v/>
      </c>
      <c r="Q522" s="9">
        <f>IF(R522&lt;&gt;"","—",IF(M522&lt;G522,"Mais barato",IF(M522&gt;G522,"Mais caro","Igual")))</f>
        <v/>
      </c>
      <c r="R522" s="10" t="n"/>
    </row>
    <row r="523">
      <c r="A523" s="9" t="n">
        <v>625651</v>
      </c>
      <c r="B523" s="10" t="inlineStr">
        <is>
          <t>PREDSIM 10MG CPRV CT BL 10</t>
        </is>
      </c>
      <c r="C523" s="10" t="inlineStr">
        <is>
          <t>RX</t>
        </is>
      </c>
      <c r="D523" s="9" t="inlineStr">
        <is>
          <t>A</t>
        </is>
      </c>
      <c r="E523" s="9" t="n">
        <v>2</v>
      </c>
      <c r="F523" s="9" t="n">
        <v>1</v>
      </c>
      <c r="G523" s="11" t="n">
        <v>13.424</v>
      </c>
      <c r="H523" s="10" t="inlineStr">
        <is>
          <t>SC DISTRIBUICAO LTDA</t>
        </is>
      </c>
      <c r="I523" s="12" t="inlineStr">
        <is>
          <t>7891142982889</t>
        </is>
      </c>
      <c r="J523" s="10" t="inlineStr">
        <is>
          <t>PREDSIM 10MG C/10 COMPRIMIDOS REVESTIDOS</t>
        </is>
      </c>
      <c r="K523" s="11" t="n">
        <v>16.61</v>
      </c>
      <c r="L523" s="13" t="n">
        <v>0.035</v>
      </c>
      <c r="M523" s="11">
        <f>IF(K523="","",ROUND(K523*(1-L523),2))</f>
        <v/>
      </c>
      <c r="N523" s="9" t="n">
        <v>135</v>
      </c>
      <c r="O523" s="14">
        <f>IF(OR(M523="",R523&lt;&gt;""),"",M523/G523-1)</f>
        <v/>
      </c>
      <c r="P523" s="11">
        <f>IF(OR(M523="",R523&lt;&gt;""),"",(G523-M523)*E523)</f>
        <v/>
      </c>
      <c r="Q523" s="9">
        <f>IF(R523&lt;&gt;"","—",IF(M523&lt;G523,"Mais barato",IF(M523&gt;G523,"Mais caro","Igual")))</f>
        <v/>
      </c>
      <c r="R523" s="10" t="n"/>
    </row>
    <row r="524">
      <c r="A524" s="9" t="n">
        <v>255201</v>
      </c>
      <c r="B524" s="10" t="inlineStr">
        <is>
          <t>PREDSIM 11MG FR GOTAS 20ML</t>
        </is>
      </c>
      <c r="C524" s="10" t="inlineStr">
        <is>
          <t>RX</t>
        </is>
      </c>
      <c r="D524" s="9" t="inlineStr">
        <is>
          <t>A</t>
        </is>
      </c>
      <c r="E524" s="9" t="n">
        <v>2</v>
      </c>
      <c r="F524" s="9" t="n">
        <v>1</v>
      </c>
      <c r="G524" s="11" t="n">
        <v>29.3558</v>
      </c>
      <c r="H524" s="10" t="inlineStr">
        <is>
          <t>SB COMERCIO LTDA 0179-15</t>
        </is>
      </c>
      <c r="I524" s="12" t="inlineStr">
        <is>
          <t>7891142177124</t>
        </is>
      </c>
      <c r="J524" s="10" t="inlineStr">
        <is>
          <t>PREDSIM GOTAS 20ML</t>
        </is>
      </c>
      <c r="K524" s="11" t="n">
        <v>34.07</v>
      </c>
      <c r="L524" s="13" t="n">
        <v>0.035</v>
      </c>
      <c r="M524" s="11">
        <f>IF(K524="","",ROUND(K524*(1-L524),2))</f>
        <v/>
      </c>
      <c r="N524" s="9" t="n">
        <v>246</v>
      </c>
      <c r="O524" s="14">
        <f>IF(OR(M524="",R524&lt;&gt;""),"",M524/G524-1)</f>
        <v/>
      </c>
      <c r="P524" s="11">
        <f>IF(OR(M524="",R524&lt;&gt;""),"",(G524-M524)*E524)</f>
        <v/>
      </c>
      <c r="Q524" s="9">
        <f>IF(R524&lt;&gt;"","—",IF(M524&lt;G524,"Mais barato",IF(M524&gt;G524,"Mais caro","Igual")))</f>
        <v/>
      </c>
      <c r="R524" s="10" t="n"/>
    </row>
    <row r="525">
      <c r="A525" s="9" t="n">
        <v>631101</v>
      </c>
      <c r="B525" s="10" t="inlineStr">
        <is>
          <t>PREDSIM 20MG CX 10 COMP</t>
        </is>
      </c>
      <c r="C525" s="10" t="inlineStr">
        <is>
          <t>RX</t>
        </is>
      </c>
      <c r="D525" s="9" t="inlineStr">
        <is>
          <t>A</t>
        </is>
      </c>
      <c r="E525" s="9" t="n">
        <v>4</v>
      </c>
      <c r="F525" s="9" t="n">
        <v>1</v>
      </c>
      <c r="G525" s="11" t="n">
        <v>23.9461</v>
      </c>
      <c r="H525" s="10" t="inlineStr">
        <is>
          <t>SC DISTRIBUICAO LTDA</t>
        </is>
      </c>
      <c r="I525" s="12" t="inlineStr">
        <is>
          <t>7891142981363</t>
        </is>
      </c>
      <c r="J525" s="10" t="inlineStr">
        <is>
          <t>PREDSIM 20MG C/10 COMPRIMIDOS REVESTIDOS</t>
        </is>
      </c>
      <c r="K525" s="11" t="n">
        <v>29.63</v>
      </c>
      <c r="L525" s="13" t="n">
        <v>0.035</v>
      </c>
      <c r="M525" s="11">
        <f>IF(K525="","",ROUND(K525*(1-L525),2))</f>
        <v/>
      </c>
      <c r="N525" s="9" t="n">
        <v>407</v>
      </c>
      <c r="O525" s="14">
        <f>IF(OR(M525="",R525&lt;&gt;""),"",M525/G525-1)</f>
        <v/>
      </c>
      <c r="P525" s="11">
        <f>IF(OR(M525="",R525&lt;&gt;""),"",(G525-M525)*E525)</f>
        <v/>
      </c>
      <c r="Q525" s="9">
        <f>IF(R525&lt;&gt;"","—",IF(M525&lt;G525,"Mais barato",IF(M525&gt;G525,"Mais caro","Igual")))</f>
        <v/>
      </c>
      <c r="R525" s="10" t="n"/>
    </row>
    <row r="526">
      <c r="A526" s="9" t="n">
        <v>255321</v>
      </c>
      <c r="B526" s="10" t="inlineStr">
        <is>
          <t>PREDSIM 3MG SOL ORAL FR 100ML+DOS</t>
        </is>
      </c>
      <c r="C526" s="10" t="inlineStr">
        <is>
          <t>RX</t>
        </is>
      </c>
      <c r="D526" s="9" t="inlineStr">
        <is>
          <t>A</t>
        </is>
      </c>
      <c r="E526" s="9" t="n">
        <v>1</v>
      </c>
      <c r="F526" s="9" t="n">
        <v>1</v>
      </c>
      <c r="G526" s="11" t="n">
        <v>38.4483</v>
      </c>
      <c r="H526" s="10" t="inlineStr">
        <is>
          <t>SB COMERCIO LTDA 0179-15</t>
        </is>
      </c>
      <c r="I526" s="12" t="inlineStr">
        <is>
          <t>7891142177155</t>
        </is>
      </c>
      <c r="J526" s="10" t="inlineStr">
        <is>
          <t>PREDSIM SOLUCAO 100ML</t>
        </is>
      </c>
      <c r="K526" s="11" t="n">
        <v>46.38</v>
      </c>
      <c r="L526" s="13" t="n">
        <v>0.035</v>
      </c>
      <c r="M526" s="11">
        <f>IF(K526="","",ROUND(K526*(1-L526),2))</f>
        <v/>
      </c>
      <c r="N526" s="9" t="n">
        <v>1</v>
      </c>
      <c r="O526" s="14">
        <f>IF(OR(M526="",R526&lt;&gt;""),"",M526/G526-1)</f>
        <v/>
      </c>
      <c r="P526" s="11">
        <f>IF(OR(M526="",R526&lt;&gt;""),"",(G526-M526)*E526)</f>
        <v/>
      </c>
      <c r="Q526" s="9">
        <f>IF(R526&lt;&gt;"","—",IF(M526&lt;G526,"Mais barato",IF(M526&gt;G526,"Mais caro","Igual")))</f>
        <v/>
      </c>
      <c r="R526" s="10" t="n"/>
    </row>
    <row r="527">
      <c r="A527" s="9" t="n">
        <v>255221</v>
      </c>
      <c r="B527" s="10" t="inlineStr">
        <is>
          <t>PREDSIM 3MG SOL ORAL FR 60ML+DOS</t>
        </is>
      </c>
      <c r="C527" s="10" t="inlineStr">
        <is>
          <t>RX</t>
        </is>
      </c>
      <c r="D527" s="9" t="inlineStr">
        <is>
          <t>A</t>
        </is>
      </c>
      <c r="E527" s="9" t="n">
        <v>4</v>
      </c>
      <c r="F527" s="9" t="n">
        <v>1</v>
      </c>
      <c r="G527" s="11" t="n">
        <v>22.28</v>
      </c>
      <c r="H527" s="10" t="inlineStr">
        <is>
          <t>SB COMERCIO LTDA 0179-15</t>
        </is>
      </c>
      <c r="I527" s="12" t="inlineStr">
        <is>
          <t>7891142177162</t>
        </is>
      </c>
      <c r="J527" s="10" t="inlineStr">
        <is>
          <t>PREDSIM SOLUCAO 60ML</t>
        </is>
      </c>
      <c r="K527" s="11" t="n">
        <v>26.88</v>
      </c>
      <c r="L527" s="13" t="n">
        <v>0.035</v>
      </c>
      <c r="M527" s="11">
        <f>IF(K527="","",ROUND(K527*(1-L527),2))</f>
        <v/>
      </c>
      <c r="N527" s="9" t="n">
        <v>907</v>
      </c>
      <c r="O527" s="14">
        <f>IF(OR(M527="",R527&lt;&gt;""),"",M527/G527-1)</f>
        <v/>
      </c>
      <c r="P527" s="11">
        <f>IF(OR(M527="",R527&lt;&gt;""),"",(G527-M527)*E527)</f>
        <v/>
      </c>
      <c r="Q527" s="9">
        <f>IF(R527&lt;&gt;"","—",IF(M527&lt;G527,"Mais barato",IF(M527&gt;G527,"Mais caro","Igual")))</f>
        <v/>
      </c>
      <c r="R527" s="10" t="n"/>
    </row>
    <row r="528">
      <c r="A528" s="9" t="n">
        <v>622941</v>
      </c>
      <c r="B528" s="10" t="inlineStr">
        <is>
          <t>PREDSIM 5MG CX 10 COMP</t>
        </is>
      </c>
      <c r="C528" s="10" t="inlineStr">
        <is>
          <t>RX</t>
        </is>
      </c>
      <c r="D528" s="9" t="inlineStr">
        <is>
          <t>B</t>
        </is>
      </c>
      <c r="E528" s="9" t="n">
        <v>8</v>
      </c>
      <c r="F528" s="9" t="n">
        <v>1</v>
      </c>
      <c r="G528" s="11" t="n">
        <v>8.406700000000001</v>
      </c>
      <c r="H528" s="10" t="inlineStr">
        <is>
          <t>SB COMERCIO LTDA 0179-15</t>
        </is>
      </c>
      <c r="I528" s="12" t="inlineStr">
        <is>
          <t>7891142981318</t>
        </is>
      </c>
      <c r="J528" s="10" t="inlineStr">
        <is>
          <t>PREDSIM 5MG C/10 COMPRIMIDOS REVESTIDOS</t>
        </is>
      </c>
      <c r="K528" s="11" t="n">
        <v>10.14</v>
      </c>
      <c r="L528" s="13" t="n">
        <v>0.035</v>
      </c>
      <c r="M528" s="11">
        <f>IF(K528="","",ROUND(K528*(1-L528),2))</f>
        <v/>
      </c>
      <c r="N528" s="9" t="n">
        <v>240</v>
      </c>
      <c r="O528" s="14">
        <f>IF(OR(M528="",R528&lt;&gt;""),"",M528/G528-1)</f>
        <v/>
      </c>
      <c r="P528" s="11">
        <f>IF(OR(M528="",R528&lt;&gt;""),"",(G528-M528)*E528)</f>
        <v/>
      </c>
      <c r="Q528" s="9">
        <f>IF(R528&lt;&gt;"","—",IF(M528&lt;G528,"Mais barato",IF(M528&gt;G528,"Mais caro","Igual")))</f>
        <v/>
      </c>
      <c r="R528" s="10" t="n"/>
    </row>
    <row r="529">
      <c r="A529" s="9" t="n">
        <v>255821</v>
      </c>
      <c r="B529" s="10" t="inlineStr">
        <is>
          <t>PRENI 11MG/ML SOL OR FR GOT 20ML</t>
        </is>
      </c>
      <c r="C529" s="10" t="inlineStr">
        <is>
          <t>RX</t>
        </is>
      </c>
      <c r="D529" s="9" t="inlineStr">
        <is>
          <t>C</t>
        </is>
      </c>
      <c r="E529" s="9" t="n">
        <v>1</v>
      </c>
      <c r="F529" s="9" t="n">
        <v>1</v>
      </c>
      <c r="G529" s="11" t="n">
        <v>30.25</v>
      </c>
      <c r="H529" s="10" t="inlineStr">
        <is>
          <t>SC DISTRIBUICAO LTDA</t>
        </is>
      </c>
      <c r="I529" s="12" t="n"/>
      <c r="J529" s="10" t="n"/>
      <c r="K529" s="11" t="n"/>
      <c r="L529" s="13" t="n"/>
      <c r="M529" s="11">
        <f>IF(K529="","",ROUND(K529*(1-L529),2))</f>
        <v/>
      </c>
      <c r="N529" s="9" t="n"/>
      <c r="O529" s="14">
        <f>IF(OR(M529="",R529&lt;&gt;""),"",M529/G529-1)</f>
        <v/>
      </c>
      <c r="P529" s="11">
        <f>IF(OR(M529="",R529&lt;&gt;""),"",(G529-M529)*E529)</f>
        <v/>
      </c>
      <c r="Q529" s="9">
        <f>IF(R529&lt;&gt;"","—",IF(M529&lt;G529,"Mais barato",IF(M529&gt;G529,"Mais caro","Igual")))</f>
        <v/>
      </c>
      <c r="R529" s="10" t="inlineStr">
        <is>
          <t>Não encontrado</t>
        </is>
      </c>
    </row>
    <row r="530">
      <c r="A530" s="9" t="n">
        <v>408261</v>
      </c>
      <c r="B530" s="10" t="inlineStr">
        <is>
          <t>PRENI 20MG CX 10 COMP</t>
        </is>
      </c>
      <c r="C530" s="10" t="inlineStr">
        <is>
          <t>RX</t>
        </is>
      </c>
      <c r="D530" s="9" t="inlineStr">
        <is>
          <t>C</t>
        </is>
      </c>
      <c r="E530" s="9" t="n">
        <v>1</v>
      </c>
      <c r="F530" s="9" t="n">
        <v>1</v>
      </c>
      <c r="G530" s="11" t="n">
        <v>19.31</v>
      </c>
      <c r="H530" s="10" t="inlineStr">
        <is>
          <t>SC DISTRIBUICAO LTDA</t>
        </is>
      </c>
      <c r="I530" s="12" t="n"/>
      <c r="J530" s="10" t="n"/>
      <c r="K530" s="11" t="n"/>
      <c r="L530" s="13" t="n"/>
      <c r="M530" s="11">
        <f>IF(K530="","",ROUND(K530*(1-L530),2))</f>
        <v/>
      </c>
      <c r="N530" s="9" t="n"/>
      <c r="O530" s="14">
        <f>IF(OR(M530="",R530&lt;&gt;""),"",M530/G530-1)</f>
        <v/>
      </c>
      <c r="P530" s="11">
        <f>IF(OR(M530="",R530&lt;&gt;""),"",(G530-M530)*E530)</f>
        <v/>
      </c>
      <c r="Q530" s="9">
        <f>IF(R530&lt;&gt;"","—",IF(M530&lt;G530,"Mais barato",IF(M530&gt;G530,"Mais caro","Igual")))</f>
        <v/>
      </c>
      <c r="R530" s="10" t="inlineStr">
        <is>
          <t>Não encontrado</t>
        </is>
      </c>
    </row>
    <row r="531">
      <c r="A531" s="9" t="n">
        <v>613011</v>
      </c>
      <c r="B531" s="10" t="inlineStr">
        <is>
          <t>PRENI 3MG/ML SOL OR FR 120ML+SER DOS</t>
        </is>
      </c>
      <c r="C531" s="10" t="inlineStr">
        <is>
          <t>RX</t>
        </is>
      </c>
      <c r="D531" s="9" t="inlineStr">
        <is>
          <t>C</t>
        </is>
      </c>
      <c r="E531" s="9" t="n">
        <v>1</v>
      </c>
      <c r="F531" s="9" t="n">
        <v>1</v>
      </c>
      <c r="G531" s="11" t="n">
        <v>38.63</v>
      </c>
      <c r="H531" s="10" t="inlineStr">
        <is>
          <t>SC DISTRIBUICAO LTDA</t>
        </is>
      </c>
      <c r="I531" s="12" t="n"/>
      <c r="J531" s="10" t="n"/>
      <c r="K531" s="11" t="n"/>
      <c r="L531" s="13" t="n"/>
      <c r="M531" s="11">
        <f>IF(K531="","",ROUND(K531*(1-L531),2))</f>
        <v/>
      </c>
      <c r="N531" s="9" t="n"/>
      <c r="O531" s="14">
        <f>IF(OR(M531="",R531&lt;&gt;""),"",M531/G531-1)</f>
        <v/>
      </c>
      <c r="P531" s="11">
        <f>IF(OR(M531="",R531&lt;&gt;""),"",(G531-M531)*E531)</f>
        <v/>
      </c>
      <c r="Q531" s="9">
        <f>IF(R531&lt;&gt;"","—",IF(M531&lt;G531,"Mais barato",IF(M531&gt;G531,"Mais caro","Igual")))</f>
        <v/>
      </c>
      <c r="R531" s="10" t="inlineStr">
        <is>
          <t>Não encontrado</t>
        </is>
      </c>
    </row>
    <row r="532">
      <c r="A532" s="9" t="n">
        <v>256001</v>
      </c>
      <c r="B532" s="10" t="inlineStr">
        <is>
          <t>PRENI 3MG/ML SOL OR FR 60ML+SER DOS</t>
        </is>
      </c>
      <c r="C532" s="10" t="inlineStr">
        <is>
          <t>RX</t>
        </is>
      </c>
      <c r="D532" s="9" t="inlineStr">
        <is>
          <t>C</t>
        </is>
      </c>
      <c r="E532" s="9" t="n">
        <v>1</v>
      </c>
      <c r="F532" s="9" t="n">
        <v>1</v>
      </c>
      <c r="G532" s="11" t="n">
        <v>21.51</v>
      </c>
      <c r="H532" s="10" t="inlineStr">
        <is>
          <t>SC DISTRIBUICAO LTDA</t>
        </is>
      </c>
      <c r="I532" s="12" t="n"/>
      <c r="J532" s="10" t="n"/>
      <c r="K532" s="11" t="n"/>
      <c r="L532" s="13" t="n"/>
      <c r="M532" s="11">
        <f>IF(K532="","",ROUND(K532*(1-L532),2))</f>
        <v/>
      </c>
      <c r="N532" s="9" t="n"/>
      <c r="O532" s="14">
        <f>IF(OR(M532="",R532&lt;&gt;""),"",M532/G532-1)</f>
        <v/>
      </c>
      <c r="P532" s="11">
        <f>IF(OR(M532="",R532&lt;&gt;""),"",(G532-M532)*E532)</f>
        <v/>
      </c>
      <c r="Q532" s="9">
        <f>IF(R532&lt;&gt;"","—",IF(M532&lt;G532,"Mais barato",IF(M532&gt;G532,"Mais caro","Igual")))</f>
        <v/>
      </c>
      <c r="R532" s="10" t="inlineStr">
        <is>
          <t>Não encontrado</t>
        </is>
      </c>
    </row>
    <row r="533">
      <c r="A533" s="9" t="n">
        <v>563381</v>
      </c>
      <c r="B533" s="10" t="inlineStr">
        <is>
          <t>PRIMOGYNA 2MG CX 28 DRG</t>
        </is>
      </c>
      <c r="C533" s="10" t="inlineStr">
        <is>
          <t>RX</t>
        </is>
      </c>
      <c r="D533" s="9" t="inlineStr">
        <is>
          <t>B</t>
        </is>
      </c>
      <c r="E533" s="9" t="n">
        <v>1</v>
      </c>
      <c r="F533" s="9" t="n">
        <v>1</v>
      </c>
      <c r="G533" s="11" t="n">
        <v>78.16</v>
      </c>
      <c r="H533" s="10" t="inlineStr">
        <is>
          <t>SC DISTRIBUICAO LTDA</t>
        </is>
      </c>
      <c r="I533" s="12" t="n"/>
      <c r="J533" s="10" t="n"/>
      <c r="K533" s="11" t="n"/>
      <c r="L533" s="13" t="n"/>
      <c r="M533" s="11">
        <f>IF(K533="","",ROUND(K533*(1-L533),2))</f>
        <v/>
      </c>
      <c r="N533" s="9" t="n"/>
      <c r="O533" s="14">
        <f>IF(OR(M533="",R533&lt;&gt;""),"",M533/G533-1)</f>
        <v/>
      </c>
      <c r="P533" s="11">
        <f>IF(OR(M533="",R533&lt;&gt;""),"",(G533-M533)*E533)</f>
        <v/>
      </c>
      <c r="Q533" s="9">
        <f>IF(R533&lt;&gt;"","—",IF(M533&lt;G533,"Mais barato",IF(M533&gt;G533,"Mais caro","Igual")))</f>
        <v/>
      </c>
      <c r="R533" s="10" t="inlineStr">
        <is>
          <t>Não encontrado</t>
        </is>
      </c>
    </row>
    <row r="534">
      <c r="A534" s="9" t="n">
        <v>558501</v>
      </c>
      <c r="B534" s="10" t="inlineStr">
        <is>
          <t>PRIMOLUT-NOR 10MG CX 30 COMP</t>
        </is>
      </c>
      <c r="C534" s="10" t="inlineStr">
        <is>
          <t>RX</t>
        </is>
      </c>
      <c r="D534" s="9" t="inlineStr">
        <is>
          <t>A</t>
        </is>
      </c>
      <c r="E534" s="9" t="n">
        <v>3</v>
      </c>
      <c r="F534" s="9" t="n">
        <v>1</v>
      </c>
      <c r="G534" s="11" t="n">
        <v>73.59</v>
      </c>
      <c r="H534" s="10" t="inlineStr">
        <is>
          <t>SC DISTRIBUICAO LTDA</t>
        </is>
      </c>
      <c r="I534" s="12" t="inlineStr">
        <is>
          <t>7896006201717</t>
        </is>
      </c>
      <c r="J534" s="10" t="inlineStr">
        <is>
          <t>PRIMOLUT NOR 10MG C/30 COMPRIMIDOS</t>
        </is>
      </c>
      <c r="K534" s="11" t="n">
        <v>81.20999999999999</v>
      </c>
      <c r="L534" s="13" t="n">
        <v>0.04</v>
      </c>
      <c r="M534" s="11">
        <f>IF(K534="","",ROUND(K534*(1-L534),2))</f>
        <v/>
      </c>
      <c r="N534" s="9" t="n">
        <v>277</v>
      </c>
      <c r="O534" s="14">
        <f>IF(OR(M534="",R534&lt;&gt;""),"",M534/G534-1)</f>
        <v/>
      </c>
      <c r="P534" s="11">
        <f>IF(OR(M534="",R534&lt;&gt;""),"",(G534-M534)*E534)</f>
        <v/>
      </c>
      <c r="Q534" s="9">
        <f>IF(R534&lt;&gt;"","—",IF(M534&lt;G534,"Mais barato",IF(M534&gt;G534,"Mais caro","Igual")))</f>
        <v/>
      </c>
      <c r="R534" s="10" t="n"/>
    </row>
    <row r="535">
      <c r="A535" s="9" t="n">
        <v>644221</v>
      </c>
      <c r="B535" s="10" t="inlineStr">
        <is>
          <t>PROCTAN 25G C/ 10 LUVAS-OUTROS</t>
        </is>
      </c>
      <c r="C535" s="10" t="inlineStr">
        <is>
          <t>RX - OTC</t>
        </is>
      </c>
      <c r="D535" s="9" t="inlineStr">
        <is>
          <t>A</t>
        </is>
      </c>
      <c r="E535" s="9" t="n">
        <v>4</v>
      </c>
      <c r="F535" s="9" t="n">
        <v>1</v>
      </c>
      <c r="G535" s="11" t="n">
        <v>44.71</v>
      </c>
      <c r="H535" s="10" t="inlineStr">
        <is>
          <t>SC DISTRIBUICAO LTDA</t>
        </is>
      </c>
      <c r="I535" s="12" t="inlineStr">
        <is>
          <t>7898636193622</t>
        </is>
      </c>
      <c r="J535" s="10" t="inlineStr">
        <is>
          <t>PROCTAN POMADA 25G COM 10 PROTETORES HIGIENICOS PARA DEDOS</t>
        </is>
      </c>
      <c r="K535" s="11" t="n">
        <v>47.28</v>
      </c>
      <c r="L535" s="13" t="n">
        <v>0</v>
      </c>
      <c r="M535" s="11">
        <f>IF(K535="","",ROUND(K535*(1-L535),2))</f>
        <v/>
      </c>
      <c r="N535" s="9" t="n">
        <v>319</v>
      </c>
      <c r="O535" s="14">
        <f>IF(OR(M535="",R535&lt;&gt;""),"",M535/G535-1)</f>
        <v/>
      </c>
      <c r="P535" s="11">
        <f>IF(OR(M535="",R535&lt;&gt;""),"",(G535-M535)*E535)</f>
        <v/>
      </c>
      <c r="Q535" s="9">
        <f>IF(R535&lt;&gt;"","—",IF(M535&lt;G535,"Mais barato",IF(M535&gt;G535,"Mais caro","Igual")))</f>
        <v/>
      </c>
      <c r="R535" s="10" t="n"/>
    </row>
    <row r="536">
      <c r="A536" s="9" t="n">
        <v>543021</v>
      </c>
      <c r="B536" s="10" t="inlineStr">
        <is>
          <t>PROCTAN 25G POMADA GENO %DN:0.00</t>
        </is>
      </c>
      <c r="C536" s="10" t="inlineStr">
        <is>
          <t>RX - OTC</t>
        </is>
      </c>
      <c r="D536" s="9" t="inlineStr">
        <is>
          <t>A</t>
        </is>
      </c>
      <c r="E536" s="9" t="n">
        <v>5</v>
      </c>
      <c r="F536" s="9" t="n">
        <v>1</v>
      </c>
      <c r="G536" s="11" t="n">
        <v>41.765</v>
      </c>
      <c r="H536" s="10" t="inlineStr">
        <is>
          <t>SC DISTRIBUICAO LTDA</t>
        </is>
      </c>
      <c r="I536" s="12" t="inlineStr">
        <is>
          <t>7898949409465</t>
        </is>
      </c>
      <c r="J536" s="10" t="inlineStr">
        <is>
          <t>PROCTAN HEMORROIDAS 25G</t>
        </is>
      </c>
      <c r="K536" s="11" t="n">
        <v>47.28</v>
      </c>
      <c r="L536" s="13" t="n">
        <v>0</v>
      </c>
      <c r="M536" s="11">
        <f>IF(K536="","",ROUND(K536*(1-L536),2))</f>
        <v/>
      </c>
      <c r="N536" s="9" t="n">
        <v>1406</v>
      </c>
      <c r="O536" s="14">
        <f>IF(OR(M536="",R536&lt;&gt;""),"",M536/G536-1)</f>
        <v/>
      </c>
      <c r="P536" s="11">
        <f>IF(OR(M536="",R536&lt;&gt;""),"",(G536-M536)*E536)</f>
        <v/>
      </c>
      <c r="Q536" s="9">
        <f>IF(R536&lt;&gt;"","—",IF(M536&lt;G536,"Mais barato",IF(M536&gt;G536,"Mais caro","Igual")))</f>
        <v/>
      </c>
      <c r="R536" s="10" t="n"/>
    </row>
    <row r="537">
      <c r="A537" s="9" t="n">
        <v>96361</v>
      </c>
      <c r="B537" s="10" t="inlineStr">
        <is>
          <t>PROFENID 50MG SOL INJ CX 6 AMP X 2ML</t>
        </is>
      </c>
      <c r="C537" s="10" t="inlineStr">
        <is>
          <t>RX</t>
        </is>
      </c>
      <c r="D537" s="9" t="inlineStr">
        <is>
          <t>B</t>
        </is>
      </c>
      <c r="E537" s="9" t="n">
        <v>3</v>
      </c>
      <c r="F537" s="9" t="n">
        <v>6</v>
      </c>
      <c r="G537" s="11" t="n">
        <v>31.11</v>
      </c>
      <c r="H537" s="10" t="inlineStr">
        <is>
          <t>SC DISTRIBUICAO LTDA</t>
        </is>
      </c>
      <c r="I537" s="12" t="inlineStr">
        <is>
          <t>7896070601871</t>
        </is>
      </c>
      <c r="J537" s="10" t="inlineStr">
        <is>
          <t>PROFENID LIOFILIZADO FRASCO 100MG C/6 AMPOLAS</t>
        </is>
      </c>
      <c r="K537" s="11" t="n">
        <v>31.29</v>
      </c>
      <c r="L537" s="13" t="n">
        <v>0.03</v>
      </c>
      <c r="M537" s="11">
        <f>IF(K537="","",ROUND(K537*(1-L537),2))</f>
        <v/>
      </c>
      <c r="N537" s="9" t="n">
        <v>298</v>
      </c>
      <c r="O537" s="14">
        <f>IF(OR(M537="",R537&lt;&gt;""),"",M537/G537-1)</f>
        <v/>
      </c>
      <c r="P537" s="11">
        <f>IF(OR(M537="",R537&lt;&gt;""),"",(G537-M537)*E537)</f>
        <v/>
      </c>
      <c r="Q537" s="9">
        <f>IF(R537&lt;&gt;"","—",IF(M537&lt;G537,"Mais barato",IF(M537&gt;G537,"Mais caro","Igual")))</f>
        <v/>
      </c>
      <c r="R537" s="10" t="n"/>
    </row>
    <row r="538">
      <c r="A538" s="9" t="n">
        <v>642571</v>
      </c>
      <c r="B538" s="10" t="inlineStr">
        <is>
          <t>PROHN BL 30 COMP</t>
        </is>
      </c>
      <c r="C538" s="10" t="inlineStr">
        <is>
          <t>RX - OTC</t>
        </is>
      </c>
      <c r="D538" s="9" t="inlineStr">
        <is>
          <t>A</t>
        </is>
      </c>
      <c r="E538" s="9" t="n">
        <v>5</v>
      </c>
      <c r="F538" s="9" t="n">
        <v>1</v>
      </c>
      <c r="G538" s="11" t="n">
        <v>116.82</v>
      </c>
      <c r="H538" s="10" t="inlineStr">
        <is>
          <t>SC DISTRIBUICAO LTDA</t>
        </is>
      </c>
      <c r="I538" s="12" t="inlineStr">
        <is>
          <t>7896658036392</t>
        </is>
      </c>
      <c r="J538" s="10" t="inlineStr">
        <is>
          <t>PROHN 50MG C/30 CAPSULAS</t>
        </is>
      </c>
      <c r="K538" s="11" t="n">
        <v>108.79</v>
      </c>
      <c r="L538" s="13" t="n">
        <v>0</v>
      </c>
      <c r="M538" s="11">
        <f>IF(K538="","",ROUND(K538*(1-L538),2))</f>
        <v/>
      </c>
      <c r="N538" s="9" t="n">
        <v>418</v>
      </c>
      <c r="O538" s="14">
        <f>IF(OR(M538="",R538&lt;&gt;""),"",M538/G538-1)</f>
        <v/>
      </c>
      <c r="P538" s="11">
        <f>IF(OR(M538="",R538&lt;&gt;""),"",(G538-M538)*E538)</f>
        <v/>
      </c>
      <c r="Q538" s="9">
        <f>IF(R538&lt;&gt;"","—",IF(M538&lt;G538,"Mais barato",IF(M538&gt;G538,"Mais caro","Igual")))</f>
        <v/>
      </c>
      <c r="R538" s="10" t="n"/>
    </row>
    <row r="539">
      <c r="A539" s="9" t="n">
        <v>641821</v>
      </c>
      <c r="B539" s="10" t="inlineStr">
        <is>
          <t>PROPZINCO SPR MENTA 30ML</t>
        </is>
      </c>
      <c r="C539" s="10" t="inlineStr">
        <is>
          <t>RX</t>
        </is>
      </c>
      <c r="D539" s="9" t="inlineStr">
        <is>
          <t>C</t>
        </is>
      </c>
      <c r="E539" s="9" t="n">
        <v>2</v>
      </c>
      <c r="F539" s="9" t="n">
        <v>1</v>
      </c>
      <c r="G539" s="11" t="n">
        <v>8.029999999999999</v>
      </c>
      <c r="H539" s="10" t="inlineStr">
        <is>
          <t>NAZARIA DISTRIBUIDORA DE PRODUTOS FARMACEUTICOS LTDA</t>
        </is>
      </c>
      <c r="I539" s="12" t="n"/>
      <c r="J539" s="10" t="n"/>
      <c r="K539" s="11" t="n"/>
      <c r="L539" s="13" t="n"/>
      <c r="M539" s="11">
        <f>IF(K539="","",ROUND(K539*(1-L539),2))</f>
        <v/>
      </c>
      <c r="N539" s="9" t="n"/>
      <c r="O539" s="14">
        <f>IF(OR(M539="",R539&lt;&gt;""),"",M539/G539-1)</f>
        <v/>
      </c>
      <c r="P539" s="11">
        <f>IF(OR(M539="",R539&lt;&gt;""),"",(G539-M539)*E539)</f>
        <v/>
      </c>
      <c r="Q539" s="9">
        <f>IF(R539&lt;&gt;"","—",IF(M539&lt;G539,"Mais barato",IF(M539&gt;G539,"Mais caro","Igual")))</f>
        <v/>
      </c>
      <c r="R539" s="10" t="inlineStr">
        <is>
          <t>Não encontrado</t>
        </is>
      </c>
    </row>
    <row r="540">
      <c r="A540" s="9" t="n">
        <v>623561</v>
      </c>
      <c r="B540" s="10" t="inlineStr">
        <is>
          <t>PROT LABIAL COLOR VERMELHO 4,8G-DEMAIS PROD</t>
        </is>
      </c>
      <c r="C540" s="10" t="inlineStr">
        <is>
          <t>RX</t>
        </is>
      </c>
      <c r="D540" s="9" t="inlineStr">
        <is>
          <t>C</t>
        </is>
      </c>
      <c r="E540" s="9" t="n">
        <v>1</v>
      </c>
      <c r="F540" s="9" t="n">
        <v>1</v>
      </c>
      <c r="G540" s="11" t="n">
        <v>21.13</v>
      </c>
      <c r="H540" s="10" t="inlineStr">
        <is>
          <t>NAZARIA DISTRIBUIDORA DE PRODUTOS FARMACEUTICOS LTDA</t>
        </is>
      </c>
      <c r="I540" s="12" t="n"/>
      <c r="J540" s="10" t="n"/>
      <c r="K540" s="11" t="n"/>
      <c r="L540" s="13" t="n"/>
      <c r="M540" s="11">
        <f>IF(K540="","",ROUND(K540*(1-L540),2))</f>
        <v/>
      </c>
      <c r="N540" s="9" t="n"/>
      <c r="O540" s="14">
        <f>IF(OR(M540="",R540&lt;&gt;""),"",M540/G540-1)</f>
        <v/>
      </c>
      <c r="P540" s="11">
        <f>IF(OR(M540="",R540&lt;&gt;""),"",(G540-M540)*E540)</f>
        <v/>
      </c>
      <c r="Q540" s="9">
        <f>IF(R540&lt;&gt;"","—",IF(M540&lt;G540,"Mais barato",IF(M540&gt;G540,"Mais caro","Igual")))</f>
        <v/>
      </c>
      <c r="R540" s="10" t="inlineStr">
        <is>
          <t>Não encontrado</t>
        </is>
      </c>
    </row>
    <row r="541">
      <c r="A541" s="9" t="n">
        <v>566961</v>
      </c>
      <c r="B541" s="10" t="inlineStr">
        <is>
          <t>PROT NIVEA SOLAR SUN PROT  HIDRAT FPS50 200ML</t>
        </is>
      </c>
      <c r="C541" s="10" t="inlineStr">
        <is>
          <t>RX - DERMO</t>
        </is>
      </c>
      <c r="D541" s="9" t="inlineStr">
        <is>
          <t>A</t>
        </is>
      </c>
      <c r="E541" s="9" t="n">
        <v>4</v>
      </c>
      <c r="F541" s="9" t="n">
        <v>1</v>
      </c>
      <c r="G541" s="11" t="n">
        <v>50.005</v>
      </c>
      <c r="H541" s="10" t="inlineStr">
        <is>
          <t>NAZARIA DISTRIBUIDORA DE PRODUTOS FARMACEUTICOS LTDA</t>
        </is>
      </c>
      <c r="I541" s="12" t="inlineStr">
        <is>
          <t>4005808555345</t>
        </is>
      </c>
      <c r="J541" s="10" t="inlineStr">
        <is>
          <t>PROTETOR SOLAR F 50 NIVEA 200ML</t>
        </is>
      </c>
      <c r="K541" s="11" t="n">
        <v>51.9</v>
      </c>
      <c r="L541" s="13" t="n">
        <v>0</v>
      </c>
      <c r="M541" s="11">
        <f>IF(K541="","",ROUND(K541*(1-L541),2))</f>
        <v/>
      </c>
      <c r="N541" s="9" t="n">
        <v>694</v>
      </c>
      <c r="O541" s="14">
        <f>IF(OR(M541="",R541&lt;&gt;""),"",M541/G541-1)</f>
        <v/>
      </c>
      <c r="P541" s="11">
        <f>IF(OR(M541="",R541&lt;&gt;""),"",(G541-M541)*E541)</f>
        <v/>
      </c>
      <c r="Q541" s="9">
        <f>IF(R541&lt;&gt;"","—",IF(M541&lt;G541,"Mais barato",IF(M541&gt;G541,"Mais caro","Igual")))</f>
        <v/>
      </c>
      <c r="R541" s="10" t="n"/>
    </row>
    <row r="542">
      <c r="A542" s="9" t="n">
        <v>637681</v>
      </c>
      <c r="B542" s="10" t="inlineStr">
        <is>
          <t>PROT NIVEA SUN FACIAL TOQUE SECO FPS30 40ML</t>
        </is>
      </c>
      <c r="C542" s="10" t="inlineStr">
        <is>
          <t>RX - DERMO</t>
        </is>
      </c>
      <c r="D542" s="9" t="inlineStr">
        <is>
          <t>B</t>
        </is>
      </c>
      <c r="E542" s="9" t="n">
        <v>1</v>
      </c>
      <c r="F542" s="9" t="n">
        <v>1</v>
      </c>
      <c r="G542" s="11" t="n">
        <v>35.8</v>
      </c>
      <c r="H542" s="10" t="inlineStr">
        <is>
          <t>NAZARIA DISTRIBUIDORA DE PRODUTOS FARMACEUTICOS LTDA</t>
        </is>
      </c>
      <c r="I542" s="12" t="inlineStr">
        <is>
          <t>4005900980380</t>
        </is>
      </c>
      <c r="J542" s="10" t="inlineStr">
        <is>
          <t>P SOLAR NIVEA FACIAL FPS30 40 ML</t>
        </is>
      </c>
      <c r="K542" s="11" t="n">
        <v>28.96</v>
      </c>
      <c r="L542" s="13" t="n">
        <v>0</v>
      </c>
      <c r="M542" s="11">
        <f>IF(K542="","",ROUND(K542*(1-L542),2))</f>
        <v/>
      </c>
      <c r="N542" s="9" t="n">
        <v>47</v>
      </c>
      <c r="O542" s="14">
        <f>IF(OR(M542="",R542&lt;&gt;""),"",M542/G542-1)</f>
        <v/>
      </c>
      <c r="P542" s="11">
        <f>IF(OR(M542="",R542&lt;&gt;""),"",(G542-M542)*E542)</f>
        <v/>
      </c>
      <c r="Q542" s="9">
        <f>IF(R542&lt;&gt;"","—",IF(M542&lt;G542,"Mais barato",IF(M542&gt;G542,"Mais caro","Igual")))</f>
        <v/>
      </c>
      <c r="R542" s="10" t="n"/>
    </row>
    <row r="543">
      <c r="A543" s="9" t="n">
        <v>615391</v>
      </c>
      <c r="B543" s="10" t="inlineStr">
        <is>
          <t>PROT NIVEA SUN FACIAL TOQUE SECO FPS70 40ML</t>
        </is>
      </c>
      <c r="C543" s="10" t="inlineStr">
        <is>
          <t>RX - DERMO</t>
        </is>
      </c>
      <c r="D543" s="9" t="inlineStr">
        <is>
          <t>A</t>
        </is>
      </c>
      <c r="E543" s="9" t="n">
        <v>6</v>
      </c>
      <c r="F543" s="9" t="n">
        <v>1</v>
      </c>
      <c r="G543" s="11" t="n">
        <v>35.045</v>
      </c>
      <c r="H543" s="10" t="inlineStr">
        <is>
          <t>NAZARIA DISTRIBUIDORA DE PRODUTOS FARMACEUTICOS LTDA</t>
        </is>
      </c>
      <c r="I543" s="12" t="inlineStr">
        <is>
          <t>4005900980397</t>
        </is>
      </c>
      <c r="J543" s="10" t="inlineStr">
        <is>
          <t>PROTETOR SOLAR FACE TOQUE SECO ANTISSINAIS FPS 70 NIVEA 40ML</t>
        </is>
      </c>
      <c r="K543" s="11" t="n">
        <v>36.38</v>
      </c>
      <c r="L543" s="13" t="n">
        <v>0</v>
      </c>
      <c r="M543" s="11">
        <f>IF(K543="","",ROUND(K543*(1-L543),2))</f>
        <v/>
      </c>
      <c r="N543" s="9" t="n">
        <v>929</v>
      </c>
      <c r="O543" s="14">
        <f>IF(OR(M543="",R543&lt;&gt;""),"",M543/G543-1)</f>
        <v/>
      </c>
      <c r="P543" s="11">
        <f>IF(OR(M543="",R543&lt;&gt;""),"",(G543-M543)*E543)</f>
        <v/>
      </c>
      <c r="Q543" s="9">
        <f>IF(R543&lt;&gt;"","—",IF(M543&lt;G543,"Mais barato",IF(M543&gt;G543,"Mais caro","Igual")))</f>
        <v/>
      </c>
      <c r="R543" s="10" t="n"/>
    </row>
    <row r="544">
      <c r="A544" s="9" t="n">
        <v>609991</v>
      </c>
      <c r="B544" s="10" t="inlineStr">
        <is>
          <t>PROTETOR SOLAR NEUTROGENA SUN FRESH FPS70 200ML</t>
        </is>
      </c>
      <c r="C544" s="10" t="inlineStr">
        <is>
          <t>RX - DERMO</t>
        </is>
      </c>
      <c r="D544" s="9" t="inlineStr">
        <is>
          <t>A</t>
        </is>
      </c>
      <c r="E544" s="9" t="n">
        <v>2</v>
      </c>
      <c r="F544" s="9" t="n">
        <v>1</v>
      </c>
      <c r="G544" s="11" t="n">
        <v>86.48</v>
      </c>
      <c r="H544" s="10" t="inlineStr">
        <is>
          <t>SC DISTRIBUICAO LTDA</t>
        </is>
      </c>
      <c r="I544" s="12" t="inlineStr">
        <is>
          <t>7891010591007</t>
        </is>
      </c>
      <c r="J544" s="10" t="inlineStr">
        <is>
          <t>PROTETOR SOLAR NEUTROGENA SUN FRESH FACIAL E CORPORAL FPS70 200ML</t>
        </is>
      </c>
      <c r="K544" s="11" t="n">
        <v>86.78</v>
      </c>
      <c r="L544" s="13" t="n">
        <v>0</v>
      </c>
      <c r="M544" s="11">
        <f>IF(K544="","",ROUND(K544*(1-L544),2))</f>
        <v/>
      </c>
      <c r="N544" s="9" t="n">
        <v>457</v>
      </c>
      <c r="O544" s="14">
        <f>IF(OR(M544="",R544&lt;&gt;""),"",M544/G544-1)</f>
        <v/>
      </c>
      <c r="P544" s="11">
        <f>IF(OR(M544="",R544&lt;&gt;""),"",(G544-M544)*E544)</f>
        <v/>
      </c>
      <c r="Q544" s="9">
        <f>IF(R544&lt;&gt;"","—",IF(M544&lt;G544,"Mais barato",IF(M544&gt;G544,"Mais caro","Igual")))</f>
        <v/>
      </c>
      <c r="R544" s="10" t="n"/>
    </row>
    <row r="545">
      <c r="A545" s="9" t="n">
        <v>500261</v>
      </c>
      <c r="B545" s="10" t="inlineStr">
        <is>
          <t>PURAN T4 100MCG CX 30 COMP</t>
        </is>
      </c>
      <c r="C545" s="10" t="inlineStr">
        <is>
          <t>RX</t>
        </is>
      </c>
      <c r="D545" s="9" t="inlineStr">
        <is>
          <t>A</t>
        </is>
      </c>
      <c r="E545" s="9" t="n">
        <v>11</v>
      </c>
      <c r="F545" s="9" t="n">
        <v>1</v>
      </c>
      <c r="G545" s="11" t="n">
        <v>12.286</v>
      </c>
      <c r="H545" s="10" t="inlineStr">
        <is>
          <t>SC DISTRIBUICAO LTDA</t>
        </is>
      </c>
      <c r="I545" s="12" t="inlineStr">
        <is>
          <t>7897595901033</t>
        </is>
      </c>
      <c r="J545" s="10" t="inlineStr">
        <is>
          <t>PURAN T4 100MCG C/30 COMPRIMIDOS</t>
        </is>
      </c>
      <c r="K545" s="11" t="n">
        <v>12.63</v>
      </c>
      <c r="L545" s="13" t="n">
        <v>0.03</v>
      </c>
      <c r="M545" s="11">
        <f>IF(K545="","",ROUND(K545*(1-L545),2))</f>
        <v/>
      </c>
      <c r="N545" s="9" t="n">
        <v>3650</v>
      </c>
      <c r="O545" s="14">
        <f>IF(OR(M545="",R545&lt;&gt;""),"",M545/G545-1)</f>
        <v/>
      </c>
      <c r="P545" s="11">
        <f>IF(OR(M545="",R545&lt;&gt;""),"",(G545-M545)*E545)</f>
        <v/>
      </c>
      <c r="Q545" s="9">
        <f>IF(R545&lt;&gt;"","—",IF(M545&lt;G545,"Mais barato",IF(M545&gt;G545,"Mais caro","Igual")))</f>
        <v/>
      </c>
      <c r="R545" s="10" t="n"/>
    </row>
    <row r="546">
      <c r="A546" s="9" t="n">
        <v>500281</v>
      </c>
      <c r="B546" s="10" t="inlineStr">
        <is>
          <t>PURAN T4 125MCG CX 30 COMP</t>
        </is>
      </c>
      <c r="C546" s="10" t="inlineStr">
        <is>
          <t>RX</t>
        </is>
      </c>
      <c r="D546" s="9" t="inlineStr">
        <is>
          <t>A</t>
        </is>
      </c>
      <c r="E546" s="9" t="n">
        <v>1</v>
      </c>
      <c r="F546" s="9" t="n">
        <v>1</v>
      </c>
      <c r="G546" s="11" t="n">
        <v>18.54</v>
      </c>
      <c r="H546" s="10" t="inlineStr">
        <is>
          <t>SC DISTRIBUICAO LTDA</t>
        </is>
      </c>
      <c r="I546" s="12" t="inlineStr">
        <is>
          <t>7897595901446</t>
        </is>
      </c>
      <c r="J546" s="10" t="inlineStr">
        <is>
          <t>PURAN T4 125MCG C/30 COMPRIMIDOS</t>
        </is>
      </c>
      <c r="K546" s="11" t="n">
        <v>18.54</v>
      </c>
      <c r="L546" s="13" t="n">
        <v>0.03</v>
      </c>
      <c r="M546" s="11">
        <f>IF(K546="","",ROUND(K546*(1-L546),2))</f>
        <v/>
      </c>
      <c r="N546" s="9" t="n">
        <v>298</v>
      </c>
      <c r="O546" s="14">
        <f>IF(OR(M546="",R546&lt;&gt;""),"",M546/G546-1)</f>
        <v/>
      </c>
      <c r="P546" s="11">
        <f>IF(OR(M546="",R546&lt;&gt;""),"",(G546-M546)*E546)</f>
        <v/>
      </c>
      <c r="Q546" s="9">
        <f>IF(R546&lt;&gt;"","—",IF(M546&lt;G546,"Mais barato",IF(M546&gt;G546,"Mais caro","Igual")))</f>
        <v/>
      </c>
      <c r="R546" s="10" t="n"/>
    </row>
    <row r="547">
      <c r="A547" s="9" t="n">
        <v>500201</v>
      </c>
      <c r="B547" s="10" t="inlineStr">
        <is>
          <t>PURAN T4 25MCG CX 30 COMP</t>
        </is>
      </c>
      <c r="C547" s="10" t="inlineStr">
        <is>
          <t>RX</t>
        </is>
      </c>
      <c r="D547" s="9" t="inlineStr">
        <is>
          <t>A</t>
        </is>
      </c>
      <c r="E547" s="9" t="n">
        <v>12</v>
      </c>
      <c r="F547" s="9" t="n">
        <v>1</v>
      </c>
      <c r="G547" s="11" t="n">
        <v>13.3467</v>
      </c>
      <c r="H547" s="10" t="inlineStr">
        <is>
          <t>SC DISTRIBUICAO LTDA</t>
        </is>
      </c>
      <c r="I547" s="12" t="inlineStr">
        <is>
          <t>7897595901309</t>
        </is>
      </c>
      <c r="J547" s="10" t="inlineStr">
        <is>
          <t>PURAN T4 25MCG C/30 COMPRIMIDOS</t>
        </is>
      </c>
      <c r="K547" s="11" t="n">
        <v>13.4</v>
      </c>
      <c r="L547" s="13" t="n">
        <v>0.03</v>
      </c>
      <c r="M547" s="11">
        <f>IF(K547="","",ROUND(K547*(1-L547),2))</f>
        <v/>
      </c>
      <c r="N547" s="9" t="n">
        <v>5125</v>
      </c>
      <c r="O547" s="14">
        <f>IF(OR(M547="",R547&lt;&gt;""),"",M547/G547-1)</f>
        <v/>
      </c>
      <c r="P547" s="11">
        <f>IF(OR(M547="",R547&lt;&gt;""),"",(G547-M547)*E547)</f>
        <v/>
      </c>
      <c r="Q547" s="9">
        <f>IF(R547&lt;&gt;"","—",IF(M547&lt;G547,"Mais barato",IF(M547&gt;G547,"Mais caro","Igual")))</f>
        <v/>
      </c>
      <c r="R547" s="10" t="n"/>
    </row>
    <row r="548">
      <c r="A548" s="9" t="n">
        <v>320861</v>
      </c>
      <c r="B548" s="10" t="inlineStr">
        <is>
          <t>PURAN T4 50MCG CX 30 COMP</t>
        </is>
      </c>
      <c r="C548" s="10" t="inlineStr">
        <is>
          <t>RX</t>
        </is>
      </c>
      <c r="D548" s="9" t="inlineStr">
        <is>
          <t>A</t>
        </is>
      </c>
      <c r="E548" s="9" t="n">
        <v>5</v>
      </c>
      <c r="F548" s="9" t="n">
        <v>1</v>
      </c>
      <c r="G548" s="11" t="n">
        <v>14.78</v>
      </c>
      <c r="H548" s="10" t="inlineStr">
        <is>
          <t>SC DISTRIBUICAO LTDA</t>
        </is>
      </c>
      <c r="I548" s="12" t="inlineStr">
        <is>
          <t>7897595901316</t>
        </is>
      </c>
      <c r="J548" s="10" t="inlineStr">
        <is>
          <t>PURAN T4 50MCG C/30 COMPRIMIDOS</t>
        </is>
      </c>
      <c r="K548" s="11" t="n">
        <v>14.84</v>
      </c>
      <c r="L548" s="13" t="n">
        <v>0.03</v>
      </c>
      <c r="M548" s="11">
        <f>IF(K548="","",ROUND(K548*(1-L548),2))</f>
        <v/>
      </c>
      <c r="N548" s="9" t="n">
        <v>4157</v>
      </c>
      <c r="O548" s="14">
        <f>IF(OR(M548="",R548&lt;&gt;""),"",M548/G548-1)</f>
        <v/>
      </c>
      <c r="P548" s="11">
        <f>IF(OR(M548="",R548&lt;&gt;""),"",(G548-M548)*E548)</f>
        <v/>
      </c>
      <c r="Q548" s="9">
        <f>IF(R548&lt;&gt;"","—",IF(M548&lt;G548,"Mais barato",IF(M548&gt;G548,"Mais caro","Igual")))</f>
        <v/>
      </c>
      <c r="R548" s="10" t="n"/>
    </row>
    <row r="549">
      <c r="A549" s="9" t="n">
        <v>500621</v>
      </c>
      <c r="B549" s="10" t="inlineStr">
        <is>
          <t>PURAN T4 62,5MCG CX 30 COMP</t>
        </is>
      </c>
      <c r="C549" s="10" t="inlineStr">
        <is>
          <t>RX</t>
        </is>
      </c>
      <c r="D549" s="9" t="inlineStr">
        <is>
          <t>B</t>
        </is>
      </c>
      <c r="E549" s="9" t="n">
        <v>2</v>
      </c>
      <c r="F549" s="9" t="n">
        <v>1</v>
      </c>
      <c r="G549" s="11" t="n">
        <v>14.04</v>
      </c>
      <c r="H549" s="10" t="inlineStr">
        <is>
          <t>SC DISTRIBUICAO LTDA</t>
        </is>
      </c>
      <c r="I549" s="12" t="inlineStr">
        <is>
          <t>7891058003579</t>
        </is>
      </c>
      <c r="J549" s="10" t="inlineStr">
        <is>
          <t>PURAN T4 62,5MCG C/2X15 COMPRIMIDOS REV</t>
        </is>
      </c>
      <c r="K549" s="11" t="n">
        <v>14.12</v>
      </c>
      <c r="L549" s="13" t="n">
        <v>0.03</v>
      </c>
      <c r="M549" s="11">
        <f>IF(K549="","",ROUND(K549*(1-L549),2))</f>
        <v/>
      </c>
      <c r="N549" s="9" t="n">
        <v>1884</v>
      </c>
      <c r="O549" s="14">
        <f>IF(OR(M549="",R549&lt;&gt;""),"",M549/G549-1)</f>
        <v/>
      </c>
      <c r="P549" s="11">
        <f>IF(OR(M549="",R549&lt;&gt;""),"",(G549-M549)*E549)</f>
        <v/>
      </c>
      <c r="Q549" s="9">
        <f>IF(R549&lt;&gt;"","—",IF(M549&lt;G549,"Mais barato",IF(M549&gt;G549,"Mais caro","Igual")))</f>
        <v/>
      </c>
      <c r="R549" s="10" t="n"/>
    </row>
    <row r="550">
      <c r="A550" s="9" t="n">
        <v>320881</v>
      </c>
      <c r="B550" s="10" t="inlineStr">
        <is>
          <t>PURAN T4 75MCG CX 30 COMP</t>
        </is>
      </c>
      <c r="C550" s="10" t="inlineStr">
        <is>
          <t>RX</t>
        </is>
      </c>
      <c r="D550" s="9" t="inlineStr">
        <is>
          <t>A</t>
        </is>
      </c>
      <c r="E550" s="9" t="n">
        <v>10</v>
      </c>
      <c r="F550" s="9" t="n">
        <v>1</v>
      </c>
      <c r="G550" s="11" t="n">
        <v>15.7389</v>
      </c>
      <c r="H550" s="10" t="inlineStr">
        <is>
          <t>SC DISTRIBUICAO LTDA</t>
        </is>
      </c>
      <c r="I550" s="12" t="inlineStr">
        <is>
          <t>7897595901323</t>
        </is>
      </c>
      <c r="J550" s="10" t="inlineStr">
        <is>
          <t>PURAN T4 75MCG C/30 COMPRIMIDOS</t>
        </is>
      </c>
      <c r="K550" s="11" t="n">
        <v>16.18</v>
      </c>
      <c r="L550" s="13" t="n">
        <v>0.03</v>
      </c>
      <c r="M550" s="11">
        <f>IF(K550="","",ROUND(K550*(1-L550),2))</f>
        <v/>
      </c>
      <c r="N550" s="9" t="n">
        <v>3241</v>
      </c>
      <c r="O550" s="14">
        <f>IF(OR(M550="",R550&lt;&gt;""),"",M550/G550-1)</f>
        <v/>
      </c>
      <c r="P550" s="11">
        <f>IF(OR(M550="",R550&lt;&gt;""),"",(G550-M550)*E550)</f>
        <v/>
      </c>
      <c r="Q550" s="9">
        <f>IF(R550&lt;&gt;"","—",IF(M550&lt;G550,"Mais barato",IF(M550&gt;G550,"Mais caro","Igual")))</f>
        <v/>
      </c>
      <c r="R550" s="10" t="n"/>
    </row>
    <row r="551">
      <c r="A551" s="9" t="n">
        <v>320961</v>
      </c>
      <c r="B551" s="10" t="inlineStr">
        <is>
          <t>PURAN T4 88MCG CX 30 COMP</t>
        </is>
      </c>
      <c r="C551" s="10" t="inlineStr">
        <is>
          <t>RX</t>
        </is>
      </c>
      <c r="D551" s="9" t="inlineStr">
        <is>
          <t>B</t>
        </is>
      </c>
      <c r="E551" s="9" t="n">
        <v>6</v>
      </c>
      <c r="F551" s="9" t="n">
        <v>1</v>
      </c>
      <c r="G551" s="11" t="n">
        <v>19.51</v>
      </c>
      <c r="H551" s="10" t="inlineStr">
        <is>
          <t>SC DISTRIBUICAO LTDA</t>
        </is>
      </c>
      <c r="I551" s="12" t="inlineStr">
        <is>
          <t>7897595903365</t>
        </is>
      </c>
      <c r="J551" s="10" t="inlineStr">
        <is>
          <t>PURAN T4 88MCG C/30 COMPRIMIDOS</t>
        </is>
      </c>
      <c r="K551" s="11" t="n">
        <v>19.51</v>
      </c>
      <c r="L551" s="13" t="n">
        <v>0.03</v>
      </c>
      <c r="M551" s="11">
        <f>IF(K551="","",ROUND(K551*(1-L551),2))</f>
        <v/>
      </c>
      <c r="N551" s="9" t="n"/>
      <c r="O551" s="14">
        <f>IF(OR(M551="",R551&lt;&gt;""),"",M551/G551-1)</f>
        <v/>
      </c>
      <c r="P551" s="11">
        <f>IF(OR(M551="",R551&lt;&gt;""),"",(G551-M551)*E551)</f>
        <v/>
      </c>
      <c r="Q551" s="9">
        <f>IF(R551&lt;&gt;"","—",IF(M551&lt;G551,"Mais barato",IF(M551&gt;G551,"Mais caro","Igual")))</f>
        <v/>
      </c>
      <c r="R551" s="10" t="n"/>
    </row>
    <row r="552">
      <c r="A552" s="9" t="n">
        <v>619681</v>
      </c>
      <c r="B552" s="10" t="inlineStr">
        <is>
          <t>PURAVIT ADZ GOTAS 10ML</t>
        </is>
      </c>
      <c r="C552" s="10" t="inlineStr">
        <is>
          <t>RX - OTC</t>
        </is>
      </c>
      <c r="D552" s="9" t="inlineStr">
        <is>
          <t>A</t>
        </is>
      </c>
      <c r="E552" s="9" t="n">
        <v>11</v>
      </c>
      <c r="F552" s="9" t="n">
        <v>1</v>
      </c>
      <c r="G552" s="11" t="n">
        <v>47.4931</v>
      </c>
      <c r="H552" s="10" t="inlineStr">
        <is>
          <t>SC DISTRIBUICAO LTDA</t>
        </is>
      </c>
      <c r="I552" s="12" t="inlineStr">
        <is>
          <t>7898430194979</t>
        </is>
      </c>
      <c r="J552" s="10" t="inlineStr">
        <is>
          <t>PURAVIT ADZ GOTAS 10ML</t>
        </is>
      </c>
      <c r="K552" s="11" t="n">
        <v>42.71</v>
      </c>
      <c r="L552" s="13" t="n">
        <v>0</v>
      </c>
      <c r="M552" s="11">
        <f>IF(K552="","",ROUND(K552*(1-L552),2))</f>
        <v/>
      </c>
      <c r="N552" s="9" t="n">
        <v>4551</v>
      </c>
      <c r="O552" s="14">
        <f>IF(OR(M552="",R552&lt;&gt;""),"",M552/G552-1)</f>
        <v/>
      </c>
      <c r="P552" s="11">
        <f>IF(OR(M552="",R552&lt;&gt;""),"",(G552-M552)*E552)</f>
        <v/>
      </c>
      <c r="Q552" s="9">
        <f>IF(R552&lt;&gt;"","—",IF(M552&lt;G552,"Mais barato",IF(M552&gt;G552,"Mais caro","Igual")))</f>
        <v/>
      </c>
      <c r="R552" s="10" t="n"/>
    </row>
    <row r="553">
      <c r="A553" s="9" t="n">
        <v>539481</v>
      </c>
      <c r="B553" s="10" t="inlineStr">
        <is>
          <t>PURAVIT IMUNE FR 75ML</t>
        </is>
      </c>
      <c r="C553" s="10" t="inlineStr">
        <is>
          <t>RX - OTC</t>
        </is>
      </c>
      <c r="D553" s="9" t="inlineStr">
        <is>
          <t>A</t>
        </is>
      </c>
      <c r="E553" s="9" t="n">
        <v>4</v>
      </c>
      <c r="F553" s="9" t="n">
        <v>1</v>
      </c>
      <c r="G553" s="11" t="n">
        <v>63.07</v>
      </c>
      <c r="H553" s="10" t="inlineStr">
        <is>
          <t>SC DISTRIBUICAO LTDA</t>
        </is>
      </c>
      <c r="I553" s="12" t="inlineStr">
        <is>
          <t>7898430194849</t>
        </is>
      </c>
      <c r="J553" s="10" t="inlineStr">
        <is>
          <t>PURAVIT IMUNE 75ML</t>
        </is>
      </c>
      <c r="K553" s="11" t="n">
        <v>60</v>
      </c>
      <c r="L553" s="13" t="n">
        <v>0</v>
      </c>
      <c r="M553" s="11">
        <f>IF(K553="","",ROUND(K553*(1-L553),2))</f>
        <v/>
      </c>
      <c r="N553" s="9" t="n">
        <v>450</v>
      </c>
      <c r="O553" s="14">
        <f>IF(OR(M553="",R553&lt;&gt;""),"",M553/G553-1)</f>
        <v/>
      </c>
      <c r="P553" s="11">
        <f>IF(OR(M553="",R553&lt;&gt;""),"",(G553-M553)*E553)</f>
        <v/>
      </c>
      <c r="Q553" s="9">
        <f>IF(R553&lt;&gt;"","—",IF(M553&lt;G553,"Mais barato",IF(M553&gt;G553,"Mais caro","Igual")))</f>
        <v/>
      </c>
      <c r="R553" s="10" t="n"/>
    </row>
    <row r="554">
      <c r="A554" s="9" t="n">
        <v>594241</v>
      </c>
      <c r="B554" s="10" t="inlineStr">
        <is>
          <t>PV - ASEPXIA SAB LIQ ESFOLIANTE 100ML</t>
        </is>
      </c>
      <c r="C554" s="10" t="inlineStr">
        <is>
          <t>RX - DERMO</t>
        </is>
      </c>
      <c r="D554" s="9" t="inlineStr">
        <is>
          <t>C</t>
        </is>
      </c>
      <c r="E554" s="9" t="n">
        <v>1</v>
      </c>
      <c r="F554" s="9" t="n">
        <v>1</v>
      </c>
      <c r="G554" s="11" t="n">
        <v>21.375</v>
      </c>
      <c r="H554" s="10" t="inlineStr">
        <is>
          <t>NAZARIA DISTRIBUIDORA DE PRODUTOS FARMACEUTICOS LTDA</t>
        </is>
      </c>
      <c r="I554" s="12" t="n"/>
      <c r="J554" s="10" t="n"/>
      <c r="K554" s="11" t="n"/>
      <c r="L554" s="13" t="n"/>
      <c r="M554" s="11">
        <f>IF(K554="","",ROUND(K554*(1-L554),2))</f>
        <v/>
      </c>
      <c r="N554" s="9" t="n"/>
      <c r="O554" s="14">
        <f>IF(OR(M554="",R554&lt;&gt;""),"",M554/G554-1)</f>
        <v/>
      </c>
      <c r="P554" s="11">
        <f>IF(OR(M554="",R554&lt;&gt;""),"",(G554-M554)*E554)</f>
        <v/>
      </c>
      <c r="Q554" s="9">
        <f>IF(R554&lt;&gt;"","—",IF(M554&lt;G554,"Mais barato",IF(M554&gt;G554,"Mais caro","Igual")))</f>
        <v/>
      </c>
      <c r="R554" s="10" t="inlineStr">
        <is>
          <t>Não encontrado</t>
        </is>
      </c>
    </row>
    <row r="555">
      <c r="A555" s="9" t="n">
        <v>223621</v>
      </c>
      <c r="B555" s="10" t="inlineStr">
        <is>
          <t>PV - ATROVERAN DIP 1G DISP 200 COMP</t>
        </is>
      </c>
      <c r="C555" s="10" t="inlineStr">
        <is>
          <t>RX</t>
        </is>
      </c>
      <c r="D555" s="9" t="inlineStr">
        <is>
          <t>A</t>
        </is>
      </c>
      <c r="E555" s="9" t="n">
        <v>1</v>
      </c>
      <c r="F555" s="9" t="n">
        <v>50</v>
      </c>
      <c r="G555" s="11" t="n">
        <v>275.98</v>
      </c>
      <c r="H555" s="10" t="inlineStr">
        <is>
          <t>SC DISTRIBUICAO LTDA</t>
        </is>
      </c>
      <c r="I555" s="12" t="inlineStr">
        <is>
          <t>7896094915404</t>
        </is>
      </c>
      <c r="J555" s="10" t="inlineStr">
        <is>
          <t>DISPLAY ATROVERAN DIP 1G C/200 COMPRIMIDOS</t>
        </is>
      </c>
      <c r="K555" s="11" t="n">
        <v>256.28</v>
      </c>
      <c r="L555" s="13" t="n">
        <v>0.035</v>
      </c>
      <c r="M555" s="11">
        <f>IF(K555="","",ROUND(K555*(1-L555),2))</f>
        <v/>
      </c>
      <c r="N555" s="9" t="n">
        <v>66</v>
      </c>
      <c r="O555" s="14">
        <f>IF(OR(M555="",R555&lt;&gt;""),"",M555/G555-1)</f>
        <v/>
      </c>
      <c r="P555" s="11">
        <f>IF(OR(M555="",R555&lt;&gt;""),"",(G555-M555)*E555)</f>
        <v/>
      </c>
      <c r="Q555" s="9">
        <f>IF(R555&lt;&gt;"","—",IF(M555&lt;G555,"Mais barato",IF(M555&gt;G555,"Mais caro","Igual")))</f>
        <v/>
      </c>
      <c r="R555" s="10" t="n"/>
    </row>
    <row r="556">
      <c r="A556" s="9" t="n">
        <v>509861</v>
      </c>
      <c r="B556" s="10" t="inlineStr">
        <is>
          <t>PV - BRONCHO-VAXOM 3,5MG PO LIOF CX 10 CAP</t>
        </is>
      </c>
      <c r="C556" s="10" t="inlineStr">
        <is>
          <t>RX</t>
        </is>
      </c>
      <c r="D556" s="9" t="inlineStr">
        <is>
          <t>C</t>
        </is>
      </c>
      <c r="E556" s="9" t="n">
        <v>1</v>
      </c>
      <c r="F556" s="9" t="n">
        <v>1</v>
      </c>
      <c r="G556" s="11" t="n">
        <v>49.26</v>
      </c>
      <c r="H556" s="10" t="inlineStr">
        <is>
          <t>NAZARIA DISTRIBUIDORA DE PRODUTOS FARMACEUTICOS LTDA</t>
        </is>
      </c>
      <c r="I556" s="12" t="inlineStr">
        <is>
          <t>7896672203909</t>
        </is>
      </c>
      <c r="J556" s="10" t="inlineStr">
        <is>
          <t>BRONCHO VAXOM INFANTIL 3,5MG C/10 CAPSULAS</t>
        </is>
      </c>
      <c r="K556" s="11" t="n">
        <v>53.21</v>
      </c>
      <c r="L556" s="13" t="n">
        <v>0.05</v>
      </c>
      <c r="M556" s="11">
        <f>IF(K556="","",ROUND(K556*(1-L556),2))</f>
        <v/>
      </c>
      <c r="N556" s="9" t="n">
        <v>29</v>
      </c>
      <c r="O556" s="14">
        <f>IF(OR(M556="",R556&lt;&gt;""),"",M556/G556-1)</f>
        <v/>
      </c>
      <c r="P556" s="11">
        <f>IF(OR(M556="",R556&lt;&gt;""),"",(G556-M556)*E556)</f>
        <v/>
      </c>
      <c r="Q556" s="9">
        <f>IF(R556&lt;&gt;"","—",IF(M556&lt;G556,"Mais barato",IF(M556&gt;G556,"Mais caro","Igual")))</f>
        <v/>
      </c>
      <c r="R556" s="10" t="n"/>
    </row>
    <row r="557">
      <c r="A557" s="9" t="n">
        <v>556261</v>
      </c>
      <c r="B557" s="10" t="inlineStr">
        <is>
          <t>PV - DRAMIN CAPSGEL 50MG X 10</t>
        </is>
      </c>
      <c r="C557" s="10" t="inlineStr">
        <is>
          <t>RX</t>
        </is>
      </c>
      <c r="D557" s="9" t="inlineStr">
        <is>
          <t>A</t>
        </is>
      </c>
      <c r="E557" s="9" t="n">
        <v>23</v>
      </c>
      <c r="F557" s="9" t="n">
        <v>1</v>
      </c>
      <c r="G557" s="11" t="n">
        <v>14.85</v>
      </c>
      <c r="H557" s="10" t="inlineStr">
        <is>
          <t>SC DISTRIBUICAO LTDA</t>
        </is>
      </c>
      <c r="I557" s="12" t="inlineStr">
        <is>
          <t>7896094999411</t>
        </is>
      </c>
      <c r="J557" s="10" t="inlineStr">
        <is>
          <t>DRAMIN 50MG BLISTER 10 CAPSULAS MOLES</t>
        </is>
      </c>
      <c r="K557" s="11" t="n">
        <v>17.91</v>
      </c>
      <c r="L557" s="13" t="n">
        <v>0.035</v>
      </c>
      <c r="M557" s="11">
        <f>IF(K557="","",ROUND(K557*(1-L557),2))</f>
        <v/>
      </c>
      <c r="N557" s="9" t="n">
        <v>3674</v>
      </c>
      <c r="O557" s="14">
        <f>IF(OR(M557="",R557&lt;&gt;""),"",M557/G557-1)</f>
        <v/>
      </c>
      <c r="P557" s="11">
        <f>IF(OR(M557="",R557&lt;&gt;""),"",(G557-M557)*E557)</f>
        <v/>
      </c>
      <c r="Q557" s="9">
        <f>IF(R557&lt;&gt;"","—",IF(M557&lt;G557,"Mais barato",IF(M557&gt;G557,"Mais caro","Igual")))</f>
        <v/>
      </c>
      <c r="R557" s="10" t="n"/>
    </row>
    <row r="558">
      <c r="A558" s="9" t="n">
        <v>619551</v>
      </c>
      <c r="B558" s="10" t="inlineStr">
        <is>
          <t>PV - KIT AVENE MAT PERFECT COR FPS60+CLEANANCE 40G</t>
        </is>
      </c>
      <c r="C558" s="10" t="inlineStr">
        <is>
          <t>RX - DERMO</t>
        </is>
      </c>
      <c r="D558" s="9" t="inlineStr">
        <is>
          <t>C</t>
        </is>
      </c>
      <c r="E558" s="9" t="n">
        <v>1</v>
      </c>
      <c r="F558" s="9" t="n">
        <v>1</v>
      </c>
      <c r="G558" s="11" t="n">
        <v>77.02</v>
      </c>
      <c r="H558" s="10" t="inlineStr">
        <is>
          <t>NAZARIA DISTRIBUIDORA DE PRODUTOS FARMACEUTICOS LTDA</t>
        </is>
      </c>
      <c r="I558" s="12" t="n"/>
      <c r="J558" s="10" t="n"/>
      <c r="K558" s="11" t="n"/>
      <c r="L558" s="13" t="n"/>
      <c r="M558" s="11">
        <f>IF(K558="","",ROUND(K558*(1-L558),2))</f>
        <v/>
      </c>
      <c r="N558" s="9" t="n"/>
      <c r="O558" s="14">
        <f>IF(OR(M558="",R558&lt;&gt;""),"",M558/G558-1)</f>
        <v/>
      </c>
      <c r="P558" s="11">
        <f>IF(OR(M558="",R558&lt;&gt;""),"",(G558-M558)*E558)</f>
        <v/>
      </c>
      <c r="Q558" s="9">
        <f>IF(R558&lt;&gt;"","—",IF(M558&lt;G558,"Mais barato",IF(M558&gt;G558,"Mais caro","Igual")))</f>
        <v/>
      </c>
      <c r="R558" s="10" t="inlineStr">
        <is>
          <t>Não encontrado</t>
        </is>
      </c>
    </row>
    <row r="559">
      <c r="A559" s="9" t="n">
        <v>624261</v>
      </c>
      <c r="B559" s="10" t="inlineStr">
        <is>
          <t>PV - LIPIKAR LRP AOX FPS60 200ML</t>
        </is>
      </c>
      <c r="C559" s="10" t="inlineStr">
        <is>
          <t>RX - DERMO</t>
        </is>
      </c>
      <c r="D559" s="9" t="inlineStr">
        <is>
          <t>C</t>
        </is>
      </c>
      <c r="E559" s="9" t="n">
        <v>1</v>
      </c>
      <c r="F559" s="9" t="n">
        <v>1</v>
      </c>
      <c r="G559" s="11" t="n">
        <v>124.6</v>
      </c>
      <c r="H559" s="10" t="inlineStr">
        <is>
          <t>SC DISTRIBUICAO LTDA</t>
        </is>
      </c>
      <c r="I559" s="12" t="n"/>
      <c r="J559" s="10" t="n"/>
      <c r="K559" s="11" t="n"/>
      <c r="L559" s="13" t="n"/>
      <c r="M559" s="11">
        <f>IF(K559="","",ROUND(K559*(1-L559),2))</f>
        <v/>
      </c>
      <c r="N559" s="9" t="n"/>
      <c r="O559" s="14">
        <f>IF(OR(M559="",R559&lt;&gt;""),"",M559/G559-1)</f>
        <v/>
      </c>
      <c r="P559" s="11">
        <f>IF(OR(M559="",R559&lt;&gt;""),"",(G559-M559)*E559)</f>
        <v/>
      </c>
      <c r="Q559" s="9">
        <f>IF(R559&lt;&gt;"","—",IF(M559&lt;G559,"Mais barato",IF(M559&gt;G559,"Mais caro","Igual")))</f>
        <v/>
      </c>
      <c r="R559" s="10" t="inlineStr">
        <is>
          <t>Não encontrado</t>
        </is>
      </c>
    </row>
    <row r="560">
      <c r="A560" s="9" t="n">
        <v>530881</v>
      </c>
      <c r="B560" s="10" t="inlineStr">
        <is>
          <t>PV - NENE-DENT GEL BG 10G</t>
        </is>
      </c>
      <c r="C560" s="10" t="inlineStr">
        <is>
          <t>RX</t>
        </is>
      </c>
      <c r="D560" s="9" t="inlineStr">
        <is>
          <t>A</t>
        </is>
      </c>
      <c r="E560" s="9" t="n">
        <v>5</v>
      </c>
      <c r="F560" s="9" t="n">
        <v>1</v>
      </c>
      <c r="G560" s="11" t="n">
        <v>18.254</v>
      </c>
      <c r="H560" s="10" t="inlineStr">
        <is>
          <t>SB COMERCIO LTDA 0179-15</t>
        </is>
      </c>
      <c r="I560" s="12" t="n"/>
      <c r="J560" s="10" t="n"/>
      <c r="K560" s="11" t="n"/>
      <c r="L560" s="13" t="n"/>
      <c r="M560" s="11">
        <f>IF(K560="","",ROUND(K560*(1-L560),2))</f>
        <v/>
      </c>
      <c r="N560" s="9" t="n"/>
      <c r="O560" s="14">
        <f>IF(OR(M560="",R560&lt;&gt;""),"",M560/G560-1)</f>
        <v/>
      </c>
      <c r="P560" s="11">
        <f>IF(OR(M560="",R560&lt;&gt;""),"",(G560-M560)*E560)</f>
        <v/>
      </c>
      <c r="Q560" s="9">
        <f>IF(R560&lt;&gt;"","—",IF(M560&lt;G560,"Mais barato",IF(M560&gt;G560,"Mais caro","Igual")))</f>
        <v/>
      </c>
      <c r="R560" s="10" t="inlineStr">
        <is>
          <t>Não encontrado</t>
        </is>
      </c>
    </row>
    <row r="561">
      <c r="A561" s="9" t="n">
        <v>290261</v>
      </c>
      <c r="B561" s="10" t="inlineStr">
        <is>
          <t>PV - OLMY HCT 20+12,5MG CX 10 COMP REV</t>
        </is>
      </c>
      <c r="C561" s="10" t="inlineStr">
        <is>
          <t>RX</t>
        </is>
      </c>
      <c r="D561" s="9" t="inlineStr">
        <is>
          <t>B</t>
        </is>
      </c>
      <c r="E561" s="9" t="n">
        <v>1</v>
      </c>
      <c r="F561" s="9" t="n">
        <v>1</v>
      </c>
      <c r="G561" s="11" t="n">
        <v>49.1</v>
      </c>
      <c r="H561" s="10" t="inlineStr">
        <is>
          <t>NAZARIA DISTRIBUIDORA DE PRODUTOS FARMACEUTICOS LTDA</t>
        </is>
      </c>
      <c r="I561" s="12" t="inlineStr">
        <is>
          <t>7894916510417</t>
        </is>
      </c>
      <c r="J561" s="10" t="inlineStr">
        <is>
          <t>OLMY HCT 20 + 12,5MG C/30 COMPRIMIDOS REV</t>
        </is>
      </c>
      <c r="K561" s="11" t="n">
        <v>49.1</v>
      </c>
      <c r="L561" s="13" t="n">
        <v>0</v>
      </c>
      <c r="M561" s="11">
        <f>IF(K561="","",ROUND(K561*(1-L561),2))</f>
        <v/>
      </c>
      <c r="N561" s="9" t="n"/>
      <c r="O561" s="14">
        <f>IF(OR(M561="",R561&lt;&gt;""),"",M561/G561-1)</f>
        <v/>
      </c>
      <c r="P561" s="11">
        <f>IF(OR(M561="",R561&lt;&gt;""),"",(G561-M561)*E561)</f>
        <v/>
      </c>
      <c r="Q561" s="9">
        <f>IF(R561&lt;&gt;"","—",IF(M561&lt;G561,"Mais barato",IF(M561&gt;G561,"Mais caro","Igual")))</f>
        <v/>
      </c>
      <c r="R561" s="10" t="n"/>
    </row>
    <row r="562">
      <c r="A562" s="9" t="n">
        <v>204261</v>
      </c>
      <c r="B562" s="10" t="inlineStr">
        <is>
          <t>PV - PEROLA 0,075MG CX 28 COMP REV</t>
        </is>
      </c>
      <c r="C562" s="10" t="inlineStr">
        <is>
          <t>RX</t>
        </is>
      </c>
      <c r="D562" s="9" t="inlineStr">
        <is>
          <t>C</t>
        </is>
      </c>
      <c r="E562" s="9" t="n">
        <v>1</v>
      </c>
      <c r="F562" s="9" t="n">
        <v>1</v>
      </c>
      <c r="G562" s="11" t="n">
        <v>32.905</v>
      </c>
      <c r="H562" s="10" t="inlineStr">
        <is>
          <t>SC DISTRIBUICAO LTDA</t>
        </is>
      </c>
      <c r="I562" s="12" t="inlineStr">
        <is>
          <t>7897337713382</t>
        </is>
      </c>
      <c r="J562" s="10" t="inlineStr">
        <is>
          <t>PEROLA 75MCG C/28 COMPRIMIDOS REV</t>
        </is>
      </c>
      <c r="K562" s="11" t="n">
        <v>36.02</v>
      </c>
      <c r="L562" s="13" t="n">
        <v>0.05</v>
      </c>
      <c r="M562" s="11">
        <f>IF(K562="","",ROUND(K562*(1-L562),2))</f>
        <v/>
      </c>
      <c r="N562" s="9" t="n">
        <v>329</v>
      </c>
      <c r="O562" s="14">
        <f>IF(OR(M562="",R562&lt;&gt;""),"",M562/G562-1)</f>
        <v/>
      </c>
      <c r="P562" s="11">
        <f>IF(OR(M562="",R562&lt;&gt;""),"",(G562-M562)*E562)</f>
        <v/>
      </c>
      <c r="Q562" s="9">
        <f>IF(R562&lt;&gt;"","—",IF(M562&lt;G562,"Mais barato",IF(M562&gt;G562,"Mais caro","Igual")))</f>
        <v/>
      </c>
      <c r="R562" s="10" t="n"/>
    </row>
    <row r="563">
      <c r="A563" s="9" t="n">
        <v>594491</v>
      </c>
      <c r="B563" s="10" t="inlineStr">
        <is>
          <t>PV - PRIMOGYNA 1MG CX 28 DRG</t>
        </is>
      </c>
      <c r="C563" s="10" t="inlineStr">
        <is>
          <t>RX</t>
        </is>
      </c>
      <c r="D563" s="9" t="inlineStr">
        <is>
          <t>C</t>
        </is>
      </c>
      <c r="E563" s="9" t="n">
        <v>1</v>
      </c>
      <c r="F563" s="9" t="n">
        <v>1</v>
      </c>
      <c r="G563" s="11" t="n">
        <v>43.04</v>
      </c>
      <c r="H563" s="10" t="inlineStr">
        <is>
          <t>SC DISTRIBUICAO LTDA</t>
        </is>
      </c>
      <c r="I563" s="12" t="n"/>
      <c r="J563" s="10" t="n"/>
      <c r="K563" s="11" t="n"/>
      <c r="L563" s="13" t="n"/>
      <c r="M563" s="11">
        <f>IF(K563="","",ROUND(K563*(1-L563),2))</f>
        <v/>
      </c>
      <c r="N563" s="9" t="n"/>
      <c r="O563" s="14">
        <f>IF(OR(M563="",R563&lt;&gt;""),"",M563/G563-1)</f>
        <v/>
      </c>
      <c r="P563" s="11">
        <f>IF(OR(M563="",R563&lt;&gt;""),"",(G563-M563)*E563)</f>
        <v/>
      </c>
      <c r="Q563" s="9">
        <f>IF(R563&lt;&gt;"","—",IF(M563&lt;G563,"Mais barato",IF(M563&gt;G563,"Mais caro","Igual")))</f>
        <v/>
      </c>
      <c r="R563" s="10" t="inlineStr">
        <is>
          <t>Não encontrado</t>
        </is>
      </c>
    </row>
    <row r="564">
      <c r="A564" s="9" t="n">
        <v>623721</v>
      </c>
      <c r="B564" s="10" t="inlineStr">
        <is>
          <t>PV - SERUM FAC GARNIER ANTIAC 15ML</t>
        </is>
      </c>
      <c r="C564" s="10" t="inlineStr">
        <is>
          <t>RX - DERMO</t>
        </is>
      </c>
      <c r="D564" s="9" t="inlineStr">
        <is>
          <t>C</t>
        </is>
      </c>
      <c r="E564" s="9" t="n">
        <v>1</v>
      </c>
      <c r="F564" s="9" t="n">
        <v>1</v>
      </c>
      <c r="G564" s="11" t="n">
        <v>49.18</v>
      </c>
      <c r="H564" s="10" t="inlineStr">
        <is>
          <t>SC DISTRIBUICAO LTDA</t>
        </is>
      </c>
      <c r="I564" s="12" t="n"/>
      <c r="J564" s="10" t="n"/>
      <c r="K564" s="11" t="n"/>
      <c r="L564" s="13" t="n"/>
      <c r="M564" s="11">
        <f>IF(K564="","",ROUND(K564*(1-L564),2))</f>
        <v/>
      </c>
      <c r="N564" s="9" t="n"/>
      <c r="O564" s="14">
        <f>IF(OR(M564="",R564&lt;&gt;""),"",M564/G564-1)</f>
        <v/>
      </c>
      <c r="P564" s="11">
        <f>IF(OR(M564="",R564&lt;&gt;""),"",(G564-M564)*E564)</f>
        <v/>
      </c>
      <c r="Q564" s="9">
        <f>IF(R564&lt;&gt;"","—",IF(M564&lt;G564,"Mais barato",IF(M564&gt;G564,"Mais caro","Igual")))</f>
        <v/>
      </c>
      <c r="R564" s="10" t="inlineStr">
        <is>
          <t>Não encontrado</t>
        </is>
      </c>
    </row>
    <row r="565">
      <c r="A565" s="9" t="n">
        <v>623231</v>
      </c>
      <c r="B565" s="10" t="inlineStr">
        <is>
          <t>PV DERMO REVITALIFT HIALU GEL PREENCH 50ML</t>
        </is>
      </c>
      <c r="C565" s="10" t="inlineStr">
        <is>
          <t>RX - DERMO</t>
        </is>
      </c>
      <c r="D565" s="9" t="inlineStr">
        <is>
          <t>C</t>
        </is>
      </c>
      <c r="E565" s="9" t="n">
        <v>1</v>
      </c>
      <c r="F565" s="9" t="n">
        <v>1</v>
      </c>
      <c r="G565" s="11" t="n">
        <v>49.39</v>
      </c>
      <c r="H565" s="10" t="inlineStr">
        <is>
          <t>OKAJIMA DISTRIBUICAO E COMERCIO LTDA</t>
        </is>
      </c>
      <c r="I565" s="12" t="n"/>
      <c r="J565" s="10" t="n"/>
      <c r="K565" s="11" t="n"/>
      <c r="L565" s="13" t="n"/>
      <c r="M565" s="11">
        <f>IF(K565="","",ROUND(K565*(1-L565),2))</f>
        <v/>
      </c>
      <c r="N565" s="9" t="n"/>
      <c r="O565" s="14">
        <f>IF(OR(M565="",R565&lt;&gt;""),"",M565/G565-1)</f>
        <v/>
      </c>
      <c r="P565" s="11">
        <f>IF(OR(M565="",R565&lt;&gt;""),"",(G565-M565)*E565)</f>
        <v/>
      </c>
      <c r="Q565" s="9">
        <f>IF(R565&lt;&gt;"","—",IF(M565&lt;G565,"Mais barato",IF(M565&gt;G565,"Mais caro","Igual")))</f>
        <v/>
      </c>
      <c r="R565" s="10" t="inlineStr">
        <is>
          <t>Não encontrado</t>
        </is>
      </c>
    </row>
    <row r="566">
      <c r="A566" s="9" t="n">
        <v>169721</v>
      </c>
      <c r="B566" s="10" t="inlineStr">
        <is>
          <t>PV LISADOR 500+5+10MG CX 16 COMP</t>
        </is>
      </c>
      <c r="C566" s="10" t="inlineStr">
        <is>
          <t>RX - OTC</t>
        </is>
      </c>
      <c r="D566" s="9" t="inlineStr">
        <is>
          <t>A</t>
        </is>
      </c>
      <c r="E566" s="9" t="n">
        <v>2</v>
      </c>
      <c r="F566" s="9" t="n">
        <v>1</v>
      </c>
      <c r="G566" s="11" t="n">
        <v>31.358</v>
      </c>
      <c r="H566" s="10" t="inlineStr">
        <is>
          <t>SC DISTRIBUICAO LTDA</t>
        </is>
      </c>
      <c r="I566" s="12" t="inlineStr">
        <is>
          <t>7897322702209</t>
        </is>
      </c>
      <c r="J566" s="10" t="inlineStr">
        <is>
          <t>LISADOR C/16 COMPRIMIDOS</t>
        </is>
      </c>
      <c r="K566" s="11" t="n">
        <v>36.4</v>
      </c>
      <c r="L566" s="13" t="n">
        <v>0.035</v>
      </c>
      <c r="M566" s="11">
        <f>IF(K566="","",ROUND(K566*(1-L566),2))</f>
        <v/>
      </c>
      <c r="N566" s="9" t="n">
        <v>818</v>
      </c>
      <c r="O566" s="14">
        <f>IF(OR(M566="",R566&lt;&gt;""),"",M566/G566-1)</f>
        <v/>
      </c>
      <c r="P566" s="11">
        <f>IF(OR(M566="",R566&lt;&gt;""),"",(G566-M566)*E566)</f>
        <v/>
      </c>
      <c r="Q566" s="9">
        <f>IF(R566&lt;&gt;"","—",IF(M566&lt;G566,"Mais barato",IF(M566&gt;G566,"Mais caro","Igual")))</f>
        <v/>
      </c>
      <c r="R566" s="10" t="n"/>
    </row>
    <row r="567">
      <c r="A567" s="9" t="n">
        <v>652031</v>
      </c>
      <c r="B567" s="10" t="inlineStr">
        <is>
          <t>PV UMIDITA CALM CR 45G</t>
        </is>
      </c>
      <c r="C567" s="10" t="inlineStr">
        <is>
          <t>RX - DERMO</t>
        </is>
      </c>
      <c r="D567" s="9" t="inlineStr">
        <is>
          <t>C</t>
        </is>
      </c>
      <c r="E567" s="9" t="n">
        <v>1</v>
      </c>
      <c r="F567" s="9" t="n">
        <v>1</v>
      </c>
      <c r="G567" s="11" t="n">
        <v>44.53</v>
      </c>
      <c r="H567" s="10" t="inlineStr">
        <is>
          <t>SC DISTRIBUICAO LTDA</t>
        </is>
      </c>
      <c r="I567" s="12" t="n"/>
      <c r="J567" s="10" t="n"/>
      <c r="K567" s="11" t="n"/>
      <c r="L567" s="13" t="n"/>
      <c r="M567" s="11">
        <f>IF(K567="","",ROUND(K567*(1-L567),2))</f>
        <v/>
      </c>
      <c r="N567" s="9" t="n"/>
      <c r="O567" s="14">
        <f>IF(OR(M567="",R567&lt;&gt;""),"",M567/G567-1)</f>
        <v/>
      </c>
      <c r="P567" s="11">
        <f>IF(OR(M567="",R567&lt;&gt;""),"",(G567-M567)*E567)</f>
        <v/>
      </c>
      <c r="Q567" s="9">
        <f>IF(R567&lt;&gt;"","—",IF(M567&lt;G567,"Mais barato",IF(M567&gt;G567,"Mais caro","Igual")))</f>
        <v/>
      </c>
      <c r="R567" s="10" t="inlineStr">
        <is>
          <t>Não encontrado</t>
        </is>
      </c>
    </row>
    <row r="568">
      <c r="A568" s="9" t="n">
        <v>366041</v>
      </c>
      <c r="B568" s="10" t="inlineStr">
        <is>
          <t>PV VODOL 20MG/G AER TB 75G</t>
        </is>
      </c>
      <c r="C568" s="10" t="inlineStr">
        <is>
          <t>RX - OTC</t>
        </is>
      </c>
      <c r="D568" s="9" t="inlineStr">
        <is>
          <t>C</t>
        </is>
      </c>
      <c r="E568" s="9" t="n">
        <v>2</v>
      </c>
      <c r="F568" s="9" t="n">
        <v>1</v>
      </c>
      <c r="G568" s="11" t="n">
        <v>51.27</v>
      </c>
      <c r="H568" s="10" t="inlineStr">
        <is>
          <t>F&amp;F DISTR DE PRODUTOS FARMACÊUTICOS</t>
        </is>
      </c>
      <c r="I568" s="12" t="n"/>
      <c r="J568" s="10" t="n"/>
      <c r="K568" s="11" t="n"/>
      <c r="L568" s="13" t="n"/>
      <c r="M568" s="11">
        <f>IF(K568="","",ROUND(K568*(1-L568),2))</f>
        <v/>
      </c>
      <c r="N568" s="9" t="n"/>
      <c r="O568" s="14">
        <f>IF(OR(M568="",R568&lt;&gt;""),"",M568/G568-1)</f>
        <v/>
      </c>
      <c r="P568" s="11">
        <f>IF(OR(M568="",R568&lt;&gt;""),"",(G568-M568)*E568)</f>
        <v/>
      </c>
      <c r="Q568" s="9">
        <f>IF(R568&lt;&gt;"","—",IF(M568&lt;G568,"Mais barato",IF(M568&gt;G568,"Mais caro","Igual")))</f>
        <v/>
      </c>
      <c r="R568" s="10" t="inlineStr">
        <is>
          <t>Não encontrado</t>
        </is>
      </c>
    </row>
    <row r="569">
      <c r="A569" s="9" t="n">
        <v>374221</v>
      </c>
      <c r="B569" s="10" t="inlineStr">
        <is>
          <t>PV- OLMECOR 40MG CX 30 COMP REV</t>
        </is>
      </c>
      <c r="C569" s="10" t="inlineStr">
        <is>
          <t>RX</t>
        </is>
      </c>
      <c r="D569" s="9" t="inlineStr">
        <is>
          <t>A</t>
        </is>
      </c>
      <c r="E569" s="9" t="n">
        <v>1</v>
      </c>
      <c r="F569" s="9" t="n">
        <v>1</v>
      </c>
      <c r="G569" s="11" t="n">
        <v>43.2525</v>
      </c>
      <c r="H569" s="10" t="inlineStr">
        <is>
          <t>SC DISTRIBUICAO LTDA</t>
        </is>
      </c>
      <c r="I569" s="12" t="inlineStr">
        <is>
          <t>8902220114784</t>
        </is>
      </c>
      <c r="J569" s="10" t="inlineStr">
        <is>
          <t>OLMECOR 40MG C/30 COMPRIMIDOS REV</t>
        </is>
      </c>
      <c r="K569" s="11" t="n">
        <v>41.18</v>
      </c>
      <c r="L569" s="13" t="n">
        <v>0.06</v>
      </c>
      <c r="M569" s="11">
        <f>IF(K569="","",ROUND(K569*(1-L569),2))</f>
        <v/>
      </c>
      <c r="N569" s="9" t="n">
        <v>428</v>
      </c>
      <c r="O569" s="14">
        <f>IF(OR(M569="",R569&lt;&gt;""),"",M569/G569-1)</f>
        <v/>
      </c>
      <c r="P569" s="11">
        <f>IF(OR(M569="",R569&lt;&gt;""),"",(G569-M569)*E569)</f>
        <v/>
      </c>
      <c r="Q569" s="9">
        <f>IF(R569&lt;&gt;"","—",IF(M569&lt;G569,"Mais barato",IF(M569&gt;G569,"Mais caro","Igual")))</f>
        <v/>
      </c>
      <c r="R569" s="10" t="n"/>
    </row>
    <row r="570">
      <c r="A570" s="9" t="n">
        <v>204241</v>
      </c>
      <c r="B570" s="10" t="inlineStr">
        <is>
          <t>PV- PEROLA 0,075MG (CARTELA) C/28CP</t>
        </is>
      </c>
      <c r="C570" s="10" t="inlineStr">
        <is>
          <t>RX</t>
        </is>
      </c>
      <c r="D570" s="9" t="inlineStr">
        <is>
          <t>C</t>
        </is>
      </c>
      <c r="E570" s="9" t="n">
        <v>1</v>
      </c>
      <c r="F570" s="9" t="n">
        <v>1</v>
      </c>
      <c r="G570" s="11" t="n">
        <v>86.43000000000001</v>
      </c>
      <c r="H570" s="10" t="inlineStr">
        <is>
          <t>SC DISTRIBUICAO LTDA</t>
        </is>
      </c>
      <c r="I570" s="12" t="inlineStr">
        <is>
          <t>7897337713399</t>
        </is>
      </c>
      <c r="J570" s="10" t="inlineStr">
        <is>
          <t>PEROLA 75MCG C/84 COMPRIMIDOS REV</t>
        </is>
      </c>
      <c r="K570" s="11" t="n">
        <v>94.62</v>
      </c>
      <c r="L570" s="13" t="n">
        <v>0.05</v>
      </c>
      <c r="M570" s="11">
        <f>IF(K570="","",ROUND(K570*(1-L570),2))</f>
        <v/>
      </c>
      <c r="N570" s="9" t="n">
        <v>11</v>
      </c>
      <c r="O570" s="14">
        <f>IF(OR(M570="",R570&lt;&gt;""),"",M570/G570-1)</f>
        <v/>
      </c>
      <c r="P570" s="11">
        <f>IF(OR(M570="",R570&lt;&gt;""),"",(G570-M570)*E570)</f>
        <v/>
      </c>
      <c r="Q570" s="9">
        <f>IF(R570&lt;&gt;"","—",IF(M570&lt;G570,"Mais barato",IF(M570&gt;G570,"Mais caro","Igual")))</f>
        <v/>
      </c>
      <c r="R570" s="10" t="n"/>
    </row>
    <row r="571">
      <c r="A571" s="9" t="n">
        <v>649771</v>
      </c>
      <c r="B571" s="10" t="inlineStr">
        <is>
          <t>PVV - CUTISANOL BABY CREME 120G-DEMAIS PROD</t>
        </is>
      </c>
      <c r="C571" s="10" t="inlineStr">
        <is>
          <t>RX - DERMO</t>
        </is>
      </c>
      <c r="D571" s="9" t="inlineStr">
        <is>
          <t>C</t>
        </is>
      </c>
      <c r="E571" s="9" t="n">
        <v>1</v>
      </c>
      <c r="F571" s="9" t="n">
        <v>1</v>
      </c>
      <c r="G571" s="11" t="n">
        <v>33.0067</v>
      </c>
      <c r="H571" s="10" t="inlineStr">
        <is>
          <t>SC DISTRIBUICAO LTDA</t>
        </is>
      </c>
      <c r="I571" s="12" t="inlineStr">
        <is>
          <t>7896676440492</t>
        </is>
      </c>
      <c r="J571" s="10" t="inlineStr">
        <is>
          <t>CUTISANOL BABY CREME 120G</t>
        </is>
      </c>
      <c r="K571" s="11" t="n">
        <v>41.78</v>
      </c>
      <c r="L571" s="13" t="n">
        <v>0</v>
      </c>
      <c r="M571" s="11">
        <f>IF(K571="","",ROUND(K571*(1-L571),2))</f>
        <v/>
      </c>
      <c r="N571" s="9" t="n">
        <v>45</v>
      </c>
      <c r="O571" s="14">
        <f>IF(OR(M571="",R571&lt;&gt;""),"",M571/G571-1)</f>
        <v/>
      </c>
      <c r="P571" s="11">
        <f>IF(OR(M571="",R571&lt;&gt;""),"",(G571-M571)*E571)</f>
        <v/>
      </c>
      <c r="Q571" s="9">
        <f>IF(R571&lt;&gt;"","—",IF(M571&lt;G571,"Mais barato",IF(M571&gt;G571,"Mais caro","Igual")))</f>
        <v/>
      </c>
      <c r="R571" s="10" t="n"/>
    </row>
    <row r="572">
      <c r="A572" s="9" t="n">
        <v>514881</v>
      </c>
      <c r="B572" s="10" t="inlineStr">
        <is>
          <t>PVV - EBASTEL 10MG CX 30 COMP REV</t>
        </is>
      </c>
      <c r="C572" s="10" t="inlineStr">
        <is>
          <t>RX</t>
        </is>
      </c>
      <c r="D572" s="9" t="inlineStr">
        <is>
          <t>B</t>
        </is>
      </c>
      <c r="E572" s="9" t="n">
        <v>1</v>
      </c>
      <c r="F572" s="9" t="n">
        <v>1</v>
      </c>
      <c r="G572" s="11" t="n">
        <v>51.51</v>
      </c>
      <c r="H572" s="10" t="inlineStr">
        <is>
          <t>NAZARIA DISTRIBUIDORA DE PRODUTOS FARMACEUTICOS LTDA</t>
        </is>
      </c>
      <c r="I572" s="12" t="inlineStr">
        <is>
          <t>7891317010478</t>
        </is>
      </c>
      <c r="J572" s="10" t="inlineStr">
        <is>
          <t>EBASTEL 10MG C/30 COMPRIMIDOS REV</t>
        </is>
      </c>
      <c r="K572" s="11" t="n">
        <v>166.54</v>
      </c>
      <c r="L572" s="13" t="n">
        <v>0.04</v>
      </c>
      <c r="M572" s="11">
        <f>IF(K572="","",ROUND(K572*(1-L572),2))</f>
        <v/>
      </c>
      <c r="N572" s="9" t="n">
        <v>73</v>
      </c>
      <c r="O572" s="14">
        <f>IF(OR(M572="",R572&lt;&gt;""),"",M572/G572-1)</f>
        <v/>
      </c>
      <c r="P572" s="11">
        <f>IF(OR(M572="",R572&lt;&gt;""),"",(G572-M572)*E572)</f>
        <v/>
      </c>
      <c r="Q572" s="9">
        <f>IF(R572&lt;&gt;"","—",IF(M572&lt;G572,"Mais barato",IF(M572&gt;G572,"Mais caro","Igual")))</f>
        <v/>
      </c>
      <c r="R572" s="10" t="inlineStr">
        <is>
          <t>Conferir embalagem/EAN</t>
        </is>
      </c>
    </row>
    <row r="573">
      <c r="A573" s="9" t="n">
        <v>609561</v>
      </c>
      <c r="B573" s="10" t="inlineStr">
        <is>
          <t>PVV - HIZOFITO CX 30 CAP</t>
        </is>
      </c>
      <c r="C573" s="10" t="inlineStr">
        <is>
          <t>RX</t>
        </is>
      </c>
      <c r="D573" s="9" t="inlineStr">
        <is>
          <t>A</t>
        </is>
      </c>
      <c r="E573" s="9" t="n">
        <v>1</v>
      </c>
      <c r="F573" s="9" t="n">
        <v>1</v>
      </c>
      <c r="G573" s="11" t="n">
        <v>81.145</v>
      </c>
      <c r="H573" s="10" t="inlineStr">
        <is>
          <t>NAZARIA DISTRIBUIDORA DE PRODUTOS FARMACEUTICOS LTDA</t>
        </is>
      </c>
      <c r="I573" s="12" t="inlineStr">
        <is>
          <t>7896685301678</t>
        </is>
      </c>
      <c r="J573" s="10" t="inlineStr">
        <is>
          <t>HIZOFITO 150MG 30 CAPSULAS</t>
        </is>
      </c>
      <c r="K573" s="11" t="n">
        <v>79.14</v>
      </c>
      <c r="L573" s="13" t="n">
        <v>0.1</v>
      </c>
      <c r="M573" s="11">
        <f>IF(K573="","",ROUND(K573*(1-L573),2))</f>
        <v/>
      </c>
      <c r="N573" s="9" t="n">
        <v>170</v>
      </c>
      <c r="O573" s="14">
        <f>IF(OR(M573="",R573&lt;&gt;""),"",M573/G573-1)</f>
        <v/>
      </c>
      <c r="P573" s="11">
        <f>IF(OR(M573="",R573&lt;&gt;""),"",(G573-M573)*E573)</f>
        <v/>
      </c>
      <c r="Q573" s="9">
        <f>IF(R573&lt;&gt;"","—",IF(M573&lt;G573,"Mais barato",IF(M573&gt;G573,"Mais caro","Igual")))</f>
        <v/>
      </c>
      <c r="R573" s="10" t="n"/>
    </row>
    <row r="574">
      <c r="A574" s="9" t="n">
        <v>223901</v>
      </c>
      <c r="B574" s="10" t="inlineStr">
        <is>
          <t>PVV - NOVALGINA EFERVESCENTE C/2</t>
        </is>
      </c>
      <c r="C574" s="10" t="inlineStr">
        <is>
          <t>RX - OTC</t>
        </is>
      </c>
      <c r="D574" s="9" t="inlineStr">
        <is>
          <t>B</t>
        </is>
      </c>
      <c r="E574" s="9" t="n">
        <v>1</v>
      </c>
      <c r="F574" s="9" t="n">
        <v>25</v>
      </c>
      <c r="G574" s="11" t="n">
        <v>251.2203</v>
      </c>
      <c r="H574" s="10" t="inlineStr">
        <is>
          <t>SC DISTRIBUICAO LTDA</t>
        </is>
      </c>
      <c r="I574" s="12" t="n"/>
      <c r="J574" s="10" t="n"/>
      <c r="K574" s="11" t="n"/>
      <c r="L574" s="13" t="n"/>
      <c r="M574" s="11">
        <f>IF(K574="","",ROUND(K574*(1-L574),2))</f>
        <v/>
      </c>
      <c r="N574" s="9" t="n"/>
      <c r="O574" s="14">
        <f>IF(OR(M574="",R574&lt;&gt;""),"",M574/G574-1)</f>
        <v/>
      </c>
      <c r="P574" s="11">
        <f>IF(OR(M574="",R574&lt;&gt;""),"",(G574-M574)*E574)</f>
        <v/>
      </c>
      <c r="Q574" s="9">
        <f>IF(R574&lt;&gt;"","—",IF(M574&lt;G574,"Mais barato",IF(M574&gt;G574,"Mais caro","Igual")))</f>
        <v/>
      </c>
      <c r="R574" s="10" t="inlineStr">
        <is>
          <t>Não encontrado</t>
        </is>
      </c>
    </row>
    <row r="575">
      <c r="A575" s="9" t="n">
        <v>433541</v>
      </c>
      <c r="B575" s="10" t="inlineStr">
        <is>
          <t>PVV - TAMARINE CX 20 CAP</t>
        </is>
      </c>
      <c r="C575" s="10" t="inlineStr">
        <is>
          <t>RX - OTC</t>
        </is>
      </c>
      <c r="D575" s="9" t="inlineStr">
        <is>
          <t>B</t>
        </is>
      </c>
      <c r="E575" s="9" t="n">
        <v>1</v>
      </c>
      <c r="F575" s="9" t="n">
        <v>1</v>
      </c>
      <c r="G575" s="11" t="n">
        <v>76.42</v>
      </c>
      <c r="H575" s="10" t="inlineStr">
        <is>
          <t>SB COMERCIO LTDA 0179-15</t>
        </is>
      </c>
      <c r="I575" s="12" t="inlineStr">
        <is>
          <t>7896179850040</t>
        </is>
      </c>
      <c r="J575" s="10" t="inlineStr">
        <is>
          <t>TAMARINE 6MG C/20 CAPSULAS</t>
        </is>
      </c>
      <c r="K575" s="11" t="n">
        <v>73.54000000000001</v>
      </c>
      <c r="L575" s="13" t="n">
        <v>0.035</v>
      </c>
      <c r="M575" s="11">
        <f>IF(K575="","",ROUND(K575*(1-L575),2))</f>
        <v/>
      </c>
      <c r="N575" s="9" t="n">
        <v>72</v>
      </c>
      <c r="O575" s="14">
        <f>IF(OR(M575="",R575&lt;&gt;""),"",M575/G575-1)</f>
        <v/>
      </c>
      <c r="P575" s="11">
        <f>IF(OR(M575="",R575&lt;&gt;""),"",(G575-M575)*E575)</f>
        <v/>
      </c>
      <c r="Q575" s="9">
        <f>IF(R575&lt;&gt;"","—",IF(M575&lt;G575,"Mais barato",IF(M575&gt;G575,"Mais caro","Igual")))</f>
        <v/>
      </c>
      <c r="R575" s="10" t="n"/>
    </row>
    <row r="576">
      <c r="A576" s="9" t="n">
        <v>262641</v>
      </c>
      <c r="B576" s="10" t="inlineStr">
        <is>
          <t>PVV - TANTIN 60+15MCG CX 3BL X 28 COMP REV</t>
        </is>
      </c>
      <c r="C576" s="10" t="inlineStr">
        <is>
          <t>RX</t>
        </is>
      </c>
      <c r="D576" s="9" t="inlineStr">
        <is>
          <t>B</t>
        </is>
      </c>
      <c r="E576" s="9" t="n">
        <v>4</v>
      </c>
      <c r="F576" s="9" t="n">
        <v>1</v>
      </c>
      <c r="G576" s="11" t="n">
        <v>64.01000000000001</v>
      </c>
      <c r="H576" s="10" t="inlineStr">
        <is>
          <t>SC DISTRIBUICAO LTDA</t>
        </is>
      </c>
      <c r="I576" s="12" t="inlineStr">
        <is>
          <t>7896112423294</t>
        </is>
      </c>
      <c r="J576" s="10" t="inlineStr">
        <is>
          <t>TANTIN 0,60 + 0,015MG C/84 COMPRIMIDOS</t>
        </is>
      </c>
      <c r="K576" s="11" t="n">
        <v>65.39</v>
      </c>
      <c r="L576" s="13" t="n">
        <v>0.05</v>
      </c>
      <c r="M576" s="11">
        <f>IF(K576="","",ROUND(K576*(1-L576),2))</f>
        <v/>
      </c>
      <c r="N576" s="9" t="n">
        <v>67</v>
      </c>
      <c r="O576" s="14">
        <f>IF(OR(M576="",R576&lt;&gt;""),"",M576/G576-1)</f>
        <v/>
      </c>
      <c r="P576" s="11">
        <f>IF(OR(M576="",R576&lt;&gt;""),"",(G576-M576)*E576)</f>
        <v/>
      </c>
      <c r="Q576" s="9">
        <f>IF(R576&lt;&gt;"","—",IF(M576&lt;G576,"Mais barato",IF(M576&gt;G576,"Mais caro","Igual")))</f>
        <v/>
      </c>
      <c r="R576" s="10" t="n"/>
    </row>
    <row r="577">
      <c r="A577" s="9" t="n">
        <v>578761</v>
      </c>
      <c r="B577" s="10" t="inlineStr">
        <is>
          <t>PVV - TERMOMETRO DIGITAL CLINICO TH1027</t>
        </is>
      </c>
      <c r="C577" s="10" t="inlineStr">
        <is>
          <t>RX - OTC</t>
        </is>
      </c>
      <c r="D577" s="9" t="inlineStr">
        <is>
          <t>A</t>
        </is>
      </c>
      <c r="E577" s="9" t="n">
        <v>31</v>
      </c>
      <c r="F577" s="9" t="n">
        <v>1</v>
      </c>
      <c r="G577" s="11" t="n">
        <v>8.082000000000001</v>
      </c>
      <c r="H577" s="10" t="inlineStr">
        <is>
          <t>SC DISTRIBUICAO LTDA</t>
        </is>
      </c>
      <c r="I577" s="12" t="inlineStr">
        <is>
          <t>7898639690418</t>
        </is>
      </c>
      <c r="J577" s="10" t="inlineStr">
        <is>
          <t>TERMOMETRO DIGITAL G-TECH CLINICO BRANCO C/SELO</t>
        </is>
      </c>
      <c r="K577" s="11" t="n">
        <v>10.56</v>
      </c>
      <c r="L577" s="13" t="n">
        <v>0</v>
      </c>
      <c r="M577" s="11">
        <f>IF(K577="","",ROUND(K577*(1-L577),2))</f>
        <v/>
      </c>
      <c r="N577" s="9" t="n">
        <v>4424</v>
      </c>
      <c r="O577" s="14">
        <f>IF(OR(M577="",R577&lt;&gt;""),"",M577/G577-1)</f>
        <v/>
      </c>
      <c r="P577" s="11">
        <f>IF(OR(M577="",R577&lt;&gt;""),"",(G577-M577)*E577)</f>
        <v/>
      </c>
      <c r="Q577" s="9">
        <f>IF(R577&lt;&gt;"","—",IF(M577&lt;G577,"Mais barato",IF(M577&gt;G577,"Mais caro","Igual")))</f>
        <v/>
      </c>
      <c r="R577" s="10" t="n"/>
    </row>
    <row r="578">
      <c r="A578" s="9" t="n">
        <v>146041</v>
      </c>
      <c r="B578" s="10" t="inlineStr">
        <is>
          <t>PYRIDIUM 100MG CX 25 COMP REV</t>
        </is>
      </c>
      <c r="C578" s="10" t="inlineStr">
        <is>
          <t>RX - OTC</t>
        </is>
      </c>
      <c r="D578" s="9" t="inlineStr">
        <is>
          <t>A</t>
        </is>
      </c>
      <c r="E578" s="9" t="n">
        <v>13</v>
      </c>
      <c r="F578" s="9" t="n">
        <v>1</v>
      </c>
      <c r="G578" s="11" t="n">
        <v>20.171</v>
      </c>
      <c r="H578" s="10" t="inlineStr">
        <is>
          <t>SC DISTRIBUICAO LTDA</t>
        </is>
      </c>
      <c r="I578" s="12" t="inlineStr">
        <is>
          <t>7892953001370</t>
        </is>
      </c>
      <c r="J578" s="10" t="inlineStr">
        <is>
          <t>PYRIDIUM 100MG C/25 DRAGEAS</t>
        </is>
      </c>
      <c r="K578" s="11" t="n">
        <v>21.44</v>
      </c>
      <c r="L578" s="13" t="n">
        <v>0.05</v>
      </c>
      <c r="M578" s="11">
        <f>IF(K578="","",ROUND(K578*(1-L578),2))</f>
        <v/>
      </c>
      <c r="N578" s="9" t="n">
        <v>1387</v>
      </c>
      <c r="O578" s="14">
        <f>IF(OR(M578="",R578&lt;&gt;""),"",M578/G578-1)</f>
        <v/>
      </c>
      <c r="P578" s="11">
        <f>IF(OR(M578="",R578&lt;&gt;""),"",(G578-M578)*E578)</f>
        <v/>
      </c>
      <c r="Q578" s="9">
        <f>IF(R578&lt;&gt;"","—",IF(M578&lt;G578,"Mais barato",IF(M578&gt;G578,"Mais caro","Igual")))</f>
        <v/>
      </c>
      <c r="R578" s="10" t="n"/>
    </row>
    <row r="579">
      <c r="A579" s="9" t="n">
        <v>146061</v>
      </c>
      <c r="B579" s="10" t="inlineStr">
        <is>
          <t>PYRIDIUM 200MG CX 18 COMP REV</t>
        </is>
      </c>
      <c r="C579" s="10" t="inlineStr">
        <is>
          <t>RX - OTC</t>
        </is>
      </c>
      <c r="D579" s="9" t="inlineStr">
        <is>
          <t>A</t>
        </is>
      </c>
      <c r="E579" s="9" t="n">
        <v>18</v>
      </c>
      <c r="F579" s="9" t="n">
        <v>1</v>
      </c>
      <c r="G579" s="11" t="n">
        <v>24.21</v>
      </c>
      <c r="H579" s="10" t="inlineStr">
        <is>
          <t>SC DISTRIBUICAO LTDA</t>
        </is>
      </c>
      <c r="I579" s="12" t="inlineStr">
        <is>
          <t>7892953001387</t>
        </is>
      </c>
      <c r="J579" s="10" t="inlineStr">
        <is>
          <t>PYRIDIUM 200MG C/18 DRAGEAS</t>
        </is>
      </c>
      <c r="K579" s="11" t="n">
        <v>25.74</v>
      </c>
      <c r="L579" s="13" t="n">
        <v>0.05</v>
      </c>
      <c r="M579" s="11">
        <f>IF(K579="","",ROUND(K579*(1-L579),2))</f>
        <v/>
      </c>
      <c r="N579" s="9" t="n">
        <v>3513</v>
      </c>
      <c r="O579" s="14">
        <f>IF(OR(M579="",R579&lt;&gt;""),"",M579/G579-1)</f>
        <v/>
      </c>
      <c r="P579" s="11">
        <f>IF(OR(M579="",R579&lt;&gt;""),"",(G579-M579)*E579)</f>
        <v/>
      </c>
      <c r="Q579" s="9">
        <f>IF(R579&lt;&gt;"","—",IF(M579&lt;G579,"Mais barato",IF(M579&gt;G579,"Mais caro","Igual")))</f>
        <v/>
      </c>
      <c r="R579" s="10" t="n"/>
    </row>
    <row r="580">
      <c r="A580" s="9" t="n">
        <v>485721</v>
      </c>
      <c r="B580" s="10" t="inlineStr">
        <is>
          <t>PYVERM 100MG CX 6 COMP REV</t>
        </is>
      </c>
      <c r="C580" s="10" t="inlineStr">
        <is>
          <t>RX</t>
        </is>
      </c>
      <c r="D580" s="9" t="inlineStr">
        <is>
          <t>C</t>
        </is>
      </c>
      <c r="E580" s="9" t="n">
        <v>1</v>
      </c>
      <c r="F580" s="9" t="n">
        <v>1</v>
      </c>
      <c r="G580" s="11" t="n">
        <v>24.08</v>
      </c>
      <c r="H580" s="10" t="inlineStr">
        <is>
          <t>CENTROFARMA DISTRIBUIDORA FARMACEUTICA LTDA</t>
        </is>
      </c>
      <c r="I580" s="12" t="n"/>
      <c r="J580" s="10" t="n"/>
      <c r="K580" s="11" t="n"/>
      <c r="L580" s="13" t="n"/>
      <c r="M580" s="11">
        <f>IF(K580="","",ROUND(K580*(1-L580),2))</f>
        <v/>
      </c>
      <c r="N580" s="9" t="n"/>
      <c r="O580" s="14">
        <f>IF(OR(M580="",R580&lt;&gt;""),"",M580/G580-1)</f>
        <v/>
      </c>
      <c r="P580" s="11">
        <f>IF(OR(M580="",R580&lt;&gt;""),"",(G580-M580)*E580)</f>
        <v/>
      </c>
      <c r="Q580" s="9">
        <f>IF(R580&lt;&gt;"","—",IF(M580&lt;G580,"Mais barato",IF(M580&gt;G580,"Mais caro","Igual")))</f>
        <v/>
      </c>
      <c r="R580" s="10" t="inlineStr">
        <is>
          <t>Não encontrado</t>
        </is>
      </c>
    </row>
    <row r="581">
      <c r="A581" s="9" t="n">
        <v>658161</v>
      </c>
      <c r="B581" s="10" t="inlineStr">
        <is>
          <t>Q+VITTA AZ 500MG 60CP</t>
        </is>
      </c>
      <c r="C581" s="10" t="inlineStr">
        <is>
          <t>RX</t>
        </is>
      </c>
      <c r="D581" s="9" t="inlineStr">
        <is>
          <t>C</t>
        </is>
      </c>
      <c r="E581" s="9" t="n">
        <v>1</v>
      </c>
      <c r="F581" s="9" t="n">
        <v>1</v>
      </c>
      <c r="G581" s="11" t="n">
        <v>13.59</v>
      </c>
      <c r="H581" s="10" t="inlineStr">
        <is>
          <t>NAZARIA DISTRIBUIDORA DE PRODUTOS FARMACEUTICOS LTDA</t>
        </is>
      </c>
      <c r="I581" s="12" t="n"/>
      <c r="J581" s="10" t="n"/>
      <c r="K581" s="11" t="n"/>
      <c r="L581" s="13" t="n"/>
      <c r="M581" s="11">
        <f>IF(K581="","",ROUND(K581*(1-L581),2))</f>
        <v/>
      </c>
      <c r="N581" s="9" t="n"/>
      <c r="O581" s="14">
        <f>IF(OR(M581="",R581&lt;&gt;""),"",M581/G581-1)</f>
        <v/>
      </c>
      <c r="P581" s="11">
        <f>IF(OR(M581="",R581&lt;&gt;""),"",(G581-M581)*E581)</f>
        <v/>
      </c>
      <c r="Q581" s="9">
        <f>IF(R581&lt;&gt;"","—",IF(M581&lt;G581,"Mais barato",IF(M581&gt;G581,"Mais caro","Igual")))</f>
        <v/>
      </c>
      <c r="R581" s="10" t="inlineStr">
        <is>
          <t>Não encontrado</t>
        </is>
      </c>
    </row>
    <row r="582">
      <c r="A582" s="9" t="n">
        <v>657991</v>
      </c>
      <c r="B582" s="10" t="inlineStr">
        <is>
          <t>Q+VITTA AZ HOMEM 500MG 60CPS</t>
        </is>
      </c>
      <c r="C582" s="10" t="inlineStr">
        <is>
          <t>RX</t>
        </is>
      </c>
      <c r="D582" s="9" t="inlineStr">
        <is>
          <t>C</t>
        </is>
      </c>
      <c r="E582" s="9" t="n">
        <v>2</v>
      </c>
      <c r="F582" s="9" t="n">
        <v>1</v>
      </c>
      <c r="G582" s="11" t="n">
        <v>14.9867</v>
      </c>
      <c r="H582" s="10" t="inlineStr">
        <is>
          <t>NAZARIA DISTRIBUIDORA DE PRODUTOS FARMACEUTICOS LTDA</t>
        </is>
      </c>
      <c r="I582" s="12" t="n"/>
      <c r="J582" s="10" t="n"/>
      <c r="K582" s="11" t="n"/>
      <c r="L582" s="13" t="n"/>
      <c r="M582" s="11">
        <f>IF(K582="","",ROUND(K582*(1-L582),2))</f>
        <v/>
      </c>
      <c r="N582" s="9" t="n"/>
      <c r="O582" s="14">
        <f>IF(OR(M582="",R582&lt;&gt;""),"",M582/G582-1)</f>
        <v/>
      </c>
      <c r="P582" s="11">
        <f>IF(OR(M582="",R582&lt;&gt;""),"",(G582-M582)*E582)</f>
        <v/>
      </c>
      <c r="Q582" s="9">
        <f>IF(R582&lt;&gt;"","—",IF(M582&lt;G582,"Mais barato",IF(M582&gt;G582,"Mais caro","Igual")))</f>
        <v/>
      </c>
      <c r="R582" s="10" t="inlineStr">
        <is>
          <t>Não encontrado</t>
        </is>
      </c>
    </row>
    <row r="583">
      <c r="A583" s="9" t="n">
        <v>650281</v>
      </c>
      <c r="B583" s="10" t="inlineStr">
        <is>
          <t>Q+VITTA AZ MULHER 500MG 60CPS</t>
        </is>
      </c>
      <c r="C583" s="10" t="inlineStr">
        <is>
          <t>RX</t>
        </is>
      </c>
      <c r="D583" s="9" t="inlineStr">
        <is>
          <t>C</t>
        </is>
      </c>
      <c r="E583" s="9" t="n">
        <v>2</v>
      </c>
      <c r="F583" s="9" t="n">
        <v>1</v>
      </c>
      <c r="G583" s="11" t="n">
        <v>14.9867</v>
      </c>
      <c r="H583" s="10" t="inlineStr">
        <is>
          <t>NAZARIA DISTRIBUIDORA DE PRODUTOS FARMACEUTICOS LTDA</t>
        </is>
      </c>
      <c r="I583" s="12" t="n"/>
      <c r="J583" s="10" t="n"/>
      <c r="K583" s="11" t="n"/>
      <c r="L583" s="13" t="n"/>
      <c r="M583" s="11">
        <f>IF(K583="","",ROUND(K583*(1-L583),2))</f>
        <v/>
      </c>
      <c r="N583" s="9" t="n"/>
      <c r="O583" s="14">
        <f>IF(OR(M583="",R583&lt;&gt;""),"",M583/G583-1)</f>
        <v/>
      </c>
      <c r="P583" s="11">
        <f>IF(OR(M583="",R583&lt;&gt;""),"",(G583-M583)*E583)</f>
        <v/>
      </c>
      <c r="Q583" s="9">
        <f>IF(R583&lt;&gt;"","—",IF(M583&lt;G583,"Mais barato",IF(M583&gt;G583,"Mais caro","Igual")))</f>
        <v/>
      </c>
      <c r="R583" s="10" t="inlineStr">
        <is>
          <t>Não encontrado</t>
        </is>
      </c>
    </row>
    <row r="584">
      <c r="A584" s="9" t="n">
        <v>657981</v>
      </c>
      <c r="B584" s="10" t="inlineStr">
        <is>
          <t>Q+VITTA CALCIO MDK 500MG 60CAPS</t>
        </is>
      </c>
      <c r="C584" s="10" t="inlineStr">
        <is>
          <t>RX</t>
        </is>
      </c>
      <c r="D584" s="9" t="inlineStr">
        <is>
          <t>C</t>
        </is>
      </c>
      <c r="E584" s="9" t="n">
        <v>2</v>
      </c>
      <c r="F584" s="9" t="n">
        <v>1</v>
      </c>
      <c r="G584" s="11" t="n">
        <v>21.1917</v>
      </c>
      <c r="H584" s="10" t="inlineStr">
        <is>
          <t>NAZARIA DISTRIBUIDORA DE PRODUTOS FARMACEUTICOS LTDA</t>
        </is>
      </c>
      <c r="I584" s="12" t="n"/>
      <c r="J584" s="10" t="n"/>
      <c r="K584" s="11" t="n"/>
      <c r="L584" s="13" t="n"/>
      <c r="M584" s="11">
        <f>IF(K584="","",ROUND(K584*(1-L584),2))</f>
        <v/>
      </c>
      <c r="N584" s="9" t="n"/>
      <c r="O584" s="14">
        <f>IF(OR(M584="",R584&lt;&gt;""),"",M584/G584-1)</f>
        <v/>
      </c>
      <c r="P584" s="11">
        <f>IF(OR(M584="",R584&lt;&gt;""),"",(G584-M584)*E584)</f>
        <v/>
      </c>
      <c r="Q584" s="9">
        <f>IF(R584&lt;&gt;"","—",IF(M584&lt;G584,"Mais barato",IF(M584&gt;G584,"Mais caro","Igual")))</f>
        <v/>
      </c>
      <c r="R584" s="10" t="inlineStr">
        <is>
          <t>Não encontrado</t>
        </is>
      </c>
    </row>
    <row r="585">
      <c r="A585" s="9" t="n">
        <v>111281</v>
      </c>
      <c r="B585" s="10" t="inlineStr">
        <is>
          <t>QUADRIDERM 0,50+1+10+10MG POM BG 20G</t>
        </is>
      </c>
      <c r="C585" s="10" t="inlineStr">
        <is>
          <t>RX - REFERENCIA - ATB</t>
        </is>
      </c>
      <c r="D585" s="9" t="inlineStr">
        <is>
          <t>A</t>
        </is>
      </c>
      <c r="E585" s="9" t="n">
        <v>4</v>
      </c>
      <c r="F585" s="9" t="n">
        <v>1</v>
      </c>
      <c r="G585" s="11" t="n">
        <v>44.7</v>
      </c>
      <c r="H585" s="10" t="inlineStr">
        <is>
          <t>SB COMERCIO LTDA 0179-15</t>
        </is>
      </c>
      <c r="I585" s="12" t="inlineStr">
        <is>
          <t>7891142180773</t>
        </is>
      </c>
      <c r="J585" s="10" t="inlineStr">
        <is>
          <t>POMADA QUADRIDERM 20G</t>
        </is>
      </c>
      <c r="K585" s="11" t="n">
        <v>45.62</v>
      </c>
      <c r="L585" s="13" t="n">
        <v>0.035</v>
      </c>
      <c r="M585" s="11">
        <f>IF(K585="","",ROUND(K585*(1-L585),2))</f>
        <v/>
      </c>
      <c r="N585" s="9" t="n">
        <v>1121</v>
      </c>
      <c r="O585" s="14">
        <f>IF(OR(M585="",R585&lt;&gt;""),"",M585/G585-1)</f>
        <v/>
      </c>
      <c r="P585" s="11">
        <f>IF(OR(M585="",R585&lt;&gt;""),"",(G585-M585)*E585)</f>
        <v/>
      </c>
      <c r="Q585" s="9">
        <f>IF(R585&lt;&gt;"","—",IF(M585&lt;G585,"Mais barato",IF(M585&gt;G585,"Mais caro","Igual")))</f>
        <v/>
      </c>
      <c r="R585" s="10" t="n"/>
    </row>
    <row r="586">
      <c r="A586" s="9" t="n">
        <v>556381</v>
      </c>
      <c r="B586" s="10" t="inlineStr">
        <is>
          <t>QUITLIS SOL OR FR 150ML</t>
        </is>
      </c>
      <c r="C586" s="10" t="inlineStr">
        <is>
          <t>RX - OTC</t>
        </is>
      </c>
      <c r="D586" s="9" t="inlineStr">
        <is>
          <t>A</t>
        </is>
      </c>
      <c r="E586" s="9" t="n">
        <v>4</v>
      </c>
      <c r="F586" s="9" t="n">
        <v>1</v>
      </c>
      <c r="G586" s="11" t="n">
        <v>60.63</v>
      </c>
      <c r="H586" s="10" t="inlineStr">
        <is>
          <t>SC DISTRIBUICAO LTDA</t>
        </is>
      </c>
      <c r="I586" s="12" t="inlineStr">
        <is>
          <t>7896685302095</t>
        </is>
      </c>
      <c r="J586" s="10" t="inlineStr">
        <is>
          <t>QUITLIS SUSPENSAO ORAL 150ML</t>
        </is>
      </c>
      <c r="K586" s="11" t="n">
        <v>63.9</v>
      </c>
      <c r="L586" s="13" t="n">
        <v>0</v>
      </c>
      <c r="M586" s="11">
        <f>IF(K586="","",ROUND(K586*(1-L586),2))</f>
        <v/>
      </c>
      <c r="N586" s="9" t="n">
        <v>387</v>
      </c>
      <c r="O586" s="14">
        <f>IF(OR(M586="",R586&lt;&gt;""),"",M586/G586-1)</f>
        <v/>
      </c>
      <c r="P586" s="11">
        <f>IF(OR(M586="",R586&lt;&gt;""),"",(G586-M586)*E586)</f>
        <v/>
      </c>
      <c r="Q586" s="9">
        <f>IF(R586&lt;&gt;"","—",IF(M586&lt;G586,"Mais barato",IF(M586&gt;G586,"Mais caro","Igual")))</f>
        <v/>
      </c>
      <c r="R586" s="10" t="n"/>
    </row>
    <row r="587">
      <c r="A587" s="9" t="n">
        <v>622891</v>
      </c>
      <c r="B587" s="10" t="inlineStr">
        <is>
          <t>REDOXITOS LARANJA 25 UNIDADES-DEMAIS PROD</t>
        </is>
      </c>
      <c r="C587" s="10" t="inlineStr">
        <is>
          <t>RX - OTC</t>
        </is>
      </c>
      <c r="D587" s="9" t="inlineStr">
        <is>
          <t>C</t>
        </is>
      </c>
      <c r="E587" s="9" t="n">
        <v>3</v>
      </c>
      <c r="F587" s="9" t="n">
        <v>1</v>
      </c>
      <c r="G587" s="11" t="n">
        <v>16.18</v>
      </c>
      <c r="H587" s="10" t="inlineStr">
        <is>
          <t>SC DISTRIBUICAO LTDA</t>
        </is>
      </c>
      <c r="I587" s="12" t="inlineStr">
        <is>
          <t>7891106908535</t>
        </is>
      </c>
      <c r="J587" s="10" t="inlineStr">
        <is>
          <t>REDOXON KIDS LARANJA COM 25 GOMAS</t>
        </is>
      </c>
      <c r="K587" s="11" t="n">
        <v>16.34</v>
      </c>
      <c r="L587" s="13" t="n">
        <v>0</v>
      </c>
      <c r="M587" s="11">
        <f>IF(K587="","",ROUND(K587*(1-L587),2))</f>
        <v/>
      </c>
      <c r="N587" s="9" t="n"/>
      <c r="O587" s="14">
        <f>IF(OR(M587="",R587&lt;&gt;""),"",M587/G587-1)</f>
        <v/>
      </c>
      <c r="P587" s="11">
        <f>IF(OR(M587="",R587&lt;&gt;""),"",(G587-M587)*E587)</f>
        <v/>
      </c>
      <c r="Q587" s="9">
        <f>IF(R587&lt;&gt;"","—",IF(M587&lt;G587,"Mais barato",IF(M587&gt;G587,"Mais caro","Igual")))</f>
        <v/>
      </c>
      <c r="R587" s="10" t="n"/>
    </row>
    <row r="588">
      <c r="A588" s="9" t="n">
        <v>14581</v>
      </c>
      <c r="B588" s="10" t="inlineStr">
        <is>
          <t>REDOXON 1G TB 10 COMP EFEV SB LARANJA</t>
        </is>
      </c>
      <c r="C588" s="10" t="inlineStr">
        <is>
          <t>RX - OTC</t>
        </is>
      </c>
      <c r="D588" s="9" t="inlineStr">
        <is>
          <t>A</t>
        </is>
      </c>
      <c r="E588" s="9" t="n">
        <v>5</v>
      </c>
      <c r="F588" s="9" t="n">
        <v>1</v>
      </c>
      <c r="G588" s="11" t="n">
        <v>13.47</v>
      </c>
      <c r="H588" s="10" t="inlineStr">
        <is>
          <t>SC DISTRIBUICAO LTDA</t>
        </is>
      </c>
      <c r="I588" s="12" t="n"/>
      <c r="J588" s="10" t="n"/>
      <c r="K588" s="11" t="n"/>
      <c r="L588" s="13" t="n"/>
      <c r="M588" s="11">
        <f>IF(K588="","",ROUND(K588*(1-L588),2))</f>
        <v/>
      </c>
      <c r="N588" s="9" t="n"/>
      <c r="O588" s="14">
        <f>IF(OR(M588="",R588&lt;&gt;""),"",M588/G588-1)</f>
        <v/>
      </c>
      <c r="P588" s="11">
        <f>IF(OR(M588="",R588&lt;&gt;""),"",(G588-M588)*E588)</f>
        <v/>
      </c>
      <c r="Q588" s="9">
        <f>IF(R588&lt;&gt;"","—",IF(M588&lt;G588,"Mais barato",IF(M588&gt;G588,"Mais caro","Igual")))</f>
        <v/>
      </c>
      <c r="R588" s="10" t="inlineStr">
        <is>
          <t>Sem preço</t>
        </is>
      </c>
    </row>
    <row r="589">
      <c r="A589" s="9" t="n">
        <v>14601</v>
      </c>
      <c r="B589" s="10" t="inlineStr">
        <is>
          <t>REDOXON 200MG/ML SOL ORAL FR GTS 20ML</t>
        </is>
      </c>
      <c r="C589" s="10" t="inlineStr">
        <is>
          <t>RX - OTC</t>
        </is>
      </c>
      <c r="D589" s="9" t="inlineStr">
        <is>
          <t>A</t>
        </is>
      </c>
      <c r="E589" s="9" t="n">
        <v>78</v>
      </c>
      <c r="F589" s="9" t="n">
        <v>1</v>
      </c>
      <c r="G589" s="11" t="n">
        <v>17.1093</v>
      </c>
      <c r="H589" s="10" t="inlineStr">
        <is>
          <t>SC DISTRIBUICAO LTDA</t>
        </is>
      </c>
      <c r="I589" s="12" t="inlineStr">
        <is>
          <t>7891106006286</t>
        </is>
      </c>
      <c r="J589" s="10" t="inlineStr">
        <is>
          <t>REDOXON GOTAS 20ML</t>
        </is>
      </c>
      <c r="K589" s="11" t="n">
        <v>19.01</v>
      </c>
      <c r="L589" s="13" t="n">
        <v>0.03</v>
      </c>
      <c r="M589" s="11">
        <f>IF(K589="","",ROUND(K589*(1-L589),2))</f>
        <v/>
      </c>
      <c r="N589" s="9" t="n">
        <v>5913</v>
      </c>
      <c r="O589" s="14">
        <f>IF(OR(M589="",R589&lt;&gt;""),"",M589/G589-1)</f>
        <v/>
      </c>
      <c r="P589" s="11">
        <f>IF(OR(M589="",R589&lt;&gt;""),"",(G589-M589)*E589)</f>
        <v/>
      </c>
      <c r="Q589" s="9">
        <f>IF(R589&lt;&gt;"","—",IF(M589&lt;G589,"Mais barato",IF(M589&gt;G589,"Mais caro","Igual")))</f>
        <v/>
      </c>
      <c r="R589" s="10" t="n"/>
    </row>
    <row r="590">
      <c r="A590" s="9" t="n">
        <v>565941</v>
      </c>
      <c r="B590" s="10" t="inlineStr">
        <is>
          <t>REDOXON TRIPLA ACAO 10CP EFERV</t>
        </is>
      </c>
      <c r="C590" s="10" t="inlineStr">
        <is>
          <t>RX - OTC</t>
        </is>
      </c>
      <c r="D590" s="9" t="inlineStr">
        <is>
          <t>A</t>
        </is>
      </c>
      <c r="E590" s="9" t="n">
        <v>8</v>
      </c>
      <c r="F590" s="9" t="n">
        <v>1</v>
      </c>
      <c r="G590" s="11" t="n">
        <v>14.57</v>
      </c>
      <c r="H590" s="10" t="inlineStr">
        <is>
          <t>SC DISTRIBUICAO LTDA</t>
        </is>
      </c>
      <c r="I590" s="12" t="inlineStr">
        <is>
          <t>7891106912655</t>
        </is>
      </c>
      <c r="J590" s="10" t="inlineStr">
        <is>
          <t>REDOXON TRIPLA ACAO C/10 COMPRIMIDOS EFERVESCENTES</t>
        </is>
      </c>
      <c r="K590" s="11" t="n">
        <v>16.13</v>
      </c>
      <c r="L590" s="13" t="n">
        <v>0</v>
      </c>
      <c r="M590" s="11">
        <f>IF(K590="","",ROUND(K590*(1-L590),2))</f>
        <v/>
      </c>
      <c r="N590" s="9" t="n">
        <v>7401</v>
      </c>
      <c r="O590" s="14">
        <f>IF(OR(M590="",R590&lt;&gt;""),"",M590/G590-1)</f>
        <v/>
      </c>
      <c r="P590" s="11">
        <f>IF(OR(M590="",R590&lt;&gt;""),"",(G590-M590)*E590)</f>
        <v/>
      </c>
      <c r="Q590" s="9">
        <f>IF(R590&lt;&gt;"","—",IF(M590&lt;G590,"Mais barato",IF(M590&gt;G590,"Mais caro","Igual")))</f>
        <v/>
      </c>
      <c r="R590" s="10" t="n"/>
    </row>
    <row r="591">
      <c r="A591" s="9" t="n">
        <v>114041</v>
      </c>
      <c r="B591" s="10" t="inlineStr">
        <is>
          <t>REGENCEL 10000UI+25/5/5MG POM OFT 3,5G</t>
        </is>
      </c>
      <c r="C591" s="10" t="inlineStr">
        <is>
          <t>RX - SIMILAR - ATB</t>
        </is>
      </c>
      <c r="D591" s="9" t="inlineStr">
        <is>
          <t>B</t>
        </is>
      </c>
      <c r="E591" s="9" t="n">
        <v>9</v>
      </c>
      <c r="F591" s="9" t="n">
        <v>1</v>
      </c>
      <c r="G591" s="11" t="n">
        <v>13.54</v>
      </c>
      <c r="H591" s="10" t="inlineStr">
        <is>
          <t>SC DISTRIBUICAO LTDA</t>
        </is>
      </c>
      <c r="I591" s="12" t="inlineStr">
        <is>
          <t>7896676432886</t>
        </is>
      </c>
      <c r="J591" s="10" t="inlineStr">
        <is>
          <t>POMADA REGENCEL OFTALMICA 3,5G</t>
        </is>
      </c>
      <c r="K591" s="11" t="n">
        <v>13.03</v>
      </c>
      <c r="L591" s="13" t="n">
        <v>0.05</v>
      </c>
      <c r="M591" s="11">
        <f>IF(K591="","",ROUND(K591*(1-L591),2))</f>
        <v/>
      </c>
      <c r="N591" s="9" t="n">
        <v>1726</v>
      </c>
      <c r="O591" s="14">
        <f>IF(OR(M591="",R591&lt;&gt;""),"",M591/G591-1)</f>
        <v/>
      </c>
      <c r="P591" s="11">
        <f>IF(OR(M591="",R591&lt;&gt;""),"",(G591-M591)*E591)</f>
        <v/>
      </c>
      <c r="Q591" s="9">
        <f>IF(R591&lt;&gt;"","—",IF(M591&lt;G591,"Mais barato",IF(M591&gt;G591,"Mais caro","Igual")))</f>
        <v/>
      </c>
      <c r="R591" s="10" t="n"/>
    </row>
    <row r="592">
      <c r="A592" s="9" t="n">
        <v>1553</v>
      </c>
      <c r="B592" s="10" t="inlineStr">
        <is>
          <t>REGENESIS CX 30 CAP</t>
        </is>
      </c>
      <c r="C592" s="10" t="inlineStr">
        <is>
          <t>RX - OTC</t>
        </is>
      </c>
      <c r="D592" s="9" t="inlineStr">
        <is>
          <t>A</t>
        </is>
      </c>
      <c r="E592" s="9" t="n">
        <v>8</v>
      </c>
      <c r="F592" s="9" t="n">
        <v>1</v>
      </c>
      <c r="G592" s="11" t="n">
        <v>74.845</v>
      </c>
      <c r="H592" s="10" t="inlineStr">
        <is>
          <t>SC DISTRIBUICAO LTDA</t>
        </is>
      </c>
      <c r="I592" s="12" t="inlineStr">
        <is>
          <t>7898956544111</t>
        </is>
      </c>
      <c r="J592" s="10" t="inlineStr">
        <is>
          <t>REGENESIS C/30 CAPSULAS MOLES</t>
        </is>
      </c>
      <c r="K592" s="11" t="n">
        <v>73.72</v>
      </c>
      <c r="L592" s="13" t="n">
        <v>0</v>
      </c>
      <c r="M592" s="11">
        <f>IF(K592="","",ROUND(K592*(1-L592),2))</f>
        <v/>
      </c>
      <c r="N592" s="9" t="n">
        <v>1795</v>
      </c>
      <c r="O592" s="14">
        <f>IF(OR(M592="",R592&lt;&gt;""),"",M592/G592-1)</f>
        <v/>
      </c>
      <c r="P592" s="11">
        <f>IF(OR(M592="",R592&lt;&gt;""),"",(G592-M592)*E592)</f>
        <v/>
      </c>
      <c r="Q592" s="9">
        <f>IF(R592&lt;&gt;"","—",IF(M592&lt;G592,"Mais barato",IF(M592&gt;G592,"Mais caro","Igual")))</f>
        <v/>
      </c>
      <c r="R592" s="10" t="n"/>
    </row>
    <row r="593">
      <c r="A593" s="9" t="n">
        <v>664401</v>
      </c>
      <c r="B593" s="10" t="inlineStr">
        <is>
          <t>RENOVI B PLUS 5+100+100+4,3MG SOL INJ 3 DOSES AMP</t>
        </is>
      </c>
      <c r="C593" s="10" t="inlineStr">
        <is>
          <t>RX</t>
        </is>
      </c>
      <c r="D593" s="9" t="inlineStr">
        <is>
          <t>C</t>
        </is>
      </c>
      <c r="E593" s="9" t="n">
        <v>1</v>
      </c>
      <c r="F593" s="9" t="n">
        <v>1</v>
      </c>
      <c r="G593" s="11" t="n">
        <v>37.9567</v>
      </c>
      <c r="H593" s="10" t="inlineStr">
        <is>
          <t>SC DISTRIBUICAO LTDA</t>
        </is>
      </c>
      <c r="I593" s="12" t="inlineStr">
        <is>
          <t>7899420508370</t>
        </is>
      </c>
      <c r="J593" s="10" t="inlineStr">
        <is>
          <t>RENOVI B PLUS SOLUCAO INJETAVEL C/6 AMPOLAS</t>
        </is>
      </c>
      <c r="K593" s="11" t="n">
        <v>39.72</v>
      </c>
      <c r="L593" s="13" t="n">
        <v>0.04</v>
      </c>
      <c r="M593" s="11">
        <f>IF(K593="","",ROUND(K593*(1-L593),2))</f>
        <v/>
      </c>
      <c r="N593" s="9" t="n">
        <v>55</v>
      </c>
      <c r="O593" s="14">
        <f>IF(OR(M593="",R593&lt;&gt;""),"",M593/G593-1)</f>
        <v/>
      </c>
      <c r="P593" s="11">
        <f>IF(OR(M593="",R593&lt;&gt;""),"",(G593-M593)*E593)</f>
        <v/>
      </c>
      <c r="Q593" s="9">
        <f>IF(R593&lt;&gt;"","—",IF(M593&lt;G593,"Mais barato",IF(M593&gt;G593,"Mais caro","Igual")))</f>
        <v/>
      </c>
      <c r="R593" s="10" t="n"/>
    </row>
    <row r="594">
      <c r="A594" s="9" t="n">
        <v>563</v>
      </c>
      <c r="B594" s="10" t="inlineStr">
        <is>
          <t>RENU FRESH SOL MULTI PACKON FR 120ML+355ML+EST LENTES</t>
        </is>
      </c>
      <c r="C594" s="10" t="inlineStr">
        <is>
          <t>RX - OTC</t>
        </is>
      </c>
      <c r="D594" s="9" t="inlineStr">
        <is>
          <t>A</t>
        </is>
      </c>
      <c r="E594" s="9" t="n">
        <v>6</v>
      </c>
      <c r="F594" s="9" t="n">
        <v>1</v>
      </c>
      <c r="G594" s="11" t="n">
        <v>34.545</v>
      </c>
      <c r="H594" s="10" t="inlineStr">
        <is>
          <t>SC DISTRIBUICAO LTDA</t>
        </is>
      </c>
      <c r="I594" s="12" t="inlineStr">
        <is>
          <t>7896046381004</t>
        </is>
      </c>
      <c r="J594" s="10" t="inlineStr">
        <is>
          <t>RENU FRESH S/FRIC 355 + 120ML GRATIS</t>
        </is>
      </c>
      <c r="K594" s="11" t="n">
        <v>41.01</v>
      </c>
      <c r="L594" s="13" t="n">
        <v>0</v>
      </c>
      <c r="M594" s="11">
        <f>IF(K594="","",ROUND(K594*(1-L594),2))</f>
        <v/>
      </c>
      <c r="N594" s="9" t="n">
        <v>693</v>
      </c>
      <c r="O594" s="14">
        <f>IF(OR(M594="",R594&lt;&gt;""),"",M594/G594-1)</f>
        <v/>
      </c>
      <c r="P594" s="11">
        <f>IF(OR(M594="",R594&lt;&gt;""),"",(G594-M594)*E594)</f>
        <v/>
      </c>
      <c r="Q594" s="9">
        <f>IF(R594&lt;&gt;"","—",IF(M594&lt;G594,"Mais barato",IF(M594&gt;G594,"Mais caro","Igual")))</f>
        <v/>
      </c>
      <c r="R594" s="10" t="n"/>
    </row>
    <row r="595">
      <c r="A595" s="9" t="n">
        <v>647811</v>
      </c>
      <c r="B595" s="10" t="inlineStr">
        <is>
          <t>RENU FRESH SOLUCAO 60ML-DEMAIS PROD</t>
        </is>
      </c>
      <c r="C595" s="10" t="inlineStr">
        <is>
          <t>RX - OTC</t>
        </is>
      </c>
      <c r="D595" s="9" t="inlineStr">
        <is>
          <t>B</t>
        </is>
      </c>
      <c r="E595" s="9" t="n">
        <v>1</v>
      </c>
      <c r="F595" s="9" t="n">
        <v>1</v>
      </c>
      <c r="G595" s="11" t="n">
        <v>22.2</v>
      </c>
      <c r="H595" s="10" t="inlineStr">
        <is>
          <t>SC DISTRIBUICAO LTDA</t>
        </is>
      </c>
      <c r="I595" s="12" t="inlineStr">
        <is>
          <t>7896046390020</t>
        </is>
      </c>
      <c r="J595" s="10" t="inlineStr">
        <is>
          <t>RENU FRESH SOLUCAO 60ML</t>
        </is>
      </c>
      <c r="K595" s="11" t="n">
        <v>22.3</v>
      </c>
      <c r="L595" s="13" t="n">
        <v>0</v>
      </c>
      <c r="M595" s="11">
        <f>IF(K595="","",ROUND(K595*(1-L595),2))</f>
        <v/>
      </c>
      <c r="N595" s="9" t="n">
        <v>188</v>
      </c>
      <c r="O595" s="14">
        <f>IF(OR(M595="",R595&lt;&gt;""),"",M595/G595-1)</f>
        <v/>
      </c>
      <c r="P595" s="11">
        <f>IF(OR(M595="",R595&lt;&gt;""),"",(G595-M595)*E595)</f>
        <v/>
      </c>
      <c r="Q595" s="9">
        <f>IF(R595&lt;&gt;"","—",IF(M595&lt;G595,"Mais barato",IF(M595&gt;G595,"Mais caro","Igual")))</f>
        <v/>
      </c>
      <c r="R595" s="10" t="n"/>
    </row>
    <row r="596">
      <c r="A596" s="9" t="n">
        <v>431061</v>
      </c>
      <c r="B596" s="10" t="inlineStr">
        <is>
          <t>REPARIL 10+50MG/G GEL BG 30G</t>
        </is>
      </c>
      <c r="C596" s="10" t="inlineStr">
        <is>
          <t>RX - OTC</t>
        </is>
      </c>
      <c r="D596" s="9" t="inlineStr">
        <is>
          <t>A</t>
        </is>
      </c>
      <c r="E596" s="9" t="n">
        <v>2</v>
      </c>
      <c r="F596" s="9" t="n">
        <v>1</v>
      </c>
      <c r="G596" s="11" t="n">
        <v>32.3</v>
      </c>
      <c r="H596" s="10" t="inlineStr">
        <is>
          <t>SC DISTRIBUICAO LTDA</t>
        </is>
      </c>
      <c r="I596" s="12" t="n"/>
      <c r="J596" s="10" t="n"/>
      <c r="K596" s="11" t="n"/>
      <c r="L596" s="13" t="n"/>
      <c r="M596" s="11">
        <f>IF(K596="","",ROUND(K596*(1-L596),2))</f>
        <v/>
      </c>
      <c r="N596" s="9" t="n"/>
      <c r="O596" s="14">
        <f>IF(OR(M596="",R596&lt;&gt;""),"",M596/G596-1)</f>
        <v/>
      </c>
      <c r="P596" s="11">
        <f>IF(OR(M596="",R596&lt;&gt;""),"",(G596-M596)*E596)</f>
        <v/>
      </c>
      <c r="Q596" s="9">
        <f>IF(R596&lt;&gt;"","—",IF(M596&lt;G596,"Mais barato",IF(M596&gt;G596,"Mais caro","Igual")))</f>
        <v/>
      </c>
      <c r="R596" s="10" t="inlineStr">
        <is>
          <t>Não encontrado</t>
        </is>
      </c>
    </row>
    <row r="597">
      <c r="A597" s="9" t="n">
        <v>567621</v>
      </c>
      <c r="B597" s="10" t="inlineStr">
        <is>
          <t>RINOSOFT BABY 0,9% 100ML UN</t>
        </is>
      </c>
      <c r="C597" s="10" t="inlineStr">
        <is>
          <t>RX</t>
        </is>
      </c>
      <c r="D597" s="9" t="inlineStr">
        <is>
          <t>C</t>
        </is>
      </c>
      <c r="E597" s="9" t="n">
        <v>1</v>
      </c>
      <c r="F597" s="9" t="n">
        <v>1</v>
      </c>
      <c r="G597" s="11" t="n">
        <v>37.63</v>
      </c>
      <c r="H597" s="10" t="inlineStr">
        <is>
          <t>MEDCENTRO TO DISTRIBUIDORA DE PRODUTOS FARMACEUTICOS LTDA PA</t>
        </is>
      </c>
      <c r="I597" s="12" t="n"/>
      <c r="J597" s="10" t="n"/>
      <c r="K597" s="11" t="n"/>
      <c r="L597" s="13" t="n"/>
      <c r="M597" s="11">
        <f>IF(K597="","",ROUND(K597*(1-L597),2))</f>
        <v/>
      </c>
      <c r="N597" s="9" t="n"/>
      <c r="O597" s="14">
        <f>IF(OR(M597="",R597&lt;&gt;""),"",M597/G597-1)</f>
        <v/>
      </c>
      <c r="P597" s="11">
        <f>IF(OR(M597="",R597&lt;&gt;""),"",(G597-M597)*E597)</f>
        <v/>
      </c>
      <c r="Q597" s="9">
        <f>IF(R597&lt;&gt;"","—",IF(M597&lt;G597,"Mais barato",IF(M597&gt;G597,"Mais caro","Igual")))</f>
        <v/>
      </c>
      <c r="R597" s="10" t="inlineStr">
        <is>
          <t>Não encontrado</t>
        </is>
      </c>
    </row>
    <row r="598">
      <c r="A598" s="9" t="n">
        <v>555161</v>
      </c>
      <c r="B598" s="10" t="inlineStr">
        <is>
          <t>RINOSORO (N.S.) 9MG SOL NAS SPRAY 50ML</t>
        </is>
      </c>
      <c r="C598" s="10" t="inlineStr">
        <is>
          <t>RX - OTC</t>
        </is>
      </c>
      <c r="D598" s="9" t="inlineStr">
        <is>
          <t>B</t>
        </is>
      </c>
      <c r="E598" s="9" t="n">
        <v>1</v>
      </c>
      <c r="F598" s="9" t="n">
        <v>1</v>
      </c>
      <c r="G598" s="11" t="n">
        <v>25.84</v>
      </c>
      <c r="H598" s="10" t="inlineStr">
        <is>
          <t>SB COMERCIO LTDA 0179-15</t>
        </is>
      </c>
      <c r="I598" s="12" t="inlineStr">
        <is>
          <t>7897322704593</t>
        </is>
      </c>
      <c r="J598" s="10" t="inlineStr">
        <is>
          <t>RINOSORO SIC SPRAY 50ML</t>
        </is>
      </c>
      <c r="K598" s="11" t="n">
        <v>26.35</v>
      </c>
      <c r="L598" s="13" t="n">
        <v>0.035</v>
      </c>
      <c r="M598" s="11">
        <f>IF(K598="","",ROUND(K598*(1-L598),2))</f>
        <v/>
      </c>
      <c r="N598" s="9" t="n">
        <v>56</v>
      </c>
      <c r="O598" s="14">
        <f>IF(OR(M598="",R598&lt;&gt;""),"",M598/G598-1)</f>
        <v/>
      </c>
      <c r="P598" s="11">
        <f>IF(OR(M598="",R598&lt;&gt;""),"",(G598-M598)*E598)</f>
        <v/>
      </c>
      <c r="Q598" s="9">
        <f>IF(R598&lt;&gt;"","—",IF(M598&lt;G598,"Mais barato",IF(M598&gt;G598,"Mais caro","Igual")))</f>
        <v/>
      </c>
      <c r="R598" s="10" t="n"/>
    </row>
    <row r="599">
      <c r="A599" s="9" t="n">
        <v>644391</v>
      </c>
      <c r="B599" s="10" t="inlineStr">
        <is>
          <t>RINOSORO AV BABY 15 SCH+FR 60ML+SER 20ML</t>
        </is>
      </c>
      <c r="C599" s="10" t="inlineStr">
        <is>
          <t>RX - OTC</t>
        </is>
      </c>
      <c r="D599" s="9" t="inlineStr">
        <is>
          <t>C</t>
        </is>
      </c>
      <c r="E599" s="9" t="n">
        <v>1</v>
      </c>
      <c r="F599" s="9" t="n">
        <v>1</v>
      </c>
      <c r="G599" s="11" t="n">
        <v>41.8</v>
      </c>
      <c r="H599" s="10" t="inlineStr">
        <is>
          <t>SB COMERCIO LTDA 0179-15</t>
        </is>
      </c>
      <c r="I599" s="12" t="inlineStr">
        <is>
          <t>7896094930780</t>
        </is>
      </c>
      <c r="J599" s="10" t="inlineStr">
        <is>
          <t>LAVAGEM NASAL RINOSORO ALTO VOLUME BABY CAIXA 15 SACHES 0,54G CADA PO PARA SOLUÇAO + 1 APLICADOR + 1 COPO DOSADOR</t>
        </is>
      </c>
      <c r="K599" s="11" t="n">
        <v>44.48</v>
      </c>
      <c r="L599" s="13" t="n">
        <v>0.035</v>
      </c>
      <c r="M599" s="11">
        <f>IF(K599="","",ROUND(K599*(1-L599),2))</f>
        <v/>
      </c>
      <c r="N599" s="9" t="n"/>
      <c r="O599" s="14">
        <f>IF(OR(M599="",R599&lt;&gt;""),"",M599/G599-1)</f>
        <v/>
      </c>
      <c r="P599" s="11">
        <f>IF(OR(M599="",R599&lt;&gt;""),"",(G599-M599)*E599)</f>
        <v/>
      </c>
      <c r="Q599" s="9">
        <f>IF(R599&lt;&gt;"","—",IF(M599&lt;G599,"Mais barato",IF(M599&gt;G599,"Mais caro","Igual")))</f>
        <v/>
      </c>
      <c r="R599" s="10" t="n"/>
    </row>
    <row r="600">
      <c r="A600" s="9" t="n">
        <v>565161</v>
      </c>
      <c r="B600" s="10" t="inlineStr">
        <is>
          <t>RINOSORO JET (N.S.) 0,9% SPRAY NASAL FR 100ML</t>
        </is>
      </c>
      <c r="C600" s="10" t="inlineStr">
        <is>
          <t>RX - OTC</t>
        </is>
      </c>
      <c r="D600" s="9" t="inlineStr">
        <is>
          <t>A</t>
        </is>
      </c>
      <c r="E600" s="9" t="n">
        <v>4</v>
      </c>
      <c r="F600" s="9" t="n">
        <v>1</v>
      </c>
      <c r="G600" s="11" t="n">
        <v>32.955</v>
      </c>
      <c r="H600" s="10" t="inlineStr">
        <is>
          <t>NAZARIA DISTRIBUIDORA DE PRODUTOS FARMACEUTICOS LTDA</t>
        </is>
      </c>
      <c r="I600" s="12" t="inlineStr">
        <is>
          <t>7897322709376</t>
        </is>
      </c>
      <c r="J600" s="10" t="inlineStr">
        <is>
          <t>RINOSORO JET 0,9% 100ML</t>
        </is>
      </c>
      <c r="K600" s="11" t="n">
        <v>38.25</v>
      </c>
      <c r="L600" s="13" t="n">
        <v>0.035</v>
      </c>
      <c r="M600" s="11">
        <f>IF(K600="","",ROUND(K600*(1-L600),2))</f>
        <v/>
      </c>
      <c r="N600" s="9" t="n">
        <v>2084</v>
      </c>
      <c r="O600" s="14">
        <f>IF(OR(M600="",R600&lt;&gt;""),"",M600/G600-1)</f>
        <v/>
      </c>
      <c r="P600" s="11">
        <f>IF(OR(M600="",R600&lt;&gt;""),"",(G600-M600)*E600)</f>
        <v/>
      </c>
      <c r="Q600" s="9">
        <f>IF(R600&lt;&gt;"","—",IF(M600&lt;G600,"Mais barato",IF(M600&gt;G600,"Mais caro","Igual")))</f>
        <v/>
      </c>
      <c r="R600" s="10" t="n"/>
    </row>
    <row r="601">
      <c r="A601" s="9" t="n">
        <v>427821</v>
      </c>
      <c r="B601" s="10" t="inlineStr">
        <is>
          <t>ROSUCOR 10MG CX 30 COMP REV</t>
        </is>
      </c>
      <c r="C601" s="10" t="inlineStr">
        <is>
          <t>RX</t>
        </is>
      </c>
      <c r="D601" s="9" t="inlineStr">
        <is>
          <t>C</t>
        </is>
      </c>
      <c r="E601" s="9" t="n">
        <v>1</v>
      </c>
      <c r="F601" s="9" t="n">
        <v>1</v>
      </c>
      <c r="G601" s="11" t="n">
        <v>33.14</v>
      </c>
      <c r="H601" s="10" t="inlineStr">
        <is>
          <t>SC DISTRIBUICAO LTDA</t>
        </is>
      </c>
      <c r="I601" s="12" t="inlineStr">
        <is>
          <t>8902220109506</t>
        </is>
      </c>
      <c r="J601" s="10" t="inlineStr">
        <is>
          <t>ROSUCOR 10MG C/30 COMPRIMIDOS</t>
        </is>
      </c>
      <c r="K601" s="11" t="n">
        <v>32.79</v>
      </c>
      <c r="L601" s="13" t="n">
        <v>0.06</v>
      </c>
      <c r="M601" s="11">
        <f>IF(K601="","",ROUND(K601*(1-L601),2))</f>
        <v/>
      </c>
      <c r="N601" s="9" t="n">
        <v>563</v>
      </c>
      <c r="O601" s="14">
        <f>IF(OR(M601="",R601&lt;&gt;""),"",M601/G601-1)</f>
        <v/>
      </c>
      <c r="P601" s="11">
        <f>IF(OR(M601="",R601&lt;&gt;""),"",(G601-M601)*E601)</f>
        <v/>
      </c>
      <c r="Q601" s="9">
        <f>IF(R601&lt;&gt;"","—",IF(M601&lt;G601,"Mais barato",IF(M601&gt;G601,"Mais caro","Igual")))</f>
        <v/>
      </c>
      <c r="R601" s="10" t="n"/>
    </row>
    <row r="602">
      <c r="A602" s="9" t="n">
        <v>427841</v>
      </c>
      <c r="B602" s="10" t="inlineStr">
        <is>
          <t>ROSUCOR 20MG CX 30 COMP REV</t>
        </is>
      </c>
      <c r="C602" s="10" t="inlineStr">
        <is>
          <t>RX</t>
        </is>
      </c>
      <c r="D602" s="9" t="inlineStr">
        <is>
          <t>B</t>
        </is>
      </c>
      <c r="E602" s="9" t="n">
        <v>1</v>
      </c>
      <c r="F602" s="9" t="n">
        <v>1</v>
      </c>
      <c r="G602" s="11" t="n">
        <v>58.89</v>
      </c>
      <c r="H602" s="10" t="inlineStr">
        <is>
          <t>SC DISTRIBUICAO LTDA</t>
        </is>
      </c>
      <c r="I602" s="12" t="inlineStr">
        <is>
          <t>8902220109520</t>
        </is>
      </c>
      <c r="J602" s="10" t="inlineStr">
        <is>
          <t>ROSUCOR 20MG C/30 COMPRIMIDOS</t>
        </is>
      </c>
      <c r="K602" s="11" t="n">
        <v>56.07</v>
      </c>
      <c r="L602" s="13" t="n">
        <v>0.06</v>
      </c>
      <c r="M602" s="11">
        <f>IF(K602="","",ROUND(K602*(1-L602),2))</f>
        <v/>
      </c>
      <c r="N602" s="9" t="n">
        <v>783</v>
      </c>
      <c r="O602" s="14">
        <f>IF(OR(M602="",R602&lt;&gt;""),"",M602/G602-1)</f>
        <v/>
      </c>
      <c r="P602" s="11">
        <f>IF(OR(M602="",R602&lt;&gt;""),"",(G602-M602)*E602)</f>
        <v/>
      </c>
      <c r="Q602" s="9">
        <f>IF(R602&lt;&gt;"","—",IF(M602&lt;G602,"Mais barato",IF(M602&gt;G602,"Mais caro","Igual")))</f>
        <v/>
      </c>
      <c r="R602" s="10" t="n"/>
    </row>
    <row r="603">
      <c r="A603" s="9" t="n">
        <v>611001</v>
      </c>
      <c r="B603" s="10" t="inlineStr">
        <is>
          <t>SAB NIVEA GEL ACNE CONTROL 150G</t>
        </is>
      </c>
      <c r="C603" s="10" t="inlineStr">
        <is>
          <t>RX - DERMO</t>
        </is>
      </c>
      <c r="D603" s="9" t="inlineStr">
        <is>
          <t>B</t>
        </is>
      </c>
      <c r="E603" s="9" t="n">
        <v>1</v>
      </c>
      <c r="F603" s="9" t="n">
        <v>1</v>
      </c>
      <c r="G603" s="11" t="n">
        <v>23.5633</v>
      </c>
      <c r="H603" s="10" t="inlineStr">
        <is>
          <t>SC DISTRIBUICAO LTDA</t>
        </is>
      </c>
      <c r="I603" s="12" t="inlineStr">
        <is>
          <t>4005900945709</t>
        </is>
      </c>
      <c r="J603" s="10" t="inlineStr">
        <is>
          <t>SABONETE GEL DE LIMPEZA ACNE CONTROL NIVEA 150G</t>
        </is>
      </c>
      <c r="K603" s="11" t="n">
        <v>28.25</v>
      </c>
      <c r="L603" s="13" t="n">
        <v>0</v>
      </c>
      <c r="M603" s="11">
        <f>IF(K603="","",ROUND(K603*(1-L603),2))</f>
        <v/>
      </c>
      <c r="N603" s="9" t="n">
        <v>128</v>
      </c>
      <c r="O603" s="14">
        <f>IF(OR(M603="",R603&lt;&gt;""),"",M603/G603-1)</f>
        <v/>
      </c>
      <c r="P603" s="11">
        <f>IF(OR(M603="",R603&lt;&gt;""),"",(G603-M603)*E603)</f>
        <v/>
      </c>
      <c r="Q603" s="9">
        <f>IF(R603&lt;&gt;"","—",IF(M603&lt;G603,"Mais barato",IF(M603&gt;G603,"Mais caro","Igual")))</f>
        <v/>
      </c>
      <c r="R603" s="10" t="n"/>
    </row>
    <row r="604">
      <c r="A604" s="9" t="n">
        <v>594311</v>
      </c>
      <c r="B604" s="10" t="inlineStr">
        <is>
          <t>SAB NIVEA GEL CONTR BRILHO 145G</t>
        </is>
      </c>
      <c r="C604" s="10" t="inlineStr">
        <is>
          <t>RX - DERMO</t>
        </is>
      </c>
      <c r="D604" s="9" t="inlineStr">
        <is>
          <t>B</t>
        </is>
      </c>
      <c r="E604" s="9" t="n">
        <v>2</v>
      </c>
      <c r="F604" s="9" t="n">
        <v>1</v>
      </c>
      <c r="G604" s="11" t="n">
        <v>20.575</v>
      </c>
      <c r="H604" s="10" t="inlineStr">
        <is>
          <t>SC DISTRIBUICAO LTDA</t>
        </is>
      </c>
      <c r="I604" s="12" t="inlineStr">
        <is>
          <t>4005808189625</t>
        </is>
      </c>
      <c r="J604" s="10" t="inlineStr">
        <is>
          <t>SABONETE FACIAL LIMPEZA REFRESCANTE PELE MISTA OLEOSA NIVEA 150G</t>
        </is>
      </c>
      <c r="K604" s="11" t="n">
        <v>22.71</v>
      </c>
      <c r="L604" s="13" t="n">
        <v>0</v>
      </c>
      <c r="M604" s="11">
        <f>IF(K604="","",ROUND(K604*(1-L604),2))</f>
        <v/>
      </c>
      <c r="N604" s="9" t="n">
        <v>197</v>
      </c>
      <c r="O604" s="14">
        <f>IF(OR(M604="",R604&lt;&gt;""),"",M604/G604-1)</f>
        <v/>
      </c>
      <c r="P604" s="11">
        <f>IF(OR(M604="",R604&lt;&gt;""),"",(G604-M604)*E604)</f>
        <v/>
      </c>
      <c r="Q604" s="9">
        <f>IF(R604&lt;&gt;"","—",IF(M604&lt;G604,"Mais barato",IF(M604&gt;G604,"Mais caro","Igual")))</f>
        <v/>
      </c>
      <c r="R604" s="10" t="n"/>
    </row>
    <row r="605">
      <c r="A605" s="9" t="n">
        <v>104</v>
      </c>
      <c r="B605" s="10" t="inlineStr">
        <is>
          <t>SABONETE FACIAL GEL NIVEA EQUI NUT 150G</t>
        </is>
      </c>
      <c r="C605" s="10" t="inlineStr">
        <is>
          <t>RX - DERMO</t>
        </is>
      </c>
      <c r="D605" s="9" t="inlineStr">
        <is>
          <t>C</t>
        </is>
      </c>
      <c r="E605" s="9" t="n">
        <v>1</v>
      </c>
      <c r="F605" s="9" t="n">
        <v>1</v>
      </c>
      <c r="G605" s="11" t="n">
        <v>26.19</v>
      </c>
      <c r="H605" s="10" t="inlineStr">
        <is>
          <t>SC DISTRIBUICAO LTDA</t>
        </is>
      </c>
      <c r="I605" s="12" t="inlineStr">
        <is>
          <t>4005808189342</t>
        </is>
      </c>
      <c r="J605" s="10" t="inlineStr">
        <is>
          <t>SABONETE GEL FACIAL NIVEA EQUILIBRIO NUTRITIVO BISNAGA 150ML</t>
        </is>
      </c>
      <c r="K605" s="11" t="n">
        <v>22.71</v>
      </c>
      <c r="L605" s="13" t="n">
        <v>0</v>
      </c>
      <c r="M605" s="11">
        <f>IF(K605="","",ROUND(K605*(1-L605),2))</f>
        <v/>
      </c>
      <c r="N605" s="9" t="n">
        <v>10</v>
      </c>
      <c r="O605" s="14">
        <f>IF(OR(M605="",R605&lt;&gt;""),"",M605/G605-1)</f>
        <v/>
      </c>
      <c r="P605" s="11">
        <f>IF(OR(M605="",R605&lt;&gt;""),"",(G605-M605)*E605)</f>
        <v/>
      </c>
      <c r="Q605" s="9">
        <f>IF(R605&lt;&gt;"","—",IF(M605&lt;G605,"Mais barato",IF(M605&gt;G605,"Mais caro","Igual")))</f>
        <v/>
      </c>
      <c r="R605" s="10" t="n"/>
    </row>
    <row r="606">
      <c r="A606" s="9" t="n">
        <v>521301</v>
      </c>
      <c r="B606" s="10" t="inlineStr">
        <is>
          <t>SAL DE FRUTA ENO 2 SACHES ENV SB ABACAXI</t>
        </is>
      </c>
      <c r="C606" s="10" t="inlineStr">
        <is>
          <t>RX - OTC</t>
        </is>
      </c>
      <c r="D606" s="9" t="inlineStr">
        <is>
          <t>A</t>
        </is>
      </c>
      <c r="E606" s="9" t="n">
        <v>1</v>
      </c>
      <c r="F606" s="9" t="n">
        <v>30</v>
      </c>
      <c r="G606" s="11" t="n">
        <v>89.90770000000001</v>
      </c>
      <c r="H606" s="10" t="inlineStr">
        <is>
          <t>SC DISTRIBUICAO LTDA</t>
        </is>
      </c>
      <c r="I606" s="12" t="inlineStr">
        <is>
          <t>7896015521684</t>
        </is>
      </c>
      <c r="J606" s="10" t="inlineStr">
        <is>
          <t>SAL DE FRUTA ENO ABACAXI 60 ENVELOPES 5G</t>
        </is>
      </c>
      <c r="K606" s="11" t="n">
        <v>112.24</v>
      </c>
      <c r="L606" s="13" t="n">
        <v>0.04</v>
      </c>
      <c r="M606" s="11">
        <f>IF(K606="","",ROUND(K606*(1-L606),2))</f>
        <v/>
      </c>
      <c r="N606" s="9" t="n">
        <v>1041</v>
      </c>
      <c r="O606" s="14">
        <f>IF(OR(M606="",R606&lt;&gt;""),"",M606/G606-1)</f>
        <v/>
      </c>
      <c r="P606" s="11">
        <f>IF(OR(M606="",R606&lt;&gt;""),"",(G606-M606)*E606)</f>
        <v/>
      </c>
      <c r="Q606" s="9">
        <f>IF(R606&lt;&gt;"","—",IF(M606&lt;G606,"Mais barato",IF(M606&gt;G606,"Mais caro","Igual")))</f>
        <v/>
      </c>
      <c r="R606" s="10" t="n"/>
    </row>
    <row r="607">
      <c r="A607" s="9" t="n">
        <v>521321</v>
      </c>
      <c r="B607" s="10" t="inlineStr">
        <is>
          <t>SAL DE FRUTA ENO FR 100G SB ABACAXI</t>
        </is>
      </c>
      <c r="C607" s="10" t="inlineStr">
        <is>
          <t>RX - OTC</t>
        </is>
      </c>
      <c r="D607" s="9" t="inlineStr">
        <is>
          <t>C</t>
        </is>
      </c>
      <c r="E607" s="9" t="n">
        <v>1</v>
      </c>
      <c r="F607" s="9" t="n">
        <v>1</v>
      </c>
      <c r="G607" s="11" t="n">
        <v>23.44</v>
      </c>
      <c r="H607" s="10" t="inlineStr">
        <is>
          <t>SC DISTRIBUICAO LTDA</t>
        </is>
      </c>
      <c r="I607" s="12" t="inlineStr">
        <is>
          <t>7896015521622</t>
        </is>
      </c>
      <c r="J607" s="10" t="inlineStr">
        <is>
          <t>SAL DE FRUTA ENO ABACAXI PO EFERVESCENTE 100G</t>
        </is>
      </c>
      <c r="K607" s="11" t="n">
        <v>23.04</v>
      </c>
      <c r="L607" s="13" t="n">
        <v>0.04</v>
      </c>
      <c r="M607" s="11">
        <f>IF(K607="","",ROUND(K607*(1-L607),2))</f>
        <v/>
      </c>
      <c r="N607" s="9" t="n">
        <v>1887</v>
      </c>
      <c r="O607" s="14">
        <f>IF(OR(M607="",R607&lt;&gt;""),"",M607/G607-1)</f>
        <v/>
      </c>
      <c r="P607" s="11">
        <f>IF(OR(M607="",R607&lt;&gt;""),"",(G607-M607)*E607)</f>
        <v/>
      </c>
      <c r="Q607" s="9">
        <f>IF(R607&lt;&gt;"","—",IF(M607&lt;G607,"Mais barato",IF(M607&gt;G607,"Mais caro","Igual")))</f>
        <v/>
      </c>
      <c r="R607" s="10" t="n"/>
    </row>
    <row r="608">
      <c r="A608" s="9" t="n">
        <v>431301</v>
      </c>
      <c r="B608" s="10" t="inlineStr">
        <is>
          <t>SALONPAS 0,15+0,07G/G GEL BG 20G</t>
        </is>
      </c>
      <c r="C608" s="10" t="inlineStr">
        <is>
          <t>RX - OTC</t>
        </is>
      </c>
      <c r="D608" s="9" t="inlineStr">
        <is>
          <t>B</t>
        </is>
      </c>
      <c r="E608" s="9" t="n">
        <v>2</v>
      </c>
      <c r="F608" s="9" t="n">
        <v>1</v>
      </c>
      <c r="G608" s="11" t="n">
        <v>14.86</v>
      </c>
      <c r="H608" s="10" t="inlineStr">
        <is>
          <t>SC DISTRIBUICAO LTDA</t>
        </is>
      </c>
      <c r="I608" s="12" t="inlineStr">
        <is>
          <t>7896227800089</t>
        </is>
      </c>
      <c r="J608" s="10" t="inlineStr">
        <is>
          <t>SALONPAS GEL 20G</t>
        </is>
      </c>
      <c r="K608" s="11" t="n">
        <v>15.16</v>
      </c>
      <c r="L608" s="13" t="n">
        <v>0.12</v>
      </c>
      <c r="M608" s="11">
        <f>IF(K608="","",ROUND(K608*(1-L608),2))</f>
        <v/>
      </c>
      <c r="N608" s="9" t="n"/>
      <c r="O608" s="14">
        <f>IF(OR(M608="",R608&lt;&gt;""),"",M608/G608-1)</f>
        <v/>
      </c>
      <c r="P608" s="11">
        <f>IF(OR(M608="",R608&lt;&gt;""),"",(G608-M608)*E608)</f>
        <v/>
      </c>
      <c r="Q608" s="9">
        <f>IF(R608&lt;&gt;"","—",IF(M608&lt;G608,"Mais barato",IF(M608&gt;G608,"Mais caro","Igual")))</f>
        <v/>
      </c>
      <c r="R608" s="10" t="n"/>
    </row>
    <row r="609">
      <c r="A609" s="9" t="n">
        <v>318441</v>
      </c>
      <c r="B609" s="10" t="inlineStr">
        <is>
          <t>SALONPAS 144,0+131,0+28,4MG CX 4 UNID. ADES TAM GDE</t>
        </is>
      </c>
      <c r="C609" s="10" t="inlineStr">
        <is>
          <t>RX - OTC</t>
        </is>
      </c>
      <c r="D609" s="9" t="inlineStr">
        <is>
          <t>A</t>
        </is>
      </c>
      <c r="E609" s="9" t="n">
        <v>61</v>
      </c>
      <c r="F609" s="9" t="n">
        <v>1</v>
      </c>
      <c r="G609" s="11" t="n">
        <v>15.3803</v>
      </c>
      <c r="H609" s="10" t="inlineStr">
        <is>
          <t>SC DISTRIBUICAO LTDA</t>
        </is>
      </c>
      <c r="I609" s="12" t="inlineStr">
        <is>
          <t>7896227800829</t>
        </is>
      </c>
      <c r="J609" s="10" t="inlineStr">
        <is>
          <t>SALONPAS ADESIVO GRANDE 4 UNIDADES</t>
        </is>
      </c>
      <c r="K609" s="11" t="n">
        <v>13.02</v>
      </c>
      <c r="L609" s="13" t="n">
        <v>0.12</v>
      </c>
      <c r="M609" s="11">
        <f>IF(K609="","",ROUND(K609*(1-L609),2))</f>
        <v/>
      </c>
      <c r="N609" s="9" t="n"/>
      <c r="O609" s="14">
        <f>IF(OR(M609="",R609&lt;&gt;""),"",M609/G609-1)</f>
        <v/>
      </c>
      <c r="P609" s="11">
        <f>IF(OR(M609="",R609&lt;&gt;""),"",(G609-M609)*E609)</f>
        <v/>
      </c>
      <c r="Q609" s="9">
        <f>IF(R609&lt;&gt;"","—",IF(M609&lt;G609,"Mais barato",IF(M609&gt;G609,"Mais caro","Igual")))</f>
        <v/>
      </c>
      <c r="R609" s="10" t="n"/>
    </row>
    <row r="610">
      <c r="A610" s="9" t="n">
        <v>318461</v>
      </c>
      <c r="B610" s="10" t="inlineStr">
        <is>
          <t>SALONPAS 36,0MG+33,0MG+7,1MG CX 4 UNID. ADES TAM PEQ</t>
        </is>
      </c>
      <c r="C610" s="10" t="inlineStr">
        <is>
          <t>RX - OTC</t>
        </is>
      </c>
      <c r="D610" s="9" t="inlineStr">
        <is>
          <t>A</t>
        </is>
      </c>
      <c r="E610" s="9" t="n">
        <v>70</v>
      </c>
      <c r="F610" s="9" t="n">
        <v>1</v>
      </c>
      <c r="G610" s="11" t="n">
        <v>4.0246</v>
      </c>
      <c r="H610" s="10" t="inlineStr">
        <is>
          <t>SC DISTRIBUICAO LTDA</t>
        </is>
      </c>
      <c r="I610" s="12" t="inlineStr">
        <is>
          <t>7896227800799</t>
        </is>
      </c>
      <c r="J610" s="10" t="inlineStr">
        <is>
          <t>SALONPAS ADESIVO PEQUENO 4 UNIDADES</t>
        </is>
      </c>
      <c r="K610" s="11" t="n">
        <v>3.63</v>
      </c>
      <c r="L610" s="13" t="n">
        <v>0.12</v>
      </c>
      <c r="M610" s="11">
        <f>IF(K610="","",ROUND(K610*(1-L610),2))</f>
        <v/>
      </c>
      <c r="N610" s="9" t="n"/>
      <c r="O610" s="14">
        <f>IF(OR(M610="",R610&lt;&gt;""),"",M610/G610-1)</f>
        <v/>
      </c>
      <c r="P610" s="11">
        <f>IF(OR(M610="",R610&lt;&gt;""),"",(G610-M610)*E610)</f>
        <v/>
      </c>
      <c r="Q610" s="9">
        <f>IF(R610&lt;&gt;"","—",IF(M610&lt;G610,"Mais barato",IF(M610&gt;G610,"Mais caro","Igual")))</f>
        <v/>
      </c>
      <c r="R610" s="10" t="n"/>
    </row>
    <row r="611">
      <c r="A611" s="9" t="n">
        <v>623011</v>
      </c>
      <c r="B611" s="10" t="inlineStr">
        <is>
          <t>SALONPAS GEL-PATCH 12,5MG/G+10MG/G+3MG/G+10MG/G 3 ADES</t>
        </is>
      </c>
      <c r="C611" s="10" t="inlineStr">
        <is>
          <t>RX - OTC</t>
        </is>
      </c>
      <c r="D611" s="9" t="inlineStr">
        <is>
          <t>C</t>
        </is>
      </c>
      <c r="E611" s="9" t="n">
        <v>5</v>
      </c>
      <c r="F611" s="9" t="n">
        <v>1</v>
      </c>
      <c r="G611" s="11" t="n">
        <v>13.495</v>
      </c>
      <c r="H611" s="10" t="inlineStr">
        <is>
          <t>SC DISTRIBUICAO LTDA</t>
        </is>
      </c>
      <c r="I611" s="12" t="inlineStr">
        <is>
          <t>4987188501115</t>
        </is>
      </c>
      <c r="J611" s="10" t="inlineStr">
        <is>
          <t>SALONPAS PATCH GEL 1 ENVELOPE 3 UNIDADES</t>
        </is>
      </c>
      <c r="K611" s="11" t="n">
        <v>14.11</v>
      </c>
      <c r="L611" s="13" t="n">
        <v>0.12</v>
      </c>
      <c r="M611" s="11">
        <f>IF(K611="","",ROUND(K611*(1-L611),2))</f>
        <v/>
      </c>
      <c r="N611" s="9" t="n">
        <v>5738</v>
      </c>
      <c r="O611" s="14">
        <f>IF(OR(M611="",R611&lt;&gt;""),"",M611/G611-1)</f>
        <v/>
      </c>
      <c r="P611" s="11">
        <f>IF(OR(M611="",R611&lt;&gt;""),"",(G611-M611)*E611)</f>
        <v/>
      </c>
      <c r="Q611" s="9">
        <f>IF(R611&lt;&gt;"","—",IF(M611&lt;G611,"Mais barato",IF(M611&gt;G611,"Mais caro","Igual")))</f>
        <v/>
      </c>
      <c r="R611" s="10" t="n"/>
    </row>
    <row r="612">
      <c r="A612" s="9" t="n">
        <v>191821</v>
      </c>
      <c r="B612" s="10" t="inlineStr">
        <is>
          <t>SANY D 2.000UI CX 30 COMP REV</t>
        </is>
      </c>
      <c r="C612" s="10" t="inlineStr">
        <is>
          <t>RX</t>
        </is>
      </c>
      <c r="D612" s="9" t="inlineStr">
        <is>
          <t>C</t>
        </is>
      </c>
      <c r="E612" s="9" t="n">
        <v>1</v>
      </c>
      <c r="F612" s="9" t="n">
        <v>1</v>
      </c>
      <c r="G612" s="11" t="n">
        <v>43.7</v>
      </c>
      <c r="H612" s="10" t="n">
        <v/>
      </c>
      <c r="I612" s="12" t="inlineStr">
        <is>
          <t>7896658028328</t>
        </is>
      </c>
      <c r="J612" s="10" t="inlineStr">
        <is>
          <t>SANY D 2.000UI C/30 COMPRIMIDOS</t>
        </is>
      </c>
      <c r="K612" s="11" t="n">
        <v>43.9</v>
      </c>
      <c r="L612" s="13" t="n">
        <v>0.05</v>
      </c>
      <c r="M612" s="11">
        <f>IF(K612="","",ROUND(K612*(1-L612),2))</f>
        <v/>
      </c>
      <c r="N612" s="9" t="n">
        <v>23</v>
      </c>
      <c r="O612" s="14">
        <f>IF(OR(M612="",R612&lt;&gt;""),"",M612/G612-1)</f>
        <v/>
      </c>
      <c r="P612" s="11">
        <f>IF(OR(M612="",R612&lt;&gt;""),"",(G612-M612)*E612)</f>
        <v/>
      </c>
      <c r="Q612" s="9">
        <f>IF(R612&lt;&gt;"","—",IF(M612&lt;G612,"Mais barato",IF(M612&gt;G612,"Mais caro","Igual")))</f>
        <v/>
      </c>
      <c r="R612" s="10" t="n"/>
    </row>
    <row r="613">
      <c r="A613" s="9" t="n">
        <v>612511</v>
      </c>
      <c r="B613" s="10" t="inlineStr">
        <is>
          <t>SANY D FR GTS 20ML</t>
        </is>
      </c>
      <c r="C613" s="10" t="inlineStr">
        <is>
          <t>RX - OTC</t>
        </is>
      </c>
      <c r="D613" s="9" t="inlineStr">
        <is>
          <t>B</t>
        </is>
      </c>
      <c r="E613" s="9" t="n">
        <v>1</v>
      </c>
      <c r="F613" s="9" t="n">
        <v>1</v>
      </c>
      <c r="G613" s="11" t="n">
        <v>26.72</v>
      </c>
      <c r="H613" s="10" t="inlineStr">
        <is>
          <t>SC DISTRIBUICAO LTDA</t>
        </is>
      </c>
      <c r="I613" s="12" t="inlineStr">
        <is>
          <t>7896658038723</t>
        </is>
      </c>
      <c r="J613" s="10" t="inlineStr">
        <is>
          <t>SANY D 200IU GOTAS MACA VERDE 20ML</t>
        </is>
      </c>
      <c r="K613" s="11" t="n">
        <v>27.1</v>
      </c>
      <c r="L613" s="13" t="n">
        <v>0</v>
      </c>
      <c r="M613" s="11">
        <f>IF(K613="","",ROUND(K613*(1-L613),2))</f>
        <v/>
      </c>
      <c r="N613" s="9" t="n">
        <v>302</v>
      </c>
      <c r="O613" s="14">
        <f>IF(OR(M613="",R613&lt;&gt;""),"",M613/G613-1)</f>
        <v/>
      </c>
      <c r="P613" s="11">
        <f>IF(OR(M613="",R613&lt;&gt;""),"",(G613-M613)*E613)</f>
        <v/>
      </c>
      <c r="Q613" s="9">
        <f>IF(R613&lt;&gt;"","—",IF(M613&lt;G613,"Mais barato",IF(M613&gt;G613,"Mais caro","Igual")))</f>
        <v/>
      </c>
      <c r="R613" s="10" t="n"/>
    </row>
    <row r="614">
      <c r="A614" s="9" t="n">
        <v>244781</v>
      </c>
      <c r="B614" s="10" t="inlineStr">
        <is>
          <t>SEKI 3,54MG/ML XPE FR 120ML+CM</t>
        </is>
      </c>
      <c r="C614" s="10" t="inlineStr">
        <is>
          <t>RX - OTC</t>
        </is>
      </c>
      <c r="D614" s="9" t="inlineStr">
        <is>
          <t>A</t>
        </is>
      </c>
      <c r="E614" s="9" t="n">
        <v>19</v>
      </c>
      <c r="F614" s="9" t="n">
        <v>1</v>
      </c>
      <c r="G614" s="11" t="n">
        <v>25.11</v>
      </c>
      <c r="H614" s="10" t="inlineStr">
        <is>
          <t>SC DISTRIBUICAO LTDA</t>
        </is>
      </c>
      <c r="I614" s="12" t="inlineStr">
        <is>
          <t>7898074618183</t>
        </is>
      </c>
      <c r="J614" s="10" t="inlineStr">
        <is>
          <t>XAROPE SEKI 120ML</t>
        </is>
      </c>
      <c r="K614" s="11" t="n">
        <v>25.85</v>
      </c>
      <c r="L614" s="13" t="n">
        <v>0.05</v>
      </c>
      <c r="M614" s="11">
        <f>IF(K614="","",ROUND(K614*(1-L614),2))</f>
        <v/>
      </c>
      <c r="N614" s="9" t="n">
        <v>7021</v>
      </c>
      <c r="O614" s="14">
        <f>IF(OR(M614="",R614&lt;&gt;""),"",M614/G614-1)</f>
        <v/>
      </c>
      <c r="P614" s="11">
        <f>IF(OR(M614="",R614&lt;&gt;""),"",(G614-M614)*E614)</f>
        <v/>
      </c>
      <c r="Q614" s="9">
        <f>IF(R614&lt;&gt;"","—",IF(M614&lt;G614,"Mais barato",IF(M614&gt;G614,"Mais caro","Igual")))</f>
        <v/>
      </c>
      <c r="R614" s="10" t="n"/>
    </row>
    <row r="615">
      <c r="A615" s="9" t="n">
        <v>4281</v>
      </c>
      <c r="B615" s="10" t="inlineStr">
        <is>
          <t>SELENE 0,035+2MG (CAIXA C/ 3 CARTELAS) C/21</t>
        </is>
      </c>
      <c r="C615" s="10" t="inlineStr">
        <is>
          <t>RX</t>
        </is>
      </c>
      <c r="D615" s="9" t="inlineStr">
        <is>
          <t>A</t>
        </is>
      </c>
      <c r="E615" s="9" t="n">
        <v>9</v>
      </c>
      <c r="F615" s="9" t="n">
        <v>1</v>
      </c>
      <c r="G615" s="11" t="n">
        <v>18.6713</v>
      </c>
      <c r="H615" s="10" t="inlineStr">
        <is>
          <t>SC DISTRIBUICAO LTDA</t>
        </is>
      </c>
      <c r="I615" s="12" t="inlineStr">
        <is>
          <t>7891317465650</t>
        </is>
      </c>
      <c r="J615" s="10" t="inlineStr">
        <is>
          <t>SELENE C/63 COMPRIMIDOS</t>
        </is>
      </c>
      <c r="K615" s="11" t="n">
        <v>55.64</v>
      </c>
      <c r="L615" s="13" t="n">
        <v>0.04</v>
      </c>
      <c r="M615" s="11">
        <f>IF(K615="","",ROUND(K615*(1-L615),2))</f>
        <v/>
      </c>
      <c r="N615" s="9" t="n">
        <v>1805</v>
      </c>
      <c r="O615" s="14">
        <f>IF(OR(M615="",R615&lt;&gt;""),"",M615/G615-1)</f>
        <v/>
      </c>
      <c r="P615" s="11">
        <f>IF(OR(M615="",R615&lt;&gt;""),"",(G615-M615)*E615)</f>
        <v/>
      </c>
      <c r="Q615" s="9">
        <f>IF(R615&lt;&gt;"","—",IF(M615&lt;G615,"Mais barato",IF(M615&gt;G615,"Mais caro","Igual")))</f>
        <v/>
      </c>
      <c r="R615" s="10" t="inlineStr">
        <is>
          <t>Conferir embalagem/EAN</t>
        </is>
      </c>
    </row>
    <row r="616">
      <c r="A616" s="9" t="n">
        <v>444281</v>
      </c>
      <c r="B616" s="10" t="inlineStr">
        <is>
          <t>SELOZOK 25MG CX 30 COMP</t>
        </is>
      </c>
      <c r="C616" s="10" t="inlineStr">
        <is>
          <t>RX</t>
        </is>
      </c>
      <c r="D616" s="9" t="inlineStr">
        <is>
          <t>A</t>
        </is>
      </c>
      <c r="E616" s="9" t="n">
        <v>3</v>
      </c>
      <c r="F616" s="9" t="n">
        <v>1</v>
      </c>
      <c r="G616" s="11" t="n">
        <v>31.175</v>
      </c>
      <c r="H616" s="10" t="inlineStr">
        <is>
          <t>SC DISTRIBUICAO LTDA</t>
        </is>
      </c>
      <c r="I616" s="12" t="inlineStr">
        <is>
          <t>7896206402853</t>
        </is>
      </c>
      <c r="J616" s="10" t="inlineStr">
        <is>
          <t>SELOZOK 25MG C/30 COMPRIMIDOS LIBERACAO CONT</t>
        </is>
      </c>
      <c r="K616" s="11" t="n">
        <v>31.63</v>
      </c>
      <c r="L616" s="13" t="n">
        <v>0.03</v>
      </c>
      <c r="M616" s="11">
        <f>IF(K616="","",ROUND(K616*(1-L616),2))</f>
        <v/>
      </c>
      <c r="N616" s="9" t="n">
        <v>1678</v>
      </c>
      <c r="O616" s="14">
        <f>IF(OR(M616="",R616&lt;&gt;""),"",M616/G616-1)</f>
        <v/>
      </c>
      <c r="P616" s="11">
        <f>IF(OR(M616="",R616&lt;&gt;""),"",(G616-M616)*E616)</f>
        <v/>
      </c>
      <c r="Q616" s="9">
        <f>IF(R616&lt;&gt;"","—",IF(M616&lt;G616,"Mais barato",IF(M616&gt;G616,"Mais caro","Igual")))</f>
        <v/>
      </c>
      <c r="R616" s="10" t="n"/>
    </row>
    <row r="617">
      <c r="A617" s="9" t="n">
        <v>444341</v>
      </c>
      <c r="B617" s="10" t="inlineStr">
        <is>
          <t>SELOZOK 50MG CX 30 COMP</t>
        </is>
      </c>
      <c r="C617" s="10" t="inlineStr">
        <is>
          <t>RX</t>
        </is>
      </c>
      <c r="D617" s="9" t="inlineStr">
        <is>
          <t>B</t>
        </is>
      </c>
      <c r="E617" s="9" t="n">
        <v>1</v>
      </c>
      <c r="F617" s="9" t="n">
        <v>1</v>
      </c>
      <c r="G617" s="11" t="n">
        <v>62.56</v>
      </c>
      <c r="H617" s="10" t="inlineStr">
        <is>
          <t>SC DISTRIBUICAO LTDA</t>
        </is>
      </c>
      <c r="I617" s="12" t="inlineStr">
        <is>
          <t>7896206402860</t>
        </is>
      </c>
      <c r="J617" s="10" t="inlineStr">
        <is>
          <t>SELOZOK 50MG C/30 COMPRIMIDOS LIBERACAO CONT</t>
        </is>
      </c>
      <c r="K617" s="11" t="n">
        <v>63.48</v>
      </c>
      <c r="L617" s="13" t="n">
        <v>0.03</v>
      </c>
      <c r="M617" s="11">
        <f>IF(K617="","",ROUND(K617*(1-L617),2))</f>
        <v/>
      </c>
      <c r="N617" s="9" t="n">
        <v>665</v>
      </c>
      <c r="O617" s="14">
        <f>IF(OR(M617="",R617&lt;&gt;""),"",M617/G617-1)</f>
        <v/>
      </c>
      <c r="P617" s="11">
        <f>IF(OR(M617="",R617&lt;&gt;""),"",(G617-M617)*E617)</f>
        <v/>
      </c>
      <c r="Q617" s="9">
        <f>IF(R617&lt;&gt;"","—",IF(M617&lt;G617,"Mais barato",IF(M617&gt;G617,"Mais caro","Igual")))</f>
        <v/>
      </c>
      <c r="R617" s="10" t="n"/>
    </row>
    <row r="618">
      <c r="A618" s="9" t="n">
        <v>655751</v>
      </c>
      <c r="B618" s="10" t="inlineStr">
        <is>
          <t>SENSODYNE ALIV RAPIDO 90G</t>
        </is>
      </c>
      <c r="C618" s="10" t="inlineStr">
        <is>
          <t>RX</t>
        </is>
      </c>
      <c r="D618" s="9" t="inlineStr">
        <is>
          <t>B</t>
        </is>
      </c>
      <c r="E618" s="9" t="n">
        <v>2</v>
      </c>
      <c r="F618" s="9" t="n">
        <v>1</v>
      </c>
      <c r="G618" s="11" t="n">
        <v>16.48</v>
      </c>
      <c r="H618" s="10" t="inlineStr">
        <is>
          <t>SC DISTRIBUICAO LTDA</t>
        </is>
      </c>
      <c r="I618" s="12" t="inlineStr">
        <is>
          <t>7896015528300</t>
        </is>
      </c>
      <c r="J618" s="10" t="inlineStr">
        <is>
          <t>CREME DENTAL SENSODYNE ALIVIO RAPIDO 90G</t>
        </is>
      </c>
      <c r="K618" s="11" t="n">
        <v>17.41</v>
      </c>
      <c r="L618" s="13" t="n">
        <v>0</v>
      </c>
      <c r="M618" s="11">
        <f>IF(K618="","",ROUND(K618*(1-L618),2))</f>
        <v/>
      </c>
      <c r="N618" s="9" t="n">
        <v>1076</v>
      </c>
      <c r="O618" s="14">
        <f>IF(OR(M618="",R618&lt;&gt;""),"",M618/G618-1)</f>
        <v/>
      </c>
      <c r="P618" s="11">
        <f>IF(OR(M618="",R618&lt;&gt;""),"",(G618-M618)*E618)</f>
        <v/>
      </c>
      <c r="Q618" s="9">
        <f>IF(R618&lt;&gt;"","—",IF(M618&lt;G618,"Mais barato",IF(M618&gt;G618,"Mais caro","Igual")))</f>
        <v/>
      </c>
      <c r="R618" s="10" t="n"/>
    </row>
    <row r="619">
      <c r="A619" s="9" t="n">
        <v>657711</v>
      </c>
      <c r="B619" s="10" t="inlineStr">
        <is>
          <t>SENSODYNE CLINICAL REPAIR 100G</t>
        </is>
      </c>
      <c r="C619" s="10" t="inlineStr">
        <is>
          <t>RX - OTC</t>
        </is>
      </c>
      <c r="D619" s="9" t="inlineStr">
        <is>
          <t>C</t>
        </is>
      </c>
      <c r="E619" s="9" t="n">
        <v>1</v>
      </c>
      <c r="F619" s="9" t="n">
        <v>1</v>
      </c>
      <c r="G619" s="11" t="n">
        <v>23.045</v>
      </c>
      <c r="H619" s="10" t="inlineStr">
        <is>
          <t>NAZARIA DISTRIBUIDORA DE PRODUTOS FARMACEUTICOS LTDA</t>
        </is>
      </c>
      <c r="I619" s="12" t="inlineStr">
        <is>
          <t>7896009499166</t>
        </is>
      </c>
      <c r="J619" s="10" t="inlineStr">
        <is>
          <t>CREME DENTAL DEEP CLEAN SENSODYNE CLINICAL REPAIR 100G</t>
        </is>
      </c>
      <c r="K619" s="11" t="n">
        <v>26.28</v>
      </c>
      <c r="L619" s="13" t="n">
        <v>0</v>
      </c>
      <c r="M619" s="11">
        <f>IF(K619="","",ROUND(K619*(1-L619),2))</f>
        <v/>
      </c>
      <c r="N619" s="9" t="n">
        <v>770</v>
      </c>
      <c r="O619" s="14">
        <f>IF(OR(M619="",R619&lt;&gt;""),"",M619/G619-1)</f>
        <v/>
      </c>
      <c r="P619" s="11">
        <f>IF(OR(M619="",R619&lt;&gt;""),"",(G619-M619)*E619)</f>
        <v/>
      </c>
      <c r="Q619" s="9">
        <f>IF(R619&lt;&gt;"","—",IF(M619&lt;G619,"Mais barato",IF(M619&gt;G619,"Mais caro","Igual")))</f>
        <v/>
      </c>
      <c r="R619" s="10" t="n"/>
    </row>
    <row r="620">
      <c r="A620" s="9" t="n">
        <v>655381</v>
      </c>
      <c r="B620" s="10" t="inlineStr">
        <is>
          <t>SENSODYNE PROT COMP+ULT PROT 20G</t>
        </is>
      </c>
      <c r="C620" s="10" t="inlineStr">
        <is>
          <t>RX</t>
        </is>
      </c>
      <c r="D620" s="9" t="inlineStr">
        <is>
          <t>C</t>
        </is>
      </c>
      <c r="E620" s="9" t="n">
        <v>1</v>
      </c>
      <c r="F620" s="9" t="n">
        <v>12</v>
      </c>
      <c r="G620" s="11" t="n">
        <v>46.3182</v>
      </c>
      <c r="H620" s="10" t="inlineStr">
        <is>
          <t>EMPRESA BRASILEIRA DE DISTRIBUICAO LTDA - MATRIZ</t>
        </is>
      </c>
      <c r="I620" s="12" t="n"/>
      <c r="J620" s="10" t="n"/>
      <c r="K620" s="11" t="n"/>
      <c r="L620" s="13" t="n"/>
      <c r="M620" s="11">
        <f>IF(K620="","",ROUND(K620*(1-L620),2))</f>
        <v/>
      </c>
      <c r="N620" s="9" t="n"/>
      <c r="O620" s="14">
        <f>IF(OR(M620="",R620&lt;&gt;""),"",M620/G620-1)</f>
        <v/>
      </c>
      <c r="P620" s="11">
        <f>IF(OR(M620="",R620&lt;&gt;""),"",(G620-M620)*E620)</f>
        <v/>
      </c>
      <c r="Q620" s="9">
        <f>IF(R620&lt;&gt;"","—",IF(M620&lt;G620,"Mais barato",IF(M620&gt;G620,"Mais caro","Igual")))</f>
        <v/>
      </c>
      <c r="R620" s="10" t="inlineStr">
        <is>
          <t>Sem preço</t>
        </is>
      </c>
    </row>
    <row r="621">
      <c r="A621" s="9" t="n">
        <v>542281</v>
      </c>
      <c r="B621" s="10" t="inlineStr">
        <is>
          <t>SEPURIN 120MG+20ML CX 20 DRG</t>
        </is>
      </c>
      <c r="C621" s="10" t="inlineStr">
        <is>
          <t>RX - OTC</t>
        </is>
      </c>
      <c r="D621" s="9" t="inlineStr">
        <is>
          <t>A</t>
        </is>
      </c>
      <c r="E621" s="9" t="n">
        <v>3</v>
      </c>
      <c r="F621" s="9" t="n">
        <v>1</v>
      </c>
      <c r="G621" s="11" t="n">
        <v>36.0075</v>
      </c>
      <c r="H621" s="10" t="inlineStr">
        <is>
          <t>SC DISTRIBUICAO LTDA</t>
        </is>
      </c>
      <c r="I621" s="12" t="inlineStr">
        <is>
          <t>7892828001405</t>
        </is>
      </c>
      <c r="J621" s="10" t="inlineStr">
        <is>
          <t>SEPURIN 120/20MG C/20 DRAGEAS</t>
        </is>
      </c>
      <c r="K621" s="11" t="n">
        <v>37.02</v>
      </c>
      <c r="L621" s="13" t="n">
        <v>0.03</v>
      </c>
      <c r="M621" s="11">
        <f>IF(K621="","",ROUND(K621*(1-L621),2))</f>
        <v/>
      </c>
      <c r="N621" s="9" t="n">
        <v>763</v>
      </c>
      <c r="O621" s="14">
        <f>IF(OR(M621="",R621&lt;&gt;""),"",M621/G621-1)</f>
        <v/>
      </c>
      <c r="P621" s="11">
        <f>IF(OR(M621="",R621&lt;&gt;""),"",(G621-M621)*E621)</f>
        <v/>
      </c>
      <c r="Q621" s="9">
        <f>IF(R621&lt;&gt;"","—",IF(M621&lt;G621,"Mais barato",IF(M621&gt;G621,"Mais caro","Igual")))</f>
        <v/>
      </c>
      <c r="R621" s="10" t="n"/>
    </row>
    <row r="622">
      <c r="A622" s="9" t="n">
        <v>656201</v>
      </c>
      <c r="B622" s="10" t="inlineStr">
        <is>
          <t>SERUM DOVE CORPO PRO CERAM 380ML</t>
        </is>
      </c>
      <c r="C622" s="10" t="inlineStr">
        <is>
          <t>RX - DERMO</t>
        </is>
      </c>
      <c r="D622" s="9" t="inlineStr">
        <is>
          <t>B</t>
        </is>
      </c>
      <c r="E622" s="9" t="n">
        <v>1</v>
      </c>
      <c r="F622" s="9" t="n">
        <v>1</v>
      </c>
      <c r="G622" s="11" t="n">
        <v>35.07</v>
      </c>
      <c r="H622" s="10" t="inlineStr">
        <is>
          <t>SC DISTRIBUICAO LTDA</t>
        </is>
      </c>
      <c r="I622" s="12" t="inlineStr">
        <is>
          <t>7891150095878</t>
        </is>
      </c>
      <c r="J622" s="10" t="inlineStr">
        <is>
          <t>SERUM DEO HIDRATANTE CORPORAL DOVE PRO CERAMIDAS DERMO HIDRATANTE FRASCO 380ML</t>
        </is>
      </c>
      <c r="K622" s="11" t="n">
        <v>32.4</v>
      </c>
      <c r="L622" s="13" t="n">
        <v>0</v>
      </c>
      <c r="M622" s="11">
        <f>IF(K622="","",ROUND(K622*(1-L622),2))</f>
        <v/>
      </c>
      <c r="N622" s="9" t="n">
        <v>57</v>
      </c>
      <c r="O622" s="14">
        <f>IF(OR(M622="",R622&lt;&gt;""),"",M622/G622-1)</f>
        <v/>
      </c>
      <c r="P622" s="11">
        <f>IF(OR(M622="",R622&lt;&gt;""),"",(G622-M622)*E622)</f>
        <v/>
      </c>
      <c r="Q622" s="9">
        <f>IF(R622&lt;&gt;"","—",IF(M622&lt;G622,"Mais barato",IF(M622&gt;G622,"Mais caro","Igual")))</f>
        <v/>
      </c>
      <c r="R622" s="10" t="n"/>
    </row>
    <row r="623">
      <c r="A623" s="9" t="n">
        <v>844</v>
      </c>
      <c r="B623" s="10" t="inlineStr">
        <is>
          <t>SHP TIO NACHO ENGROSSADOR 415ML</t>
        </is>
      </c>
      <c r="C623" s="10" t="inlineStr">
        <is>
          <t>RX - DERMO</t>
        </is>
      </c>
      <c r="D623" s="9" t="inlineStr">
        <is>
          <t>B</t>
        </is>
      </c>
      <c r="E623" s="9" t="n">
        <v>2</v>
      </c>
      <c r="F623" s="9" t="n">
        <v>1</v>
      </c>
      <c r="G623" s="11" t="n">
        <v>29.05</v>
      </c>
      <c r="H623" s="10" t="inlineStr">
        <is>
          <t>SC DISTRIBUICAO LTDA</t>
        </is>
      </c>
      <c r="I623" s="12" t="inlineStr">
        <is>
          <t>7898949409922</t>
        </is>
      </c>
      <c r="J623" s="10" t="inlineStr">
        <is>
          <t>SHAMPOO TIO NACHO ENGROSSADOR 415ML</t>
        </is>
      </c>
      <c r="K623" s="11" t="n">
        <v>30.27</v>
      </c>
      <c r="L623" s="13" t="n">
        <v>0</v>
      </c>
      <c r="M623" s="11">
        <f>IF(K623="","",ROUND(K623*(1-L623),2))</f>
        <v/>
      </c>
      <c r="N623" s="9" t="n">
        <v>348</v>
      </c>
      <c r="O623" s="14">
        <f>IF(OR(M623="",R623&lt;&gt;""),"",M623/G623-1)</f>
        <v/>
      </c>
      <c r="P623" s="11">
        <f>IF(OR(M623="",R623&lt;&gt;""),"",(G623-M623)*E623)</f>
        <v/>
      </c>
      <c r="Q623" s="9">
        <f>IF(R623&lt;&gt;"","—",IF(M623&lt;G623,"Mais barato",IF(M623&gt;G623,"Mais caro","Igual")))</f>
        <v/>
      </c>
      <c r="R623" s="10" t="n"/>
    </row>
    <row r="624">
      <c r="A624" s="9" t="n">
        <v>109721</v>
      </c>
      <c r="B624" s="10" t="inlineStr">
        <is>
          <t>SIGMA-CLAV BD 400+57MG/5ML SUS ORAL FR 70ML</t>
        </is>
      </c>
      <c r="C624" s="10" t="inlineStr">
        <is>
          <t>RX - SIMILAR - ATB</t>
        </is>
      </c>
      <c r="D624" s="9" t="inlineStr">
        <is>
          <t>B</t>
        </is>
      </c>
      <c r="E624" s="9" t="n">
        <v>2</v>
      </c>
      <c r="F624" s="9" t="n">
        <v>1</v>
      </c>
      <c r="G624" s="11" t="n">
        <v>27.52</v>
      </c>
      <c r="H624" s="10" t="inlineStr">
        <is>
          <t>SC DISTRIBUICAO LTDA</t>
        </is>
      </c>
      <c r="I624" s="12" t="inlineStr">
        <is>
          <t>7894916501477</t>
        </is>
      </c>
      <c r="J624" s="10" t="inlineStr">
        <is>
          <t>SIGMA CLAV BD 400MG SUSPENSAO 70ML</t>
        </is>
      </c>
      <c r="K624" s="11" t="n">
        <v>30.09</v>
      </c>
      <c r="L624" s="13" t="n">
        <v>0</v>
      </c>
      <c r="M624" s="11">
        <f>IF(K624="","",ROUND(K624*(1-L624),2))</f>
        <v/>
      </c>
      <c r="N624" s="9" t="n">
        <v>83</v>
      </c>
      <c r="O624" s="14">
        <f>IF(OR(M624="",R624&lt;&gt;""),"",M624/G624-1)</f>
        <v/>
      </c>
      <c r="P624" s="11">
        <f>IF(OR(M624="",R624&lt;&gt;""),"",(G624-M624)*E624)</f>
        <v/>
      </c>
      <c r="Q624" s="9">
        <f>IF(R624&lt;&gt;"","—",IF(M624&lt;G624,"Mais barato",IF(M624&gt;G624,"Mais caro","Igual")))</f>
        <v/>
      </c>
      <c r="R624" s="10" t="n"/>
    </row>
    <row r="625">
      <c r="A625" s="9" t="n">
        <v>605291</v>
      </c>
      <c r="B625" s="10" t="inlineStr">
        <is>
          <t>SILIMALON 100+70MG CX 10 COMP REV</t>
        </is>
      </c>
      <c r="C625" s="10" t="inlineStr">
        <is>
          <t>RX</t>
        </is>
      </c>
      <c r="D625" s="9" t="inlineStr">
        <is>
          <t>A</t>
        </is>
      </c>
      <c r="E625" s="9" t="n">
        <v>4</v>
      </c>
      <c r="F625" s="9" t="n">
        <v>1</v>
      </c>
      <c r="G625" s="11" t="n">
        <v>19.246</v>
      </c>
      <c r="H625" s="10" t="inlineStr">
        <is>
          <t>SC DISTRIBUICAO LTDA</t>
        </is>
      </c>
      <c r="I625" s="12" t="inlineStr">
        <is>
          <t>7897460401934</t>
        </is>
      </c>
      <c r="J625" s="10" t="inlineStr">
        <is>
          <t>SILIMALON 70MG CAIXA 10 COMPRIMIDOS REVESTIDOS</t>
        </is>
      </c>
      <c r="K625" s="11" t="n">
        <v>18.94</v>
      </c>
      <c r="L625" s="13" t="n">
        <v>0.09</v>
      </c>
      <c r="M625" s="11">
        <f>IF(K625="","",ROUND(K625*(1-L625),2))</f>
        <v/>
      </c>
      <c r="N625" s="9" t="n">
        <v>1118</v>
      </c>
      <c r="O625" s="14">
        <f>IF(OR(M625="",R625&lt;&gt;""),"",M625/G625-1)</f>
        <v/>
      </c>
      <c r="P625" s="11">
        <f>IF(OR(M625="",R625&lt;&gt;""),"",(G625-M625)*E625)</f>
        <v/>
      </c>
      <c r="Q625" s="9">
        <f>IF(R625&lt;&gt;"","—",IF(M625&lt;G625,"Mais barato",IF(M625&gt;G625,"Mais caro","Igual")))</f>
        <v/>
      </c>
      <c r="R625" s="10" t="n"/>
    </row>
    <row r="626">
      <c r="A626" s="9" t="n">
        <v>433941</v>
      </c>
      <c r="B626" s="10" t="inlineStr">
        <is>
          <t>SILIMALON 100+70MG CX 30 DRG</t>
        </is>
      </c>
      <c r="C626" s="10" t="inlineStr">
        <is>
          <t>RX</t>
        </is>
      </c>
      <c r="D626" s="9" t="inlineStr">
        <is>
          <t>A</t>
        </is>
      </c>
      <c r="E626" s="9" t="n">
        <v>2</v>
      </c>
      <c r="F626" s="9" t="n">
        <v>1</v>
      </c>
      <c r="G626" s="11" t="n">
        <v>57.7867</v>
      </c>
      <c r="H626" s="10" t="inlineStr">
        <is>
          <t>SC DISTRIBUICAO LTDA</t>
        </is>
      </c>
      <c r="I626" s="12" t="inlineStr">
        <is>
          <t>7897460401422</t>
        </is>
      </c>
      <c r="J626" s="10" t="inlineStr">
        <is>
          <t>SILIMALON 100MG + 70MG C/30 DRAGEAS</t>
        </is>
      </c>
      <c r="K626" s="11" t="n">
        <v>56.86</v>
      </c>
      <c r="L626" s="13" t="n">
        <v>0.09</v>
      </c>
      <c r="M626" s="11">
        <f>IF(K626="","",ROUND(K626*(1-L626),2))</f>
        <v/>
      </c>
      <c r="N626" s="9" t="n">
        <v>3935</v>
      </c>
      <c r="O626" s="14">
        <f>IF(OR(M626="",R626&lt;&gt;""),"",M626/G626-1)</f>
        <v/>
      </c>
      <c r="P626" s="11">
        <f>IF(OR(M626="",R626&lt;&gt;""),"",(G626-M626)*E626)</f>
        <v/>
      </c>
      <c r="Q626" s="9">
        <f>IF(R626&lt;&gt;"","—",IF(M626&lt;G626,"Mais barato",IF(M626&gt;G626,"Mais caro","Igual")))</f>
        <v/>
      </c>
      <c r="R626" s="10" t="n"/>
    </row>
    <row r="627">
      <c r="A627" s="9" t="n">
        <v>433961</v>
      </c>
      <c r="B627" s="10" t="inlineStr">
        <is>
          <t>SILIMALON 140 140+100MG CX 60 COMP REV</t>
        </is>
      </c>
      <c r="C627" s="10" t="inlineStr">
        <is>
          <t>RX</t>
        </is>
      </c>
      <c r="D627" s="9" t="inlineStr">
        <is>
          <t>A</t>
        </is>
      </c>
      <c r="E627" s="9" t="n">
        <v>1</v>
      </c>
      <c r="F627" s="9" t="n">
        <v>1</v>
      </c>
      <c r="G627" s="11" t="n">
        <v>128.47</v>
      </c>
      <c r="H627" s="10" t="inlineStr">
        <is>
          <t>SC DISTRIBUICAO LTDA</t>
        </is>
      </c>
      <c r="I627" s="12" t="inlineStr">
        <is>
          <t>7897460401750</t>
        </is>
      </c>
      <c r="J627" s="10" t="inlineStr">
        <is>
          <t>SILIMALON 140 100 + 140MG C/60 COMPRIMIDOS</t>
        </is>
      </c>
      <c r="K627" s="11" t="n">
        <v>139.08</v>
      </c>
      <c r="L627" s="13" t="n">
        <v>0.09</v>
      </c>
      <c r="M627" s="11">
        <f>IF(K627="","",ROUND(K627*(1-L627),2))</f>
        <v/>
      </c>
      <c r="N627" s="9" t="n">
        <v>98</v>
      </c>
      <c r="O627" s="14">
        <f>IF(OR(M627="",R627&lt;&gt;""),"",M627/G627-1)</f>
        <v/>
      </c>
      <c r="P627" s="11">
        <f>IF(OR(M627="",R627&lt;&gt;""),"",(G627-M627)*E627)</f>
        <v/>
      </c>
      <c r="Q627" s="9">
        <f>IF(R627&lt;&gt;"","—",IF(M627&lt;G627,"Mais barato",IF(M627&gt;G627,"Mais caro","Igual")))</f>
        <v/>
      </c>
      <c r="R627" s="10" t="n"/>
    </row>
    <row r="628">
      <c r="A628" s="9" t="n">
        <v>458401</v>
      </c>
      <c r="B628" s="10" t="inlineStr">
        <is>
          <t>SIMBRINZA 10,0+2,0MG/ML SUS OFT FR GOT X 5ML</t>
        </is>
      </c>
      <c r="C628" s="10" t="inlineStr">
        <is>
          <t>RX</t>
        </is>
      </c>
      <c r="D628" s="9" t="inlineStr">
        <is>
          <t>A</t>
        </is>
      </c>
      <c r="E628" s="9" t="n">
        <v>1</v>
      </c>
      <c r="F628" s="9" t="n">
        <v>1</v>
      </c>
      <c r="G628" s="11" t="n">
        <v>79.95999999999999</v>
      </c>
      <c r="H628" s="10" t="inlineStr">
        <is>
          <t>SC DISTRIBUICAO LTDA</t>
        </is>
      </c>
      <c r="I628" s="12" t="inlineStr">
        <is>
          <t>7896548199565</t>
        </is>
      </c>
      <c r="J628" s="10" t="inlineStr">
        <is>
          <t>SIMBRINZA SOLUCAO OFTALMICA 5ML</t>
        </is>
      </c>
      <c r="K628" s="11" t="n">
        <v>76.15000000000001</v>
      </c>
      <c r="L628" s="13" t="n">
        <v>0.04</v>
      </c>
      <c r="M628" s="11">
        <f>IF(K628="","",ROUND(K628*(1-L628),2))</f>
        <v/>
      </c>
      <c r="N628" s="9" t="n">
        <v>220</v>
      </c>
      <c r="O628" s="14">
        <f>IF(OR(M628="",R628&lt;&gt;""),"",M628/G628-1)</f>
        <v/>
      </c>
      <c r="P628" s="11">
        <f>IF(OR(M628="",R628&lt;&gt;""),"",(G628-M628)*E628)</f>
        <v/>
      </c>
      <c r="Q628" s="9">
        <f>IF(R628&lt;&gt;"","—",IF(M628&lt;G628,"Mais barato",IF(M628&gt;G628,"Mais caro","Igual")))</f>
        <v/>
      </c>
      <c r="R628" s="10" t="n"/>
    </row>
    <row r="629">
      <c r="A629" s="9" t="n">
        <v>110341</v>
      </c>
      <c r="B629" s="10" t="inlineStr">
        <is>
          <t>SINOT CLAV 875+125MG FR 14 COMP</t>
        </is>
      </c>
      <c r="C629" s="10" t="inlineStr">
        <is>
          <t>RX - SIMILAR - ATB</t>
        </is>
      </c>
      <c r="D629" s="9" t="inlineStr">
        <is>
          <t>A</t>
        </is>
      </c>
      <c r="E629" s="9" t="n">
        <v>7</v>
      </c>
      <c r="F629" s="9" t="n">
        <v>1</v>
      </c>
      <c r="G629" s="11" t="n">
        <v>61.45</v>
      </c>
      <c r="H629" s="10" t="inlineStr">
        <is>
          <t>SALARIO</t>
        </is>
      </c>
      <c r="I629" s="12" t="inlineStr">
        <is>
          <t>7891317421748</t>
        </is>
      </c>
      <c r="J629" s="10" t="inlineStr">
        <is>
          <t>SINOT CLAV 875/125MG C/14 COMPRIMIDOS</t>
        </is>
      </c>
      <c r="K629" s="11" t="n">
        <v>61.04</v>
      </c>
      <c r="L629" s="13" t="n">
        <v>0.04</v>
      </c>
      <c r="M629" s="11">
        <f>IF(K629="","",ROUND(K629*(1-L629),2))</f>
        <v/>
      </c>
      <c r="N629" s="9" t="n">
        <v>336</v>
      </c>
      <c r="O629" s="14">
        <f>IF(OR(M629="",R629&lt;&gt;""),"",M629/G629-1)</f>
        <v/>
      </c>
      <c r="P629" s="11">
        <f>IF(OR(M629="",R629&lt;&gt;""),"",(G629-M629)*E629)</f>
        <v/>
      </c>
      <c r="Q629" s="9">
        <f>IF(R629&lt;&gt;"","—",IF(M629&lt;G629,"Mais barato",IF(M629&gt;G629,"Mais caro","Igual")))</f>
        <v/>
      </c>
      <c r="R629" s="10" t="n"/>
    </row>
    <row r="630">
      <c r="A630" s="9" t="n">
        <v>114821</v>
      </c>
      <c r="B630" s="10" t="inlineStr">
        <is>
          <t>SINUSTRAT FR 10ML</t>
        </is>
      </c>
      <c r="C630" s="10" t="inlineStr">
        <is>
          <t>RX - OTC</t>
        </is>
      </c>
      <c r="D630" s="9" t="inlineStr">
        <is>
          <t>C</t>
        </is>
      </c>
      <c r="E630" s="9" t="n">
        <v>1</v>
      </c>
      <c r="F630" s="9" t="n">
        <v>1</v>
      </c>
      <c r="G630" s="11" t="n">
        <v>13.3867</v>
      </c>
      <c r="H630" s="10" t="inlineStr">
        <is>
          <t>SB COMERCIO LTDA 0179-15</t>
        </is>
      </c>
      <c r="I630" s="12" t="inlineStr">
        <is>
          <t>7896082900337</t>
        </is>
      </c>
      <c r="J630" s="10" t="inlineStr">
        <is>
          <t>SINUSTRAT SPRAY NASAL FORTE 10ML</t>
        </is>
      </c>
      <c r="K630" s="11" t="n">
        <v>17.7</v>
      </c>
      <c r="L630" s="13" t="n">
        <v>0.05</v>
      </c>
      <c r="M630" s="11">
        <f>IF(K630="","",ROUND(K630*(1-L630),2))</f>
        <v/>
      </c>
      <c r="N630" s="9" t="n">
        <v>198</v>
      </c>
      <c r="O630" s="14">
        <f>IF(OR(M630="",R630&lt;&gt;""),"",M630/G630-1)</f>
        <v/>
      </c>
      <c r="P630" s="11">
        <f>IF(OR(M630="",R630&lt;&gt;""),"",(G630-M630)*E630)</f>
        <v/>
      </c>
      <c r="Q630" s="9">
        <f>IF(R630&lt;&gt;"","—",IF(M630&lt;G630,"Mais barato",IF(M630&gt;G630,"Mais caro","Igual")))</f>
        <v/>
      </c>
      <c r="R630" s="10" t="n"/>
    </row>
    <row r="631">
      <c r="A631" s="9" t="n">
        <v>437341</v>
      </c>
      <c r="B631" s="10" t="inlineStr">
        <is>
          <t>SINVASTACOR 40MG CX 30 COMP REV</t>
        </is>
      </c>
      <c r="C631" s="10" t="inlineStr">
        <is>
          <t>RX</t>
        </is>
      </c>
      <c r="D631" s="9" t="inlineStr">
        <is>
          <t>C</t>
        </is>
      </c>
      <c r="E631" s="9" t="n">
        <v>5</v>
      </c>
      <c r="F631" s="9" t="n">
        <v>1</v>
      </c>
      <c r="G631" s="11" t="n">
        <v>7.41</v>
      </c>
      <c r="H631" s="10" t="inlineStr">
        <is>
          <t>SC DISTRIBUICAO LTDA</t>
        </is>
      </c>
      <c r="I631" s="12" t="inlineStr">
        <is>
          <t>7897595604163</t>
        </is>
      </c>
      <c r="J631" s="10" t="inlineStr">
        <is>
          <t>SINVASTACOR 40MG C/30 COMPRIMIDOS</t>
        </is>
      </c>
      <c r="K631" s="11" t="n">
        <v>28.94</v>
      </c>
      <c r="L631" s="13" t="n">
        <v>0.05</v>
      </c>
      <c r="M631" s="11">
        <f>IF(K631="","",ROUND(K631*(1-L631),2))</f>
        <v/>
      </c>
      <c r="N631" s="9" t="n">
        <v>167</v>
      </c>
      <c r="O631" s="14">
        <f>IF(OR(M631="",R631&lt;&gt;""),"",M631/G631-1)</f>
        <v/>
      </c>
      <c r="P631" s="11">
        <f>IF(OR(M631="",R631&lt;&gt;""),"",(G631-M631)*E631)</f>
        <v/>
      </c>
      <c r="Q631" s="9">
        <f>IF(R631&lt;&gt;"","—",IF(M631&lt;G631,"Mais barato",IF(M631&gt;G631,"Mais caro","Igual")))</f>
        <v/>
      </c>
      <c r="R631" s="10" t="inlineStr">
        <is>
          <t>Conferir embalagem/EAN</t>
        </is>
      </c>
    </row>
    <row r="632">
      <c r="A632" s="9" t="n">
        <v>529921</v>
      </c>
      <c r="B632" s="10" t="inlineStr">
        <is>
          <t>SLINDA 4MG CX 24 COMP REV+4 PLACEBOS</t>
        </is>
      </c>
      <c r="C632" s="10" t="inlineStr">
        <is>
          <t>RX</t>
        </is>
      </c>
      <c r="D632" s="9" t="inlineStr">
        <is>
          <t>A</t>
        </is>
      </c>
      <c r="E632" s="9" t="n">
        <v>4</v>
      </c>
      <c r="F632" s="9" t="n">
        <v>1</v>
      </c>
      <c r="G632" s="11" t="n">
        <v>94.6033</v>
      </c>
      <c r="H632" s="10" t="inlineStr">
        <is>
          <t>SC DISTRIBUICAO LTDA</t>
        </is>
      </c>
      <c r="I632" s="12" t="inlineStr">
        <is>
          <t>7908134200453</t>
        </is>
      </c>
      <c r="J632" s="10" t="inlineStr">
        <is>
          <t>SLINDA 4MG C/28 COMPRIMDIOS REV</t>
        </is>
      </c>
      <c r="K632" s="11" t="n">
        <v>95.08</v>
      </c>
      <c r="L632" s="13" t="n">
        <v>0.06</v>
      </c>
      <c r="M632" s="11">
        <f>IF(K632="","",ROUND(K632*(1-L632),2))</f>
        <v/>
      </c>
      <c r="N632" s="9" t="n">
        <v>1028</v>
      </c>
      <c r="O632" s="14">
        <f>IF(OR(M632="",R632&lt;&gt;""),"",M632/G632-1)</f>
        <v/>
      </c>
      <c r="P632" s="11">
        <f>IF(OR(M632="",R632&lt;&gt;""),"",(G632-M632)*E632)</f>
        <v/>
      </c>
      <c r="Q632" s="9">
        <f>IF(R632&lt;&gt;"","—",IF(M632&lt;G632,"Mais barato",IF(M632&gt;G632,"Mais caro","Igual")))</f>
        <v/>
      </c>
      <c r="R632" s="10" t="n"/>
    </row>
    <row r="633">
      <c r="A633" s="9" t="n">
        <v>622811</v>
      </c>
      <c r="B633" s="10" t="inlineStr">
        <is>
          <t>SLOW-K 600MG CX 20 COMP REV LIB PROL</t>
        </is>
      </c>
      <c r="C633" s="10" t="inlineStr">
        <is>
          <t>RX</t>
        </is>
      </c>
      <c r="D633" s="9" t="inlineStr">
        <is>
          <t>C</t>
        </is>
      </c>
      <c r="E633" s="9" t="n">
        <v>1</v>
      </c>
      <c r="F633" s="9" t="n">
        <v>1</v>
      </c>
      <c r="G633" s="11" t="n">
        <v>15.13</v>
      </c>
      <c r="H633" s="10" t="inlineStr">
        <is>
          <t>SALARIO</t>
        </is>
      </c>
      <c r="I633" s="12" t="n"/>
      <c r="J633" s="10" t="n"/>
      <c r="K633" s="11" t="n"/>
      <c r="L633" s="13" t="n"/>
      <c r="M633" s="11">
        <f>IF(K633="","",ROUND(K633*(1-L633),2))</f>
        <v/>
      </c>
      <c r="N633" s="9" t="n"/>
      <c r="O633" s="14">
        <f>IF(OR(M633="",R633&lt;&gt;""),"",M633/G633-1)</f>
        <v/>
      </c>
      <c r="P633" s="11">
        <f>IF(OR(M633="",R633&lt;&gt;""),"",(G633-M633)*E633)</f>
        <v/>
      </c>
      <c r="Q633" s="9">
        <f>IF(R633&lt;&gt;"","—",IF(M633&lt;G633,"Mais barato",IF(M633&gt;G633,"Mais caro","Igual")))</f>
        <v/>
      </c>
      <c r="R633" s="10" t="inlineStr">
        <is>
          <t>Não encontrado</t>
        </is>
      </c>
    </row>
    <row r="634">
      <c r="A634" s="9" t="n">
        <v>645561</v>
      </c>
      <c r="B634" s="10" t="inlineStr">
        <is>
          <t>SOAPEX 1% SAB 80G-DEMAIS PROD</t>
        </is>
      </c>
      <c r="C634" s="10" t="inlineStr">
        <is>
          <t>RX - DERMO</t>
        </is>
      </c>
      <c r="D634" s="9" t="inlineStr">
        <is>
          <t>C</t>
        </is>
      </c>
      <c r="E634" s="9" t="n">
        <v>1</v>
      </c>
      <c r="F634" s="9" t="n">
        <v>1</v>
      </c>
      <c r="G634" s="11" t="n">
        <v>35.09</v>
      </c>
      <c r="H634" s="10" t="inlineStr">
        <is>
          <t>SC DISTRIBUICAO LTDA</t>
        </is>
      </c>
      <c r="I634" s="12" t="n"/>
      <c r="J634" s="10" t="n"/>
      <c r="K634" s="11" t="n"/>
      <c r="L634" s="13" t="n"/>
      <c r="M634" s="11">
        <f>IF(K634="","",ROUND(K634*(1-L634),2))</f>
        <v/>
      </c>
      <c r="N634" s="9" t="n"/>
      <c r="O634" s="14">
        <f>IF(OR(M634="",R634&lt;&gt;""),"",M634/G634-1)</f>
        <v/>
      </c>
      <c r="P634" s="11">
        <f>IF(OR(M634="",R634&lt;&gt;""),"",(G634-M634)*E634)</f>
        <v/>
      </c>
      <c r="Q634" s="9">
        <f>IF(R634&lt;&gt;"","—",IF(M634&lt;G634,"Mais barato",IF(M634&gt;G634,"Mais caro","Igual")))</f>
        <v/>
      </c>
      <c r="R634" s="10" t="inlineStr">
        <is>
          <t>Não encontrado</t>
        </is>
      </c>
    </row>
    <row r="635">
      <c r="A635" s="9" t="n">
        <v>609031</v>
      </c>
      <c r="B635" s="10" t="inlineStr">
        <is>
          <t>SOAPEX SAB 80GR</t>
        </is>
      </c>
      <c r="C635" s="10" t="inlineStr">
        <is>
          <t>RX - DERMO</t>
        </is>
      </c>
      <c r="D635" s="9" t="inlineStr">
        <is>
          <t>B</t>
        </is>
      </c>
      <c r="E635" s="9" t="n">
        <v>3</v>
      </c>
      <c r="F635" s="9" t="n">
        <v>1</v>
      </c>
      <c r="G635" s="11" t="n">
        <v>25.88</v>
      </c>
      <c r="H635" s="10" t="inlineStr">
        <is>
          <t>SC DISTRIBUICAO LTDA</t>
        </is>
      </c>
      <c r="I635" s="12" t="inlineStr">
        <is>
          <t>7897930750043</t>
        </is>
      </c>
      <c r="J635" s="10" t="inlineStr">
        <is>
          <t>SABONETE ANTISSEPTICO EM BARRA GALDERMA SOAPEX 80G</t>
        </is>
      </c>
      <c r="K635" s="11" t="n">
        <v>25.28</v>
      </c>
      <c r="L635" s="13" t="n">
        <v>0</v>
      </c>
      <c r="M635" s="11">
        <f>IF(K635="","",ROUND(K635*(1-L635),2))</f>
        <v/>
      </c>
      <c r="N635" s="9" t="n">
        <v>1874</v>
      </c>
      <c r="O635" s="14">
        <f>IF(OR(M635="",R635&lt;&gt;""),"",M635/G635-1)</f>
        <v/>
      </c>
      <c r="P635" s="11">
        <f>IF(OR(M635="",R635&lt;&gt;""),"",(G635-M635)*E635)</f>
        <v/>
      </c>
      <c r="Q635" s="9">
        <f>IF(R635&lt;&gt;"","—",IF(M635&lt;G635,"Mais barato",IF(M635&gt;G635,"Mais caro","Igual")))</f>
        <v/>
      </c>
      <c r="R635" s="10" t="n"/>
    </row>
    <row r="636">
      <c r="A636" s="9" t="n">
        <v>609041</v>
      </c>
      <c r="B636" s="10" t="inlineStr">
        <is>
          <t>SOAPEX SAB CREMO 120ML</t>
        </is>
      </c>
      <c r="C636" s="10" t="inlineStr">
        <is>
          <t>RX - DERMO</t>
        </is>
      </c>
      <c r="D636" s="9" t="inlineStr">
        <is>
          <t>C</t>
        </is>
      </c>
      <c r="E636" s="9" t="n">
        <v>1</v>
      </c>
      <c r="F636" s="9" t="n">
        <v>1</v>
      </c>
      <c r="G636" s="11" t="n">
        <v>38.78</v>
      </c>
      <c r="H636" s="10" t="inlineStr">
        <is>
          <t>SC DISTRIBUICAO LTDA</t>
        </is>
      </c>
      <c r="I636" s="12" t="n"/>
      <c r="J636" s="10" t="n"/>
      <c r="K636" s="11" t="n"/>
      <c r="L636" s="13" t="n"/>
      <c r="M636" s="11">
        <f>IF(K636="","",ROUND(K636*(1-L636),2))</f>
        <v/>
      </c>
      <c r="N636" s="9" t="n"/>
      <c r="O636" s="14">
        <f>IF(OR(M636="",R636&lt;&gt;""),"",M636/G636-1)</f>
        <v/>
      </c>
      <c r="P636" s="11">
        <f>IF(OR(M636="",R636&lt;&gt;""),"",(G636-M636)*E636)</f>
        <v/>
      </c>
      <c r="Q636" s="9">
        <f>IF(R636&lt;&gt;"","—",IF(M636&lt;G636,"Mais barato",IF(M636&gt;G636,"Mais caro","Igual")))</f>
        <v/>
      </c>
      <c r="R636" s="10" t="inlineStr">
        <is>
          <t>Não encontrado</t>
        </is>
      </c>
    </row>
    <row r="637">
      <c r="A637" s="9" t="n">
        <v>613581</v>
      </c>
      <c r="B637" s="10" t="inlineStr">
        <is>
          <t>SOLARDRIL LOCAO FR X 120 ML</t>
        </is>
      </c>
      <c r="C637" s="10" t="inlineStr">
        <is>
          <t>RX - DERMO</t>
        </is>
      </c>
      <c r="D637" s="9" t="inlineStr">
        <is>
          <t>C</t>
        </is>
      </c>
      <c r="E637" s="9" t="n">
        <v>1</v>
      </c>
      <c r="F637" s="9" t="n">
        <v>1</v>
      </c>
      <c r="G637" s="11" t="n">
        <v>18.5833</v>
      </c>
      <c r="H637" s="10" t="inlineStr">
        <is>
          <t>F&amp;F DISTR DE PRODUTOS FARMACÊUTICOS</t>
        </is>
      </c>
      <c r="I637" s="12" t="n"/>
      <c r="J637" s="10" t="n"/>
      <c r="K637" s="11" t="n"/>
      <c r="L637" s="13" t="n"/>
      <c r="M637" s="11">
        <f>IF(K637="","",ROUND(K637*(1-L637),2))</f>
        <v/>
      </c>
      <c r="N637" s="9" t="n"/>
      <c r="O637" s="14">
        <f>IF(OR(M637="",R637&lt;&gt;""),"",M637/G637-1)</f>
        <v/>
      </c>
      <c r="P637" s="11">
        <f>IF(OR(M637="",R637&lt;&gt;""),"",(G637-M637)*E637)</f>
        <v/>
      </c>
      <c r="Q637" s="9">
        <f>IF(R637&lt;&gt;"","—",IF(M637&lt;G637,"Mais barato",IF(M637&gt;G637,"Mais caro","Igual")))</f>
        <v/>
      </c>
      <c r="R637" s="10" t="inlineStr">
        <is>
          <t>Não encontrado</t>
        </is>
      </c>
    </row>
    <row r="638">
      <c r="A638" s="9" t="n">
        <v>264541</v>
      </c>
      <c r="B638" s="10" t="inlineStr">
        <is>
          <t>SOMALGIN CARDIO 81MG 6 BLT 10 COMP REV-S</t>
        </is>
      </c>
      <c r="C638" s="10" t="inlineStr">
        <is>
          <t>RX</t>
        </is>
      </c>
      <c r="D638" s="9" t="inlineStr">
        <is>
          <t>B</t>
        </is>
      </c>
      <c r="E638" s="9" t="n">
        <v>3</v>
      </c>
      <c r="F638" s="9" t="n">
        <v>1</v>
      </c>
      <c r="G638" s="11" t="n">
        <v>22.9</v>
      </c>
      <c r="H638" s="10" t="inlineStr">
        <is>
          <t>SC DISTRIBUICAO LTDA</t>
        </is>
      </c>
      <c r="I638" s="12" t="inlineStr">
        <is>
          <t>7894916512107</t>
        </is>
      </c>
      <c r="J638" s="10" t="inlineStr">
        <is>
          <t>SOMALGIN CARDIO 81MG C/60 COMPRIMIDOS</t>
        </is>
      </c>
      <c r="K638" s="11" t="n">
        <v>24.62</v>
      </c>
      <c r="L638" s="13" t="n">
        <v>0</v>
      </c>
      <c r="M638" s="11">
        <f>IF(K638="","",ROUND(K638*(1-L638),2))</f>
        <v/>
      </c>
      <c r="N638" s="9" t="n">
        <v>324</v>
      </c>
      <c r="O638" s="14">
        <f>IF(OR(M638="",R638&lt;&gt;""),"",M638/G638-1)</f>
        <v/>
      </c>
      <c r="P638" s="11">
        <f>IF(OR(M638="",R638&lt;&gt;""),"",(G638-M638)*E638)</f>
        <v/>
      </c>
      <c r="Q638" s="9">
        <f>IF(R638&lt;&gt;"","—",IF(M638&lt;G638,"Mais barato",IF(M638&gt;G638,"Mais caro","Igual")))</f>
        <v/>
      </c>
      <c r="R638" s="10" t="n"/>
    </row>
    <row r="639">
      <c r="A639" s="9" t="n">
        <v>397761</v>
      </c>
      <c r="B639" s="10" t="inlineStr">
        <is>
          <t>SONRIDOR CAF CARTELA C/ 2CP EFE</t>
        </is>
      </c>
      <c r="C639" s="10" t="inlineStr">
        <is>
          <t>RX - OTC</t>
        </is>
      </c>
      <c r="D639" s="9" t="inlineStr">
        <is>
          <t>A</t>
        </is>
      </c>
      <c r="E639" s="9" t="n">
        <v>5</v>
      </c>
      <c r="F639" s="9" t="n">
        <v>30</v>
      </c>
      <c r="G639" s="11" t="n">
        <v>188.01</v>
      </c>
      <c r="H639" s="10" t="inlineStr">
        <is>
          <t>SC DISTRIBUICAO LTDA</t>
        </is>
      </c>
      <c r="I639" s="12" t="inlineStr">
        <is>
          <t>7896015517069</t>
        </is>
      </c>
      <c r="J639" s="10" t="inlineStr">
        <is>
          <t>SONRIDOR CAF 60 COMPRIMIDOS EFERVESCENTES</t>
        </is>
      </c>
      <c r="K639" s="11" t="n">
        <v>192.98</v>
      </c>
      <c r="L639" s="13" t="n">
        <v>0.04</v>
      </c>
      <c r="M639" s="11">
        <f>IF(K639="","",ROUND(K639*(1-L639),2))</f>
        <v/>
      </c>
      <c r="N639" s="9" t="n">
        <v>2760</v>
      </c>
      <c r="O639" s="14">
        <f>IF(OR(M639="",R639&lt;&gt;""),"",M639/G639-1)</f>
        <v/>
      </c>
      <c r="P639" s="11">
        <f>IF(OR(M639="",R639&lt;&gt;""),"",(G639-M639)*E639)</f>
        <v/>
      </c>
      <c r="Q639" s="9">
        <f>IF(R639&lt;&gt;"","—",IF(M639&lt;G639,"Mais barato",IF(M639&gt;G639,"Mais caro","Igual")))</f>
        <v/>
      </c>
      <c r="R639" s="10" t="n"/>
    </row>
    <row r="640">
      <c r="A640" s="9" t="n">
        <v>397721</v>
      </c>
      <c r="B640" s="10" t="inlineStr">
        <is>
          <t>SONRIDOR CAF FRACAO BL 4 COMP</t>
        </is>
      </c>
      <c r="C640" s="10" t="inlineStr">
        <is>
          <t>RX</t>
        </is>
      </c>
      <c r="D640" s="9" t="inlineStr">
        <is>
          <t>B</t>
        </is>
      </c>
      <c r="E640" s="9" t="n">
        <v>2</v>
      </c>
      <c r="F640" s="9" t="n">
        <v>12</v>
      </c>
      <c r="G640" s="11" t="n">
        <v>87.39</v>
      </c>
      <c r="H640" s="10" t="inlineStr">
        <is>
          <t>SC DISTRIBUICAO LTDA</t>
        </is>
      </c>
      <c r="I640" s="12" t="inlineStr">
        <is>
          <t>7896015517106</t>
        </is>
      </c>
      <c r="J640" s="10" t="inlineStr">
        <is>
          <t>SONRIDOR CAF 24 COMPRIMIDOS EFERVESCENTES</t>
        </is>
      </c>
      <c r="K640" s="11" t="n">
        <v>89.25</v>
      </c>
      <c r="L640" s="13" t="n">
        <v>0.04</v>
      </c>
      <c r="M640" s="11">
        <f>IF(K640="","",ROUND(K640*(1-L640),2))</f>
        <v/>
      </c>
      <c r="N640" s="9" t="n">
        <v>1226</v>
      </c>
      <c r="O640" s="14">
        <f>IF(OR(M640="",R640&lt;&gt;""),"",M640/G640-1)</f>
        <v/>
      </c>
      <c r="P640" s="11">
        <f>IF(OR(M640="",R640&lt;&gt;""),"",(G640-M640)*E640)</f>
        <v/>
      </c>
      <c r="Q640" s="9">
        <f>IF(R640&lt;&gt;"","—",IF(M640&lt;G640,"Mais barato",IF(M640&gt;G640,"Mais caro","Igual")))</f>
        <v/>
      </c>
      <c r="R640" s="10" t="n"/>
    </row>
    <row r="641">
      <c r="A641" s="9" t="n">
        <v>657891</v>
      </c>
      <c r="B641" s="10" t="inlineStr">
        <is>
          <t>SONRIDOR DOR E FEBRE 20CPR</t>
        </is>
      </c>
      <c r="C641" s="10" t="inlineStr">
        <is>
          <t>RX</t>
        </is>
      </c>
      <c r="D641" s="9" t="inlineStr">
        <is>
          <t>C</t>
        </is>
      </c>
      <c r="E641" s="9" t="n">
        <v>1</v>
      </c>
      <c r="F641" s="9" t="n">
        <v>1</v>
      </c>
      <c r="G641" s="11" t="n">
        <v>7.9775</v>
      </c>
      <c r="H641" s="10" t="inlineStr">
        <is>
          <t>SC DISTRIBUICAO LTDA</t>
        </is>
      </c>
      <c r="I641" s="12" t="inlineStr">
        <is>
          <t>7896090611867</t>
        </is>
      </c>
      <c r="J641" s="10" t="inlineStr">
        <is>
          <t>SONRIDOR DOR E FEBRE C/20 COMPRIMIDOS</t>
        </is>
      </c>
      <c r="K641" s="11" t="n">
        <v>9.77</v>
      </c>
      <c r="L641" s="13" t="n">
        <v>0</v>
      </c>
      <c r="M641" s="11">
        <f>IF(K641="","",ROUND(K641*(1-L641),2))</f>
        <v/>
      </c>
      <c r="N641" s="9" t="n"/>
      <c r="O641" s="14">
        <f>IF(OR(M641="",R641&lt;&gt;""),"",M641/G641-1)</f>
        <v/>
      </c>
      <c r="P641" s="11">
        <f>IF(OR(M641="",R641&lt;&gt;""),"",(G641-M641)*E641)</f>
        <v/>
      </c>
      <c r="Q641" s="9">
        <f>IF(R641&lt;&gt;"","—",IF(M641&lt;G641,"Mais barato",IF(M641&gt;G641,"Mais caro","Igual")))</f>
        <v/>
      </c>
      <c r="R641" s="10" t="n"/>
    </row>
    <row r="642">
      <c r="A642" s="9" t="n">
        <v>670411</v>
      </c>
      <c r="B642" s="10" t="inlineStr">
        <is>
          <t>SONRIDOR RAPID FORTE BLIS 10X4-OUTROS</t>
        </is>
      </c>
      <c r="C642" s="10" t="inlineStr">
        <is>
          <t>RX</t>
        </is>
      </c>
      <c r="D642" s="9" t="inlineStr">
        <is>
          <t>C</t>
        </is>
      </c>
      <c r="E642" s="9" t="n">
        <v>1</v>
      </c>
      <c r="F642" s="9" t="n">
        <v>10</v>
      </c>
      <c r="G642" s="11" t="n">
        <v>419</v>
      </c>
      <c r="H642" s="10" t="inlineStr">
        <is>
          <t>SC DISTRIBUICAO LTDA</t>
        </is>
      </c>
      <c r="I642" s="12" t="n"/>
      <c r="J642" s="10" t="n"/>
      <c r="K642" s="11" t="n"/>
      <c r="L642" s="13" t="n"/>
      <c r="M642" s="11">
        <f>IF(K642="","",ROUND(K642*(1-L642),2))</f>
        <v/>
      </c>
      <c r="N642" s="9" t="n"/>
      <c r="O642" s="14">
        <f>IF(OR(M642="",R642&lt;&gt;""),"",M642/G642-1)</f>
        <v/>
      </c>
      <c r="P642" s="11">
        <f>IF(OR(M642="",R642&lt;&gt;""),"",(G642-M642)*E642)</f>
        <v/>
      </c>
      <c r="Q642" s="9">
        <f>IF(R642&lt;&gt;"","—",IF(M642&lt;G642,"Mais barato",IF(M642&gt;G642,"Mais caro","Igual")))</f>
        <v/>
      </c>
      <c r="R642" s="10" t="inlineStr">
        <is>
          <t>Não encontrado</t>
        </is>
      </c>
    </row>
    <row r="643">
      <c r="A643" s="9" t="n">
        <v>304901</v>
      </c>
      <c r="B643" s="10" t="inlineStr">
        <is>
          <t>SONRISAL CARTELA COM 2 COMP EFERV SB TRADICIONAL</t>
        </is>
      </c>
      <c r="C643" s="10" t="inlineStr">
        <is>
          <t>RX</t>
        </is>
      </c>
      <c r="D643" s="9" t="inlineStr">
        <is>
          <t>A</t>
        </is>
      </c>
      <c r="E643" s="9" t="n">
        <v>7</v>
      </c>
      <c r="F643" s="9" t="n">
        <v>30</v>
      </c>
      <c r="G643" s="11" t="n">
        <v>65.01000000000001</v>
      </c>
      <c r="H643" s="10" t="inlineStr">
        <is>
          <t>SC DISTRIBUICAO LTDA</t>
        </is>
      </c>
      <c r="I643" s="12" t="inlineStr">
        <is>
          <t>7896015520533</t>
        </is>
      </c>
      <c r="J643" s="10" t="inlineStr">
        <is>
          <t>SONRISAL 60 COMPRIMIDOS EFERVESCENTES</t>
        </is>
      </c>
      <c r="K643" s="11" t="n">
        <v>73.23999999999999</v>
      </c>
      <c r="L643" s="13" t="n">
        <v>0.04</v>
      </c>
      <c r="M643" s="11">
        <f>IF(K643="","",ROUND(K643*(1-L643),2))</f>
        <v/>
      </c>
      <c r="N643" s="9" t="n">
        <v>15456</v>
      </c>
      <c r="O643" s="14">
        <f>IF(OR(M643="",R643&lt;&gt;""),"",M643/G643-1)</f>
        <v/>
      </c>
      <c r="P643" s="11">
        <f>IF(OR(M643="",R643&lt;&gt;""),"",(G643-M643)*E643)</f>
        <v/>
      </c>
      <c r="Q643" s="9">
        <f>IF(R643&lt;&gt;"","—",IF(M643&lt;G643,"Mais barato",IF(M643&gt;G643,"Mais caro","Igual")))</f>
        <v/>
      </c>
      <c r="R643" s="10" t="n"/>
    </row>
    <row r="644">
      <c r="A644" s="9" t="n">
        <v>304961</v>
      </c>
      <c r="B644" s="10" t="inlineStr">
        <is>
          <t>SONRISAL FRACAO BL 2 COMP EFERV SB LIMAO</t>
        </is>
      </c>
      <c r="C644" s="10" t="inlineStr">
        <is>
          <t>RX</t>
        </is>
      </c>
      <c r="D644" s="9" t="inlineStr">
        <is>
          <t>A</t>
        </is>
      </c>
      <c r="E644" s="9" t="n">
        <v>1</v>
      </c>
      <c r="F644" s="9" t="n">
        <v>30</v>
      </c>
      <c r="G644" s="11" t="n">
        <v>62.635</v>
      </c>
      <c r="H644" s="10" t="inlineStr">
        <is>
          <t>SC DISTRIBUICAO LTDA</t>
        </is>
      </c>
      <c r="I644" s="12" t="inlineStr">
        <is>
          <t>7896015525231</t>
        </is>
      </c>
      <c r="J644" s="10" t="inlineStr">
        <is>
          <t>SONRISAL LIMAO 60 COMPRIMIDOS EFERVESCENTES</t>
        </is>
      </c>
      <c r="K644" s="11" t="n">
        <v>73.23999999999999</v>
      </c>
      <c r="L644" s="13" t="n">
        <v>0.04</v>
      </c>
      <c r="M644" s="11">
        <f>IF(K644="","",ROUND(K644*(1-L644),2))</f>
        <v/>
      </c>
      <c r="N644" s="9" t="n">
        <v>368</v>
      </c>
      <c r="O644" s="14">
        <f>IF(OR(M644="",R644&lt;&gt;""),"",M644/G644-1)</f>
        <v/>
      </c>
      <c r="P644" s="11">
        <f>IF(OR(M644="",R644&lt;&gt;""),"",(G644-M644)*E644)</f>
        <v/>
      </c>
      <c r="Q644" s="9">
        <f>IF(R644&lt;&gt;"","—",IF(M644&lt;G644,"Mais barato",IF(M644&gt;G644,"Mais caro","Igual")))</f>
        <v/>
      </c>
      <c r="R644" s="10" t="n"/>
    </row>
    <row r="645">
      <c r="A645" s="9" t="n">
        <v>539641</v>
      </c>
      <c r="B645" s="10" t="inlineStr">
        <is>
          <t>SORINE (N.S.) 0,1+9,0MG SOL NAS FR 30ML+CGT INF</t>
        </is>
      </c>
      <c r="C645" s="10" t="inlineStr">
        <is>
          <t>RX - OTC</t>
        </is>
      </c>
      <c r="D645" s="9" t="inlineStr">
        <is>
          <t>A</t>
        </is>
      </c>
      <c r="E645" s="9" t="n">
        <v>4</v>
      </c>
      <c r="F645" s="9" t="n">
        <v>1</v>
      </c>
      <c r="G645" s="11" t="n">
        <v>13.3353</v>
      </c>
      <c r="H645" s="10" t="inlineStr">
        <is>
          <t>SC DISTRIBUICAO LTDA</t>
        </is>
      </c>
      <c r="I645" s="12" t="inlineStr">
        <is>
          <t>7896658012303</t>
        </is>
      </c>
      <c r="J645" s="10" t="inlineStr">
        <is>
          <t>SORINE INFANTIL GOTAS 30ML</t>
        </is>
      </c>
      <c r="K645" s="11" t="n">
        <v>15.24</v>
      </c>
      <c r="L645" s="13" t="n">
        <v>0.05</v>
      </c>
      <c r="M645" s="11">
        <f>IF(K645="","",ROUND(K645*(1-L645),2))</f>
        <v/>
      </c>
      <c r="N645" s="9" t="n">
        <v>1687</v>
      </c>
      <c r="O645" s="14">
        <f>IF(OR(M645="",R645&lt;&gt;""),"",M645/G645-1)</f>
        <v/>
      </c>
      <c r="P645" s="11">
        <f>IF(OR(M645="",R645&lt;&gt;""),"",(G645-M645)*E645)</f>
        <v/>
      </c>
      <c r="Q645" s="9">
        <f>IF(R645&lt;&gt;"","—",IF(M645&lt;G645,"Mais barato",IF(M645&gt;G645,"Mais caro","Igual")))</f>
        <v/>
      </c>
      <c r="R645" s="10" t="n"/>
    </row>
    <row r="646">
      <c r="A646" s="9" t="n">
        <v>161161</v>
      </c>
      <c r="B646" s="10" t="inlineStr">
        <is>
          <t>SORINE 0,5+0,1+9MG SOL NAS FR 30ML ADU</t>
        </is>
      </c>
      <c r="C646" s="10" t="inlineStr">
        <is>
          <t>RX</t>
        </is>
      </c>
      <c r="D646" s="9" t="inlineStr">
        <is>
          <t>A</t>
        </is>
      </c>
      <c r="E646" s="9" t="n">
        <v>5</v>
      </c>
      <c r="F646" s="9" t="n">
        <v>1</v>
      </c>
      <c r="G646" s="11" t="n">
        <v>20.95</v>
      </c>
      <c r="H646" s="10" t="inlineStr">
        <is>
          <t>SC DISTRIBUICAO LTDA</t>
        </is>
      </c>
      <c r="I646" s="12" t="n"/>
      <c r="J646" s="10" t="n"/>
      <c r="K646" s="11" t="n"/>
      <c r="L646" s="13" t="n"/>
      <c r="M646" s="11">
        <f>IF(K646="","",ROUND(K646*(1-L646),2))</f>
        <v/>
      </c>
      <c r="N646" s="9" t="n"/>
      <c r="O646" s="14">
        <f>IF(OR(M646="",R646&lt;&gt;""),"",M646/G646-1)</f>
        <v/>
      </c>
      <c r="P646" s="11">
        <f>IF(OR(M646="",R646&lt;&gt;""),"",(G646-M646)*E646)</f>
        <v/>
      </c>
      <c r="Q646" s="9">
        <f>IF(R646&lt;&gt;"","—",IF(M646&lt;G646,"Mais barato",IF(M646&gt;G646,"Mais caro","Igual")))</f>
        <v/>
      </c>
      <c r="R646" s="10" t="inlineStr">
        <is>
          <t>Não encontrado</t>
        </is>
      </c>
    </row>
    <row r="647">
      <c r="A647" s="9" t="n">
        <v>6303</v>
      </c>
      <c r="B647" s="10" t="inlineStr">
        <is>
          <t>SORINE 0,9% JET BABY SOL FR 100ML</t>
        </is>
      </c>
      <c r="C647" s="10" t="inlineStr">
        <is>
          <t>RX</t>
        </is>
      </c>
      <c r="D647" s="9" t="inlineStr">
        <is>
          <t>A</t>
        </is>
      </c>
      <c r="E647" s="9" t="n">
        <v>2</v>
      </c>
      <c r="F647" s="9" t="n">
        <v>1</v>
      </c>
      <c r="G647" s="11" t="n">
        <v>32.6325</v>
      </c>
      <c r="H647" s="10" t="inlineStr">
        <is>
          <t>SC DISTRIBUICAO LTDA</t>
        </is>
      </c>
      <c r="I647" s="12" t="inlineStr">
        <is>
          <t>7896658049811</t>
        </is>
      </c>
      <c r="J647" s="10" t="inlineStr">
        <is>
          <t>SORINE XTM JET BABY CT FR X 100 ML</t>
        </is>
      </c>
      <c r="K647" s="11" t="n">
        <v>41.33</v>
      </c>
      <c r="L647" s="13" t="n">
        <v>0.05</v>
      </c>
      <c r="M647" s="11">
        <f>IF(K647="","",ROUND(K647*(1-L647),2))</f>
        <v/>
      </c>
      <c r="N647" s="9" t="n">
        <v>162</v>
      </c>
      <c r="O647" s="14">
        <f>IF(OR(M647="",R647&lt;&gt;""),"",M647/G647-1)</f>
        <v/>
      </c>
      <c r="P647" s="11">
        <f>IF(OR(M647="",R647&lt;&gt;""),"",(G647-M647)*E647)</f>
        <v/>
      </c>
      <c r="Q647" s="9">
        <f>IF(R647&lt;&gt;"","—",IF(M647&lt;G647,"Mais barato",IF(M647&gt;G647,"Mais caro","Igual")))</f>
        <v/>
      </c>
      <c r="R647" s="10" t="n"/>
    </row>
    <row r="648">
      <c r="A648" s="9" t="n">
        <v>543041</v>
      </c>
      <c r="B648" s="10" t="inlineStr">
        <is>
          <t>SORINE JET BABY 0,9% SOL NAS SPR FR 100ML</t>
        </is>
      </c>
      <c r="C648" s="10" t="inlineStr">
        <is>
          <t>RX - OTC</t>
        </is>
      </c>
      <c r="D648" s="9" t="inlineStr">
        <is>
          <t>A</t>
        </is>
      </c>
      <c r="E648" s="9" t="n">
        <v>4</v>
      </c>
      <c r="F648" s="9" t="n">
        <v>1</v>
      </c>
      <c r="G648" s="11" t="n">
        <v>28.91</v>
      </c>
      <c r="H648" s="10" t="inlineStr">
        <is>
          <t>SC DISTRIBUICAO LTDA</t>
        </is>
      </c>
      <c r="I648" s="12" t="inlineStr">
        <is>
          <t>7896658035944</t>
        </is>
      </c>
      <c r="J648" s="10" t="inlineStr">
        <is>
          <t>SORINE JET BABY 09% SOLUCAO NASAL 100ML</t>
        </is>
      </c>
      <c r="K648" s="11" t="n">
        <v>34.33</v>
      </c>
      <c r="L648" s="13" t="n">
        <v>0.05</v>
      </c>
      <c r="M648" s="11">
        <f>IF(K648="","",ROUND(K648*(1-L648),2))</f>
        <v/>
      </c>
      <c r="N648" s="9" t="n">
        <v>2562</v>
      </c>
      <c r="O648" s="14">
        <f>IF(OR(M648="",R648&lt;&gt;""),"",M648/G648-1)</f>
        <v/>
      </c>
      <c r="P648" s="11">
        <f>IF(OR(M648="",R648&lt;&gt;""),"",(G648-M648)*E648)</f>
        <v/>
      </c>
      <c r="Q648" s="9">
        <f>IF(R648&lt;&gt;"","—",IF(M648&lt;G648,"Mais barato",IF(M648&gt;G648,"Mais caro","Igual")))</f>
        <v/>
      </c>
      <c r="R648" s="10" t="n"/>
    </row>
    <row r="649">
      <c r="A649" s="9" t="n">
        <v>658381</v>
      </c>
      <c r="B649" s="10" t="inlineStr">
        <is>
          <t>SORINE SSC SOL NAS SPRAY 50ML-OUTROS</t>
        </is>
      </c>
      <c r="C649" s="10" t="inlineStr">
        <is>
          <t>RX</t>
        </is>
      </c>
      <c r="D649" s="9" t="inlineStr">
        <is>
          <t>B</t>
        </is>
      </c>
      <c r="E649" s="9" t="n">
        <v>5</v>
      </c>
      <c r="F649" s="9" t="n">
        <v>1</v>
      </c>
      <c r="G649" s="11" t="n">
        <v>23.57</v>
      </c>
      <c r="H649" s="10" t="inlineStr">
        <is>
          <t>SC DISTRIBUICAO LTDA</t>
        </is>
      </c>
      <c r="I649" s="12" t="inlineStr">
        <is>
          <t>7896658020315</t>
        </is>
      </c>
      <c r="J649" s="10" t="inlineStr">
        <is>
          <t>SORINE SSC SOLUCAO NASAL SPRAY 50ML</t>
        </is>
      </c>
      <c r="K649" s="11" t="n">
        <v>23.82</v>
      </c>
      <c r="L649" s="13" t="n">
        <v>0.05</v>
      </c>
      <c r="M649" s="11">
        <f>IF(K649="","",ROUND(K649*(1-L649),2))</f>
        <v/>
      </c>
      <c r="N649" s="9" t="n">
        <v>310</v>
      </c>
      <c r="O649" s="14">
        <f>IF(OR(M649="",R649&lt;&gt;""),"",M649/G649-1)</f>
        <v/>
      </c>
      <c r="P649" s="11">
        <f>IF(OR(M649="",R649&lt;&gt;""),"",(G649-M649)*E649)</f>
        <v/>
      </c>
      <c r="Q649" s="9">
        <f>IF(R649&lt;&gt;"","—",IF(M649&lt;G649,"Mais barato",IF(M649&gt;G649,"Mais caro","Igual")))</f>
        <v/>
      </c>
      <c r="R649" s="10" t="n"/>
    </row>
    <row r="650">
      <c r="A650" s="9" t="n">
        <v>297921</v>
      </c>
      <c r="B650" s="10" t="inlineStr">
        <is>
          <t>SPIDUFEN 1155MG GRAN SOL CX 10 ENV 3G SB DAMASCO</t>
        </is>
      </c>
      <c r="C650" s="10" t="inlineStr">
        <is>
          <t>RX</t>
        </is>
      </c>
      <c r="D650" s="9" t="inlineStr">
        <is>
          <t>B</t>
        </is>
      </c>
      <c r="E650" s="9" t="n">
        <v>1</v>
      </c>
      <c r="F650" s="9" t="n">
        <v>1</v>
      </c>
      <c r="G650" s="11" t="n">
        <v>40.19</v>
      </c>
      <c r="H650" s="10" t="inlineStr">
        <is>
          <t>SC DISTRIBUICAO LTDA</t>
        </is>
      </c>
      <c r="I650" s="12" t="inlineStr">
        <is>
          <t>7898074617803</t>
        </is>
      </c>
      <c r="J650" s="10" t="inlineStr">
        <is>
          <t>SPIDUFEN 1155MG C/10 ENVELOPES DAMASCO</t>
        </is>
      </c>
      <c r="K650" s="11" t="n">
        <v>40.46</v>
      </c>
      <c r="L650" s="13" t="n">
        <v>0.05</v>
      </c>
      <c r="M650" s="11">
        <f>IF(K650="","",ROUND(K650*(1-L650),2))</f>
        <v/>
      </c>
      <c r="N650" s="9" t="n">
        <v>679</v>
      </c>
      <c r="O650" s="14">
        <f>IF(OR(M650="",R650&lt;&gt;""),"",M650/G650-1)</f>
        <v/>
      </c>
      <c r="P650" s="11">
        <f>IF(OR(M650="",R650&lt;&gt;""),"",(G650-M650)*E650)</f>
        <v/>
      </c>
      <c r="Q650" s="9">
        <f>IF(R650&lt;&gt;"","—",IF(M650&lt;G650,"Mais barato",IF(M650&gt;G650,"Mais caro","Igual")))</f>
        <v/>
      </c>
      <c r="R650" s="10" t="n"/>
    </row>
    <row r="651">
      <c r="A651" s="9" t="n">
        <v>238021</v>
      </c>
      <c r="B651" s="10" t="inlineStr">
        <is>
          <t>STELE 1MG CREME VAG BG 50G+5APLIC</t>
        </is>
      </c>
      <c r="C651" s="10" t="inlineStr">
        <is>
          <t>RX</t>
        </is>
      </c>
      <c r="D651" s="9" t="inlineStr">
        <is>
          <t>A</t>
        </is>
      </c>
      <c r="E651" s="9" t="n">
        <v>5</v>
      </c>
      <c r="F651" s="9" t="n">
        <v>1</v>
      </c>
      <c r="G651" s="11" t="n">
        <v>49.26</v>
      </c>
      <c r="H651" s="10" t="inlineStr">
        <is>
          <t>SB COMERCIO LTDA 0179-15</t>
        </is>
      </c>
      <c r="I651" s="12" t="inlineStr">
        <is>
          <t>7896112400608</t>
        </is>
      </c>
      <c r="J651" s="10" t="inlineStr">
        <is>
          <t>STELE 1MG CREME VAGINAL C/5 APLICADORES</t>
        </is>
      </c>
      <c r="K651" s="11" t="n">
        <v>50.32</v>
      </c>
      <c r="L651" s="13" t="n">
        <v>0.05</v>
      </c>
      <c r="M651" s="11">
        <f>IF(K651="","",ROUND(K651*(1-L651),2))</f>
        <v/>
      </c>
      <c r="N651" s="9" t="n">
        <v>228</v>
      </c>
      <c r="O651" s="14">
        <f>IF(OR(M651="",R651&lt;&gt;""),"",M651/G651-1)</f>
        <v/>
      </c>
      <c r="P651" s="11">
        <f>IF(OR(M651="",R651&lt;&gt;""),"",(G651-M651)*E651)</f>
        <v/>
      </c>
      <c r="Q651" s="9">
        <f>IF(R651&lt;&gt;"","—",IF(M651&lt;G651,"Mais barato",IF(M651&gt;G651,"Mais caro","Igual")))</f>
        <v/>
      </c>
      <c r="R651" s="10" t="n"/>
    </row>
    <row r="652">
      <c r="A652" s="9" t="n">
        <v>7201</v>
      </c>
      <c r="B652" s="10" t="inlineStr">
        <is>
          <t>STER 10MG SUS OFT COL FR 5ML</t>
        </is>
      </c>
      <c r="C652" s="10" t="inlineStr">
        <is>
          <t>RX</t>
        </is>
      </c>
      <c r="D652" s="9" t="inlineStr">
        <is>
          <t>A</t>
        </is>
      </c>
      <c r="E652" s="9" t="n">
        <v>2</v>
      </c>
      <c r="F652" s="9" t="n">
        <v>1</v>
      </c>
      <c r="G652" s="11" t="n">
        <v>21.965</v>
      </c>
      <c r="H652" s="10" t="inlineStr">
        <is>
          <t>SC DISTRIBUICAO LTDA</t>
        </is>
      </c>
      <c r="I652" s="12" t="inlineStr">
        <is>
          <t>7896006290988</t>
        </is>
      </c>
      <c r="J652" s="10" t="inlineStr">
        <is>
          <t>STER SUSPENSAO OFTALMICA 10MG 5ML</t>
        </is>
      </c>
      <c r="K652" s="11" t="n">
        <v>23.96</v>
      </c>
      <c r="L652" s="13" t="n">
        <v>0.04</v>
      </c>
      <c r="M652" s="11">
        <f>IF(K652="","",ROUND(K652*(1-L652),2))</f>
        <v/>
      </c>
      <c r="N652" s="9" t="n">
        <v>719</v>
      </c>
      <c r="O652" s="14">
        <f>IF(OR(M652="",R652&lt;&gt;""),"",M652/G652-1)</f>
        <v/>
      </c>
      <c r="P652" s="11">
        <f>IF(OR(M652="",R652&lt;&gt;""),"",(G652-M652)*E652)</f>
        <v/>
      </c>
      <c r="Q652" s="9">
        <f>IF(R652&lt;&gt;"","—",IF(M652&lt;G652,"Mais barato",IF(M652&gt;G652,"Mais caro","Igual")))</f>
        <v/>
      </c>
      <c r="R652" s="10" t="n"/>
    </row>
    <row r="653">
      <c r="A653" s="9" t="n">
        <v>526121</v>
      </c>
      <c r="B653" s="10" t="inlineStr">
        <is>
          <t>STEZZA 2,5+1,5MG CX 24 COMP REV+CALEND+4 PLACEBO</t>
        </is>
      </c>
      <c r="C653" s="10" t="inlineStr">
        <is>
          <t>RX</t>
        </is>
      </c>
      <c r="D653" s="9" t="inlineStr">
        <is>
          <t>A</t>
        </is>
      </c>
      <c r="E653" s="9" t="n">
        <v>2</v>
      </c>
      <c r="F653" s="9" t="n">
        <v>1</v>
      </c>
      <c r="G653" s="11" t="n">
        <v>45.8</v>
      </c>
      <c r="H653" s="10" t="inlineStr">
        <is>
          <t>SC DISTRIBUICAO LTDA</t>
        </is>
      </c>
      <c r="I653" s="12" t="inlineStr">
        <is>
          <t>5060632508768</t>
        </is>
      </c>
      <c r="J653" s="10" t="inlineStr">
        <is>
          <t>STEZZA C/28 COMPRIMIDOS</t>
        </is>
      </c>
      <c r="K653" s="11" t="n">
        <v>45</v>
      </c>
      <c r="L653" s="13" t="n">
        <v>0.03</v>
      </c>
      <c r="M653" s="11">
        <f>IF(K653="","",ROUND(K653*(1-L653),2))</f>
        <v/>
      </c>
      <c r="N653" s="9" t="n">
        <v>15</v>
      </c>
      <c r="O653" s="14">
        <f>IF(OR(M653="",R653&lt;&gt;""),"",M653/G653-1)</f>
        <v/>
      </c>
      <c r="P653" s="11">
        <f>IF(OR(M653="",R653&lt;&gt;""),"",(G653-M653)*E653)</f>
        <v/>
      </c>
      <c r="Q653" s="9">
        <f>IF(R653&lt;&gt;"","—",IF(M653&lt;G653,"Mais barato",IF(M653&gt;G653,"Mais caro","Igual")))</f>
        <v/>
      </c>
      <c r="R653" s="10" t="n"/>
    </row>
    <row r="654">
      <c r="A654" s="9" t="n">
        <v>211981</v>
      </c>
      <c r="B654" s="10" t="inlineStr">
        <is>
          <t>STILL 1MG/ML SOL OFT FR 5ML</t>
        </is>
      </c>
      <c r="C654" s="10" t="inlineStr">
        <is>
          <t>RX</t>
        </is>
      </c>
      <c r="D654" s="9" t="inlineStr">
        <is>
          <t>A</t>
        </is>
      </c>
      <c r="E654" s="9" t="n">
        <v>5</v>
      </c>
      <c r="F654" s="9" t="n">
        <v>1</v>
      </c>
      <c r="G654" s="11" t="n">
        <v>15.79</v>
      </c>
      <c r="H654" s="10" t="inlineStr">
        <is>
          <t>SC DISTRIBUICAO LTDA</t>
        </is>
      </c>
      <c r="I654" s="12" t="inlineStr">
        <is>
          <t>7897316802335</t>
        </is>
      </c>
      <c r="J654" s="10" t="inlineStr">
        <is>
          <t>STILL COLIRIO 1% 5ML</t>
        </is>
      </c>
      <c r="K654" s="11" t="n">
        <v>16.26</v>
      </c>
      <c r="L654" s="13" t="n">
        <v>0.06</v>
      </c>
      <c r="M654" s="11">
        <f>IF(K654="","",ROUND(K654*(1-L654),2))</f>
        <v/>
      </c>
      <c r="N654" s="9" t="n">
        <v>278</v>
      </c>
      <c r="O654" s="14">
        <f>IF(OR(M654="",R654&lt;&gt;""),"",M654/G654-1)</f>
        <v/>
      </c>
      <c r="P654" s="11">
        <f>IF(OR(M654="",R654&lt;&gt;""),"",(G654-M654)*E654)</f>
        <v/>
      </c>
      <c r="Q654" s="9">
        <f>IF(R654&lt;&gt;"","—",IF(M654&lt;G654,"Mais barato",IF(M654&gt;G654,"Mais caro","Igual")))</f>
        <v/>
      </c>
      <c r="R654" s="10" t="n"/>
    </row>
    <row r="655">
      <c r="A655" s="9" t="n">
        <v>252081</v>
      </c>
      <c r="B655" s="10" t="inlineStr">
        <is>
          <t>STREPSILS 8,75MG CX 16 PAST SB MEL/LIMAO</t>
        </is>
      </c>
      <c r="C655" s="10" t="inlineStr">
        <is>
          <t>RX - OTC</t>
        </is>
      </c>
      <c r="D655" s="9" t="inlineStr">
        <is>
          <t>A</t>
        </is>
      </c>
      <c r="E655" s="9" t="n">
        <v>7</v>
      </c>
      <c r="F655" s="9" t="n">
        <v>1</v>
      </c>
      <c r="G655" s="11" t="n">
        <v>22.4533</v>
      </c>
      <c r="H655" s="10" t="inlineStr">
        <is>
          <t>SC DISTRIBUICAO LTDA</t>
        </is>
      </c>
      <c r="I655" s="12" t="inlineStr">
        <is>
          <t>7891035010866</t>
        </is>
      </c>
      <c r="J655" s="10" t="inlineStr">
        <is>
          <t>STREPSILS MEL E LIMAO C/16 PASTILHAS</t>
        </is>
      </c>
      <c r="K655" s="11" t="n">
        <v>24.18</v>
      </c>
      <c r="L655" s="13" t="n">
        <v>0.06</v>
      </c>
      <c r="M655" s="11">
        <f>IF(K655="","",ROUND(K655*(1-L655),2))</f>
        <v/>
      </c>
      <c r="N655" s="9" t="n">
        <v>4377</v>
      </c>
      <c r="O655" s="14">
        <f>IF(OR(M655="",R655&lt;&gt;""),"",M655/G655-1)</f>
        <v/>
      </c>
      <c r="P655" s="11">
        <f>IF(OR(M655="",R655&lt;&gt;""),"",(G655-M655)*E655)</f>
        <v/>
      </c>
      <c r="Q655" s="9">
        <f>IF(R655&lt;&gt;"","—",IF(M655&lt;G655,"Mais barato",IF(M655&gt;G655,"Mais caro","Igual")))</f>
        <v/>
      </c>
      <c r="R655" s="10" t="n"/>
    </row>
    <row r="656">
      <c r="A656" s="9" t="n">
        <v>252101</v>
      </c>
      <c r="B656" s="10" t="inlineStr">
        <is>
          <t>STREPSILS 8,75MG CX 24 PAST SB MEL E LIMAO</t>
        </is>
      </c>
      <c r="C656" s="10" t="inlineStr">
        <is>
          <t>RX - OTC</t>
        </is>
      </c>
      <c r="D656" s="9" t="inlineStr">
        <is>
          <t>B</t>
        </is>
      </c>
      <c r="E656" s="9" t="n">
        <v>4</v>
      </c>
      <c r="F656" s="9" t="n">
        <v>1</v>
      </c>
      <c r="G656" s="11" t="n">
        <v>31.67</v>
      </c>
      <c r="H656" s="10" t="inlineStr">
        <is>
          <t>SC DISTRIBUICAO LTDA</t>
        </is>
      </c>
      <c r="I656" s="12" t="inlineStr">
        <is>
          <t>7896222720863</t>
        </is>
      </c>
      <c r="J656" s="10" t="inlineStr">
        <is>
          <t>STREPSILS MEL E LIMAO 8.75MG C/24 PASTILHAS</t>
        </is>
      </c>
      <c r="K656" s="11" t="n">
        <v>34.1</v>
      </c>
      <c r="L656" s="13" t="n">
        <v>0.06</v>
      </c>
      <c r="M656" s="11">
        <f>IF(K656="","",ROUND(K656*(1-L656),2))</f>
        <v/>
      </c>
      <c r="N656" s="9" t="n">
        <v>464</v>
      </c>
      <c r="O656" s="14">
        <f>IF(OR(M656="",R656&lt;&gt;""),"",M656/G656-1)</f>
        <v/>
      </c>
      <c r="P656" s="11">
        <f>IF(OR(M656="",R656&lt;&gt;""),"",(G656-M656)*E656)</f>
        <v/>
      </c>
      <c r="Q656" s="9">
        <f>IF(R656&lt;&gt;"","—",IF(M656&lt;G656,"Mais barato",IF(M656&gt;G656,"Mais caro","Igual")))</f>
        <v/>
      </c>
      <c r="R656" s="10" t="n"/>
    </row>
    <row r="657">
      <c r="A657" s="9" t="n">
        <v>252061</v>
      </c>
      <c r="B657" s="10" t="inlineStr">
        <is>
          <t>STREPSILS 8,75MG CX 8 PAST SB MEL/LIMAO</t>
        </is>
      </c>
      <c r="C657" s="10" t="inlineStr">
        <is>
          <t>RX - OTC</t>
        </is>
      </c>
      <c r="D657" s="9" t="inlineStr">
        <is>
          <t>A</t>
        </is>
      </c>
      <c r="E657" s="9" t="n">
        <v>20</v>
      </c>
      <c r="F657" s="9" t="n">
        <v>1</v>
      </c>
      <c r="G657" s="11" t="n">
        <v>12.2996</v>
      </c>
      <c r="H657" s="10" t="inlineStr">
        <is>
          <t>SC DISTRIBUICAO LTDA</t>
        </is>
      </c>
      <c r="I657" s="12" t="inlineStr">
        <is>
          <t>7891035010842</t>
        </is>
      </c>
      <c r="J657" s="10" t="inlineStr">
        <is>
          <t>STREPSILS MEL E LIMAO C/8 PASTILHAS</t>
        </is>
      </c>
      <c r="K657" s="11" t="n">
        <v>13.24</v>
      </c>
      <c r="L657" s="13" t="n">
        <v>0.06</v>
      </c>
      <c r="M657" s="11">
        <f>IF(K657="","",ROUND(K657*(1-L657),2))</f>
        <v/>
      </c>
      <c r="N657" s="9" t="n">
        <v>9739</v>
      </c>
      <c r="O657" s="14">
        <f>IF(OR(M657="",R657&lt;&gt;""),"",M657/G657-1)</f>
        <v/>
      </c>
      <c r="P657" s="11">
        <f>IF(OR(M657="",R657&lt;&gt;""),"",(G657-M657)*E657)</f>
        <v/>
      </c>
      <c r="Q657" s="9">
        <f>IF(R657&lt;&gt;"","—",IF(M657&lt;G657,"Mais barato",IF(M657&gt;G657,"Mais caro","Igual")))</f>
        <v/>
      </c>
      <c r="R657" s="10" t="n"/>
    </row>
    <row r="658">
      <c r="A658" s="9" t="n">
        <v>252021</v>
      </c>
      <c r="B658" s="10" t="inlineStr">
        <is>
          <t>STREPSILS 8.75MG CX 16 PAST SB LARANJA</t>
        </is>
      </c>
      <c r="C658" s="10" t="inlineStr">
        <is>
          <t>RX - OTC</t>
        </is>
      </c>
      <c r="D658" s="9" t="inlineStr">
        <is>
          <t>A</t>
        </is>
      </c>
      <c r="E658" s="9" t="n">
        <v>1</v>
      </c>
      <c r="F658" s="9" t="n">
        <v>1</v>
      </c>
      <c r="G658" s="11" t="n">
        <v>25.6267</v>
      </c>
      <c r="H658" s="10" t="inlineStr">
        <is>
          <t>SC DISTRIBUICAO LTDA</t>
        </is>
      </c>
      <c r="I658" s="12" t="inlineStr">
        <is>
          <t>7891035010972</t>
        </is>
      </c>
      <c r="J658" s="10" t="inlineStr">
        <is>
          <t>STREPSILS LARANJA SEM ACUCAR C/16 PASTILHAS</t>
        </is>
      </c>
      <c r="K658" s="11" t="n">
        <v>25.76</v>
      </c>
      <c r="L658" s="13" t="n">
        <v>0.06</v>
      </c>
      <c r="M658" s="11">
        <f>IF(K658="","",ROUND(K658*(1-L658),2))</f>
        <v/>
      </c>
      <c r="N658" s="9" t="n">
        <v>1993</v>
      </c>
      <c r="O658" s="14">
        <f>IF(OR(M658="",R658&lt;&gt;""),"",M658/G658-1)</f>
        <v/>
      </c>
      <c r="P658" s="11">
        <f>IF(OR(M658="",R658&lt;&gt;""),"",(G658-M658)*E658)</f>
        <v/>
      </c>
      <c r="Q658" s="9">
        <f>IF(R658&lt;&gt;"","—",IF(M658&lt;G658,"Mais barato",IF(M658&gt;G658,"Mais caro","Igual")))</f>
        <v/>
      </c>
      <c r="R658" s="10" t="n"/>
    </row>
    <row r="659">
      <c r="A659" s="9" t="n">
        <v>252001</v>
      </c>
      <c r="B659" s="10" t="inlineStr">
        <is>
          <t>STREPSILS 8.75MG CX 8 PAST SB LARANJA</t>
        </is>
      </c>
      <c r="C659" s="10" t="inlineStr">
        <is>
          <t>RX</t>
        </is>
      </c>
      <c r="D659" s="9" t="inlineStr">
        <is>
          <t>A</t>
        </is>
      </c>
      <c r="E659" s="9" t="n">
        <v>4</v>
      </c>
      <c r="F659" s="9" t="n">
        <v>1</v>
      </c>
      <c r="G659" s="11" t="n">
        <v>13.094</v>
      </c>
      <c r="H659" s="10" t="inlineStr">
        <is>
          <t>SC DISTRIBUICAO LTDA</t>
        </is>
      </c>
      <c r="I659" s="12" t="inlineStr">
        <is>
          <t>7891035010958</t>
        </is>
      </c>
      <c r="J659" s="10" t="inlineStr">
        <is>
          <t>STREPSILS LARANJA SEM ACUCAR C/8 PASTILHAS</t>
        </is>
      </c>
      <c r="K659" s="11" t="n">
        <v>14.1</v>
      </c>
      <c r="L659" s="13" t="n">
        <v>0.06</v>
      </c>
      <c r="M659" s="11">
        <f>IF(K659="","",ROUND(K659*(1-L659),2))</f>
        <v/>
      </c>
      <c r="N659" s="9" t="n">
        <v>5778</v>
      </c>
      <c r="O659" s="14">
        <f>IF(OR(M659="",R659&lt;&gt;""),"",M659/G659-1)</f>
        <v/>
      </c>
      <c r="P659" s="11">
        <f>IF(OR(M659="",R659&lt;&gt;""),"",(G659-M659)*E659)</f>
        <v/>
      </c>
      <c r="Q659" s="9">
        <f>IF(R659&lt;&gt;"","—",IF(M659&lt;G659,"Mais barato",IF(M659&gt;G659,"Mais caro","Igual")))</f>
        <v/>
      </c>
      <c r="R659" s="10" t="n"/>
    </row>
    <row r="660">
      <c r="A660" s="9" t="n">
        <v>665971</v>
      </c>
      <c r="B660" s="10" t="inlineStr">
        <is>
          <t>SUNMAX INTENSE FPS60 - 60G-DEMAIS PROD</t>
        </is>
      </c>
      <c r="C660" s="10" t="inlineStr">
        <is>
          <t>RX - DERMO</t>
        </is>
      </c>
      <c r="D660" s="9" t="inlineStr">
        <is>
          <t>B</t>
        </is>
      </c>
      <c r="E660" s="9" t="n">
        <v>6</v>
      </c>
      <c r="F660" s="9" t="n">
        <v>1</v>
      </c>
      <c r="G660" s="11" t="n">
        <v>56.33</v>
      </c>
      <c r="H660" s="10" t="inlineStr">
        <is>
          <t>SC DISTRIBUICAO LTDA</t>
        </is>
      </c>
      <c r="I660" s="12" t="n"/>
      <c r="J660" s="10" t="n"/>
      <c r="K660" s="11" t="n"/>
      <c r="L660" s="13" t="n"/>
      <c r="M660" s="11">
        <f>IF(K660="","",ROUND(K660*(1-L660),2))</f>
        <v/>
      </c>
      <c r="N660" s="9" t="n"/>
      <c r="O660" s="14">
        <f>IF(OR(M660="",R660&lt;&gt;""),"",M660/G660-1)</f>
        <v/>
      </c>
      <c r="P660" s="11">
        <f>IF(OR(M660="",R660&lt;&gt;""),"",(G660-M660)*E660)</f>
        <v/>
      </c>
      <c r="Q660" s="9">
        <f>IF(R660&lt;&gt;"","—",IF(M660&lt;G660,"Mais barato",IF(M660&gt;G660,"Mais caro","Igual")))</f>
        <v/>
      </c>
      <c r="R660" s="10" t="inlineStr">
        <is>
          <t>Não encontrado</t>
        </is>
      </c>
    </row>
    <row r="661">
      <c r="A661" s="9" t="n">
        <v>413961</v>
      </c>
      <c r="B661" s="10" t="inlineStr">
        <is>
          <t>SUSTRATE 10MG CX 50 COMP</t>
        </is>
      </c>
      <c r="C661" s="10" t="inlineStr">
        <is>
          <t>RX</t>
        </is>
      </c>
      <c r="D661" s="9" t="inlineStr">
        <is>
          <t>A</t>
        </is>
      </c>
      <c r="E661" s="9" t="n">
        <v>3</v>
      </c>
      <c r="F661" s="9" t="n">
        <v>1</v>
      </c>
      <c r="G661" s="11" t="n">
        <v>28.86</v>
      </c>
      <c r="H661" s="10" t="inlineStr">
        <is>
          <t>SC DISTRIBUICAO LTDA</t>
        </is>
      </c>
      <c r="I661" s="12" t="inlineStr">
        <is>
          <t>7898040323141</t>
        </is>
      </c>
      <c r="J661" s="10" t="inlineStr">
        <is>
          <t>SUSTRATE C/50 COMPRIMIDOS</t>
        </is>
      </c>
      <c r="K661" s="11" t="n">
        <v>28.97</v>
      </c>
      <c r="L661" s="13" t="n">
        <v>0.04</v>
      </c>
      <c r="M661" s="11">
        <f>IF(K661="","",ROUND(K661*(1-L661),2))</f>
        <v/>
      </c>
      <c r="N661" s="9" t="n">
        <v>2354</v>
      </c>
      <c r="O661" s="14">
        <f>IF(OR(M661="",R661&lt;&gt;""),"",M661/G661-1)</f>
        <v/>
      </c>
      <c r="P661" s="11">
        <f>IF(OR(M661="",R661&lt;&gt;""),"",(G661-M661)*E661)</f>
        <v/>
      </c>
      <c r="Q661" s="9">
        <f>IF(R661&lt;&gt;"","—",IF(M661&lt;G661,"Mais barato",IF(M661&gt;G661,"Mais caro","Igual")))</f>
        <v/>
      </c>
      <c r="R661" s="10" t="n"/>
    </row>
    <row r="662">
      <c r="A662" s="9" t="n">
        <v>539601</v>
      </c>
      <c r="B662" s="10" t="inlineStr">
        <is>
          <t>SYSTANE ULTRA FCO X10ML</t>
        </is>
      </c>
      <c r="C662" s="10" t="inlineStr">
        <is>
          <t>RX - OTC</t>
        </is>
      </c>
      <c r="D662" s="9" t="inlineStr">
        <is>
          <t>A</t>
        </is>
      </c>
      <c r="E662" s="9" t="n">
        <v>2</v>
      </c>
      <c r="F662" s="9" t="n">
        <v>1</v>
      </c>
      <c r="G662" s="11" t="n">
        <v>52.81</v>
      </c>
      <c r="H662" s="10" t="inlineStr">
        <is>
          <t>SC DISTRIBUICAO LTDA</t>
        </is>
      </c>
      <c r="I662" s="12" t="inlineStr">
        <is>
          <t>300652439259</t>
        </is>
      </c>
      <c r="J662" s="10" t="inlineStr">
        <is>
          <t>SYSTANE UL SOLUCAO OFTALMICA 10ML</t>
        </is>
      </c>
      <c r="K662" s="11" t="n">
        <v>61.98</v>
      </c>
      <c r="L662" s="13" t="n">
        <v>0</v>
      </c>
      <c r="M662" s="11">
        <f>IF(K662="","",ROUND(K662*(1-L662),2))</f>
        <v/>
      </c>
      <c r="N662" s="9" t="n">
        <v>2653</v>
      </c>
      <c r="O662" s="14">
        <f>IF(OR(M662="",R662&lt;&gt;""),"",M662/G662-1)</f>
        <v/>
      </c>
      <c r="P662" s="11">
        <f>IF(OR(M662="",R662&lt;&gt;""),"",(G662-M662)*E662)</f>
        <v/>
      </c>
      <c r="Q662" s="9">
        <f>IF(R662&lt;&gt;"","—",IF(M662&lt;G662,"Mais barato",IF(M662&gt;G662,"Mais caro","Igual")))</f>
        <v/>
      </c>
      <c r="R662" s="10" t="n"/>
    </row>
    <row r="663">
      <c r="A663" s="9" t="n">
        <v>455761</v>
      </c>
      <c r="B663" s="10" t="inlineStr">
        <is>
          <t>TACROZ 1,0MG/G POM DERM BG AL PLAS 10G</t>
        </is>
      </c>
      <c r="C663" s="10" t="inlineStr">
        <is>
          <t>RX</t>
        </is>
      </c>
      <c r="D663" s="9" t="inlineStr">
        <is>
          <t>B</t>
        </is>
      </c>
      <c r="E663" s="9" t="n">
        <v>1</v>
      </c>
      <c r="F663" s="9" t="n">
        <v>1</v>
      </c>
      <c r="G663" s="11" t="n">
        <v>66.54000000000001</v>
      </c>
      <c r="H663" s="10" t="inlineStr">
        <is>
          <t>SC DISTRIBUICAO LTDA</t>
        </is>
      </c>
      <c r="I663" s="12" t="inlineStr">
        <is>
          <t>7897473206427</t>
        </is>
      </c>
      <c r="J663" s="10" t="inlineStr">
        <is>
          <t>POMADA TACROZ DERMATOLOGICA 1MG 10G</t>
        </is>
      </c>
      <c r="K663" s="11" t="n">
        <v>65.56</v>
      </c>
      <c r="L663" s="13" t="n">
        <v>0.035</v>
      </c>
      <c r="M663" s="11">
        <f>IF(K663="","",ROUND(K663*(1-L663),2))</f>
        <v/>
      </c>
      <c r="N663" s="9" t="n">
        <v>78</v>
      </c>
      <c r="O663" s="14">
        <f>IF(OR(M663="",R663&lt;&gt;""),"",M663/G663-1)</f>
        <v/>
      </c>
      <c r="P663" s="11">
        <f>IF(OR(M663="",R663&lt;&gt;""),"",(G663-M663)*E663)</f>
        <v/>
      </c>
      <c r="Q663" s="9">
        <f>IF(R663&lt;&gt;"","—",IF(M663&lt;G663,"Mais barato",IF(M663&gt;G663,"Mais caro","Igual")))</f>
        <v/>
      </c>
      <c r="R663" s="10" t="n"/>
    </row>
    <row r="664">
      <c r="A664" s="9" t="n">
        <v>433461</v>
      </c>
      <c r="B664" s="10" t="inlineStr">
        <is>
          <t>TAMARINE FR 48 150G+COL ZERO ACUC</t>
        </is>
      </c>
      <c r="C664" s="10" t="inlineStr">
        <is>
          <t>RX - OTC</t>
        </is>
      </c>
      <c r="D664" s="9" t="inlineStr">
        <is>
          <t>A</t>
        </is>
      </c>
      <c r="E664" s="9" t="n">
        <v>4</v>
      </c>
      <c r="F664" s="9" t="n">
        <v>1</v>
      </c>
      <c r="G664" s="11" t="n">
        <v>75.675</v>
      </c>
      <c r="H664" s="10" t="inlineStr">
        <is>
          <t>SC DISTRIBUICAO LTDA</t>
        </is>
      </c>
      <c r="I664" s="12" t="inlineStr">
        <is>
          <t>7897322709789</t>
        </is>
      </c>
      <c r="J664" s="10" t="inlineStr">
        <is>
          <t>TAMARINE GELEIA 150G ZERO ACUCAR</t>
        </is>
      </c>
      <c r="K664" s="11" t="n">
        <v>72.81999999999999</v>
      </c>
      <c r="L664" s="13" t="n">
        <v>0.035</v>
      </c>
      <c r="M664" s="11">
        <f>IF(K664="","",ROUND(K664*(1-L664),2))</f>
        <v/>
      </c>
      <c r="N664" s="9" t="n">
        <v>739</v>
      </c>
      <c r="O664" s="14">
        <f>IF(OR(M664="",R664&lt;&gt;""),"",M664/G664-1)</f>
        <v/>
      </c>
      <c r="P664" s="11">
        <f>IF(OR(M664="",R664&lt;&gt;""),"",(G664-M664)*E664)</f>
        <v/>
      </c>
      <c r="Q664" s="9">
        <f>IF(R664&lt;&gt;"","—",IF(M664&lt;G664,"Mais barato",IF(M664&gt;G664,"Mais caro","Igual")))</f>
        <v/>
      </c>
      <c r="R664" s="10" t="n"/>
    </row>
    <row r="665">
      <c r="A665" s="9" t="n">
        <v>262121</v>
      </c>
      <c r="B665" s="10" t="inlineStr">
        <is>
          <t>TAMISA 0,075+0,020MG CX 21 DRG</t>
        </is>
      </c>
      <c r="C665" s="10" t="inlineStr">
        <is>
          <t>RX</t>
        </is>
      </c>
      <c r="D665" s="9" t="inlineStr">
        <is>
          <t>A</t>
        </is>
      </c>
      <c r="E665" s="9" t="n">
        <v>7</v>
      </c>
      <c r="F665" s="9" t="n">
        <v>1</v>
      </c>
      <c r="G665" s="11" t="n">
        <v>28.4</v>
      </c>
      <c r="H665" s="10" t="inlineStr">
        <is>
          <t>SC DISTRIBUICAO LTDA</t>
        </is>
      </c>
      <c r="I665" s="12" t="inlineStr">
        <is>
          <t>7891317465049</t>
        </is>
      </c>
      <c r="J665" s="10" t="inlineStr">
        <is>
          <t>TAMISA 20 C/21 COMPRIMIDOS</t>
        </is>
      </c>
      <c r="K665" s="11" t="n">
        <v>29</v>
      </c>
      <c r="L665" s="13" t="n">
        <v>0.04</v>
      </c>
      <c r="M665" s="11">
        <f>IF(K665="","",ROUND(K665*(1-L665),2))</f>
        <v/>
      </c>
      <c r="N665" s="9" t="n">
        <v>673</v>
      </c>
      <c r="O665" s="14">
        <f>IF(OR(M665="",R665&lt;&gt;""),"",M665/G665-1)</f>
        <v/>
      </c>
      <c r="P665" s="11">
        <f>IF(OR(M665="",R665&lt;&gt;""),"",(G665-M665)*E665)</f>
        <v/>
      </c>
      <c r="Q665" s="9">
        <f>IF(R665&lt;&gt;"","—",IF(M665&lt;G665,"Mais barato",IF(M665&gt;G665,"Mais caro","Igual")))</f>
        <v/>
      </c>
      <c r="R665" s="10" t="n"/>
    </row>
    <row r="666">
      <c r="A666" s="9" t="n">
        <v>561041</v>
      </c>
      <c r="B666" s="10" t="inlineStr">
        <is>
          <t>TAMISA NF 0,075+0,030MG CAIXA C/ 3 CARTELAS COMP REV</t>
        </is>
      </c>
      <c r="C666" s="10" t="inlineStr">
        <is>
          <t>RX</t>
        </is>
      </c>
      <c r="D666" s="9" t="inlineStr">
        <is>
          <t>A</t>
        </is>
      </c>
      <c r="E666" s="9" t="n">
        <v>2</v>
      </c>
      <c r="F666" s="9" t="n">
        <v>1</v>
      </c>
      <c r="G666" s="11" t="n">
        <v>69.44329999999999</v>
      </c>
      <c r="H666" s="10" t="inlineStr">
        <is>
          <t>SC DISTRIBUICAO LTDA</t>
        </is>
      </c>
      <c r="I666" s="12" t="inlineStr">
        <is>
          <t>7891317009724</t>
        </is>
      </c>
      <c r="J666" s="10" t="inlineStr">
        <is>
          <t>TAMISA 30 75MCG + 30MCG C/63 COMPRIMIDOS REV</t>
        </is>
      </c>
      <c r="K666" s="11" t="n">
        <v>68.98</v>
      </c>
      <c r="L666" s="13" t="n">
        <v>0.04</v>
      </c>
      <c r="M666" s="11">
        <f>IF(K666="","",ROUND(K666*(1-L666),2))</f>
        <v/>
      </c>
      <c r="N666" s="9" t="n">
        <v>351</v>
      </c>
      <c r="O666" s="14">
        <f>IF(OR(M666="",R666&lt;&gt;""),"",M666/G666-1)</f>
        <v/>
      </c>
      <c r="P666" s="11">
        <f>IF(OR(M666="",R666&lt;&gt;""),"",(G666-M666)*E666)</f>
        <v/>
      </c>
      <c r="Q666" s="9">
        <f>IF(R666&lt;&gt;"","—",IF(M666&lt;G666,"Mais barato",IF(M666&gt;G666,"Mais caro","Igual")))</f>
        <v/>
      </c>
      <c r="R666" s="10" t="n"/>
    </row>
    <row r="667">
      <c r="A667" s="9" t="n">
        <v>645201</v>
      </c>
      <c r="B667" s="10" t="inlineStr">
        <is>
          <t>TAMISA NF 0,075+0,030MG CX 21 COMP REV</t>
        </is>
      </c>
      <c r="C667" s="10" t="inlineStr">
        <is>
          <t>RX</t>
        </is>
      </c>
      <c r="D667" s="9" t="inlineStr">
        <is>
          <t>A</t>
        </is>
      </c>
      <c r="E667" s="9" t="n">
        <v>2</v>
      </c>
      <c r="F667" s="9" t="n">
        <v>1</v>
      </c>
      <c r="G667" s="11" t="n">
        <v>28.4</v>
      </c>
      <c r="H667" s="10" t="inlineStr">
        <is>
          <t>SC DISTRIBUICAO LTDA</t>
        </is>
      </c>
      <c r="I667" s="12" t="inlineStr">
        <is>
          <t>7891317009717</t>
        </is>
      </c>
      <c r="J667" s="10" t="inlineStr">
        <is>
          <t>TAMISA 30 75MCG + 30MCG C/21 COMPRIMIDOS REV</t>
        </is>
      </c>
      <c r="K667" s="11" t="n">
        <v>29</v>
      </c>
      <c r="L667" s="13" t="n">
        <v>0.04</v>
      </c>
      <c r="M667" s="11">
        <f>IF(K667="","",ROUND(K667*(1-L667),2))</f>
        <v/>
      </c>
      <c r="N667" s="9" t="n">
        <v>608</v>
      </c>
      <c r="O667" s="14">
        <f>IF(OR(M667="",R667&lt;&gt;""),"",M667/G667-1)</f>
        <v/>
      </c>
      <c r="P667" s="11">
        <f>IF(OR(M667="",R667&lt;&gt;""),"",(G667-M667)*E667)</f>
        <v/>
      </c>
      <c r="Q667" s="9">
        <f>IF(R667&lt;&gt;"","—",IF(M667&lt;G667,"Mais barato",IF(M667&gt;G667,"Mais caro","Igual")))</f>
        <v/>
      </c>
      <c r="R667" s="10" t="n"/>
    </row>
    <row r="668">
      <c r="A668" s="9" t="n">
        <v>572301</v>
      </c>
      <c r="B668" s="10" t="inlineStr">
        <is>
          <t>TAMISA NF 0,075+0,030MG SEM PARAR (CAIXA C/ 3 CARTELAS)</t>
        </is>
      </c>
      <c r="C668" s="10" t="inlineStr">
        <is>
          <t>RX</t>
        </is>
      </c>
      <c r="D668" s="9" t="inlineStr">
        <is>
          <t>C</t>
        </is>
      </c>
      <c r="E668" s="9" t="n">
        <v>2</v>
      </c>
      <c r="F668" s="9" t="n">
        <v>3</v>
      </c>
      <c r="G668" s="11" t="n">
        <v>91</v>
      </c>
      <c r="H668" s="10" t="inlineStr">
        <is>
          <t>SC DISTRIBUICAO LTDA</t>
        </is>
      </c>
      <c r="I668" s="12" t="inlineStr">
        <is>
          <t>7891317009755</t>
        </is>
      </c>
      <c r="J668" s="10" t="inlineStr">
        <is>
          <t>TAMISA 30 75MCG + 30MCG SEM PARAR C/84 COMPRIMIDOS</t>
        </is>
      </c>
      <c r="K668" s="11" t="n">
        <v>91.95999999999999</v>
      </c>
      <c r="L668" s="13" t="n">
        <v>0.04</v>
      </c>
      <c r="M668" s="11">
        <f>IF(K668="","",ROUND(K668*(1-L668),2))</f>
        <v/>
      </c>
      <c r="N668" s="9" t="n">
        <v>138</v>
      </c>
      <c r="O668" s="14">
        <f>IF(OR(M668="",R668&lt;&gt;""),"",M668/G668-1)</f>
        <v/>
      </c>
      <c r="P668" s="11">
        <f>IF(OR(M668="",R668&lt;&gt;""),"",(G668-M668)*E668)</f>
        <v/>
      </c>
      <c r="Q668" s="9">
        <f>IF(R668&lt;&gt;"","—",IF(M668&lt;G668,"Mais barato",IF(M668&gt;G668,"Mais caro","Igual")))</f>
        <v/>
      </c>
      <c r="R668" s="10" t="n"/>
    </row>
    <row r="669">
      <c r="A669" s="9" t="n">
        <v>82761</v>
      </c>
      <c r="B669" s="10" t="inlineStr">
        <is>
          <t>TANDRILAX 300+125+50MG CX 15 COMP</t>
        </is>
      </c>
      <c r="C669" s="10" t="inlineStr">
        <is>
          <t>RX</t>
        </is>
      </c>
      <c r="D669" s="9" t="inlineStr">
        <is>
          <t>A</t>
        </is>
      </c>
      <c r="E669" s="9" t="n">
        <v>10</v>
      </c>
      <c r="F669" s="9" t="n">
        <v>1</v>
      </c>
      <c r="G669" s="11" t="n">
        <v>7.61</v>
      </c>
      <c r="H669" s="10" t="inlineStr">
        <is>
          <t>TAPAJOS COMERCIO DE MEDICAMENTOS LTDA</t>
        </is>
      </c>
      <c r="I669" s="12" t="inlineStr">
        <is>
          <t>7896658004704</t>
        </is>
      </c>
      <c r="J669" s="10" t="inlineStr">
        <is>
          <t>TANDRILAX C/15 COMPRIMIDOS</t>
        </is>
      </c>
      <c r="K669" s="11" t="n">
        <v>14.76</v>
      </c>
      <c r="L669" s="13" t="n">
        <v>0.05</v>
      </c>
      <c r="M669" s="11">
        <f>IF(K669="","",ROUND(K669*(1-L669),2))</f>
        <v/>
      </c>
      <c r="N669" s="9" t="n">
        <v>4238</v>
      </c>
      <c r="O669" s="14">
        <f>IF(OR(M669="",R669&lt;&gt;""),"",M669/G669-1)</f>
        <v/>
      </c>
      <c r="P669" s="11">
        <f>IF(OR(M669="",R669&lt;&gt;""),"",(G669-M669)*E669)</f>
        <v/>
      </c>
      <c r="Q669" s="9">
        <f>IF(R669&lt;&gt;"","—",IF(M669&lt;G669,"Mais barato",IF(M669&gt;G669,"Mais caro","Igual")))</f>
        <v/>
      </c>
      <c r="R669" s="10" t="n"/>
    </row>
    <row r="670">
      <c r="A670" s="9" t="n">
        <v>455901</v>
      </c>
      <c r="B670" s="10" t="inlineStr">
        <is>
          <t>TARFIC 0,3MG POM BG 10G</t>
        </is>
      </c>
      <c r="C670" s="10" t="inlineStr">
        <is>
          <t>RX</t>
        </is>
      </c>
      <c r="D670" s="9" t="inlineStr">
        <is>
          <t>C</t>
        </is>
      </c>
      <c r="E670" s="9" t="n">
        <v>1</v>
      </c>
      <c r="F670" s="9" t="n">
        <v>1</v>
      </c>
      <c r="G670" s="11" t="n">
        <v>72.27</v>
      </c>
      <c r="H670" s="10" t="inlineStr">
        <is>
          <t>SC DISTRIBUICAO LTDA</t>
        </is>
      </c>
      <c r="I670" s="12" t="inlineStr">
        <is>
          <t>7896094206014</t>
        </is>
      </c>
      <c r="J670" s="10" t="inlineStr">
        <is>
          <t>TARFIC 0,3MG POMADA 10G</t>
        </is>
      </c>
      <c r="K670" s="11" t="n">
        <v>76.7</v>
      </c>
      <c r="L670" s="13" t="n">
        <v>0.03</v>
      </c>
      <c r="M670" s="11">
        <f>IF(K670="","",ROUND(K670*(1-L670),2))</f>
        <v/>
      </c>
      <c r="N670" s="9" t="n">
        <v>9</v>
      </c>
      <c r="O670" s="14">
        <f>IF(OR(M670="",R670&lt;&gt;""),"",M670/G670-1)</f>
        <v/>
      </c>
      <c r="P670" s="11">
        <f>IF(OR(M670="",R670&lt;&gt;""),"",(G670-M670)*E670)</f>
        <v/>
      </c>
      <c r="Q670" s="9">
        <f>IF(R670&lt;&gt;"","—",IF(M670&lt;G670,"Mais barato",IF(M670&gt;G670,"Mais caro","Igual")))</f>
        <v/>
      </c>
      <c r="R670" s="10" t="n"/>
    </row>
    <row r="671">
      <c r="A671" s="9" t="n">
        <v>345721</v>
      </c>
      <c r="B671" s="10" t="inlineStr">
        <is>
          <t>TECNOMET 2,5MG CX 20 COMP</t>
        </is>
      </c>
      <c r="C671" s="10" t="inlineStr">
        <is>
          <t>RX</t>
        </is>
      </c>
      <c r="D671" s="9" t="inlineStr">
        <is>
          <t>A</t>
        </is>
      </c>
      <c r="E671" s="9" t="n">
        <v>1</v>
      </c>
      <c r="F671" s="9" t="n">
        <v>1</v>
      </c>
      <c r="G671" s="11" t="n">
        <v>32.51</v>
      </c>
      <c r="H671" s="10" t="inlineStr">
        <is>
          <t>SC DISTRIBUICAO LTDA</t>
        </is>
      </c>
      <c r="I671" s="12" t="inlineStr">
        <is>
          <t>7892953101865</t>
        </is>
      </c>
      <c r="J671" s="10" t="inlineStr">
        <is>
          <t>TECNOMET 2,5MG C/20 COMPRIMIDOS</t>
        </is>
      </c>
      <c r="K671" s="11" t="n">
        <v>32.85</v>
      </c>
      <c r="L671" s="13" t="n">
        <v>0.05</v>
      </c>
      <c r="M671" s="11">
        <f>IF(K671="","",ROUND(K671*(1-L671),2))</f>
        <v/>
      </c>
      <c r="N671" s="9" t="n">
        <v>3851</v>
      </c>
      <c r="O671" s="14">
        <f>IF(OR(M671="",R671&lt;&gt;""),"",M671/G671-1)</f>
        <v/>
      </c>
      <c r="P671" s="11">
        <f>IF(OR(M671="",R671&lt;&gt;""),"",(G671-M671)*E671)</f>
        <v/>
      </c>
      <c r="Q671" s="9">
        <f>IF(R671&lt;&gt;"","—",IF(M671&lt;G671,"Mais barato",IF(M671&gt;G671,"Mais caro","Igual")))</f>
        <v/>
      </c>
      <c r="R671" s="10" t="n"/>
    </row>
    <row r="672">
      <c r="A672" s="9" t="n">
        <v>180421</v>
      </c>
      <c r="B672" s="10" t="inlineStr">
        <is>
          <t>TERICIN AT 25+12,5MG CREM VAG BG 45G+10APLIC</t>
        </is>
      </c>
      <c r="C672" s="10" t="inlineStr">
        <is>
          <t>RX - SIMILAR - ATB</t>
        </is>
      </c>
      <c r="D672" s="9" t="inlineStr">
        <is>
          <t>A</t>
        </is>
      </c>
      <c r="E672" s="9" t="n">
        <v>4</v>
      </c>
      <c r="F672" s="9" t="n">
        <v>1</v>
      </c>
      <c r="G672" s="11" t="n">
        <v>58.96</v>
      </c>
      <c r="H672" s="10" t="inlineStr">
        <is>
          <t>DROGARIA ROCHA I LTDA</t>
        </is>
      </c>
      <c r="I672" s="12" t="inlineStr">
        <is>
          <t>7899824400911</t>
        </is>
      </c>
      <c r="J672" s="10" t="inlineStr">
        <is>
          <t>TERICIN AT CREME VAGINAL 45G C/10 APLICADORES</t>
        </is>
      </c>
      <c r="K672" s="11" t="n">
        <v>59.4</v>
      </c>
      <c r="L672" s="13" t="n">
        <v>0.06</v>
      </c>
      <c r="M672" s="11">
        <f>IF(K672="","",ROUND(K672*(1-L672),2))</f>
        <v/>
      </c>
      <c r="N672" s="9" t="n">
        <v>1318</v>
      </c>
      <c r="O672" s="14">
        <f>IF(OR(M672="",R672&lt;&gt;""),"",M672/G672-1)</f>
        <v/>
      </c>
      <c r="P672" s="11">
        <f>IF(OR(M672="",R672&lt;&gt;""),"",(G672-M672)*E672)</f>
        <v/>
      </c>
      <c r="Q672" s="9">
        <f>IF(R672&lt;&gt;"","—",IF(M672&lt;G672,"Mais barato",IF(M672&gt;G672,"Mais caro","Igual")))</f>
        <v/>
      </c>
      <c r="R672" s="10" t="n"/>
    </row>
    <row r="673">
      <c r="A673" s="9" t="n">
        <v>516661</v>
      </c>
      <c r="B673" s="10" t="inlineStr">
        <is>
          <t>TESS 2+0,035MG CX 21 COMP REV</t>
        </is>
      </c>
      <c r="C673" s="10" t="inlineStr">
        <is>
          <t>RX</t>
        </is>
      </c>
      <c r="D673" s="9" t="inlineStr">
        <is>
          <t>B</t>
        </is>
      </c>
      <c r="E673" s="9" t="n">
        <v>1</v>
      </c>
      <c r="F673" s="9" t="n">
        <v>1</v>
      </c>
      <c r="G673" s="11" t="n">
        <v>19.815</v>
      </c>
      <c r="H673" s="10" t="inlineStr">
        <is>
          <t>SC DISTRIBUICAO LTDA</t>
        </is>
      </c>
      <c r="I673" s="12" t="inlineStr">
        <is>
          <t>7896006221043</t>
        </is>
      </c>
      <c r="J673" s="10" t="inlineStr">
        <is>
          <t>TESS 2 + 0,035MG C/21 COMPRIMIDOS REV</t>
        </is>
      </c>
      <c r="K673" s="11" t="n">
        <v>20.68</v>
      </c>
      <c r="L673" s="13" t="n">
        <v>0.04</v>
      </c>
      <c r="M673" s="11">
        <f>IF(K673="","",ROUND(K673*(1-L673),2))</f>
        <v/>
      </c>
      <c r="N673" s="9" t="n">
        <v>201</v>
      </c>
      <c r="O673" s="14">
        <f>IF(OR(M673="",R673&lt;&gt;""),"",M673/G673-1)</f>
        <v/>
      </c>
      <c r="P673" s="11">
        <f>IF(OR(M673="",R673&lt;&gt;""),"",(G673-M673)*E673)</f>
        <v/>
      </c>
      <c r="Q673" s="9">
        <f>IF(R673&lt;&gt;"","—",IF(M673&lt;G673,"Mais barato",IF(M673&gt;G673,"Mais caro","Igual")))</f>
        <v/>
      </c>
      <c r="R673" s="10" t="n"/>
    </row>
    <row r="674">
      <c r="A674" s="9" t="n">
        <v>572341</v>
      </c>
      <c r="B674" s="10" t="inlineStr">
        <is>
          <t>TESTE DE GRAVIDEZ CLEARBLUE DIGIT 1UN</t>
        </is>
      </c>
      <c r="C674" s="10" t="inlineStr">
        <is>
          <t>RX - OTC</t>
        </is>
      </c>
      <c r="D674" s="9" t="inlineStr">
        <is>
          <t>A</t>
        </is>
      </c>
      <c r="E674" s="9" t="n">
        <v>2</v>
      </c>
      <c r="F674" s="9" t="n">
        <v>1</v>
      </c>
      <c r="G674" s="11" t="n">
        <v>38.38</v>
      </c>
      <c r="H674" s="10" t="inlineStr">
        <is>
          <t>SC DISTRIBUICAO LTDA</t>
        </is>
      </c>
      <c r="I674" s="12" t="inlineStr">
        <is>
          <t>7500435171090</t>
        </is>
      </c>
      <c r="J674" s="10" t="inlineStr">
        <is>
          <t>TESTE CLEARBLUE GRAVIDEZ DIGITAL</t>
        </is>
      </c>
      <c r="K674" s="11" t="n">
        <v>44.95</v>
      </c>
      <c r="L674" s="13" t="n">
        <v>0</v>
      </c>
      <c r="M674" s="11">
        <f>IF(K674="","",ROUND(K674*(1-L674),2))</f>
        <v/>
      </c>
      <c r="N674" s="9" t="n">
        <v>956</v>
      </c>
      <c r="O674" s="14">
        <f>IF(OR(M674="",R674&lt;&gt;""),"",M674/G674-1)</f>
        <v/>
      </c>
      <c r="P674" s="11">
        <f>IF(OR(M674="",R674&lt;&gt;""),"",(G674-M674)*E674)</f>
        <v/>
      </c>
      <c r="Q674" s="9">
        <f>IF(R674&lt;&gt;"","—",IF(M674&lt;G674,"Mais barato",IF(M674&gt;G674,"Mais caro","Igual")))</f>
        <v/>
      </c>
      <c r="R674" s="10" t="n"/>
    </row>
    <row r="675">
      <c r="A675" s="9" t="n">
        <v>632761</v>
      </c>
      <c r="B675" s="10" t="inlineStr">
        <is>
          <t>TESTE DE GRAVIDEZ CLEARBLUE PLUS-DEMAIS PROD</t>
        </is>
      </c>
      <c r="C675" s="10" t="inlineStr">
        <is>
          <t>RX - OTC</t>
        </is>
      </c>
      <c r="D675" s="9" t="inlineStr">
        <is>
          <t>A</t>
        </is>
      </c>
      <c r="E675" s="9" t="n">
        <v>7</v>
      </c>
      <c r="F675" s="9" t="n">
        <v>1</v>
      </c>
      <c r="G675" s="11" t="n">
        <v>15.1625</v>
      </c>
      <c r="H675" s="10" t="inlineStr">
        <is>
          <t>NAZARIA DISTRIBUIDORA DE PRODUTOS FARMACEUTICOS LTDA</t>
        </is>
      </c>
      <c r="I675" s="12" t="inlineStr">
        <is>
          <t>7500435171106</t>
        </is>
      </c>
      <c r="J675" s="10" t="inlineStr">
        <is>
          <t>TESTE CLEARBLUE GRAVIDEZ PLUS</t>
        </is>
      </c>
      <c r="K675" s="11" t="n">
        <v>15.42</v>
      </c>
      <c r="L675" s="13" t="n">
        <v>0</v>
      </c>
      <c r="M675" s="11">
        <f>IF(K675="","",ROUND(K675*(1-L675),2))</f>
        <v/>
      </c>
      <c r="N675" s="9" t="n">
        <v>390</v>
      </c>
      <c r="O675" s="14">
        <f>IF(OR(M675="",R675&lt;&gt;""),"",M675/G675-1)</f>
        <v/>
      </c>
      <c r="P675" s="11">
        <f>IF(OR(M675="",R675&lt;&gt;""),"",(G675-M675)*E675)</f>
        <v/>
      </c>
      <c r="Q675" s="9">
        <f>IF(R675&lt;&gt;"","—",IF(M675&lt;G675,"Mais barato",IF(M675&gt;G675,"Mais caro","Igual")))</f>
        <v/>
      </c>
      <c r="R675" s="10" t="n"/>
    </row>
    <row r="676">
      <c r="A676" s="9" t="n">
        <v>416441</v>
      </c>
      <c r="B676" s="10" t="inlineStr">
        <is>
          <t>TIORFAN 100MG CX 9 CAP</t>
        </is>
      </c>
      <c r="C676" s="10" t="inlineStr">
        <is>
          <t>RX</t>
        </is>
      </c>
      <c r="D676" s="9" t="inlineStr">
        <is>
          <t>A</t>
        </is>
      </c>
      <c r="E676" s="9" t="n">
        <v>8</v>
      </c>
      <c r="F676" s="9" t="n">
        <v>1</v>
      </c>
      <c r="G676" s="11" t="n">
        <v>42.4033</v>
      </c>
      <c r="H676" s="10" t="inlineStr">
        <is>
          <t>SC DISTRIBUICAO LTDA</t>
        </is>
      </c>
      <c r="I676" s="12" t="inlineStr">
        <is>
          <t>7898906376410</t>
        </is>
      </c>
      <c r="J676" s="10" t="inlineStr">
        <is>
          <t>TIORFAN 100MG C/9 CAPSULAS</t>
        </is>
      </c>
      <c r="K676" s="11" t="n">
        <v>42.09</v>
      </c>
      <c r="L676" s="13" t="n">
        <v>0.02</v>
      </c>
      <c r="M676" s="11">
        <f>IF(K676="","",ROUND(K676*(1-L676),2))</f>
        <v/>
      </c>
      <c r="N676" s="9" t="n">
        <v>2379</v>
      </c>
      <c r="O676" s="14">
        <f>IF(OR(M676="",R676&lt;&gt;""),"",M676/G676-1)</f>
        <v/>
      </c>
      <c r="P676" s="11">
        <f>IF(OR(M676="",R676&lt;&gt;""),"",(G676-M676)*E676)</f>
        <v/>
      </c>
      <c r="Q676" s="9">
        <f>IF(R676&lt;&gt;"","—",IF(M676&lt;G676,"Mais barato",IF(M676&gt;G676,"Mais caro","Igual")))</f>
        <v/>
      </c>
      <c r="R676" s="10" t="n"/>
    </row>
    <row r="677">
      <c r="A677" s="9" t="n">
        <v>3153</v>
      </c>
      <c r="B677" s="10" t="inlineStr">
        <is>
          <t>TIRA DE TESTE DE GLICOSE C/25 UND FREE 1</t>
        </is>
      </c>
      <c r="C677" s="10" t="inlineStr">
        <is>
          <t>RX - DIABETES</t>
        </is>
      </c>
      <c r="D677" s="9" t="inlineStr">
        <is>
          <t>A</t>
        </is>
      </c>
      <c r="E677" s="9" t="n">
        <v>7</v>
      </c>
      <c r="F677" s="9" t="n">
        <v>1</v>
      </c>
      <c r="G677" s="11" t="n">
        <v>46.42</v>
      </c>
      <c r="H677" s="10" t="inlineStr">
        <is>
          <t>SC DISTRIBUICAO LTDA</t>
        </is>
      </c>
      <c r="I677" s="12" t="inlineStr">
        <is>
          <t>7898301056757</t>
        </is>
      </c>
      <c r="J677" s="10" t="inlineStr">
        <is>
          <t>TIRAS G-TECH FREE1 TESTE C/25</t>
        </is>
      </c>
      <c r="K677" s="11" t="n">
        <v>42.43</v>
      </c>
      <c r="L677" s="13" t="n">
        <v>0</v>
      </c>
      <c r="M677" s="11">
        <f>IF(K677="","",ROUND(K677*(1-L677),2))</f>
        <v/>
      </c>
      <c r="N677" s="9" t="n">
        <v>268</v>
      </c>
      <c r="O677" s="14">
        <f>IF(OR(M677="",R677&lt;&gt;""),"",M677/G677-1)</f>
        <v/>
      </c>
      <c r="P677" s="11">
        <f>IF(OR(M677="",R677&lt;&gt;""),"",(G677-M677)*E677)</f>
        <v/>
      </c>
      <c r="Q677" s="9">
        <f>IF(R677&lt;&gt;"","—",IF(M677&lt;G677,"Mais barato",IF(M677&gt;G677,"Mais caro","Igual")))</f>
        <v/>
      </c>
      <c r="R677" s="10" t="n"/>
    </row>
    <row r="678">
      <c r="A678" s="9" t="n">
        <v>3163</v>
      </c>
      <c r="B678" s="10" t="inlineStr">
        <is>
          <t>TIRA DE TESTE DE GLICOSE C/50 UND FREE 1</t>
        </is>
      </c>
      <c r="C678" s="10" t="inlineStr">
        <is>
          <t>RX - DIABETES</t>
        </is>
      </c>
      <c r="D678" s="9" t="inlineStr">
        <is>
          <t>A</t>
        </is>
      </c>
      <c r="E678" s="9" t="n">
        <v>17</v>
      </c>
      <c r="F678" s="9" t="n">
        <v>1</v>
      </c>
      <c r="G678" s="11" t="n">
        <v>51.625</v>
      </c>
      <c r="H678" s="10" t="inlineStr">
        <is>
          <t>SC DISTRIBUICAO LTDA</t>
        </is>
      </c>
      <c r="I678" s="12" t="inlineStr">
        <is>
          <t>7898301056740</t>
        </is>
      </c>
      <c r="J678" s="10" t="inlineStr">
        <is>
          <t>TIRAS G-TECH FREE1 TESTE C/50</t>
        </is>
      </c>
      <c r="K678" s="11" t="n">
        <v>55.68</v>
      </c>
      <c r="L678" s="13" t="n">
        <v>0</v>
      </c>
      <c r="M678" s="11">
        <f>IF(K678="","",ROUND(K678*(1-L678),2))</f>
        <v/>
      </c>
      <c r="N678" s="9" t="n">
        <v>2536</v>
      </c>
      <c r="O678" s="14">
        <f>IF(OR(M678="",R678&lt;&gt;""),"",M678/G678-1)</f>
        <v/>
      </c>
      <c r="P678" s="11">
        <f>IF(OR(M678="",R678&lt;&gt;""),"",(G678-M678)*E678)</f>
        <v/>
      </c>
      <c r="Q678" s="9">
        <f>IF(R678&lt;&gt;"","—",IF(M678&lt;G678,"Mais barato",IF(M678&gt;G678,"Mais caro","Igual")))</f>
        <v/>
      </c>
      <c r="R678" s="10" t="n"/>
    </row>
    <row r="679">
      <c r="A679" s="9" t="n">
        <v>616151</v>
      </c>
      <c r="B679" s="10" t="inlineStr">
        <is>
          <t>TIRA DE TESTE DE GLICOSE LITE C/50 UND</t>
        </is>
      </c>
      <c r="C679" s="10" t="inlineStr">
        <is>
          <t>RX - OTC</t>
        </is>
      </c>
      <c r="D679" s="9" t="inlineStr">
        <is>
          <t>A</t>
        </is>
      </c>
      <c r="E679" s="9" t="n">
        <v>5</v>
      </c>
      <c r="F679" s="9" t="n">
        <v>1</v>
      </c>
      <c r="G679" s="11" t="n">
        <v>53.35</v>
      </c>
      <c r="H679" s="10" t="inlineStr">
        <is>
          <t>SC DISTRIBUICAO LTDA</t>
        </is>
      </c>
      <c r="I679" s="12" t="inlineStr">
        <is>
          <t>7898301059635</t>
        </is>
      </c>
      <c r="J679" s="10" t="inlineStr">
        <is>
          <t>TIRAS G-TECH LITE REAGENTES GLICOSE C/50</t>
        </is>
      </c>
      <c r="K679" s="11" t="n">
        <v>51.61</v>
      </c>
      <c r="L679" s="13" t="n">
        <v>0</v>
      </c>
      <c r="M679" s="11">
        <f>IF(K679="","",ROUND(K679*(1-L679),2))</f>
        <v/>
      </c>
      <c r="N679" s="9" t="n">
        <v>1344</v>
      </c>
      <c r="O679" s="14">
        <f>IF(OR(M679="",R679&lt;&gt;""),"",M679/G679-1)</f>
        <v/>
      </c>
      <c r="P679" s="11">
        <f>IF(OR(M679="",R679&lt;&gt;""),"",(G679-M679)*E679)</f>
        <v/>
      </c>
      <c r="Q679" s="9">
        <f>IF(R679&lt;&gt;"","—",IF(M679&lt;G679,"Mais barato",IF(M679&gt;G679,"Mais caro","Igual")))</f>
        <v/>
      </c>
      <c r="R679" s="10" t="n"/>
    </row>
    <row r="680">
      <c r="A680" s="9" t="n">
        <v>600561</v>
      </c>
      <c r="B680" s="10" t="inlineStr">
        <is>
          <t>TIRAS ACCU-CHEK CAIXA C/ 3 CX C/ 50UN</t>
        </is>
      </c>
      <c r="C680" s="10" t="inlineStr">
        <is>
          <t>RX - DIABETES</t>
        </is>
      </c>
      <c r="D680" s="9" t="inlineStr">
        <is>
          <t>C</t>
        </is>
      </c>
      <c r="E680" s="9" t="n">
        <v>1</v>
      </c>
      <c r="F680" s="9" t="n">
        <v>3</v>
      </c>
      <c r="G680" s="11" t="n">
        <v>194.96</v>
      </c>
      <c r="H680" s="10" t="inlineStr">
        <is>
          <t>NAZARIA DISTRIBUIDORA DE PRODUTOS FARMACEUTICOS LTDA</t>
        </is>
      </c>
      <c r="I680" s="12" t="inlineStr">
        <is>
          <t>7898653620033</t>
        </is>
      </c>
      <c r="J680" s="10" t="inlineStr">
        <is>
          <t>ACCU-CHEK ACTIVE PACK C/50 TIRAS</t>
        </is>
      </c>
      <c r="K680" s="11" t="n">
        <v>175.73</v>
      </c>
      <c r="L680" s="13" t="n">
        <v>0</v>
      </c>
      <c r="M680" s="11">
        <f>IF(K680="","",ROUND(K680*(1-L680),2))</f>
        <v/>
      </c>
      <c r="N680" s="9" t="n">
        <v>414</v>
      </c>
      <c r="O680" s="14">
        <f>IF(OR(M680="",R680&lt;&gt;""),"",M680/G680-1)</f>
        <v/>
      </c>
      <c r="P680" s="11">
        <f>IF(OR(M680="",R680&lt;&gt;""),"",(G680-M680)*E680)</f>
        <v/>
      </c>
      <c r="Q680" s="9">
        <f>IF(R680&lt;&gt;"","—",IF(M680&lt;G680,"Mais barato",IF(M680&gt;G680,"Mais caro","Igual")))</f>
        <v/>
      </c>
      <c r="R680" s="10" t="n"/>
    </row>
    <row r="681">
      <c r="A681" s="9" t="n">
        <v>619341</v>
      </c>
      <c r="B681" s="10" t="inlineStr">
        <is>
          <t>TIRAS P/ MEDIR GLICOSE C/25 LITE</t>
        </is>
      </c>
      <c r="C681" s="10" t="inlineStr">
        <is>
          <t>RX - OTC</t>
        </is>
      </c>
      <c r="D681" s="9" t="inlineStr">
        <is>
          <t>A</t>
        </is>
      </c>
      <c r="E681" s="9" t="n">
        <v>3</v>
      </c>
      <c r="F681" s="9" t="n">
        <v>1</v>
      </c>
      <c r="G681" s="11" t="n">
        <v>32.13</v>
      </c>
      <c r="H681" s="10" t="inlineStr">
        <is>
          <t>SC DISTRIBUICAO LTDA</t>
        </is>
      </c>
      <c r="I681" s="12" t="inlineStr">
        <is>
          <t>7898301059642</t>
        </is>
      </c>
      <c r="J681" s="10" t="inlineStr">
        <is>
          <t>TIRAS G-TECH LITE REAGENTES GLICOSE C/25</t>
        </is>
      </c>
      <c r="K681" s="11" t="n">
        <v>34.44</v>
      </c>
      <c r="L681" s="13" t="n">
        <v>0</v>
      </c>
      <c r="M681" s="11">
        <f>IF(K681="","",ROUND(K681*(1-L681),2))</f>
        <v/>
      </c>
      <c r="N681" s="9" t="n">
        <v>238</v>
      </c>
      <c r="O681" s="14">
        <f>IF(OR(M681="",R681&lt;&gt;""),"",M681/G681-1)</f>
        <v/>
      </c>
      <c r="P681" s="11">
        <f>IF(OR(M681="",R681&lt;&gt;""),"",(G681-M681)*E681)</f>
        <v/>
      </c>
      <c r="Q681" s="9">
        <f>IF(R681&lt;&gt;"","—",IF(M681&lt;G681,"Mais barato",IF(M681&gt;G681,"Mais caro","Igual")))</f>
        <v/>
      </c>
      <c r="R681" s="10" t="n"/>
    </row>
    <row r="682">
      <c r="A682" s="9" t="n">
        <v>464721</v>
      </c>
      <c r="B682" s="10" t="inlineStr">
        <is>
          <t>TOBRACIN 3MG/G POM OFT BG 3,5G</t>
        </is>
      </c>
      <c r="C682" s="10" t="inlineStr">
        <is>
          <t>RX - REFERENCIA - ATB</t>
        </is>
      </c>
      <c r="D682" s="9" t="inlineStr">
        <is>
          <t>C</t>
        </is>
      </c>
      <c r="E682" s="9" t="n">
        <v>1</v>
      </c>
      <c r="F682" s="9" t="n">
        <v>1</v>
      </c>
      <c r="G682" s="11" t="n">
        <v>38.37</v>
      </c>
      <c r="H682" s="10" t="inlineStr">
        <is>
          <t>SC DISTRIBUICAO LTDA</t>
        </is>
      </c>
      <c r="I682" s="12" t="inlineStr">
        <is>
          <t>7896676433425</t>
        </is>
      </c>
      <c r="J682" s="10" t="inlineStr">
        <is>
          <t>POMADA TOBRACIN 0.3% OFTALMICA 3.5G</t>
        </is>
      </c>
      <c r="K682" s="11" t="n">
        <v>36.92</v>
      </c>
      <c r="L682" s="13" t="n">
        <v>0.05</v>
      </c>
      <c r="M682" s="11">
        <f>IF(K682="","",ROUND(K682*(1-L682),2))</f>
        <v/>
      </c>
      <c r="N682" s="9" t="n">
        <v>129</v>
      </c>
      <c r="O682" s="14">
        <f>IF(OR(M682="",R682&lt;&gt;""),"",M682/G682-1)</f>
        <v/>
      </c>
      <c r="P682" s="11">
        <f>IF(OR(M682="",R682&lt;&gt;""),"",(G682-M682)*E682)</f>
        <v/>
      </c>
      <c r="Q682" s="9">
        <f>IF(R682&lt;&gt;"","—",IF(M682&lt;G682,"Mais barato",IF(M682&gt;G682,"Mais caro","Igual")))</f>
        <v/>
      </c>
      <c r="R682" s="10" t="n"/>
    </row>
    <row r="683">
      <c r="A683" s="9" t="n">
        <v>207601</v>
      </c>
      <c r="B683" s="10" t="inlineStr">
        <is>
          <t>TOBRADEX 3+1MG SUS OFT FR GTS 5ML</t>
        </is>
      </c>
      <c r="C683" s="10" t="inlineStr">
        <is>
          <t>RX - REFERENCIA - ATB</t>
        </is>
      </c>
      <c r="D683" s="9" t="inlineStr">
        <is>
          <t>B</t>
        </is>
      </c>
      <c r="E683" s="9" t="n">
        <v>1</v>
      </c>
      <c r="F683" s="9" t="n">
        <v>1</v>
      </c>
      <c r="G683" s="11" t="n">
        <v>34.95</v>
      </c>
      <c r="H683" s="10" t="inlineStr">
        <is>
          <t>SALARIO</t>
        </is>
      </c>
      <c r="I683" s="12" t="inlineStr">
        <is>
          <t>7896548112908</t>
        </is>
      </c>
      <c r="J683" s="10" t="inlineStr">
        <is>
          <t>TOBRADEX COLIRIO 5ML</t>
        </is>
      </c>
      <c r="K683" s="11" t="n">
        <v>36.06</v>
      </c>
      <c r="L683" s="13" t="n">
        <v>0.035</v>
      </c>
      <c r="M683" s="11">
        <f>IF(K683="","",ROUND(K683*(1-L683),2))</f>
        <v/>
      </c>
      <c r="N683" s="9" t="n">
        <v>449</v>
      </c>
      <c r="O683" s="14">
        <f>IF(OR(M683="",R683&lt;&gt;""),"",M683/G683-1)</f>
        <v/>
      </c>
      <c r="P683" s="11">
        <f>IF(OR(M683="",R683&lt;&gt;""),"",(G683-M683)*E683)</f>
        <v/>
      </c>
      <c r="Q683" s="9">
        <f>IF(R683&lt;&gt;"","—",IF(M683&lt;G683,"Mais barato",IF(M683&gt;G683,"Mais caro","Igual")))</f>
        <v/>
      </c>
      <c r="R683" s="10" t="n"/>
    </row>
    <row r="684">
      <c r="A684" s="9" t="n">
        <v>615421</v>
      </c>
      <c r="B684" s="10" t="inlineStr">
        <is>
          <t>TONICO NIVEA AQUA ROSE 200ML</t>
        </is>
      </c>
      <c r="C684" s="10" t="inlineStr">
        <is>
          <t>RX - DERMO</t>
        </is>
      </c>
      <c r="D684" s="9" t="inlineStr">
        <is>
          <t>C</t>
        </is>
      </c>
      <c r="E684" s="9" t="n">
        <v>1</v>
      </c>
      <c r="F684" s="9" t="n">
        <v>1</v>
      </c>
      <c r="G684" s="11" t="n">
        <v>26.69</v>
      </c>
      <c r="H684" s="10" t="inlineStr">
        <is>
          <t>SC DISTRIBUICAO LTDA</t>
        </is>
      </c>
      <c r="I684" s="12" t="n"/>
      <c r="J684" s="10" t="n"/>
      <c r="K684" s="11" t="n"/>
      <c r="L684" s="13" t="n"/>
      <c r="M684" s="11">
        <f>IF(K684="","",ROUND(K684*(1-L684),2))</f>
        <v/>
      </c>
      <c r="N684" s="9" t="n"/>
      <c r="O684" s="14">
        <f>IF(OR(M684="",R684&lt;&gt;""),"",M684/G684-1)</f>
        <v/>
      </c>
      <c r="P684" s="11">
        <f>IF(OR(M684="",R684&lt;&gt;""),"",(G684-M684)*E684)</f>
        <v/>
      </c>
      <c r="Q684" s="9">
        <f>IF(R684&lt;&gt;"","—",IF(M684&lt;G684,"Mais barato",IF(M684&gt;G684,"Mais caro","Igual")))</f>
        <v/>
      </c>
      <c r="R684" s="10" t="inlineStr">
        <is>
          <t>Não encontrado</t>
        </is>
      </c>
    </row>
    <row r="685">
      <c r="A685" s="9" t="n">
        <v>596521</v>
      </c>
      <c r="B685" s="10" t="inlineStr">
        <is>
          <t>TORAGESIC 10MG PEEL OFF CX 10 COMP</t>
        </is>
      </c>
      <c r="C685" s="10" t="inlineStr">
        <is>
          <t>RX</t>
        </is>
      </c>
      <c r="D685" s="9" t="inlineStr">
        <is>
          <t>A</t>
        </is>
      </c>
      <c r="E685" s="9" t="n">
        <v>8</v>
      </c>
      <c r="F685" s="9" t="n">
        <v>1</v>
      </c>
      <c r="G685" s="11" t="n">
        <v>26.0814</v>
      </c>
      <c r="H685" s="10" t="inlineStr">
        <is>
          <t>SC DISTRIBUICAO LTDA</t>
        </is>
      </c>
      <c r="I685" s="12" t="inlineStr">
        <is>
          <t>7894916516006</t>
        </is>
      </c>
      <c r="J685" s="10" t="inlineStr">
        <is>
          <t>TORAGESIC SL 10MG C/10 COMPRIMIDOS SUBLINGUAIS</t>
        </is>
      </c>
      <c r="K685" s="11" t="n">
        <v>28.52</v>
      </c>
      <c r="L685" s="13" t="n">
        <v>0</v>
      </c>
      <c r="M685" s="11">
        <f>IF(K685="","",ROUND(K685*(1-L685),2))</f>
        <v/>
      </c>
      <c r="N685" s="9" t="n">
        <v>1886</v>
      </c>
      <c r="O685" s="14">
        <f>IF(OR(M685="",R685&lt;&gt;""),"",M685/G685-1)</f>
        <v/>
      </c>
      <c r="P685" s="11">
        <f>IF(OR(M685="",R685&lt;&gt;""),"",(G685-M685)*E685)</f>
        <v/>
      </c>
      <c r="Q685" s="9">
        <f>IF(R685&lt;&gt;"","—",IF(M685&lt;G685,"Mais barato",IF(M685&gt;G685,"Mais caro","Igual")))</f>
        <v/>
      </c>
      <c r="R685" s="10" t="n"/>
    </row>
    <row r="686">
      <c r="A686" s="9" t="n">
        <v>632821</v>
      </c>
      <c r="B686" s="10" t="inlineStr">
        <is>
          <t>TORAGESIC 10MG PEEL OFF CX 20 COMP</t>
        </is>
      </c>
      <c r="C686" s="10" t="inlineStr">
        <is>
          <t>RX</t>
        </is>
      </c>
      <c r="D686" s="9" t="inlineStr">
        <is>
          <t>A</t>
        </is>
      </c>
      <c r="E686" s="9" t="n">
        <v>9</v>
      </c>
      <c r="F686" s="9" t="n">
        <v>1</v>
      </c>
      <c r="G686" s="11" t="n">
        <v>28.174</v>
      </c>
      <c r="H686" s="10" t="inlineStr">
        <is>
          <t>SC DISTRIBUICAO LTDA</t>
        </is>
      </c>
      <c r="I686" s="12" t="inlineStr">
        <is>
          <t>7894916516013</t>
        </is>
      </c>
      <c r="J686" s="10" t="inlineStr">
        <is>
          <t>TORAGESIC SL 10MG C/20 CPR SUBL</t>
        </is>
      </c>
      <c r="K686" s="11" t="n">
        <v>30.81</v>
      </c>
      <c r="L686" s="13" t="n">
        <v>0</v>
      </c>
      <c r="M686" s="11">
        <f>IF(K686="","",ROUND(K686*(1-L686),2))</f>
        <v/>
      </c>
      <c r="N686" s="9" t="n">
        <v>845</v>
      </c>
      <c r="O686" s="14">
        <f>IF(OR(M686="",R686&lt;&gt;""),"",M686/G686-1)</f>
        <v/>
      </c>
      <c r="P686" s="11">
        <f>IF(OR(M686="",R686&lt;&gt;""),"",(G686-M686)*E686)</f>
        <v/>
      </c>
      <c r="Q686" s="9">
        <f>IF(R686&lt;&gt;"","—",IF(M686&lt;G686,"Mais barato",IF(M686&gt;G686,"Mais caro","Igual")))</f>
        <v/>
      </c>
      <c r="R686" s="10" t="n"/>
    </row>
    <row r="687">
      <c r="A687" s="9" t="n">
        <v>273321</v>
      </c>
      <c r="B687" s="10" t="inlineStr">
        <is>
          <t>TRANSPULMIN 13,33MG XPE FR 150ML ADU</t>
        </is>
      </c>
      <c r="C687" s="10" t="inlineStr">
        <is>
          <t>RX - OTC</t>
        </is>
      </c>
      <c r="D687" s="9" t="inlineStr">
        <is>
          <t>A</t>
        </is>
      </c>
      <c r="E687" s="9" t="n">
        <v>1</v>
      </c>
      <c r="F687" s="9" t="n">
        <v>1</v>
      </c>
      <c r="G687" s="11" t="n">
        <v>32.12</v>
      </c>
      <c r="H687" s="10" t="inlineStr">
        <is>
          <t>SC DISTRIBUICAO LTDA</t>
        </is>
      </c>
      <c r="I687" s="12" t="inlineStr">
        <is>
          <t>7896658005930</t>
        </is>
      </c>
      <c r="J687" s="10" t="inlineStr">
        <is>
          <t>TRANSPULMIN XAROPE 150ML</t>
        </is>
      </c>
      <c r="K687" s="11" t="n">
        <v>34.29</v>
      </c>
      <c r="L687" s="13" t="n">
        <v>0.05</v>
      </c>
      <c r="M687" s="11">
        <f>IF(K687="","",ROUND(K687*(1-L687),2))</f>
        <v/>
      </c>
      <c r="N687" s="9" t="n">
        <v>344</v>
      </c>
      <c r="O687" s="14">
        <f>IF(OR(M687="",R687&lt;&gt;""),"",M687/G687-1)</f>
        <v/>
      </c>
      <c r="P687" s="11">
        <f>IF(OR(M687="",R687&lt;&gt;""),"",(G687-M687)*E687)</f>
        <v/>
      </c>
      <c r="Q687" s="9">
        <f>IF(R687&lt;&gt;"","—",IF(M687&lt;G687,"Mais barato",IF(M687&gt;G687,"Mais caro","Igual")))</f>
        <v/>
      </c>
      <c r="R687" s="10" t="n"/>
    </row>
    <row r="688">
      <c r="A688" s="9" t="n">
        <v>609051</v>
      </c>
      <c r="B688" s="10" t="inlineStr">
        <is>
          <t>TROK 20+0,5MG/G CREM DERM BG 10G</t>
        </is>
      </c>
      <c r="C688" s="10" t="inlineStr">
        <is>
          <t>RX</t>
        </is>
      </c>
      <c r="D688" s="9" t="inlineStr">
        <is>
          <t>B</t>
        </is>
      </c>
      <c r="E688" s="9" t="n">
        <v>2</v>
      </c>
      <c r="F688" s="9" t="n">
        <v>1</v>
      </c>
      <c r="G688" s="11" t="n">
        <v>15.42</v>
      </c>
      <c r="H688" s="10" t="inlineStr">
        <is>
          <t>SC DISTRIBUICAO LTDA</t>
        </is>
      </c>
      <c r="I688" s="12" t="inlineStr">
        <is>
          <t>7891317025564</t>
        </is>
      </c>
      <c r="J688" s="10" t="inlineStr">
        <is>
          <t>TROK CREME 10G</t>
        </is>
      </c>
      <c r="K688" s="11" t="n">
        <v>15.32</v>
      </c>
      <c r="L688" s="13" t="n">
        <v>0.04</v>
      </c>
      <c r="M688" s="11">
        <f>IF(K688="","",ROUND(K688*(1-L688),2))</f>
        <v/>
      </c>
      <c r="N688" s="9" t="n">
        <v>143</v>
      </c>
      <c r="O688" s="14">
        <f>IF(OR(M688="",R688&lt;&gt;""),"",M688/G688-1)</f>
        <v/>
      </c>
      <c r="P688" s="11">
        <f>IF(OR(M688="",R688&lt;&gt;""),"",(G688-M688)*E688)</f>
        <v/>
      </c>
      <c r="Q688" s="9">
        <f>IF(R688&lt;&gt;"","—",IF(M688&lt;G688,"Mais barato",IF(M688&gt;G688,"Mais caro","Igual")))</f>
        <v/>
      </c>
      <c r="R688" s="10" t="n"/>
    </row>
    <row r="689">
      <c r="A689" s="9" t="n">
        <v>640321</v>
      </c>
      <c r="B689" s="10" t="inlineStr">
        <is>
          <t>TROK 20+0,5MG/G POM DERM BG 10G</t>
        </is>
      </c>
      <c r="C689" s="10" t="inlineStr">
        <is>
          <t>RX</t>
        </is>
      </c>
      <c r="D689" s="9" t="inlineStr">
        <is>
          <t>B</t>
        </is>
      </c>
      <c r="E689" s="9" t="n">
        <v>2</v>
      </c>
      <c r="F689" s="9" t="n">
        <v>1</v>
      </c>
      <c r="G689" s="11" t="n">
        <v>14.58</v>
      </c>
      <c r="H689" s="10" t="inlineStr">
        <is>
          <t>SC DISTRIBUICAO LTDA</t>
        </is>
      </c>
      <c r="I689" s="12" t="inlineStr">
        <is>
          <t>7891317025533</t>
        </is>
      </c>
      <c r="J689" s="10" t="inlineStr">
        <is>
          <t>TROK POMADA 10G</t>
        </is>
      </c>
      <c r="K689" s="11" t="n">
        <v>14.89</v>
      </c>
      <c r="L689" s="13" t="n">
        <v>0.04</v>
      </c>
      <c r="M689" s="11">
        <f>IF(K689="","",ROUND(K689*(1-L689),2))</f>
        <v/>
      </c>
      <c r="N689" s="9" t="n">
        <v>357</v>
      </c>
      <c r="O689" s="14">
        <f>IF(OR(M689="",R689&lt;&gt;""),"",M689/G689-1)</f>
        <v/>
      </c>
      <c r="P689" s="11">
        <f>IF(OR(M689="",R689&lt;&gt;""),"",(G689-M689)*E689)</f>
        <v/>
      </c>
      <c r="Q689" s="9">
        <f>IF(R689&lt;&gt;"","—",IF(M689&lt;G689,"Mais barato",IF(M689&gt;G689,"Mais caro","Igual")))</f>
        <v/>
      </c>
      <c r="R689" s="10" t="n"/>
    </row>
    <row r="690">
      <c r="A690" s="9" t="n">
        <v>451921</v>
      </c>
      <c r="B690" s="10" t="inlineStr">
        <is>
          <t>TROK-N CREME BG 10G</t>
        </is>
      </c>
      <c r="C690" s="10" t="inlineStr">
        <is>
          <t>RX</t>
        </is>
      </c>
      <c r="D690" s="9" t="inlineStr">
        <is>
          <t>A</t>
        </is>
      </c>
      <c r="E690" s="9" t="n">
        <v>5</v>
      </c>
      <c r="F690" s="9" t="n">
        <v>1</v>
      </c>
      <c r="G690" s="11" t="n">
        <v>16.14</v>
      </c>
      <c r="H690" s="10" t="inlineStr">
        <is>
          <t>SC DISTRIBUICAO LTDA</t>
        </is>
      </c>
      <c r="I690" s="12" t="inlineStr">
        <is>
          <t>7891317412531</t>
        </is>
      </c>
      <c r="J690" s="10" t="inlineStr">
        <is>
          <t>TROK- N CREME 10G</t>
        </is>
      </c>
      <c r="K690" s="11" t="n">
        <v>16.48</v>
      </c>
      <c r="L690" s="13" t="n">
        <v>0.04</v>
      </c>
      <c r="M690" s="11">
        <f>IF(K690="","",ROUND(K690*(1-L690),2))</f>
        <v/>
      </c>
      <c r="N690" s="9" t="n">
        <v>1297</v>
      </c>
      <c r="O690" s="14">
        <f>IF(OR(M690="",R690&lt;&gt;""),"",M690/G690-1)</f>
        <v/>
      </c>
      <c r="P690" s="11">
        <f>IF(OR(M690="",R690&lt;&gt;""),"",(G690-M690)*E690)</f>
        <v/>
      </c>
      <c r="Q690" s="9">
        <f>IF(R690&lt;&gt;"","—",IF(M690&lt;G690,"Mais barato",IF(M690&gt;G690,"Mais caro","Igual")))</f>
        <v/>
      </c>
      <c r="R690" s="10" t="n"/>
    </row>
    <row r="691">
      <c r="A691" s="9" t="n">
        <v>451961</v>
      </c>
      <c r="B691" s="10" t="inlineStr">
        <is>
          <t>TROK-N POM TB 10G</t>
        </is>
      </c>
      <c r="C691" s="10" t="inlineStr">
        <is>
          <t>RX</t>
        </is>
      </c>
      <c r="D691" s="9" t="inlineStr">
        <is>
          <t>A</t>
        </is>
      </c>
      <c r="E691" s="9" t="n">
        <v>5</v>
      </c>
      <c r="F691" s="9" t="n">
        <v>1</v>
      </c>
      <c r="G691" s="11" t="n">
        <v>15.35</v>
      </c>
      <c r="H691" s="10" t="inlineStr">
        <is>
          <t>SC DISTRIBUICAO LTDA</t>
        </is>
      </c>
      <c r="I691" s="12" t="inlineStr">
        <is>
          <t>7891317412555</t>
        </is>
      </c>
      <c r="J691" s="10" t="inlineStr">
        <is>
          <t>TROK -N POMADA 10G</t>
        </is>
      </c>
      <c r="K691" s="11" t="n">
        <v>15.68</v>
      </c>
      <c r="L691" s="13" t="n">
        <v>0.04</v>
      </c>
      <c r="M691" s="11">
        <f>IF(K691="","",ROUND(K691*(1-L691),2))</f>
        <v/>
      </c>
      <c r="N691" s="9" t="n">
        <v>960</v>
      </c>
      <c r="O691" s="14">
        <f>IF(OR(M691="",R691&lt;&gt;""),"",M691/G691-1)</f>
        <v/>
      </c>
      <c r="P691" s="11">
        <f>IF(OR(M691="",R691&lt;&gt;""),"",(G691-M691)*E691)</f>
        <v/>
      </c>
      <c r="Q691" s="9">
        <f>IF(R691&lt;&gt;"","—",IF(M691&lt;G691,"Mais barato",IF(M691&gt;G691,"Mais caro","Igual")))</f>
        <v/>
      </c>
      <c r="R691" s="10" t="n"/>
    </row>
    <row r="692">
      <c r="A692" s="9" t="n">
        <v>70821</v>
      </c>
      <c r="B692" s="10" t="inlineStr">
        <is>
          <t>TROPINAL CX 20 COMP</t>
        </is>
      </c>
      <c r="C692" s="10" t="inlineStr">
        <is>
          <t>RX</t>
        </is>
      </c>
      <c r="D692" s="9" t="inlineStr">
        <is>
          <t>A</t>
        </is>
      </c>
      <c r="E692" s="9" t="n">
        <v>14</v>
      </c>
      <c r="F692" s="9" t="n">
        <v>1</v>
      </c>
      <c r="G692" s="11" t="n">
        <v>19.8856</v>
      </c>
      <c r="H692" s="10" t="inlineStr">
        <is>
          <t>SC DISTRIBUICAO LTDA</t>
        </is>
      </c>
      <c r="I692" s="12" t="inlineStr">
        <is>
          <t>7894916208154</t>
        </is>
      </c>
      <c r="J692" s="10" t="inlineStr">
        <is>
          <t>TROPINAL C/20 COMPRIMIDOS</t>
        </is>
      </c>
      <c r="K692" s="11" t="n">
        <v>20.8</v>
      </c>
      <c r="L692" s="13" t="n">
        <v>0</v>
      </c>
      <c r="M692" s="11">
        <f>IF(K692="","",ROUND(K692*(1-L692),2))</f>
        <v/>
      </c>
      <c r="N692" s="9" t="n">
        <v>2757</v>
      </c>
      <c r="O692" s="14">
        <f>IF(OR(M692="",R692&lt;&gt;""),"",M692/G692-1)</f>
        <v/>
      </c>
      <c r="P692" s="11">
        <f>IF(OR(M692="",R692&lt;&gt;""),"",(G692-M692)*E692)</f>
        <v/>
      </c>
      <c r="Q692" s="9">
        <f>IF(R692&lt;&gt;"","—",IF(M692&lt;G692,"Mais barato",IF(M692&gt;G692,"Mais caro","Igual")))</f>
        <v/>
      </c>
      <c r="R692" s="10" t="n"/>
    </row>
    <row r="693">
      <c r="A693" s="9" t="n">
        <v>395721</v>
      </c>
      <c r="B693" s="10" t="inlineStr">
        <is>
          <t>TYLENOL 200MG SOL OR FR GTS 15ML</t>
        </is>
      </c>
      <c r="C693" s="10" t="inlineStr">
        <is>
          <t>RX - OTC</t>
        </is>
      </c>
      <c r="D693" s="9" t="inlineStr">
        <is>
          <t>B</t>
        </is>
      </c>
      <c r="E693" s="9" t="n">
        <v>1</v>
      </c>
      <c r="F693" s="9" t="n">
        <v>1</v>
      </c>
      <c r="G693" s="11" t="n">
        <v>32.19</v>
      </c>
      <c r="H693" s="10" t="inlineStr">
        <is>
          <t>SC DISTRIBUICAO LTDA</t>
        </is>
      </c>
      <c r="I693" s="12" t="inlineStr">
        <is>
          <t>7891010255947</t>
        </is>
      </c>
      <c r="J693" s="10" t="inlineStr">
        <is>
          <t>TYLENOL 200MG INFANTIL 15ML</t>
        </is>
      </c>
      <c r="K693" s="11" t="n">
        <v>34.86</v>
      </c>
      <c r="L693" s="13" t="n">
        <v>0</v>
      </c>
      <c r="M693" s="11">
        <f>IF(K693="","",ROUND(K693*(1-L693),2))</f>
        <v/>
      </c>
      <c r="N693" s="9" t="n">
        <v>363</v>
      </c>
      <c r="O693" s="14">
        <f>IF(OR(M693="",R693&lt;&gt;""),"",M693/G693-1)</f>
        <v/>
      </c>
      <c r="P693" s="11">
        <f>IF(OR(M693="",R693&lt;&gt;""),"",(G693-M693)*E693)</f>
        <v/>
      </c>
      <c r="Q693" s="9">
        <f>IF(R693&lt;&gt;"","—",IF(M693&lt;G693,"Mais barato",IF(M693&gt;G693,"Mais caro","Igual")))</f>
        <v/>
      </c>
      <c r="R693" s="10" t="n"/>
    </row>
    <row r="694">
      <c r="A694" s="9" t="n">
        <v>672601</v>
      </c>
      <c r="B694" s="10" t="inlineStr">
        <is>
          <t>TYLENOL 500MG 4CP CARTELA</t>
        </is>
      </c>
      <c r="C694" s="10" t="inlineStr">
        <is>
          <t>RX</t>
        </is>
      </c>
      <c r="D694" s="9" t="inlineStr">
        <is>
          <t>C</t>
        </is>
      </c>
      <c r="E694" s="9" t="n">
        <v>1</v>
      </c>
      <c r="F694" s="9" t="n">
        <v>25</v>
      </c>
      <c r="G694" s="11" t="n">
        <v>161.9935</v>
      </c>
      <c r="H694" s="10" t="inlineStr">
        <is>
          <t>SC DISTRIBUICAO LTDA</t>
        </is>
      </c>
      <c r="I694" s="12" t="inlineStr">
        <is>
          <t>7891010256616</t>
        </is>
      </c>
      <c r="J694" s="10" t="inlineStr">
        <is>
          <t>TYLENOL 500MG CARTELA 4 COMPRIMIDOS REVESTIDOS</t>
        </is>
      </c>
      <c r="K694" s="11" t="n">
        <v>152.63</v>
      </c>
      <c r="L694" s="13" t="n">
        <v>0.06</v>
      </c>
      <c r="M694" s="11">
        <f>IF(K694="","",ROUND(K694*(1-L694),2))</f>
        <v/>
      </c>
      <c r="N694" s="9" t="n">
        <v>22</v>
      </c>
      <c r="O694" s="14">
        <f>IF(OR(M694="",R694&lt;&gt;""),"",M694/G694-1)</f>
        <v/>
      </c>
      <c r="P694" s="11">
        <f>IF(OR(M694="",R694&lt;&gt;""),"",(G694-M694)*E694)</f>
        <v/>
      </c>
      <c r="Q694" s="9">
        <f>IF(R694&lt;&gt;"","—",IF(M694&lt;G694,"Mais barato",IF(M694&gt;G694,"Mais caro","Igual")))</f>
        <v/>
      </c>
      <c r="R694" s="10" t="n"/>
    </row>
    <row r="695">
      <c r="A695" s="9" t="n">
        <v>395741</v>
      </c>
      <c r="B695" s="10" t="inlineStr">
        <is>
          <t>TYLENOL BEBE 100MG SUS OR FR GTS 15ML+SER DOS</t>
        </is>
      </c>
      <c r="C695" s="10" t="inlineStr">
        <is>
          <t>RX - OTC</t>
        </is>
      </c>
      <c r="D695" s="9" t="inlineStr">
        <is>
          <t>A</t>
        </is>
      </c>
      <c r="E695" s="9" t="n">
        <v>1</v>
      </c>
      <c r="F695" s="9" t="n">
        <v>1</v>
      </c>
      <c r="G695" s="11" t="n">
        <v>39.48</v>
      </c>
      <c r="H695" s="10" t="inlineStr">
        <is>
          <t>SC DISTRIBUICAO LTDA</t>
        </is>
      </c>
      <c r="I695" s="12" t="inlineStr">
        <is>
          <t>7891010255909</t>
        </is>
      </c>
      <c r="J695" s="10" t="inlineStr">
        <is>
          <t>TYLENOL BEBE GOTAS 15ML</t>
        </is>
      </c>
      <c r="K695" s="11" t="n">
        <v>47.35</v>
      </c>
      <c r="L695" s="13" t="n">
        <v>0</v>
      </c>
      <c r="M695" s="11">
        <f>IF(K695="","",ROUND(K695*(1-L695),2))</f>
        <v/>
      </c>
      <c r="N695" s="9" t="n">
        <v>494</v>
      </c>
      <c r="O695" s="14">
        <f>IF(OR(M695="",R695&lt;&gt;""),"",M695/G695-1)</f>
        <v/>
      </c>
      <c r="P695" s="11">
        <f>IF(OR(M695="",R695&lt;&gt;""),"",(G695-M695)*E695)</f>
        <v/>
      </c>
      <c r="Q695" s="9">
        <f>IF(R695&lt;&gt;"","—",IF(M695&lt;G695,"Mais barato",IF(M695&gt;G695,"Mais caro","Igual")))</f>
        <v/>
      </c>
      <c r="R695" s="10" t="n"/>
    </row>
    <row r="696">
      <c r="A696" s="9" t="n">
        <v>398541</v>
      </c>
      <c r="B696" s="10" t="inlineStr">
        <is>
          <t>TYLENOL SINUS 500+30MG CX 24 COMP REV</t>
        </is>
      </c>
      <c r="C696" s="10" t="inlineStr">
        <is>
          <t>RX - OTC</t>
        </is>
      </c>
      <c r="D696" s="9" t="inlineStr">
        <is>
          <t>A</t>
        </is>
      </c>
      <c r="E696" s="9" t="n">
        <v>8</v>
      </c>
      <c r="F696" s="9" t="n">
        <v>1</v>
      </c>
      <c r="G696" s="11" t="n">
        <v>16.83</v>
      </c>
      <c r="H696" s="10" t="inlineStr">
        <is>
          <t>SC DISTRIBUICAO LTDA</t>
        </is>
      </c>
      <c r="I696" s="12" t="inlineStr">
        <is>
          <t>7891010256968</t>
        </is>
      </c>
      <c r="J696" s="10" t="inlineStr">
        <is>
          <t>TYLENOL SINUS 500MG C/24 COMPRIMIDOS</t>
        </is>
      </c>
      <c r="K696" s="11" t="n">
        <v>17.58</v>
      </c>
      <c r="L696" s="13" t="n">
        <v>0.06</v>
      </c>
      <c r="M696" s="11">
        <f>IF(K696="","",ROUND(K696*(1-L696),2))</f>
        <v/>
      </c>
      <c r="N696" s="9" t="n">
        <v>1796</v>
      </c>
      <c r="O696" s="14">
        <f>IF(OR(M696="",R696&lt;&gt;""),"",M696/G696-1)</f>
        <v/>
      </c>
      <c r="P696" s="11">
        <f>IF(OR(M696="",R696&lt;&gt;""),"",(G696-M696)*E696)</f>
        <v/>
      </c>
      <c r="Q696" s="9">
        <f>IF(R696&lt;&gt;"","—",IF(M696&lt;G696,"Mais barato",IF(M696&gt;G696,"Mais caro","Igual")))</f>
        <v/>
      </c>
      <c r="R696" s="10" t="n"/>
    </row>
    <row r="697">
      <c r="A697" s="9" t="n">
        <v>398581</v>
      </c>
      <c r="B697" s="10" t="inlineStr">
        <is>
          <t>TYLENOL SINUS 500+30MG CX 36 COMP REV</t>
        </is>
      </c>
      <c r="C697" s="10" t="inlineStr">
        <is>
          <t>RX</t>
        </is>
      </c>
      <c r="D697" s="9" t="inlineStr">
        <is>
          <t>A</t>
        </is>
      </c>
      <c r="E697" s="9" t="n">
        <v>1</v>
      </c>
      <c r="F697" s="9" t="n">
        <v>1</v>
      </c>
      <c r="G697" s="11" t="n">
        <v>25.24</v>
      </c>
      <c r="H697" s="10" t="inlineStr">
        <is>
          <t>SC DISTRIBUICAO LTDA</t>
        </is>
      </c>
      <c r="I697" s="12" t="inlineStr">
        <is>
          <t>7891010246952</t>
        </is>
      </c>
      <c r="J697" s="10" t="inlineStr">
        <is>
          <t>TYLENOL SINUS C/36 COMPRIMIDOS</t>
        </is>
      </c>
      <c r="K697" s="11" t="n">
        <v>26.36</v>
      </c>
      <c r="L697" s="13" t="n">
        <v>0.06</v>
      </c>
      <c r="M697" s="11">
        <f>IF(K697="","",ROUND(K697*(1-L697),2))</f>
        <v/>
      </c>
      <c r="N697" s="9" t="n">
        <v>157</v>
      </c>
      <c r="O697" s="14">
        <f>IF(OR(M697="",R697&lt;&gt;""),"",M697/G697-1)</f>
        <v/>
      </c>
      <c r="P697" s="11">
        <f>IF(OR(M697="",R697&lt;&gt;""),"",(G697-M697)*E697)</f>
        <v/>
      </c>
      <c r="Q697" s="9">
        <f>IF(R697&lt;&gt;"","—",IF(M697&lt;G697,"Mais barato",IF(M697&gt;G697,"Mais caro","Igual")))</f>
        <v/>
      </c>
      <c r="R697" s="10" t="n"/>
    </row>
    <row r="698">
      <c r="A698" s="9" t="n">
        <v>454501</v>
      </c>
      <c r="B698" s="10" t="inlineStr">
        <is>
          <t>UNIZINCO 17,60MG/ML SOL FR 100ML+COP</t>
        </is>
      </c>
      <c r="C698" s="10" t="inlineStr">
        <is>
          <t>RX - OTC</t>
        </is>
      </c>
      <c r="D698" s="9" t="inlineStr">
        <is>
          <t>A</t>
        </is>
      </c>
      <c r="E698" s="9" t="n">
        <v>3</v>
      </c>
      <c r="F698" s="9" t="n">
        <v>1</v>
      </c>
      <c r="G698" s="11" t="n">
        <v>25.1678</v>
      </c>
      <c r="H698" s="10" t="inlineStr">
        <is>
          <t>SC DISTRIBUICAO LTDA</t>
        </is>
      </c>
      <c r="I698" s="12" t="inlineStr">
        <is>
          <t>7898430192067</t>
        </is>
      </c>
      <c r="J698" s="10" t="inlineStr">
        <is>
          <t>UNIZINCO 17,6MG SOLUCAO ORAL 100ML</t>
        </is>
      </c>
      <c r="K698" s="11" t="n">
        <v>24.65</v>
      </c>
      <c r="L698" s="13" t="n">
        <v>0.07000000000000001</v>
      </c>
      <c r="M698" s="11">
        <f>IF(K698="","",ROUND(K698*(1-L698),2))</f>
        <v/>
      </c>
      <c r="N698" s="9" t="n">
        <v>2277</v>
      </c>
      <c r="O698" s="14">
        <f>IF(OR(M698="",R698&lt;&gt;""),"",M698/G698-1)</f>
        <v/>
      </c>
      <c r="P698" s="11">
        <f>IF(OR(M698="",R698&lt;&gt;""),"",(G698-M698)*E698)</f>
        <v/>
      </c>
      <c r="Q698" s="9">
        <f>IF(R698&lt;&gt;"","—",IF(M698&lt;G698,"Mais barato",IF(M698&gt;G698,"Mais caro","Igual")))</f>
        <v/>
      </c>
      <c r="R698" s="10" t="n"/>
    </row>
    <row r="699">
      <c r="A699" s="9" t="n">
        <v>413281</v>
      </c>
      <c r="B699" s="10" t="inlineStr">
        <is>
          <t>UTROGESTAN 100MG CX 30 CAP</t>
        </is>
      </c>
      <c r="C699" s="10" t="inlineStr">
        <is>
          <t>RX</t>
        </is>
      </c>
      <c r="D699" s="9" t="inlineStr">
        <is>
          <t>A</t>
        </is>
      </c>
      <c r="E699" s="9" t="n">
        <v>1</v>
      </c>
      <c r="F699" s="9" t="n">
        <v>1</v>
      </c>
      <c r="G699" s="11" t="n">
        <v>64.64</v>
      </c>
      <c r="H699" s="10" t="inlineStr">
        <is>
          <t>SC DISTRIBUICAO LTDA</t>
        </is>
      </c>
      <c r="I699" s="12" t="inlineStr">
        <is>
          <t>7898948648131</t>
        </is>
      </c>
      <c r="J699" s="10" t="inlineStr">
        <is>
          <t>UTROGESTAN 100MG C/30 CAPSULAS</t>
        </is>
      </c>
      <c r="K699" s="11" t="n">
        <v>62.85</v>
      </c>
      <c r="L699" s="13" t="n">
        <v>0.04</v>
      </c>
      <c r="M699" s="11">
        <f>IF(K699="","",ROUND(K699*(1-L699),2))</f>
        <v/>
      </c>
      <c r="N699" s="9" t="n">
        <v>2621</v>
      </c>
      <c r="O699" s="14">
        <f>IF(OR(M699="",R699&lt;&gt;""),"",M699/G699-1)</f>
        <v/>
      </c>
      <c r="P699" s="11">
        <f>IF(OR(M699="",R699&lt;&gt;""),"",(G699-M699)*E699)</f>
        <v/>
      </c>
      <c r="Q699" s="9">
        <f>IF(R699&lt;&gt;"","—",IF(M699&lt;G699,"Mais barato",IF(M699&gt;G699,"Mais caro","Igual")))</f>
        <v/>
      </c>
      <c r="R699" s="10" t="n"/>
    </row>
    <row r="700">
      <c r="A700" s="9" t="n">
        <v>413241</v>
      </c>
      <c r="B700" s="10" t="inlineStr">
        <is>
          <t>UTROGESTAN 200MG CX 14 CAP</t>
        </is>
      </c>
      <c r="C700" s="10" t="inlineStr">
        <is>
          <t>RX</t>
        </is>
      </c>
      <c r="D700" s="9" t="inlineStr">
        <is>
          <t>A</t>
        </is>
      </c>
      <c r="E700" s="9" t="n">
        <v>2</v>
      </c>
      <c r="F700" s="9" t="n">
        <v>1</v>
      </c>
      <c r="G700" s="11" t="n">
        <v>60.36</v>
      </c>
      <c r="H700" s="10" t="inlineStr">
        <is>
          <t>SC DISTRIBUICAO LTDA</t>
        </is>
      </c>
      <c r="I700" s="12" t="inlineStr">
        <is>
          <t>7898948648148</t>
        </is>
      </c>
      <c r="J700" s="10" t="inlineStr">
        <is>
          <t>UTROGESTAN 200MG C/14 CAPSULAS</t>
        </is>
      </c>
      <c r="K700" s="11" t="n">
        <v>58.69</v>
      </c>
      <c r="L700" s="13" t="n">
        <v>0.04</v>
      </c>
      <c r="M700" s="11">
        <f>IF(K700="","",ROUND(K700*(1-L700),2))</f>
        <v/>
      </c>
      <c r="N700" s="9" t="n">
        <v>1521</v>
      </c>
      <c r="O700" s="14">
        <f>IF(OR(M700="",R700&lt;&gt;""),"",M700/G700-1)</f>
        <v/>
      </c>
      <c r="P700" s="11">
        <f>IF(OR(M700="",R700&lt;&gt;""),"",(G700-M700)*E700)</f>
        <v/>
      </c>
      <c r="Q700" s="9">
        <f>IF(R700&lt;&gt;"","—",IF(M700&lt;G700,"Mais barato",IF(M700&gt;G700,"Mais caro","Igual")))</f>
        <v/>
      </c>
      <c r="R700" s="10" t="n"/>
    </row>
    <row r="701">
      <c r="A701" s="9" t="n">
        <v>319341</v>
      </c>
      <c r="B701" s="10" t="inlineStr">
        <is>
          <t>V - NORDETTE 0,15+0,03MG CX 21 DRG</t>
        </is>
      </c>
      <c r="C701" s="10" t="inlineStr">
        <is>
          <t>RX</t>
        </is>
      </c>
      <c r="D701" s="9" t="inlineStr">
        <is>
          <t>C</t>
        </is>
      </c>
      <c r="E701" s="9" t="n">
        <v>1</v>
      </c>
      <c r="F701" s="9" t="n">
        <v>1</v>
      </c>
      <c r="G701" s="11" t="n">
        <v>10.31</v>
      </c>
      <c r="H701" s="10" t="inlineStr">
        <is>
          <t>SC DISTRIBUICAO LTDA</t>
        </is>
      </c>
      <c r="I701" s="12" t="inlineStr">
        <is>
          <t>7891045008433</t>
        </is>
      </c>
      <c r="J701" s="10" t="inlineStr">
        <is>
          <t>NORDETTE C/21 DRAGEAS</t>
        </is>
      </c>
      <c r="K701" s="11" t="n">
        <v>10.23</v>
      </c>
      <c r="L701" s="13" t="n">
        <v>0.02</v>
      </c>
      <c r="M701" s="11">
        <f>IF(K701="","",ROUND(K701*(1-L701),2))</f>
        <v/>
      </c>
      <c r="N701" s="9" t="n">
        <v>76</v>
      </c>
      <c r="O701" s="14">
        <f>IF(OR(M701="",R701&lt;&gt;""),"",M701/G701-1)</f>
        <v/>
      </c>
      <c r="P701" s="11">
        <f>IF(OR(M701="",R701&lt;&gt;""),"",(G701-M701)*E701)</f>
        <v/>
      </c>
      <c r="Q701" s="9">
        <f>IF(R701&lt;&gt;"","—",IF(M701&lt;G701,"Mais barato",IF(M701&gt;G701,"Mais caro","Igual")))</f>
        <v/>
      </c>
      <c r="R701" s="10" t="n"/>
    </row>
    <row r="702">
      <c r="A702" s="9" t="n">
        <v>654341</v>
      </c>
      <c r="B702" s="10" t="inlineStr">
        <is>
          <t>VAGISIL DEO INTIMO FLOR DE PESSEGUEIRO 75ML</t>
        </is>
      </c>
      <c r="C702" s="10" t="inlineStr">
        <is>
          <t>RX</t>
        </is>
      </c>
      <c r="D702" s="9" t="inlineStr">
        <is>
          <t>C</t>
        </is>
      </c>
      <c r="E702" s="9" t="n">
        <v>1</v>
      </c>
      <c r="F702" s="9" t="n">
        <v>1</v>
      </c>
      <c r="G702" s="11" t="n">
        <v>22.8867</v>
      </c>
      <c r="H702" s="10" t="inlineStr">
        <is>
          <t>NAZARIA DISTRIBUIDORA DE PRODUTOS FARMACEUTICOS LTDA</t>
        </is>
      </c>
      <c r="I702" s="12" t="n"/>
      <c r="J702" s="10" t="n"/>
      <c r="K702" s="11" t="n"/>
      <c r="L702" s="13" t="n"/>
      <c r="M702" s="11">
        <f>IF(K702="","",ROUND(K702*(1-L702),2))</f>
        <v/>
      </c>
      <c r="N702" s="9" t="n"/>
      <c r="O702" s="14">
        <f>IF(OR(M702="",R702&lt;&gt;""),"",M702/G702-1)</f>
        <v/>
      </c>
      <c r="P702" s="11">
        <f>IF(OR(M702="",R702&lt;&gt;""),"",(G702-M702)*E702)</f>
        <v/>
      </c>
      <c r="Q702" s="9">
        <f>IF(R702&lt;&gt;"","—",IF(M702&lt;G702,"Mais barato",IF(M702&gt;G702,"Mais caro","Igual")))</f>
        <v/>
      </c>
      <c r="R702" s="10" t="inlineStr">
        <is>
          <t>Não encontrado</t>
        </is>
      </c>
    </row>
    <row r="703">
      <c r="A703" s="9" t="n">
        <v>662301</v>
      </c>
      <c r="B703" s="10" t="inlineStr">
        <is>
          <t>VAGISIL DEO INTIMO ODOR BLOCK 60ML</t>
        </is>
      </c>
      <c r="C703" s="10" t="inlineStr">
        <is>
          <t>RX</t>
        </is>
      </c>
      <c r="D703" s="9" t="inlineStr">
        <is>
          <t>C</t>
        </is>
      </c>
      <c r="E703" s="9" t="n">
        <v>1</v>
      </c>
      <c r="F703" s="9" t="n">
        <v>1</v>
      </c>
      <c r="G703" s="11" t="n">
        <v>22.43</v>
      </c>
      <c r="H703" s="10" t="inlineStr">
        <is>
          <t>NAZARIA DISTRIBUIDORA DE PRODUTOS FARMACEUTICOS LTDA</t>
        </is>
      </c>
      <c r="I703" s="12" t="n"/>
      <c r="J703" s="10" t="n"/>
      <c r="K703" s="11" t="n"/>
      <c r="L703" s="13" t="n"/>
      <c r="M703" s="11">
        <f>IF(K703="","",ROUND(K703*(1-L703),2))</f>
        <v/>
      </c>
      <c r="N703" s="9" t="n"/>
      <c r="O703" s="14">
        <f>IF(OR(M703="",R703&lt;&gt;""),"",M703/G703-1)</f>
        <v/>
      </c>
      <c r="P703" s="11">
        <f>IF(OR(M703="",R703&lt;&gt;""),"",(G703-M703)*E703)</f>
        <v/>
      </c>
      <c r="Q703" s="9">
        <f>IF(R703&lt;&gt;"","—",IF(M703&lt;G703,"Mais barato",IF(M703&gt;G703,"Mais caro","Igual")))</f>
        <v/>
      </c>
      <c r="R703" s="10" t="inlineStr">
        <is>
          <t>Não encontrado</t>
        </is>
      </c>
    </row>
    <row r="704">
      <c r="A704" s="9" t="n">
        <v>572581</v>
      </c>
      <c r="B704" s="10" t="inlineStr">
        <is>
          <t>VAGISOFT GEL IDRATANTE VAGINAL C 10 APLICADORES</t>
        </is>
      </c>
      <c r="C704" s="10" t="inlineStr">
        <is>
          <t>RX</t>
        </is>
      </c>
      <c r="D704" s="9" t="inlineStr">
        <is>
          <t>B</t>
        </is>
      </c>
      <c r="E704" s="9" t="n">
        <v>2</v>
      </c>
      <c r="F704" s="9" t="n">
        <v>1</v>
      </c>
      <c r="G704" s="11" t="n">
        <v>39.05</v>
      </c>
      <c r="H704" s="10" t="inlineStr">
        <is>
          <t>MEDCENTRO TO DISTRIBUIDORA DE PRODUTOS FARMACEUTICOS LTDA PA</t>
        </is>
      </c>
      <c r="I704" s="12" t="n"/>
      <c r="J704" s="10" t="n"/>
      <c r="K704" s="11" t="n"/>
      <c r="L704" s="13" t="n"/>
      <c r="M704" s="11">
        <f>IF(K704="","",ROUND(K704*(1-L704),2))</f>
        <v/>
      </c>
      <c r="N704" s="9" t="n"/>
      <c r="O704" s="14">
        <f>IF(OR(M704="",R704&lt;&gt;""),"",M704/G704-1)</f>
        <v/>
      </c>
      <c r="P704" s="11">
        <f>IF(OR(M704="",R704&lt;&gt;""),"",(G704-M704)*E704)</f>
        <v/>
      </c>
      <c r="Q704" s="9">
        <f>IF(R704&lt;&gt;"","—",IF(M704&lt;G704,"Mais barato",IF(M704&gt;G704,"Mais caro","Igual")))</f>
        <v/>
      </c>
      <c r="R704" s="10" t="inlineStr">
        <is>
          <t>Não encontrado</t>
        </is>
      </c>
    </row>
    <row r="705">
      <c r="A705" s="9" t="n">
        <v>547861</v>
      </c>
      <c r="B705" s="10" t="inlineStr">
        <is>
          <t>VALDA CLASSIC LATA PASTILHAS 50G</t>
        </is>
      </c>
      <c r="C705" s="10" t="inlineStr">
        <is>
          <t>RX</t>
        </is>
      </c>
      <c r="D705" s="9" t="inlineStr">
        <is>
          <t>B</t>
        </is>
      </c>
      <c r="E705" s="9" t="n">
        <v>1</v>
      </c>
      <c r="F705" s="9" t="n">
        <v>10</v>
      </c>
      <c r="G705" s="11" t="n">
        <v>166.14</v>
      </c>
      <c r="H705" s="10" t="inlineStr">
        <is>
          <t>SC DISTRIBUICAO LTDA</t>
        </is>
      </c>
      <c r="I705" s="12" t="inlineStr">
        <is>
          <t>7891137003698</t>
        </is>
      </c>
      <c r="J705" s="10" t="inlineStr">
        <is>
          <t>VALDA CLASSIC LATA METAL 10X50G</t>
        </is>
      </c>
      <c r="K705" s="11" t="n">
        <v>152.64</v>
      </c>
      <c r="L705" s="13" t="n">
        <v>0</v>
      </c>
      <c r="M705" s="11">
        <f>IF(K705="","",ROUND(K705*(1-L705),2))</f>
        <v/>
      </c>
      <c r="N705" s="9" t="n">
        <v>99</v>
      </c>
      <c r="O705" s="14">
        <f>IF(OR(M705="",R705&lt;&gt;""),"",M705/G705-1)</f>
        <v/>
      </c>
      <c r="P705" s="11">
        <f>IF(OR(M705="",R705&lt;&gt;""),"",(G705-M705)*E705)</f>
        <v/>
      </c>
      <c r="Q705" s="9">
        <f>IF(R705&lt;&gt;"","—",IF(M705&lt;G705,"Mais barato",IF(M705&gt;G705,"Mais caro","Igual")))</f>
        <v/>
      </c>
      <c r="R705" s="10" t="n"/>
    </row>
    <row r="706">
      <c r="A706" s="9" t="n">
        <v>33303</v>
      </c>
      <c r="B706" s="10" t="inlineStr">
        <is>
          <t>VALDA FRIENDS MENTA SAC 25G</t>
        </is>
      </c>
      <c r="C706" s="10" t="inlineStr">
        <is>
          <t>RX</t>
        </is>
      </c>
      <c r="D706" s="9" t="inlineStr">
        <is>
          <t>A</t>
        </is>
      </c>
      <c r="E706" s="9" t="n">
        <v>5</v>
      </c>
      <c r="F706" s="9" t="n">
        <v>1</v>
      </c>
      <c r="G706" s="11" t="n">
        <v>4.703</v>
      </c>
      <c r="H706" s="10" t="inlineStr">
        <is>
          <t>SC DISTRIBUICAO LTDA</t>
        </is>
      </c>
      <c r="I706" s="12" t="inlineStr">
        <is>
          <t>7891137003421</t>
        </is>
      </c>
      <c r="J706" s="10" t="inlineStr">
        <is>
          <t>VALDA FRIENDS SACHE 30X25G</t>
        </is>
      </c>
      <c r="K706" s="11" t="n">
        <v>128.69</v>
      </c>
      <c r="L706" s="13" t="n">
        <v>0</v>
      </c>
      <c r="M706" s="11">
        <f>IF(K706="","",ROUND(K706*(1-L706),2))</f>
        <v/>
      </c>
      <c r="N706" s="9" t="n">
        <v>1065</v>
      </c>
      <c r="O706" s="14">
        <f>IF(OR(M706="",R706&lt;&gt;""),"",M706/G706-1)</f>
        <v/>
      </c>
      <c r="P706" s="11">
        <f>IF(OR(M706="",R706&lt;&gt;""),"",(G706-M706)*E706)</f>
        <v/>
      </c>
      <c r="Q706" s="9">
        <f>IF(R706&lt;&gt;"","—",IF(M706&lt;G706,"Mais barato",IF(M706&gt;G706,"Mais caro","Igual")))</f>
        <v/>
      </c>
      <c r="R706" s="10" t="inlineStr">
        <is>
          <t>Conferir embalagem/EAN</t>
        </is>
      </c>
    </row>
    <row r="707">
      <c r="A707" s="9" t="n">
        <v>20901</v>
      </c>
      <c r="B707" s="10" t="inlineStr">
        <is>
          <t>VARICELL PHYTO CX 30 CAP</t>
        </is>
      </c>
      <c r="C707" s="10" t="inlineStr">
        <is>
          <t>RX - OTC</t>
        </is>
      </c>
      <c r="D707" s="9" t="inlineStr">
        <is>
          <t>A</t>
        </is>
      </c>
      <c r="E707" s="9" t="n">
        <v>1</v>
      </c>
      <c r="F707" s="9" t="n">
        <v>1</v>
      </c>
      <c r="G707" s="11" t="n">
        <v>48.68</v>
      </c>
      <c r="H707" s="10" t="inlineStr">
        <is>
          <t>SC DISTRIBUICAO LTDA</t>
        </is>
      </c>
      <c r="I707" s="12" t="inlineStr">
        <is>
          <t>7898040328535</t>
        </is>
      </c>
      <c r="J707" s="10" t="inlineStr">
        <is>
          <t>VARICELL PHYTO 30 CAPSULAS</t>
        </is>
      </c>
      <c r="K707" s="11" t="n">
        <v>47.34</v>
      </c>
      <c r="L707" s="13" t="n">
        <v>0.04</v>
      </c>
      <c r="M707" s="11">
        <f>IF(K707="","",ROUND(K707*(1-L707),2))</f>
        <v/>
      </c>
      <c r="N707" s="9" t="n">
        <v>360</v>
      </c>
      <c r="O707" s="14">
        <f>IF(OR(M707="",R707&lt;&gt;""),"",M707/G707-1)</f>
        <v/>
      </c>
      <c r="P707" s="11">
        <f>IF(OR(M707="",R707&lt;&gt;""),"",(G707-M707)*E707)</f>
        <v/>
      </c>
      <c r="Q707" s="9">
        <f>IF(R707&lt;&gt;"","—",IF(M707&lt;G707,"Mais barato",IF(M707&gt;G707,"Mais caro","Igual")))</f>
        <v/>
      </c>
      <c r="R707" s="10" t="n"/>
    </row>
    <row r="708">
      <c r="A708" s="9" t="n">
        <v>262901</v>
      </c>
      <c r="B708" s="10" t="inlineStr">
        <is>
          <t>VENCIDO -  ALLESTRA 30/75MCG CX 63 COMP</t>
        </is>
      </c>
      <c r="C708" s="10" t="inlineStr">
        <is>
          <t>RX</t>
        </is>
      </c>
      <c r="D708" s="9" t="inlineStr">
        <is>
          <t>C</t>
        </is>
      </c>
      <c r="E708" s="9" t="n">
        <v>1</v>
      </c>
      <c r="F708" s="9" t="n">
        <v>1</v>
      </c>
      <c r="G708" s="11" t="n">
        <v>65.52</v>
      </c>
      <c r="H708" s="10" t="inlineStr">
        <is>
          <t>NAZARIA DISTRIBUIDORA DE PRODUTOS FARMACEUTICOS LTDA</t>
        </is>
      </c>
      <c r="I708" s="12" t="inlineStr">
        <is>
          <t>7896658036965</t>
        </is>
      </c>
      <c r="J708" s="10" t="inlineStr">
        <is>
          <t>ALLESTRA 30 30MCG + 75MCG C/63 COMPRIMIDOS</t>
        </is>
      </c>
      <c r="K708" s="11" t="n">
        <v>67.98</v>
      </c>
      <c r="L708" s="13" t="n">
        <v>0.05</v>
      </c>
      <c r="M708" s="11">
        <f>IF(K708="","",ROUND(K708*(1-L708),2))</f>
        <v/>
      </c>
      <c r="N708" s="9" t="n">
        <v>52</v>
      </c>
      <c r="O708" s="14">
        <f>IF(OR(M708="",R708&lt;&gt;""),"",M708/G708-1)</f>
        <v/>
      </c>
      <c r="P708" s="11">
        <f>IF(OR(M708="",R708&lt;&gt;""),"",(G708-M708)*E708)</f>
        <v/>
      </c>
      <c r="Q708" s="9">
        <f>IF(R708&lt;&gt;"","—",IF(M708&lt;G708,"Mais barato",IF(M708&gt;G708,"Mais caro","Igual")))</f>
        <v/>
      </c>
      <c r="R708" s="10" t="n"/>
    </row>
    <row r="709">
      <c r="A709" s="9" t="n">
        <v>476781</v>
      </c>
      <c r="B709" s="10" t="inlineStr">
        <is>
          <t>VENCIDO - BRAVAN DUO 320,0+5,0MG CX 30 COMP REV</t>
        </is>
      </c>
      <c r="C709" s="10" t="inlineStr">
        <is>
          <t>RX</t>
        </is>
      </c>
      <c r="D709" s="9" t="inlineStr">
        <is>
          <t>B</t>
        </is>
      </c>
      <c r="E709" s="9" t="n">
        <v>1</v>
      </c>
      <c r="F709" s="9" t="n">
        <v>1</v>
      </c>
      <c r="G709" s="11" t="n">
        <v>78.93000000000001</v>
      </c>
      <c r="H709" s="10" t="inlineStr">
        <is>
          <t>NAZARIA DISTRIBUIDORA DE PRODUTOS FARMACEUTICOS LTDA</t>
        </is>
      </c>
      <c r="I709" s="12" t="inlineStr">
        <is>
          <t>7896658024993</t>
        </is>
      </c>
      <c r="J709" s="10" t="inlineStr">
        <is>
          <t>BRAVAN DUO 320MG + 5MG C/30 COMPRIMIDOS REVESTIDOS</t>
        </is>
      </c>
      <c r="K709" s="11" t="n">
        <v>75.95</v>
      </c>
      <c r="L709" s="13" t="n">
        <v>0.05</v>
      </c>
      <c r="M709" s="11">
        <f>IF(K709="","",ROUND(K709*(1-L709),2))</f>
        <v/>
      </c>
      <c r="N709" s="9" t="n">
        <v>192</v>
      </c>
      <c r="O709" s="14">
        <f>IF(OR(M709="",R709&lt;&gt;""),"",M709/G709-1)</f>
        <v/>
      </c>
      <c r="P709" s="11">
        <f>IF(OR(M709="",R709&lt;&gt;""),"",(G709-M709)*E709)</f>
        <v/>
      </c>
      <c r="Q709" s="9">
        <f>IF(R709&lt;&gt;"","—",IF(M709&lt;G709,"Mais barato",IF(M709&gt;G709,"Mais caro","Igual")))</f>
        <v/>
      </c>
      <c r="R709" s="10" t="n"/>
    </row>
    <row r="710">
      <c r="A710" s="9" t="n">
        <v>615331</v>
      </c>
      <c r="B710" s="10" t="inlineStr">
        <is>
          <t>VENCIDO - GEL NIVEA ANTI-CELULIT BYEBYE CEL 201ML</t>
        </is>
      </c>
      <c r="C710" s="10" t="inlineStr">
        <is>
          <t>RX - DERMO</t>
        </is>
      </c>
      <c r="D710" s="9" t="inlineStr">
        <is>
          <t>C</t>
        </is>
      </c>
      <c r="E710" s="9" t="n">
        <v>1</v>
      </c>
      <c r="F710" s="9" t="n">
        <v>1</v>
      </c>
      <c r="G710" s="11" t="n">
        <v>38.975</v>
      </c>
      <c r="H710" s="10" t="inlineStr">
        <is>
          <t>NAZARIA DISTRIBUIDORA DE PRODUTOS FARMACEUTICOS LTDA</t>
        </is>
      </c>
      <c r="I710" s="12" t="n"/>
      <c r="J710" s="10" t="n"/>
      <c r="K710" s="11" t="n"/>
      <c r="L710" s="13" t="n"/>
      <c r="M710" s="11">
        <f>IF(K710="","",ROUND(K710*(1-L710),2))</f>
        <v/>
      </c>
      <c r="N710" s="9" t="n"/>
      <c r="O710" s="14">
        <f>IF(OR(M710="",R710&lt;&gt;""),"",M710/G710-1)</f>
        <v/>
      </c>
      <c r="P710" s="11">
        <f>IF(OR(M710="",R710&lt;&gt;""),"",(G710-M710)*E710)</f>
        <v/>
      </c>
      <c r="Q710" s="9">
        <f>IF(R710&lt;&gt;"","—",IF(M710&lt;G710,"Mais barato",IF(M710&gt;G710,"Mais caro","Igual")))</f>
        <v/>
      </c>
      <c r="R710" s="10" t="inlineStr">
        <is>
          <t>Não encontrado</t>
        </is>
      </c>
    </row>
    <row r="711">
      <c r="A711" s="9" t="n">
        <v>621491</v>
      </c>
      <c r="B711" s="10" t="inlineStr">
        <is>
          <t>VENCIDO - LEFOR 2,5MG CX 30 COMP</t>
        </is>
      </c>
      <c r="C711" s="10" t="inlineStr">
        <is>
          <t>RX</t>
        </is>
      </c>
      <c r="D711" s="9" t="inlineStr">
        <is>
          <t>B</t>
        </is>
      </c>
      <c r="E711" s="9" t="n">
        <v>1</v>
      </c>
      <c r="F711" s="9" t="n">
        <v>1</v>
      </c>
      <c r="G711" s="11" t="n">
        <v>42.835</v>
      </c>
      <c r="H711" s="10" t="inlineStr">
        <is>
          <t>SC DISTRIBUICAO LTDA</t>
        </is>
      </c>
      <c r="I711" s="12" t="inlineStr">
        <is>
          <t>7896004789545</t>
        </is>
      </c>
      <c r="J711" s="10" t="inlineStr">
        <is>
          <t>LEFOR 2,5MG C/30 COMPRIMIDOS</t>
        </is>
      </c>
      <c r="K711" s="11" t="n">
        <v>32.21</v>
      </c>
      <c r="L711" s="13" t="n">
        <v>0</v>
      </c>
      <c r="M711" s="11">
        <f>IF(K711="","",ROUND(K711*(1-L711),2))</f>
        <v/>
      </c>
      <c r="N711" s="9" t="n">
        <v>62</v>
      </c>
      <c r="O711" s="14">
        <f>IF(OR(M711="",R711&lt;&gt;""),"",M711/G711-1)</f>
        <v/>
      </c>
      <c r="P711" s="11">
        <f>IF(OR(M711="",R711&lt;&gt;""),"",(G711-M711)*E711)</f>
        <v/>
      </c>
      <c r="Q711" s="9">
        <f>IF(R711&lt;&gt;"","—",IF(M711&lt;G711,"Mais barato",IF(M711&gt;G711,"Mais caro","Igual")))</f>
        <v/>
      </c>
      <c r="R711" s="10" t="n"/>
    </row>
    <row r="712">
      <c r="A712" s="9" t="n">
        <v>133401</v>
      </c>
      <c r="B712" s="10" t="inlineStr">
        <is>
          <t>VENCIDO - MUSCULARE 10MG CX 30 COMP REV</t>
        </is>
      </c>
      <c r="C712" s="10" t="inlineStr">
        <is>
          <t>RX</t>
        </is>
      </c>
      <c r="D712" s="9" t="inlineStr">
        <is>
          <t>B</t>
        </is>
      </c>
      <c r="E712" s="9" t="n">
        <v>1</v>
      </c>
      <c r="F712" s="9" t="n">
        <v>1</v>
      </c>
      <c r="G712" s="11" t="n">
        <v>33.89</v>
      </c>
      <c r="H712" s="10" t="inlineStr">
        <is>
          <t>SC DISTRIBUICAO LTDA</t>
        </is>
      </c>
      <c r="I712" s="12" t="inlineStr">
        <is>
          <t>7891317432386</t>
        </is>
      </c>
      <c r="J712" s="10" t="inlineStr">
        <is>
          <t>MUSCULARE 10MG C/30 COMPRIMIDOS</t>
        </is>
      </c>
      <c r="K712" s="11" t="n">
        <v>33.66</v>
      </c>
      <c r="L712" s="13" t="n">
        <v>0.04</v>
      </c>
      <c r="M712" s="11">
        <f>IF(K712="","",ROUND(K712*(1-L712),2))</f>
        <v/>
      </c>
      <c r="N712" s="9" t="n">
        <v>293</v>
      </c>
      <c r="O712" s="14">
        <f>IF(OR(M712="",R712&lt;&gt;""),"",M712/G712-1)</f>
        <v/>
      </c>
      <c r="P712" s="11">
        <f>IF(OR(M712="",R712&lt;&gt;""),"",(G712-M712)*E712)</f>
        <v/>
      </c>
      <c r="Q712" s="9">
        <f>IF(R712&lt;&gt;"","—",IF(M712&lt;G712,"Mais barato",IF(M712&gt;G712,"Mais caro","Igual")))</f>
        <v/>
      </c>
      <c r="R712" s="10" t="n"/>
    </row>
    <row r="713">
      <c r="A713" s="9" t="n">
        <v>612521</v>
      </c>
      <c r="B713" s="10" t="inlineStr">
        <is>
          <t>VENCIDO - NAIRE 20MG CX 15 COMP</t>
        </is>
      </c>
      <c r="C713" s="10" t="inlineStr">
        <is>
          <t>RX</t>
        </is>
      </c>
      <c r="D713" s="9" t="inlineStr">
        <is>
          <t>C</t>
        </is>
      </c>
      <c r="E713" s="9" t="n">
        <v>1</v>
      </c>
      <c r="F713" s="9" t="n">
        <v>1</v>
      </c>
      <c r="G713" s="11" t="n">
        <v>51.49</v>
      </c>
      <c r="H713" s="10" t="inlineStr">
        <is>
          <t>SC DISTRIBUICAO LTDA</t>
        </is>
      </c>
      <c r="I713" s="12" t="n"/>
      <c r="J713" s="10" t="n"/>
      <c r="K713" s="11" t="n"/>
      <c r="L713" s="13" t="n"/>
      <c r="M713" s="11">
        <f>IF(K713="","",ROUND(K713*(1-L713),2))</f>
        <v/>
      </c>
      <c r="N713" s="9" t="n"/>
      <c r="O713" s="14">
        <f>IF(OR(M713="",R713&lt;&gt;""),"",M713/G713-1)</f>
        <v/>
      </c>
      <c r="P713" s="11">
        <f>IF(OR(M713="",R713&lt;&gt;""),"",(G713-M713)*E713)</f>
        <v/>
      </c>
      <c r="Q713" s="9">
        <f>IF(R713&lt;&gt;"","—",IF(M713&lt;G713,"Mais barato",IF(M713&gt;G713,"Mais caro","Igual")))</f>
        <v/>
      </c>
      <c r="R713" s="10" t="inlineStr">
        <is>
          <t>Não encontrado</t>
        </is>
      </c>
    </row>
    <row r="714">
      <c r="A714" s="9" t="n">
        <v>319361</v>
      </c>
      <c r="B714" s="10" t="inlineStr">
        <is>
          <t>VENCIDO - NORDETTE 0,15+0,03MG CARTELA C/21</t>
        </is>
      </c>
      <c r="C714" s="10" t="inlineStr">
        <is>
          <t>RX</t>
        </is>
      </c>
      <c r="D714" s="9" t="inlineStr">
        <is>
          <t>C</t>
        </is>
      </c>
      <c r="E714" s="9" t="n">
        <v>1</v>
      </c>
      <c r="F714" s="9" t="n">
        <v>1</v>
      </c>
      <c r="G714" s="11" t="n">
        <v>8.619999999999999</v>
      </c>
      <c r="H714" s="10" t="inlineStr">
        <is>
          <t>SC DISTRIBUICAO LTDA</t>
        </is>
      </c>
      <c r="I714" s="12" t="inlineStr">
        <is>
          <t>7891045008440</t>
        </is>
      </c>
      <c r="J714" s="10" t="inlineStr">
        <is>
          <t>NORDETTE C/3X21 DRAGEAS</t>
        </is>
      </c>
      <c r="K714" s="11" t="n">
        <v>28.57</v>
      </c>
      <c r="L714" s="13" t="n">
        <v>0.02</v>
      </c>
      <c r="M714" s="11">
        <f>IF(K714="","",ROUND(K714*(1-L714),2))</f>
        <v/>
      </c>
      <c r="N714" s="9" t="n"/>
      <c r="O714" s="14">
        <f>IF(OR(M714="",R714&lt;&gt;""),"",M714/G714-1)</f>
        <v/>
      </c>
      <c r="P714" s="11">
        <f>IF(OR(M714="",R714&lt;&gt;""),"",(G714-M714)*E714)</f>
        <v/>
      </c>
      <c r="Q714" s="9">
        <f>IF(R714&lt;&gt;"","—",IF(M714&lt;G714,"Mais barato",IF(M714&gt;G714,"Mais caro","Igual")))</f>
        <v/>
      </c>
      <c r="R714" s="10" t="inlineStr">
        <is>
          <t>Conferir embalagem/EAN</t>
        </is>
      </c>
    </row>
    <row r="715">
      <c r="A715" s="9" t="n">
        <v>344301</v>
      </c>
      <c r="B715" s="10" t="inlineStr">
        <is>
          <t>VENCIDO - PV MESACOL 250 MG SUP RET CT BERCO X 15</t>
        </is>
      </c>
      <c r="C715" s="10" t="inlineStr">
        <is>
          <t>RX</t>
        </is>
      </c>
      <c r="D715" s="9" t="inlineStr">
        <is>
          <t>B</t>
        </is>
      </c>
      <c r="E715" s="9" t="n">
        <v>1</v>
      </c>
      <c r="F715" s="9" t="n">
        <v>1</v>
      </c>
      <c r="G715" s="11" t="n">
        <v>56.86</v>
      </c>
      <c r="H715" s="10" t="inlineStr">
        <is>
          <t>SC DISTRIBUICAO LTDA</t>
        </is>
      </c>
      <c r="I715" s="12" t="inlineStr">
        <is>
          <t>7896641808777</t>
        </is>
      </c>
      <c r="J715" s="10" t="inlineStr">
        <is>
          <t>MESACOL 250MG C/15 SUPOSITORIOS</t>
        </is>
      </c>
      <c r="K715" s="11" t="n">
        <v>61.23</v>
      </c>
      <c r="L715" s="13" t="n">
        <v>0.02</v>
      </c>
      <c r="M715" s="11">
        <f>IF(K715="","",ROUND(K715*(1-L715),2))</f>
        <v/>
      </c>
      <c r="N715" s="9" t="n"/>
      <c r="O715" s="14">
        <f>IF(OR(M715="",R715&lt;&gt;""),"",M715/G715-1)</f>
        <v/>
      </c>
      <c r="P715" s="11">
        <f>IF(OR(M715="",R715&lt;&gt;""),"",(G715-M715)*E715)</f>
        <v/>
      </c>
      <c r="Q715" s="9">
        <f>IF(R715&lt;&gt;"","—",IF(M715&lt;G715,"Mais barato",IF(M715&gt;G715,"Mais caro","Igual")))</f>
        <v/>
      </c>
      <c r="R715" s="10" t="n"/>
    </row>
    <row r="716">
      <c r="A716" s="9" t="n">
        <v>608981</v>
      </c>
      <c r="B716" s="10" t="inlineStr">
        <is>
          <t>VENTUS 50MCG SUS SPR NAS FR 120 ACIONAMENTOS</t>
        </is>
      </c>
      <c r="C716" s="10" t="inlineStr">
        <is>
          <t>RX</t>
        </is>
      </c>
      <c r="D716" s="9" t="inlineStr">
        <is>
          <t>A</t>
        </is>
      </c>
      <c r="E716" s="9" t="n">
        <v>1</v>
      </c>
      <c r="F716" s="9" t="n">
        <v>1</v>
      </c>
      <c r="G716" s="11" t="n">
        <v>52.19</v>
      </c>
      <c r="H716" s="10" t="inlineStr">
        <is>
          <t>SC DISTRIBUICAO LTDA</t>
        </is>
      </c>
      <c r="I716" s="12" t="inlineStr">
        <is>
          <t>7891317010386</t>
        </is>
      </c>
      <c r="J716" s="10" t="inlineStr">
        <is>
          <t>VENTUS SPRAY NASAL 50MCG C/120 ACIONAMENTOS</t>
        </is>
      </c>
      <c r="K716" s="11" t="n">
        <v>51.84</v>
      </c>
      <c r="L716" s="13" t="n">
        <v>0.04</v>
      </c>
      <c r="M716" s="11">
        <f>IF(K716="","",ROUND(K716*(1-L716),2))</f>
        <v/>
      </c>
      <c r="N716" s="9" t="n">
        <v>214</v>
      </c>
      <c r="O716" s="14">
        <f>IF(OR(M716="",R716&lt;&gt;""),"",M716/G716-1)</f>
        <v/>
      </c>
      <c r="P716" s="11">
        <f>IF(OR(M716="",R716&lt;&gt;""),"",(G716-M716)*E716)</f>
        <v/>
      </c>
      <c r="Q716" s="9">
        <f>IF(R716&lt;&gt;"","—",IF(M716&lt;G716,"Mais barato",IF(M716&gt;G716,"Mais caro","Igual")))</f>
        <v/>
      </c>
      <c r="R716" s="10" t="n"/>
    </row>
    <row r="717">
      <c r="A717" s="9" t="n">
        <v>612541</v>
      </c>
      <c r="B717" s="10" t="inlineStr">
        <is>
          <t>VENTUS 50MCG SUS SPR NAS FR 60 ACIONAMENTOS</t>
        </is>
      </c>
      <c r="C717" s="10" t="inlineStr">
        <is>
          <t>RX</t>
        </is>
      </c>
      <c r="D717" s="9" t="inlineStr">
        <is>
          <t>A</t>
        </is>
      </c>
      <c r="E717" s="9" t="n">
        <v>1</v>
      </c>
      <c r="F717" s="9" t="n">
        <v>1</v>
      </c>
      <c r="G717" s="11" t="n">
        <v>35.2367</v>
      </c>
      <c r="H717" s="10" t="inlineStr">
        <is>
          <t>SC DISTRIBUICAO LTDA</t>
        </is>
      </c>
      <c r="I717" s="12" t="inlineStr">
        <is>
          <t>7891317010379</t>
        </is>
      </c>
      <c r="J717" s="10" t="inlineStr">
        <is>
          <t>VENTUS SPRAY NASAL 50MCG C/60 ACIONAMENTOS</t>
        </is>
      </c>
      <c r="K717" s="11" t="n">
        <v>35</v>
      </c>
      <c r="L717" s="13" t="n">
        <v>0.04</v>
      </c>
      <c r="M717" s="11">
        <f>IF(K717="","",ROUND(K717*(1-L717),2))</f>
        <v/>
      </c>
      <c r="N717" s="9" t="n">
        <v>336</v>
      </c>
      <c r="O717" s="14">
        <f>IF(OR(M717="",R717&lt;&gt;""),"",M717/G717-1)</f>
        <v/>
      </c>
      <c r="P717" s="11">
        <f>IF(OR(M717="",R717&lt;&gt;""),"",(G717-M717)*E717)</f>
        <v/>
      </c>
      <c r="Q717" s="9">
        <f>IF(R717&lt;&gt;"","—",IF(M717&lt;G717,"Mais barato",IF(M717&gt;G717,"Mais caro","Igual")))</f>
        <v/>
      </c>
      <c r="R717" s="10" t="n"/>
    </row>
    <row r="718">
      <c r="A718" s="9" t="n">
        <v>285761</v>
      </c>
      <c r="B718" s="10" t="inlineStr">
        <is>
          <t>VENZER HCT 8+12,5MG CX 30 COMP</t>
        </is>
      </c>
      <c r="C718" s="10" t="inlineStr">
        <is>
          <t>RX</t>
        </is>
      </c>
      <c r="D718" s="9" t="inlineStr">
        <is>
          <t>A</t>
        </is>
      </c>
      <c r="E718" s="9" t="n">
        <v>1</v>
      </c>
      <c r="F718" s="9" t="n">
        <v>1</v>
      </c>
      <c r="G718" s="11" t="n">
        <v>73.66</v>
      </c>
      <c r="H718" s="10" t="inlineStr">
        <is>
          <t>SC DISTRIBUICAO LTDA</t>
        </is>
      </c>
      <c r="I718" s="12" t="inlineStr">
        <is>
          <t>7896094206403</t>
        </is>
      </c>
      <c r="J718" s="10" t="inlineStr">
        <is>
          <t>VENZER HCT 08MG + 12,5MG C/30 COMPRIMIDOS</t>
        </is>
      </c>
      <c r="K718" s="11" t="n">
        <v>70.88</v>
      </c>
      <c r="L718" s="13" t="n">
        <v>0.03</v>
      </c>
      <c r="M718" s="11">
        <f>IF(K718="","",ROUND(K718*(1-L718),2))</f>
        <v/>
      </c>
      <c r="N718" s="9" t="n">
        <v>237</v>
      </c>
      <c r="O718" s="14">
        <f>IF(OR(M718="",R718&lt;&gt;""),"",M718/G718-1)</f>
        <v/>
      </c>
      <c r="P718" s="11">
        <f>IF(OR(M718="",R718&lt;&gt;""),"",(G718-M718)*E718)</f>
        <v/>
      </c>
      <c r="Q718" s="9">
        <f>IF(R718&lt;&gt;"","—",IF(M718&lt;G718,"Mais barato",IF(M718&gt;G718,"Mais caro","Igual")))</f>
        <v/>
      </c>
      <c r="R718" s="10" t="n"/>
    </row>
    <row r="719">
      <c r="A719" s="9" t="n">
        <v>16781</v>
      </c>
      <c r="B719" s="10" t="inlineStr">
        <is>
          <t>VERUTEX 20MG CREME DERM BG 15G</t>
        </is>
      </c>
      <c r="C719" s="10" t="inlineStr">
        <is>
          <t>RX - REFERENCIA - ATB</t>
        </is>
      </c>
      <c r="D719" s="9" t="inlineStr">
        <is>
          <t>B</t>
        </is>
      </c>
      <c r="E719" s="9" t="n">
        <v>1</v>
      </c>
      <c r="F719" s="9" t="n">
        <v>1</v>
      </c>
      <c r="G719" s="11" t="n">
        <v>63.8</v>
      </c>
      <c r="H719" s="10" t="inlineStr">
        <is>
          <t>SC DISTRIBUICAO LTDA</t>
        </is>
      </c>
      <c r="I719" s="12" t="inlineStr">
        <is>
          <t>5702191007985</t>
        </is>
      </c>
      <c r="J719" s="10" t="inlineStr">
        <is>
          <t>VERUTEX CREME 15G</t>
        </is>
      </c>
      <c r="K719" s="11" t="n">
        <v>65.83</v>
      </c>
      <c r="L719" s="13" t="n">
        <v>0.03</v>
      </c>
      <c r="M719" s="11">
        <f>IF(K719="","",ROUND(K719*(1-L719),2))</f>
        <v/>
      </c>
      <c r="N719" s="9" t="n">
        <v>88</v>
      </c>
      <c r="O719" s="14">
        <f>IF(OR(M719="",R719&lt;&gt;""),"",M719/G719-1)</f>
        <v/>
      </c>
      <c r="P719" s="11">
        <f>IF(OR(M719="",R719&lt;&gt;""),"",(G719-M719)*E719)</f>
        <v/>
      </c>
      <c r="Q719" s="9">
        <f>IF(R719&lt;&gt;"","—",IF(M719&lt;G719,"Mais barato",IF(M719&gt;G719,"Mais caro","Igual")))</f>
        <v/>
      </c>
      <c r="R719" s="10" t="n"/>
    </row>
    <row r="720">
      <c r="A720" s="9" t="n">
        <v>16701</v>
      </c>
      <c r="B720" s="10" t="inlineStr">
        <is>
          <t>VI-FERRIN 20+0,333+1,0MCG ELIXIR FR 150ML</t>
        </is>
      </c>
      <c r="C720" s="10" t="inlineStr">
        <is>
          <t>RX</t>
        </is>
      </c>
      <c r="D720" s="9" t="inlineStr">
        <is>
          <t>A</t>
        </is>
      </c>
      <c r="E720" s="9" t="n">
        <v>4</v>
      </c>
      <c r="F720" s="9" t="n">
        <v>1</v>
      </c>
      <c r="G720" s="11" t="n">
        <v>28.73</v>
      </c>
      <c r="H720" s="10" t="inlineStr">
        <is>
          <t>TAPAJOS COMERCIO DE MEDICAMENTOS LTDA</t>
        </is>
      </c>
      <c r="I720" s="12" t="n"/>
      <c r="J720" s="10" t="n"/>
      <c r="K720" s="11" t="n"/>
      <c r="L720" s="13" t="n"/>
      <c r="M720" s="11">
        <f>IF(K720="","",ROUND(K720*(1-L720),2))</f>
        <v/>
      </c>
      <c r="N720" s="9" t="n"/>
      <c r="O720" s="14">
        <f>IF(OR(M720="",R720&lt;&gt;""),"",M720/G720-1)</f>
        <v/>
      </c>
      <c r="P720" s="11">
        <f>IF(OR(M720="",R720&lt;&gt;""),"",(G720-M720)*E720)</f>
        <v/>
      </c>
      <c r="Q720" s="9">
        <f>IF(R720&lt;&gt;"","—",IF(M720&lt;G720,"Mais barato",IF(M720&gt;G720,"Mais caro","Igual")))</f>
        <v/>
      </c>
      <c r="R720" s="10" t="inlineStr">
        <is>
          <t>Não encontrado</t>
        </is>
      </c>
    </row>
    <row r="721">
      <c r="A721" s="9" t="n">
        <v>16721</v>
      </c>
      <c r="B721" s="10" t="inlineStr">
        <is>
          <t>VI-FERRIN 300+5+15MCG FR 60 COMP REV</t>
        </is>
      </c>
      <c r="C721" s="10" t="inlineStr">
        <is>
          <t>RX</t>
        </is>
      </c>
      <c r="D721" s="9" t="inlineStr">
        <is>
          <t>A</t>
        </is>
      </c>
      <c r="E721" s="9" t="n">
        <v>14</v>
      </c>
      <c r="F721" s="9" t="n">
        <v>1</v>
      </c>
      <c r="G721" s="11" t="n">
        <v>53.92</v>
      </c>
      <c r="H721" s="10" t="inlineStr">
        <is>
          <t>TAPAJOS COMERCIO DE MEDICAMENTOS LTDA</t>
        </is>
      </c>
      <c r="I721" s="12" t="n"/>
      <c r="J721" s="10" t="n"/>
      <c r="K721" s="11" t="n"/>
      <c r="L721" s="13" t="n"/>
      <c r="M721" s="11">
        <f>IF(K721="","",ROUND(K721*(1-L721),2))</f>
        <v/>
      </c>
      <c r="N721" s="9" t="n"/>
      <c r="O721" s="14">
        <f>IF(OR(M721="",R721&lt;&gt;""),"",M721/G721-1)</f>
        <v/>
      </c>
      <c r="P721" s="11">
        <f>IF(OR(M721="",R721&lt;&gt;""),"",(G721-M721)*E721)</f>
        <v/>
      </c>
      <c r="Q721" s="9">
        <f>IF(R721&lt;&gt;"","—",IF(M721&lt;G721,"Mais barato",IF(M721&gt;G721,"Mais caro","Igual")))</f>
        <v/>
      </c>
      <c r="R721" s="10" t="inlineStr">
        <is>
          <t>Não encontrado</t>
        </is>
      </c>
    </row>
    <row r="722">
      <c r="A722" s="9" t="n">
        <v>993</v>
      </c>
      <c r="B722" s="10" t="inlineStr">
        <is>
          <t>VICK BABY RUB 12G LATA</t>
        </is>
      </c>
      <c r="C722" s="10" t="inlineStr">
        <is>
          <t>RX</t>
        </is>
      </c>
      <c r="D722" s="9" t="inlineStr">
        <is>
          <t>A</t>
        </is>
      </c>
      <c r="E722" s="9" t="n">
        <v>9</v>
      </c>
      <c r="F722" s="9" t="n">
        <v>6</v>
      </c>
      <c r="G722" s="11" t="n">
        <v>95.02500000000001</v>
      </c>
      <c r="H722" s="10" t="inlineStr">
        <is>
          <t>SC DISTRIBUICAO LTDA</t>
        </is>
      </c>
      <c r="I722" s="12" t="inlineStr">
        <is>
          <t>7500435199087</t>
        </is>
      </c>
      <c r="J722" s="10" t="inlineStr">
        <is>
          <t>VICK BABYRUB BALSAMO HIDRATANTE DISPLAY C/6</t>
        </is>
      </c>
      <c r="K722" s="11" t="n">
        <v>94.72</v>
      </c>
      <c r="L722" s="13" t="n">
        <v>0</v>
      </c>
      <c r="M722" s="11">
        <f>IF(K722="","",ROUND(K722*(1-L722),2))</f>
        <v/>
      </c>
      <c r="N722" s="9" t="n">
        <v>1419</v>
      </c>
      <c r="O722" s="14">
        <f>IF(OR(M722="",R722&lt;&gt;""),"",M722/G722-1)</f>
        <v/>
      </c>
      <c r="P722" s="11">
        <f>IF(OR(M722="",R722&lt;&gt;""),"",(G722-M722)*E722)</f>
        <v/>
      </c>
      <c r="Q722" s="9">
        <f>IF(R722&lt;&gt;"","—",IF(M722&lt;G722,"Mais barato",IF(M722&gt;G722,"Mais caro","Igual")))</f>
        <v/>
      </c>
      <c r="R722" s="10" t="n"/>
    </row>
    <row r="723">
      <c r="A723" s="9" t="n">
        <v>651281</v>
      </c>
      <c r="B723" s="10" t="inlineStr">
        <is>
          <t>VICK DROPS MEL C/20 PAST-DEMAIS PROD</t>
        </is>
      </c>
      <c r="C723" s="10" t="inlineStr">
        <is>
          <t>RX - OTC</t>
        </is>
      </c>
      <c r="D723" s="9" t="inlineStr">
        <is>
          <t>C</t>
        </is>
      </c>
      <c r="E723" s="9" t="n">
        <v>1</v>
      </c>
      <c r="F723" s="9" t="n">
        <v>5</v>
      </c>
      <c r="G723" s="11" t="n">
        <v>49.8</v>
      </c>
      <c r="H723" s="10" t="inlineStr">
        <is>
          <t>NAZARIA DISTRIBUIDORA DE PRODUTOS FARMACEUTICOS LTDA</t>
        </is>
      </c>
      <c r="I723" s="12" t="inlineStr">
        <is>
          <t>7500435245340</t>
        </is>
      </c>
      <c r="J723" s="10" t="inlineStr">
        <is>
          <t>PASTILHA MEL VICK DROPS ENVELOPE 36G 20 UNIDADES</t>
        </is>
      </c>
      <c r="K723" s="11" t="n">
        <v>10.89</v>
      </c>
      <c r="L723" s="13" t="n">
        <v>0</v>
      </c>
      <c r="M723" s="11">
        <f>IF(K723="","",ROUND(K723*(1-L723),2))</f>
        <v/>
      </c>
      <c r="N723" s="9" t="n"/>
      <c r="O723" s="14">
        <f>IF(OR(M723="",R723&lt;&gt;""),"",M723/G723-1)</f>
        <v/>
      </c>
      <c r="P723" s="11">
        <f>IF(OR(M723="",R723&lt;&gt;""),"",(G723-M723)*E723)</f>
        <v/>
      </c>
      <c r="Q723" s="9">
        <f>IF(R723&lt;&gt;"","—",IF(M723&lt;G723,"Mais barato",IF(M723&gt;G723,"Mais caro","Igual")))</f>
        <v/>
      </c>
      <c r="R723" s="10" t="inlineStr">
        <is>
          <t>Conferir embalagem/EAN</t>
        </is>
      </c>
    </row>
    <row r="724">
      <c r="A724" s="9" t="n">
        <v>318341</v>
      </c>
      <c r="B724" s="10" t="inlineStr">
        <is>
          <t>VICK INALADOR 0.5G DESC NASAL UNID</t>
        </is>
      </c>
      <c r="C724" s="10" t="inlineStr">
        <is>
          <t>RX</t>
        </is>
      </c>
      <c r="D724" s="9" t="inlineStr">
        <is>
          <t>A</t>
        </is>
      </c>
      <c r="E724" s="9" t="n">
        <v>8</v>
      </c>
      <c r="F724" s="9" t="n">
        <v>12</v>
      </c>
      <c r="G724" s="11" t="n">
        <v>194.87</v>
      </c>
      <c r="H724" s="10" t="inlineStr">
        <is>
          <t>SC DISTRIBUICAO LTDA</t>
        </is>
      </c>
      <c r="I724" s="12" t="inlineStr">
        <is>
          <t>7896093000217</t>
        </is>
      </c>
      <c r="J724" s="10" t="inlineStr">
        <is>
          <t>VICK VAPORUB INALADOR C/12 UNIDADES</t>
        </is>
      </c>
      <c r="K724" s="11" t="n">
        <v>207.86</v>
      </c>
      <c r="L724" s="13" t="n">
        <v>0.04</v>
      </c>
      <c r="M724" s="11">
        <f>IF(K724="","",ROUND(K724*(1-L724),2))</f>
        <v/>
      </c>
      <c r="N724" s="9" t="n">
        <v>731</v>
      </c>
      <c r="O724" s="14">
        <f>IF(OR(M724="",R724&lt;&gt;""),"",M724/G724-1)</f>
        <v/>
      </c>
      <c r="P724" s="11">
        <f>IF(OR(M724="",R724&lt;&gt;""),"",(G724-M724)*E724)</f>
        <v/>
      </c>
      <c r="Q724" s="9">
        <f>IF(R724&lt;&gt;"","—",IF(M724&lt;G724,"Mais barato",IF(M724&gt;G724,"Mais caro","Igual")))</f>
        <v/>
      </c>
      <c r="R724" s="10" t="n"/>
    </row>
    <row r="725">
      <c r="A725" s="9" t="n">
        <v>600581</v>
      </c>
      <c r="B725" s="10" t="inlineStr">
        <is>
          <t>VICK LATINHA 12G</t>
        </is>
      </c>
      <c r="C725" s="10" t="inlineStr">
        <is>
          <t>RX</t>
        </is>
      </c>
      <c r="D725" s="9" t="inlineStr">
        <is>
          <t>A</t>
        </is>
      </c>
      <c r="E725" s="9" t="n">
        <v>14</v>
      </c>
      <c r="F725" s="9" t="n">
        <v>24</v>
      </c>
      <c r="G725" s="11" t="n">
        <v>369.76</v>
      </c>
      <c r="H725" s="10" t="inlineStr">
        <is>
          <t>NAZARIA DISTRIBUIDORA DE PRODUTOS FARMACEUTICOS LTDA</t>
        </is>
      </c>
      <c r="I725" s="12" t="inlineStr">
        <is>
          <t>7896093001030</t>
        </is>
      </c>
      <c r="J725" s="10" t="inlineStr">
        <is>
          <t>VICK VAPORUB POMADA 12G C/24</t>
        </is>
      </c>
      <c r="K725" s="11" t="n">
        <v>419.79</v>
      </c>
      <c r="L725" s="13" t="n">
        <v>0.04</v>
      </c>
      <c r="M725" s="11">
        <f>IF(K725="","",ROUND(K725*(1-L725),2))</f>
        <v/>
      </c>
      <c r="N725" s="9" t="n">
        <v>2306</v>
      </c>
      <c r="O725" s="14">
        <f>IF(OR(M725="",R725&lt;&gt;""),"",M725/G725-1)</f>
        <v/>
      </c>
      <c r="P725" s="11">
        <f>IF(OR(M725="",R725&lt;&gt;""),"",(G725-M725)*E725)</f>
        <v/>
      </c>
      <c r="Q725" s="9">
        <f>IF(R725&lt;&gt;"","—",IF(M725&lt;G725,"Mais barato",IF(M725&gt;G725,"Mais caro","Igual")))</f>
        <v/>
      </c>
      <c r="R725" s="10" t="n"/>
    </row>
    <row r="726">
      <c r="A726" s="9" t="n">
        <v>395921</v>
      </c>
      <c r="B726" s="10" t="inlineStr">
        <is>
          <t>VICK PYRENA 500MG CHA MEL E LIMAO 5G - CAIXA</t>
        </is>
      </c>
      <c r="C726" s="10" t="inlineStr">
        <is>
          <t>RX</t>
        </is>
      </c>
      <c r="D726" s="9" t="inlineStr">
        <is>
          <t>A</t>
        </is>
      </c>
      <c r="E726" s="9" t="n">
        <v>5</v>
      </c>
      <c r="F726" s="9" t="n">
        <v>50</v>
      </c>
      <c r="G726" s="11" t="n">
        <v>187.5292</v>
      </c>
      <c r="H726" s="10" t="inlineStr">
        <is>
          <t>NAZARIA DISTRIBUIDORA DE PRODUTOS FARMACEUTICOS LTDA</t>
        </is>
      </c>
      <c r="I726" s="12" t="n"/>
      <c r="J726" s="10" t="n"/>
      <c r="K726" s="11" t="n"/>
      <c r="L726" s="13" t="n"/>
      <c r="M726" s="11">
        <f>IF(K726="","",ROUND(K726*(1-L726),2))</f>
        <v/>
      </c>
      <c r="N726" s="9" t="n"/>
      <c r="O726" s="14">
        <f>IF(OR(M726="",R726&lt;&gt;""),"",M726/G726-1)</f>
        <v/>
      </c>
      <c r="P726" s="11">
        <f>IF(OR(M726="",R726&lt;&gt;""),"",(G726-M726)*E726)</f>
        <v/>
      </c>
      <c r="Q726" s="9">
        <f>IF(R726&lt;&gt;"","—",IF(M726&lt;G726,"Mais barato",IF(M726&gt;G726,"Mais caro","Igual")))</f>
        <v/>
      </c>
      <c r="R726" s="10" t="inlineStr">
        <is>
          <t>Não encontrado</t>
        </is>
      </c>
    </row>
    <row r="727">
      <c r="A727" s="9" t="n">
        <v>542821</v>
      </c>
      <c r="B727" s="10" t="inlineStr">
        <is>
          <t>VICK VAPORUB 30G POTE</t>
        </is>
      </c>
      <c r="C727" s="10" t="inlineStr">
        <is>
          <t>RX</t>
        </is>
      </c>
      <c r="D727" s="9" t="inlineStr">
        <is>
          <t>A</t>
        </is>
      </c>
      <c r="E727" s="9" t="n">
        <v>4</v>
      </c>
      <c r="F727" s="9" t="n">
        <v>1</v>
      </c>
      <c r="G727" s="11" t="n">
        <v>36.32</v>
      </c>
      <c r="H727" s="10" t="inlineStr">
        <is>
          <t>NAZARIA DISTRIBUIDORA DE PRODUTOS FARMACEUTICOS LTDA</t>
        </is>
      </c>
      <c r="I727" s="12" t="inlineStr">
        <is>
          <t>7590002032817</t>
        </is>
      </c>
      <c r="J727" s="10" t="inlineStr">
        <is>
          <t>VICK VAPORUB POMADA 30G</t>
        </is>
      </c>
      <c r="K727" s="11" t="n">
        <v>39.62</v>
      </c>
      <c r="L727" s="13" t="n">
        <v>0.04</v>
      </c>
      <c r="M727" s="11">
        <f>IF(K727="","",ROUND(K727*(1-L727),2))</f>
        <v/>
      </c>
      <c r="N727" s="9" t="n">
        <v>1625</v>
      </c>
      <c r="O727" s="14">
        <f>IF(OR(M727="",R727&lt;&gt;""),"",M727/G727-1)</f>
        <v/>
      </c>
      <c r="P727" s="11">
        <f>IF(OR(M727="",R727&lt;&gt;""),"",(G727-M727)*E727)</f>
        <v/>
      </c>
      <c r="Q727" s="9">
        <f>IF(R727&lt;&gt;"","—",IF(M727&lt;G727,"Mais barato",IF(M727&gt;G727,"Mais caro","Igual")))</f>
        <v/>
      </c>
      <c r="R727" s="10" t="n"/>
    </row>
    <row r="728">
      <c r="A728" s="9" t="n">
        <v>610801</v>
      </c>
      <c r="B728" s="10" t="inlineStr">
        <is>
          <t>VICK XAROPE XAROPE MIEL 100ML</t>
        </is>
      </c>
      <c r="C728" s="10" t="inlineStr">
        <is>
          <t>RX - OTC</t>
        </is>
      </c>
      <c r="D728" s="9" t="inlineStr">
        <is>
          <t>A</t>
        </is>
      </c>
      <c r="E728" s="9" t="n">
        <v>5</v>
      </c>
      <c r="F728" s="9" t="n">
        <v>1</v>
      </c>
      <c r="G728" s="11" t="n">
        <v>28.7367</v>
      </c>
      <c r="H728" s="10" t="inlineStr">
        <is>
          <t>SC DISTRIBUICAO LTDA</t>
        </is>
      </c>
      <c r="I728" s="12" t="inlineStr">
        <is>
          <t>7500435209786</t>
        </is>
      </c>
      <c r="J728" s="10" t="inlineStr">
        <is>
          <t>EXPECTORANTE 200MG/12,5ML MEL VICK FRASCO 100ML XAROPE</t>
        </is>
      </c>
      <c r="K728" s="11" t="n">
        <v>32.77</v>
      </c>
      <c r="L728" s="13" t="n">
        <v>0.04</v>
      </c>
      <c r="M728" s="11">
        <f>IF(K728="","",ROUND(K728*(1-L728),2))</f>
        <v/>
      </c>
      <c r="N728" s="9" t="n">
        <v>912</v>
      </c>
      <c r="O728" s="14">
        <f>IF(OR(M728="",R728&lt;&gt;""),"",M728/G728-1)</f>
        <v/>
      </c>
      <c r="P728" s="11">
        <f>IF(OR(M728="",R728&lt;&gt;""),"",(G728-M728)*E728)</f>
        <v/>
      </c>
      <c r="Q728" s="9">
        <f>IF(R728&lt;&gt;"","—",IF(M728&lt;G728,"Mais barato",IF(M728&gt;G728,"Mais caro","Igual")))</f>
        <v/>
      </c>
      <c r="R728" s="10" t="n"/>
    </row>
    <row r="729">
      <c r="A729" s="9" t="n">
        <v>254901</v>
      </c>
      <c r="B729" s="10" t="inlineStr">
        <is>
          <t>VIGADEXA 5+1MG/ML SOL OFT FR GOT 5ML</t>
        </is>
      </c>
      <c r="C729" s="10" t="inlineStr">
        <is>
          <t>RX - REFERENCIA - ATB</t>
        </is>
      </c>
      <c r="D729" s="9" t="inlineStr">
        <is>
          <t>A</t>
        </is>
      </c>
      <c r="E729" s="9" t="n">
        <v>1</v>
      </c>
      <c r="F729" s="9" t="n">
        <v>1</v>
      </c>
      <c r="G729" s="11" t="n">
        <v>38.7</v>
      </c>
      <c r="H729" s="10" t="inlineStr">
        <is>
          <t>SC DISTRIBUICAO LTDA</t>
        </is>
      </c>
      <c r="I729" s="12" t="inlineStr">
        <is>
          <t>7896548197554</t>
        </is>
      </c>
      <c r="J729" s="10" t="inlineStr">
        <is>
          <t>VIGADEXA SUSPENSAO OFTALMICA 5ML</t>
        </is>
      </c>
      <c r="K729" s="11" t="n">
        <v>38.84</v>
      </c>
      <c r="L729" s="13" t="n">
        <v>0.04</v>
      </c>
      <c r="M729" s="11">
        <f>IF(K729="","",ROUND(K729*(1-L729),2))</f>
        <v/>
      </c>
      <c r="N729" s="9" t="n"/>
      <c r="O729" s="14">
        <f>IF(OR(M729="",R729&lt;&gt;""),"",M729/G729-1)</f>
        <v/>
      </c>
      <c r="P729" s="11">
        <f>IF(OR(M729="",R729&lt;&gt;""),"",(G729-M729)*E729)</f>
        <v/>
      </c>
      <c r="Q729" s="9">
        <f>IF(R729&lt;&gt;"","—",IF(M729&lt;G729,"Mais barato",IF(M729&gt;G729,"Mais caro","Igual")))</f>
        <v/>
      </c>
      <c r="R729" s="10" t="n"/>
    </row>
    <row r="730">
      <c r="A730" s="9" t="n">
        <v>160821</v>
      </c>
      <c r="B730" s="10" t="inlineStr">
        <is>
          <t>VIGAMOX 5MG SUS OFT FR GTS 5ML</t>
        </is>
      </c>
      <c r="C730" s="10" t="inlineStr">
        <is>
          <t>RX - REFERENCIA - ATB</t>
        </is>
      </c>
      <c r="D730" s="9" t="inlineStr">
        <is>
          <t>B</t>
        </is>
      </c>
      <c r="E730" s="9" t="n">
        <v>4</v>
      </c>
      <c r="F730" s="9" t="n">
        <v>1</v>
      </c>
      <c r="G730" s="11" t="n">
        <v>36.37</v>
      </c>
      <c r="H730" s="10" t="inlineStr">
        <is>
          <t>SC DISTRIBUICAO LTDA</t>
        </is>
      </c>
      <c r="I730" s="12" t="inlineStr">
        <is>
          <t>7896548139585</t>
        </is>
      </c>
      <c r="J730" s="10" t="inlineStr">
        <is>
          <t>VIGAMOX COLIRIO 5ML</t>
        </is>
      </c>
      <c r="K730" s="11" t="n">
        <v>39.71</v>
      </c>
      <c r="L730" s="13" t="n">
        <v>0.04</v>
      </c>
      <c r="M730" s="11">
        <f>IF(K730="","",ROUND(K730*(1-L730),2))</f>
        <v/>
      </c>
      <c r="N730" s="9" t="n">
        <v>123</v>
      </c>
      <c r="O730" s="14">
        <f>IF(OR(M730="",R730&lt;&gt;""),"",M730/G730-1)</f>
        <v/>
      </c>
      <c r="P730" s="11">
        <f>IF(OR(M730="",R730&lt;&gt;""),"",(G730-M730)*E730)</f>
        <v/>
      </c>
      <c r="Q730" s="9">
        <f>IF(R730&lt;&gt;"","—",IF(M730&lt;G730,"Mais barato",IF(M730&gt;G730,"Mais caro","Igual")))</f>
        <v/>
      </c>
      <c r="R730" s="10" t="n"/>
    </row>
    <row r="731">
      <c r="A731" s="9" t="n">
        <v>671271</v>
      </c>
      <c r="B731" s="10" t="inlineStr">
        <is>
          <t>VIOFTA 0,15% SOL OFT 10ML-DEMAIS PROD</t>
        </is>
      </c>
      <c r="C731" s="10" t="inlineStr">
        <is>
          <t>RX</t>
        </is>
      </c>
      <c r="D731" s="9" t="inlineStr">
        <is>
          <t>A</t>
        </is>
      </c>
      <c r="E731" s="9" t="n">
        <v>1</v>
      </c>
      <c r="F731" s="9" t="n">
        <v>1</v>
      </c>
      <c r="G731" s="11" t="n">
        <v>37.36</v>
      </c>
      <c r="H731" s="10" t="inlineStr">
        <is>
          <t>SC DISTRIBUICAO LTDA</t>
        </is>
      </c>
      <c r="I731" s="12" t="inlineStr">
        <is>
          <t>7896004773759</t>
        </is>
      </c>
      <c r="J731" s="10" t="inlineStr">
        <is>
          <t>SOLUÇAO OFTALMICA ESTERIL VIOFTA 0,15% 10ML</t>
        </is>
      </c>
      <c r="K731" s="11" t="n">
        <v>40.85</v>
      </c>
      <c r="L731" s="13" t="n">
        <v>0</v>
      </c>
      <c r="M731" s="11">
        <f>IF(K731="","",ROUND(K731*(1-L731),2))</f>
        <v/>
      </c>
      <c r="N731" s="9" t="n">
        <v>681</v>
      </c>
      <c r="O731" s="14">
        <f>IF(OR(M731="",R731&lt;&gt;""),"",M731/G731-1)</f>
        <v/>
      </c>
      <c r="P731" s="11">
        <f>IF(OR(M731="",R731&lt;&gt;""),"",(G731-M731)*E731)</f>
        <v/>
      </c>
      <c r="Q731" s="9">
        <f>IF(R731&lt;&gt;"","—",IF(M731&lt;G731,"Mais barato",IF(M731&gt;G731,"Mais caro","Igual")))</f>
        <v/>
      </c>
      <c r="R731" s="10" t="n"/>
    </row>
    <row r="732">
      <c r="A732" s="9" t="n">
        <v>671911</v>
      </c>
      <c r="B732" s="10" t="inlineStr">
        <is>
          <t>VIOFTA 0,40% SOL OFT 10ML-DEMAIS PROD</t>
        </is>
      </c>
      <c r="C732" s="10" t="inlineStr">
        <is>
          <t>RX</t>
        </is>
      </c>
      <c r="D732" s="9" t="inlineStr">
        <is>
          <t>A</t>
        </is>
      </c>
      <c r="E732" s="9" t="n">
        <v>2</v>
      </c>
      <c r="F732" s="9" t="n">
        <v>1</v>
      </c>
      <c r="G732" s="11" t="n">
        <v>53.03</v>
      </c>
      <c r="H732" s="10" t="inlineStr">
        <is>
          <t>SC DISTRIBUICAO LTDA</t>
        </is>
      </c>
      <c r="I732" s="12" t="inlineStr">
        <is>
          <t>7896004780818</t>
        </is>
      </c>
      <c r="J732" s="10" t="inlineStr">
        <is>
          <t>SOLUÇAO OFTALMICA ESTERIL VIOFTA 0,40% 10ML</t>
        </is>
      </c>
      <c r="K732" s="11" t="n">
        <v>67.14</v>
      </c>
      <c r="L732" s="13" t="n">
        <v>0</v>
      </c>
      <c r="M732" s="11">
        <f>IF(K732="","",ROUND(K732*(1-L732),2))</f>
        <v/>
      </c>
      <c r="N732" s="9" t="n">
        <v>363</v>
      </c>
      <c r="O732" s="14">
        <f>IF(OR(M732="",R732&lt;&gt;""),"",M732/G732-1)</f>
        <v/>
      </c>
      <c r="P732" s="11">
        <f>IF(OR(M732="",R732&lt;&gt;""),"",(G732-M732)*E732)</f>
        <v/>
      </c>
      <c r="Q732" s="9">
        <f>IF(R732&lt;&gt;"","—",IF(M732&lt;G732,"Mais barato",IF(M732&gt;G732,"Mais caro","Igual")))</f>
        <v/>
      </c>
      <c r="R732" s="10" t="n"/>
    </row>
    <row r="733">
      <c r="A733" s="9" t="n">
        <v>468521</v>
      </c>
      <c r="B733" s="10" t="inlineStr">
        <is>
          <t>VITACID 0,5MG/G CREME DERM BG 25G</t>
        </is>
      </c>
      <c r="C733" s="10" t="inlineStr">
        <is>
          <t>RX</t>
        </is>
      </c>
      <c r="D733" s="9" t="inlineStr">
        <is>
          <t>A</t>
        </is>
      </c>
      <c r="E733" s="9" t="n">
        <v>2</v>
      </c>
      <c r="F733" s="9" t="n">
        <v>1</v>
      </c>
      <c r="G733" s="11" t="n">
        <v>46.1487</v>
      </c>
      <c r="H733" s="10" t="inlineStr">
        <is>
          <t>SC DISTRIBUICAO LTDA</t>
        </is>
      </c>
      <c r="I733" s="12" t="inlineStr">
        <is>
          <t>7897129300509</t>
        </is>
      </c>
      <c r="J733" s="10" t="inlineStr">
        <is>
          <t>CREME VITACID ADULTO 0.05% 25G C2</t>
        </is>
      </c>
      <c r="K733" s="11" t="n">
        <v>45.38</v>
      </c>
      <c r="L733" s="13" t="n">
        <v>0.07000000000000001</v>
      </c>
      <c r="M733" s="11">
        <f>IF(K733="","",ROUND(K733*(1-L733),2))</f>
        <v/>
      </c>
      <c r="N733" s="9" t="n"/>
      <c r="O733" s="14">
        <f>IF(OR(M733="",R733&lt;&gt;""),"",M733/G733-1)</f>
        <v/>
      </c>
      <c r="P733" s="11">
        <f>IF(OR(M733="",R733&lt;&gt;""),"",(G733-M733)*E733)</f>
        <v/>
      </c>
      <c r="Q733" s="9">
        <f>IF(R733&lt;&gt;"","—",IF(M733&lt;G733,"Mais barato",IF(M733&gt;G733,"Mais caro","Igual")))</f>
        <v/>
      </c>
      <c r="R733" s="10" t="n"/>
    </row>
    <row r="734">
      <c r="A734" s="9" t="n">
        <v>468541</v>
      </c>
      <c r="B734" s="10" t="inlineStr">
        <is>
          <t>VITACID XT 1,00MG/G CREME DERM BG 25G</t>
        </is>
      </c>
      <c r="C734" s="10" t="inlineStr">
        <is>
          <t>RX - REFERENCIA - CONTROLE</t>
        </is>
      </c>
      <c r="D734" s="9" t="inlineStr">
        <is>
          <t>C</t>
        </is>
      </c>
      <c r="E734" s="9" t="n">
        <v>1</v>
      </c>
      <c r="F734" s="9" t="n">
        <v>1</v>
      </c>
      <c r="G734" s="11" t="n">
        <v>47.28</v>
      </c>
      <c r="H734" s="10" t="inlineStr">
        <is>
          <t>SC DISTRIBUICAO LTDA</t>
        </is>
      </c>
      <c r="I734" s="12" t="inlineStr">
        <is>
          <t>7897129303579</t>
        </is>
      </c>
      <c r="J734" s="10" t="inlineStr">
        <is>
          <t>VITACID XT CREME 25G</t>
        </is>
      </c>
      <c r="K734" s="11" t="n">
        <v>56.26</v>
      </c>
      <c r="L734" s="13" t="n">
        <v>0.07000000000000001</v>
      </c>
      <c r="M734" s="11">
        <f>IF(K734="","",ROUND(K734*(1-L734),2))</f>
        <v/>
      </c>
      <c r="N734" s="9" t="n">
        <v>815</v>
      </c>
      <c r="O734" s="14">
        <f>IF(OR(M734="",R734&lt;&gt;""),"",M734/G734-1)</f>
        <v/>
      </c>
      <c r="P734" s="11">
        <f>IF(OR(M734="",R734&lt;&gt;""),"",(G734-M734)*E734)</f>
        <v/>
      </c>
      <c r="Q734" s="9">
        <f>IF(R734&lt;&gt;"","—",IF(M734&lt;G734,"Mais barato",IF(M734&gt;G734,"Mais caro","Igual")))</f>
        <v/>
      </c>
      <c r="R734" s="10" t="n"/>
    </row>
    <row r="735">
      <c r="A735" s="9" t="n">
        <v>651961</v>
      </c>
      <c r="B735" s="10" t="inlineStr">
        <is>
          <t>VODOL 20MG/G CREME X 28G</t>
        </is>
      </c>
      <c r="C735" s="10" t="inlineStr">
        <is>
          <t>RX - OTC</t>
        </is>
      </c>
      <c r="D735" s="9" t="inlineStr">
        <is>
          <t>A</t>
        </is>
      </c>
      <c r="E735" s="9" t="n">
        <v>1</v>
      </c>
      <c r="F735" s="9" t="n">
        <v>1</v>
      </c>
      <c r="G735" s="11" t="n">
        <v>23.4</v>
      </c>
      <c r="H735" s="10" t="inlineStr">
        <is>
          <t>SC DISTRIBUICAO LTDA</t>
        </is>
      </c>
      <c r="I735" s="12" t="inlineStr">
        <is>
          <t>7896006298526</t>
        </is>
      </c>
      <c r="J735" s="10" t="inlineStr">
        <is>
          <t>VODOL 20MG CREME 28G</t>
        </is>
      </c>
      <c r="K735" s="11" t="n">
        <v>26.7</v>
      </c>
      <c r="L735" s="13" t="n">
        <v>0.03</v>
      </c>
      <c r="M735" s="11">
        <f>IF(K735="","",ROUND(K735*(1-L735),2))</f>
        <v/>
      </c>
      <c r="N735" s="9" t="n">
        <v>423</v>
      </c>
      <c r="O735" s="14">
        <f>IF(OR(M735="",R735&lt;&gt;""),"",M735/G735-1)</f>
        <v/>
      </c>
      <c r="P735" s="11">
        <f>IF(OR(M735="",R735&lt;&gt;""),"",(G735-M735)*E735)</f>
        <v/>
      </c>
      <c r="Q735" s="9">
        <f>IF(R735&lt;&gt;"","—",IF(M735&lt;G735,"Mais barato",IF(M735&gt;G735,"Mais caro","Igual")))</f>
        <v/>
      </c>
      <c r="R735" s="10" t="n"/>
    </row>
    <row r="736">
      <c r="A736" s="9" t="n">
        <v>211861</v>
      </c>
      <c r="B736" s="10" t="inlineStr">
        <is>
          <t>VOLTAREN 25MG INJ CX 5AMP X 3ML</t>
        </is>
      </c>
      <c r="C736" s="10" t="inlineStr">
        <is>
          <t>RX</t>
        </is>
      </c>
      <c r="D736" s="9" t="inlineStr">
        <is>
          <t>B</t>
        </is>
      </c>
      <c r="E736" s="9" t="n">
        <v>1</v>
      </c>
      <c r="F736" s="9" t="n">
        <v>5</v>
      </c>
      <c r="G736" s="11" t="n">
        <v>17.14</v>
      </c>
      <c r="H736" s="10" t="inlineStr">
        <is>
          <t>SC DISTRIBUICAO LTDA</t>
        </is>
      </c>
      <c r="I736" s="12" t="inlineStr">
        <is>
          <t>7896261000797</t>
        </is>
      </c>
      <c r="J736" s="10" t="inlineStr">
        <is>
          <t>VOLTAREN 75MG C/5 AMPOLAS 3ML</t>
        </is>
      </c>
      <c r="K736" s="11" t="n">
        <v>20.94</v>
      </c>
      <c r="L736" s="13" t="n">
        <v>0.035</v>
      </c>
      <c r="M736" s="11">
        <f>IF(K736="","",ROUND(K736*(1-L736),2))</f>
        <v/>
      </c>
      <c r="N736" s="9" t="n">
        <v>566</v>
      </c>
      <c r="O736" s="14">
        <f>IF(OR(M736="",R736&lt;&gt;""),"",M736/G736-1)</f>
        <v/>
      </c>
      <c r="P736" s="11">
        <f>IF(OR(M736="",R736&lt;&gt;""),"",(G736-M736)*E736)</f>
        <v/>
      </c>
      <c r="Q736" s="9">
        <f>IF(R736&lt;&gt;"","—",IF(M736&lt;G736,"Mais barato",IF(M736&gt;G736,"Mais caro","Igual")))</f>
        <v/>
      </c>
      <c r="R736" s="10" t="n"/>
    </row>
    <row r="737">
      <c r="A737" s="9" t="n">
        <v>645041</v>
      </c>
      <c r="B737" s="10" t="inlineStr">
        <is>
          <t>XANTINON 100+20MG CARTELA C/ 10CP</t>
        </is>
      </c>
      <c r="C737" s="10" t="inlineStr">
        <is>
          <t>RX</t>
        </is>
      </c>
      <c r="D737" s="9" t="inlineStr">
        <is>
          <t>A</t>
        </is>
      </c>
      <c r="E737" s="9" t="n">
        <v>10</v>
      </c>
      <c r="F737" s="9" t="n">
        <v>10</v>
      </c>
      <c r="G737" s="11" t="n">
        <v>45.49</v>
      </c>
      <c r="H737" s="10" t="inlineStr">
        <is>
          <t>SC DISTRIBUICAO LTDA</t>
        </is>
      </c>
      <c r="I737" s="12" t="inlineStr">
        <is>
          <t>7896006216254</t>
        </is>
      </c>
      <c r="J737" s="10" t="inlineStr">
        <is>
          <t>XANTINON 10x10 COMPRIMIDOS</t>
        </is>
      </c>
      <c r="K737" s="11" t="n">
        <v>46.44</v>
      </c>
      <c r="L737" s="13" t="n">
        <v>0.03</v>
      </c>
      <c r="M737" s="11">
        <f>IF(K737="","",ROUND(K737*(1-L737),2))</f>
        <v/>
      </c>
      <c r="N737" s="9" t="n">
        <v>1680</v>
      </c>
      <c r="O737" s="14">
        <f>IF(OR(M737="",R737&lt;&gt;""),"",M737/G737-1)</f>
        <v/>
      </c>
      <c r="P737" s="11">
        <f>IF(OR(M737="",R737&lt;&gt;""),"",(G737-M737)*E737)</f>
        <v/>
      </c>
      <c r="Q737" s="9">
        <f>IF(R737&lt;&gt;"","—",IF(M737&lt;G737,"Mais barato",IF(M737&gt;G737,"Mais caro","Igual")))</f>
        <v/>
      </c>
      <c r="R737" s="10" t="n"/>
    </row>
    <row r="738">
      <c r="A738" s="9" t="n">
        <v>10461</v>
      </c>
      <c r="B738" s="10" t="inlineStr">
        <is>
          <t>XANTINON COMPLEX FLACONETE</t>
        </is>
      </c>
      <c r="C738" s="10" t="inlineStr">
        <is>
          <t>RX</t>
        </is>
      </c>
      <c r="D738" s="9" t="inlineStr">
        <is>
          <t>A</t>
        </is>
      </c>
      <c r="E738" s="9" t="n">
        <v>1</v>
      </c>
      <c r="F738" s="9" t="n">
        <v>60</v>
      </c>
      <c r="G738" s="11" t="n">
        <v>123.3328</v>
      </c>
      <c r="H738" s="10" t="inlineStr">
        <is>
          <t>F&amp;F DISTR DE PRODUTOS FARMACÊUTICOS</t>
        </is>
      </c>
      <c r="I738" s="12" t="inlineStr">
        <is>
          <t>7896006297710</t>
        </is>
      </c>
      <c r="J738" s="10" t="inlineStr">
        <is>
          <t>XANTINON COMPLEX 40MG/ML CAIXA 6 FLACONETES COM 10ML CADA SOLUCAO ORAL</t>
        </is>
      </c>
      <c r="K738" s="11" t="n">
        <v>15.32</v>
      </c>
      <c r="L738" s="13" t="n">
        <v>0.03</v>
      </c>
      <c r="M738" s="11">
        <f>IF(K738="","",ROUND(K738*(1-L738),2))</f>
        <v/>
      </c>
      <c r="N738" s="9" t="n">
        <v>1395</v>
      </c>
      <c r="O738" s="14">
        <f>IF(OR(M738="",R738&lt;&gt;""),"",M738/G738-1)</f>
        <v/>
      </c>
      <c r="P738" s="11">
        <f>IF(OR(M738="",R738&lt;&gt;""),"",(G738-M738)*E738)</f>
        <v/>
      </c>
      <c r="Q738" s="9">
        <f>IF(R738&lt;&gt;"","—",IF(M738&lt;G738,"Mais barato",IF(M738&gt;G738,"Mais caro","Igual")))</f>
        <v/>
      </c>
      <c r="R738" s="10" t="inlineStr">
        <is>
          <t>Conferir embalagem/EAN</t>
        </is>
      </c>
    </row>
    <row r="739">
      <c r="A739" s="9" t="n">
        <v>547961</v>
      </c>
      <c r="B739" s="10" t="inlineStr">
        <is>
          <t>XANTINON COMPLEX SOL OR FR 100ML</t>
        </is>
      </c>
      <c r="C739" s="10" t="inlineStr">
        <is>
          <t>RX - OTC</t>
        </is>
      </c>
      <c r="D739" s="9" t="inlineStr">
        <is>
          <t>A</t>
        </is>
      </c>
      <c r="E739" s="9" t="n">
        <v>4</v>
      </c>
      <c r="F739" s="9" t="n">
        <v>1</v>
      </c>
      <c r="G739" s="11" t="n">
        <v>13.248</v>
      </c>
      <c r="H739" s="10" t="inlineStr">
        <is>
          <t>SC DISTRIBUICAO LTDA</t>
        </is>
      </c>
      <c r="I739" s="12" t="inlineStr">
        <is>
          <t>7896006216605</t>
        </is>
      </c>
      <c r="J739" s="10" t="inlineStr">
        <is>
          <t>XANTINON COMPLEX 100ML</t>
        </is>
      </c>
      <c r="K739" s="11" t="n">
        <v>14.28</v>
      </c>
      <c r="L739" s="13" t="n">
        <v>0.03</v>
      </c>
      <c r="M739" s="11">
        <f>IF(K739="","",ROUND(K739*(1-L739),2))</f>
        <v/>
      </c>
      <c r="N739" s="9" t="n">
        <v>3575</v>
      </c>
      <c r="O739" s="14">
        <f>IF(OR(M739="",R739&lt;&gt;""),"",M739/G739-1)</f>
        <v/>
      </c>
      <c r="P739" s="11">
        <f>IF(OR(M739="",R739&lt;&gt;""),"",(G739-M739)*E739)</f>
        <v/>
      </c>
      <c r="Q739" s="9">
        <f>IF(R739&lt;&gt;"","—",IF(M739&lt;G739,"Mais barato",IF(M739&gt;G739,"Mais caro","Igual")))</f>
        <v/>
      </c>
      <c r="R739" s="10" t="n"/>
    </row>
    <row r="740">
      <c r="A740" s="9" t="n">
        <v>65101</v>
      </c>
      <c r="B740" s="10" t="inlineStr">
        <is>
          <t>XAROPE 44 E 1,30+13,30MG/ML XPE FR 120ML</t>
        </is>
      </c>
      <c r="C740" s="10" t="inlineStr">
        <is>
          <t>RX - OTC</t>
        </is>
      </c>
      <c r="D740" s="9" t="inlineStr">
        <is>
          <t>A</t>
        </is>
      </c>
      <c r="E740" s="9" t="n">
        <v>20</v>
      </c>
      <c r="F740" s="9" t="n">
        <v>1</v>
      </c>
      <c r="G740" s="11" t="n">
        <v>30.73</v>
      </c>
      <c r="H740" s="10" t="inlineStr">
        <is>
          <t>SC DISTRIBUICAO LTDA</t>
        </is>
      </c>
      <c r="I740" s="12" t="inlineStr">
        <is>
          <t>7590002023228</t>
        </is>
      </c>
      <c r="J740" s="10" t="inlineStr">
        <is>
          <t>XAROPE VICK 44E 120ML</t>
        </is>
      </c>
      <c r="K740" s="11" t="n">
        <v>32.77</v>
      </c>
      <c r="L740" s="13" t="n">
        <v>0.04</v>
      </c>
      <c r="M740" s="11">
        <f>IF(K740="","",ROUND(K740*(1-L740),2))</f>
        <v/>
      </c>
      <c r="N740" s="9" t="n">
        <v>2946</v>
      </c>
      <c r="O740" s="14">
        <f>IF(OR(M740="",R740&lt;&gt;""),"",M740/G740-1)</f>
        <v/>
      </c>
      <c r="P740" s="11">
        <f>IF(OR(M740="",R740&lt;&gt;""),"",(G740-M740)*E740)</f>
        <v/>
      </c>
      <c r="Q740" s="9">
        <f>IF(R740&lt;&gt;"","—",IF(M740&lt;G740,"Mais barato",IF(M740&gt;G740,"Mais caro","Igual")))</f>
        <v/>
      </c>
      <c r="R740" s="10" t="n"/>
    </row>
    <row r="741">
      <c r="A741" s="9" t="n">
        <v>65081</v>
      </c>
      <c r="B741" s="10" t="inlineStr">
        <is>
          <t>XAROPE 44 E 1,30+13,30MG/ML XPE FR 240ML</t>
        </is>
      </c>
      <c r="C741" s="10" t="inlineStr">
        <is>
          <t>RX - OTC</t>
        </is>
      </c>
      <c r="D741" s="9" t="inlineStr">
        <is>
          <t>A</t>
        </is>
      </c>
      <c r="E741" s="9" t="n">
        <v>2</v>
      </c>
      <c r="F741" s="9" t="n">
        <v>1</v>
      </c>
      <c r="G741" s="11" t="n">
        <v>51.6533</v>
      </c>
      <c r="H741" s="10" t="inlineStr">
        <is>
          <t>SC DISTRIBUICAO LTDA</t>
        </is>
      </c>
      <c r="I741" s="12" t="inlineStr">
        <is>
          <t>7500435144384</t>
        </is>
      </c>
      <c r="J741" s="10" t="inlineStr">
        <is>
          <t>XAROPE VICK 44E 240ML</t>
        </is>
      </c>
      <c r="K741" s="11" t="n">
        <v>58.91</v>
      </c>
      <c r="L741" s="13" t="n">
        <v>0.04</v>
      </c>
      <c r="M741" s="11">
        <f>IF(K741="","",ROUND(K741*(1-L741),2))</f>
        <v/>
      </c>
      <c r="N741" s="9" t="n">
        <v>393</v>
      </c>
      <c r="O741" s="14">
        <f>IF(OR(M741="",R741&lt;&gt;""),"",M741/G741-1)</f>
        <v/>
      </c>
      <c r="P741" s="11">
        <f>IF(OR(M741="",R741&lt;&gt;""),"",(G741-M741)*E741)</f>
        <v/>
      </c>
      <c r="Q741" s="9">
        <f>IF(R741&lt;&gt;"","—",IF(M741&lt;G741,"Mais barato",IF(M741&gt;G741,"Mais caro","Igual")))</f>
        <v/>
      </c>
      <c r="R741" s="10" t="n"/>
    </row>
    <row r="742">
      <c r="A742" s="9" t="n">
        <v>273361</v>
      </c>
      <c r="B742" s="10" t="inlineStr">
        <is>
          <t>XAROPE VICK 13,3MG/ML XPE FR 120ML</t>
        </is>
      </c>
      <c r="C742" s="10" t="inlineStr">
        <is>
          <t>RX - OTC</t>
        </is>
      </c>
      <c r="D742" s="9" t="inlineStr">
        <is>
          <t>A</t>
        </is>
      </c>
      <c r="E742" s="9" t="n">
        <v>9</v>
      </c>
      <c r="F742" s="9" t="n">
        <v>1</v>
      </c>
      <c r="G742" s="11" t="n">
        <v>28.7379</v>
      </c>
      <c r="H742" s="10" t="inlineStr">
        <is>
          <t>NAZARIA DISTRIBUIDORA DE PRODUTOS FARMACEUTICOS LTDA</t>
        </is>
      </c>
      <c r="I742" s="12" t="inlineStr">
        <is>
          <t>7500435153072</t>
        </is>
      </c>
      <c r="J742" s="10" t="inlineStr">
        <is>
          <t>VICK XAROPE INFANTIL 120ML + COPO MEDIDOR</t>
        </is>
      </c>
      <c r="K742" s="11" t="n">
        <v>32.77</v>
      </c>
      <c r="L742" s="13" t="n">
        <v>0.04</v>
      </c>
      <c r="M742" s="11">
        <f>IF(K742="","",ROUND(K742*(1-L742),2))</f>
        <v/>
      </c>
      <c r="N742" s="9" t="n">
        <v>1993</v>
      </c>
      <c r="O742" s="14">
        <f>IF(OR(M742="",R742&lt;&gt;""),"",M742/G742-1)</f>
        <v/>
      </c>
      <c r="P742" s="11">
        <f>IF(OR(M742="",R742&lt;&gt;""),"",(G742-M742)*E742)</f>
        <v/>
      </c>
      <c r="Q742" s="9">
        <f>IF(R742&lt;&gt;"","—",IF(M742&lt;G742,"Mais barato",IF(M742&gt;G742,"Mais caro","Igual")))</f>
        <v/>
      </c>
      <c r="R742" s="10" t="n"/>
    </row>
    <row r="743">
      <c r="A743" s="9" t="n">
        <v>326621</v>
      </c>
      <c r="B743" s="10" t="inlineStr">
        <is>
          <t>ZART 50MG CX 30 COMP REV</t>
        </is>
      </c>
      <c r="C743" s="10" t="inlineStr">
        <is>
          <t>RX</t>
        </is>
      </c>
      <c r="D743" s="9" t="inlineStr">
        <is>
          <t>A</t>
        </is>
      </c>
      <c r="E743" s="9" t="n">
        <v>20</v>
      </c>
      <c r="F743" s="9" t="n">
        <v>1</v>
      </c>
      <c r="G743" s="11" t="n">
        <v>4.9244</v>
      </c>
      <c r="H743" s="10" t="inlineStr">
        <is>
          <t>SC DISTRIBUICAO LTDA</t>
        </is>
      </c>
      <c r="I743" s="12" t="inlineStr">
        <is>
          <t>7891317425869</t>
        </is>
      </c>
      <c r="J743" s="10" t="inlineStr">
        <is>
          <t>ZART 50MG C/30 COMPRIMIDOS</t>
        </is>
      </c>
      <c r="K743" s="11" t="n">
        <v>10.86</v>
      </c>
      <c r="L743" s="13" t="n">
        <v>0.04</v>
      </c>
      <c r="M743" s="11">
        <f>IF(K743="","",ROUND(K743*(1-L743),2))</f>
        <v/>
      </c>
      <c r="N743" s="9" t="n"/>
      <c r="O743" s="14">
        <f>IF(OR(M743="",R743&lt;&gt;""),"",M743/G743-1)</f>
        <v/>
      </c>
      <c r="P743" s="11">
        <f>IF(OR(M743="",R743&lt;&gt;""),"",(G743-M743)*E743)</f>
        <v/>
      </c>
      <c r="Q743" s="9">
        <f>IF(R743&lt;&gt;"","—",IF(M743&lt;G743,"Mais barato",IF(M743&gt;G743,"Mais caro","Igual")))</f>
        <v/>
      </c>
      <c r="R743" s="10" t="inlineStr">
        <is>
          <t>Conferir embalagem/EAN</t>
        </is>
      </c>
    </row>
    <row r="744">
      <c r="A744" s="9" t="n">
        <v>670521</v>
      </c>
      <c r="B744" s="10" t="inlineStr">
        <is>
          <t>ZASTAT 5MG C/20 COMP-SIMILAR</t>
        </is>
      </c>
      <c r="C744" s="10" t="inlineStr">
        <is>
          <t>RX</t>
        </is>
      </c>
      <c r="D744" s="9" t="inlineStr">
        <is>
          <t>C</t>
        </is>
      </c>
      <c r="E744" s="9" t="n">
        <v>1</v>
      </c>
      <c r="F744" s="9" t="n">
        <v>1</v>
      </c>
      <c r="G744" s="11" t="n">
        <v>14.6367</v>
      </c>
      <c r="H744" s="10" t="inlineStr">
        <is>
          <t>SC DISTRIBUICAO LTDA</t>
        </is>
      </c>
      <c r="I744" s="12" t="inlineStr">
        <is>
          <t>7896658047008</t>
        </is>
      </c>
      <c r="J744" s="10" t="inlineStr">
        <is>
          <t>ZASTAT 5MG C/20 COMPRIMIDOS</t>
        </is>
      </c>
      <c r="K744" s="11" t="n">
        <v>17.8</v>
      </c>
      <c r="L744" s="13" t="n">
        <v>0.04</v>
      </c>
      <c r="M744" s="11">
        <f>IF(K744="","",ROUND(K744*(1-L744),2))</f>
        <v/>
      </c>
      <c r="N744" s="9" t="n">
        <v>23</v>
      </c>
      <c r="O744" s="14">
        <f>IF(OR(M744="",R744&lt;&gt;""),"",M744/G744-1)</f>
        <v/>
      </c>
      <c r="P744" s="11">
        <f>IF(OR(M744="",R744&lt;&gt;""),"",(G744-M744)*E744)</f>
        <v/>
      </c>
      <c r="Q744" s="9">
        <f>IF(R744&lt;&gt;"","—",IF(M744&lt;G744,"Mais barato",IF(M744&gt;G744,"Mais caro","Igual")))</f>
        <v/>
      </c>
      <c r="R744" s="10" t="n"/>
    </row>
    <row r="745">
      <c r="A745" s="9" t="n">
        <v>261481</v>
      </c>
      <c r="B745" s="10" t="inlineStr">
        <is>
          <t>ZYPRED 3+10MG/ML SUS OFT FR GOT 6ML</t>
        </is>
      </c>
      <c r="C745" s="10" t="inlineStr">
        <is>
          <t>RX - REFERENCIA - ATB</t>
        </is>
      </c>
      <c r="D745" s="9" t="inlineStr">
        <is>
          <t>A</t>
        </is>
      </c>
      <c r="E745" s="9" t="n">
        <v>1</v>
      </c>
      <c r="F745" s="9" t="n">
        <v>1</v>
      </c>
      <c r="G745" s="11" t="n">
        <v>68.125</v>
      </c>
      <c r="H745" s="10" t="inlineStr">
        <is>
          <t>SC DISTRIBUICAO LTDA</t>
        </is>
      </c>
      <c r="I745" s="12" t="inlineStr">
        <is>
          <t>7897316805442</t>
        </is>
      </c>
      <c r="J745" s="10" t="inlineStr">
        <is>
          <t>ZYPRED SUSPENSAO OFTALMICA 6ML</t>
        </is>
      </c>
      <c r="K745" s="11" t="n">
        <v>68.62</v>
      </c>
      <c r="L745" s="13" t="n">
        <v>0.06</v>
      </c>
      <c r="M745" s="11">
        <f>IF(K745="","",ROUND(K745*(1-L745),2))</f>
        <v/>
      </c>
      <c r="N745" s="9" t="n">
        <v>327</v>
      </c>
      <c r="O745" s="14">
        <f>IF(OR(M745="",R745&lt;&gt;""),"",M745/G745-1)</f>
        <v/>
      </c>
      <c r="P745" s="11">
        <f>IF(OR(M745="",R745&lt;&gt;""),"",(G745-M745)*E745)</f>
        <v/>
      </c>
      <c r="Q745" s="9">
        <f>IF(R745&lt;&gt;"","—",IF(M745&lt;G745,"Mais barato",IF(M745&gt;G745,"Mais caro","Igual")))</f>
        <v/>
      </c>
      <c r="R745" s="10" t="n"/>
    </row>
  </sheetData>
  <autoFilter ref="A13:R745"/>
  <conditionalFormatting sqref="Q14:Q745">
    <cfRule type="cellIs" priority="1" operator="equal" dxfId="0">
      <formula>"Mais barato"</formula>
    </cfRule>
    <cfRule type="cellIs" priority="2" operator="equal" dxfId="1">
      <formula>"Mais caro"</formula>
    </cfRule>
  </conditionalFormatting>
  <conditionalFormatting sqref="R14:R745">
    <cfRule type="expression" priority="3" dxfId="2">
      <formula>LEFT(R14,8)="Conferir"</formula>
    </cfRule>
  </conditionalFormatting>
  <conditionalFormatting sqref="N14:N745">
    <cfRule type="expression" priority="4" dxfId="3">
      <formula>AND(N14&lt;&gt;"",N14&lt;E14)</formula>
    </cfRule>
  </conditionalFormatting>
  <conditionalFormatting sqref="O14:O745">
    <cfRule type="cellIs" priority="5" operator="greaterThan" dxfId="4">
      <formula>0</formula>
    </cfRule>
    <cfRule type="cellIs" priority="6" operator="lessThan" dxfId="5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2026-09-25T14:41:39Z</dcterms:created>
  <dcterms:modified xsi:type="dcterms:W3CDTF">2026-09-25T14:41:40Z</dcterms:modified>
</cp:coreProperties>
</file>