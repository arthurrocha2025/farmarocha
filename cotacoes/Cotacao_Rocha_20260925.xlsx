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ão" sheetId="1" state="visible" r:id="rId1"/>
  </sheets>
  <definedNames>
    <definedName name="_xlnm._FilterDatabase" localSheetId="0" hidden="1">'Cotação'!$A$14:$J$813</definedName>
    <definedName name="_xlnm.Print_Titles" localSheetId="0">'Cotação'!$14:$14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565C0"/>
      <sz val="16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C62828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1565C0"/>
      </patternFill>
    </fill>
    <fill>
      <patternFill patternType="solid">
        <fgColor rgb="00F9A825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/>
    </xf>
    <xf numFmtId="49" fontId="4" fillId="5" borderId="1" applyAlignment="1" pivotButton="0" quotePrefix="0" xfId="0">
      <alignment horizontal="center"/>
    </xf>
    <xf numFmtId="0" fontId="4" fillId="5" borderId="1" pivotButton="0" quotePrefix="0" xfId="0"/>
    <xf numFmtId="4" fontId="4" fillId="2" borderId="1" pivotButton="0" quotePrefix="0" xfId="0"/>
    <xf numFmtId="1" fontId="4" fillId="2" borderId="1" applyAlignment="1" pivotButton="0" quotePrefix="0" xfId="0">
      <alignment horizontal="center"/>
    </xf>
    <xf numFmtId="4" fontId="4" fillId="5" borderId="1" pivotButton="0" quotePrefix="0" xfId="0"/>
    <xf numFmtId="0" fontId="4" fillId="0" borderId="1" applyAlignment="1" pivotButton="0" quotePrefix="0" xfId="0">
      <alignment horizontal="center"/>
    </xf>
    <xf numFmtId="49" fontId="4" fillId="0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pivotButton="0" quotePrefix="0" xfId="0"/>
    <xf numFmtId="0" fontId="3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dxfs count="1">
    <dxf>
      <font>
        <b val="1"/>
        <color rgb="00C6282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Rocha</author>
  </authors>
  <commentList>
    <comment ref="B14" authorId="0" shapeId="0">
      <text>
        <t>Código interno da Drogarias Rocha. Mesmo código em mais de uma linha = mesmo produto com EANs diferentes; cote o(s) EAN(s) que tiver.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16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6" customWidth="1" min="3" max="3"/>
    <col width="52" customWidth="1" min="4" max="4"/>
    <col width="22" customWidth="1" min="5" max="5"/>
    <col width="10" customWidth="1" min="6" max="6"/>
    <col width="16" customWidth="1" min="7" max="7"/>
    <col width="13" customWidth="1" min="8" max="8"/>
    <col width="28" customWidth="1" min="9" max="9"/>
    <col width="14" customWidth="1" min="10" max="10"/>
  </cols>
  <sheetData>
    <row r="1">
      <c r="A1" s="1" t="inlineStr">
        <is>
          <t>DROGARIAS ROCHA — COTAÇÃO DE PREÇOS</t>
        </is>
      </c>
    </row>
    <row r="2">
      <c r="A2" s="2" t="inlineStr">
        <is>
          <t>Solicitação emitida em 25/09/2026  •  799 itens (EANs)</t>
        </is>
      </c>
    </row>
    <row r="4">
      <c r="A4" s="3" t="inlineStr">
        <is>
          <t>Distribuidora:</t>
        </is>
      </c>
      <c r="B4" s="4" t="n"/>
      <c r="C4" s="4" t="n"/>
      <c r="D4" s="4" t="n"/>
      <c r="F4" s="3" t="inlineStr">
        <is>
          <t>Prazo de pagamento:</t>
        </is>
      </c>
      <c r="G4" s="4" t="n"/>
      <c r="H4" s="4" t="n"/>
      <c r="I4" s="4" t="n"/>
    </row>
    <row r="5">
      <c r="A5" s="3" t="inlineStr">
        <is>
          <t>Vendedor(a):</t>
        </is>
      </c>
      <c r="B5" s="4" t="n"/>
      <c r="C5" s="4" t="n"/>
      <c r="D5" s="4" t="n"/>
      <c r="F5" s="3" t="inlineStr">
        <is>
          <t>Pedido mínimo (R$):</t>
        </is>
      </c>
      <c r="G5" s="4" t="n"/>
      <c r="H5" s="4" t="n"/>
      <c r="I5" s="4" t="n"/>
    </row>
    <row r="6">
      <c r="A6" s="3" t="inlineStr">
        <is>
          <t>Telefone / WhatsApp:</t>
        </is>
      </c>
      <c r="B6" s="4" t="n"/>
      <c r="C6" s="4" t="n"/>
      <c r="D6" s="4" t="n"/>
      <c r="F6" s="3" t="inlineStr">
        <is>
          <t>Frete / Prazo de entrega:</t>
        </is>
      </c>
      <c r="G6" s="4" t="n"/>
      <c r="H6" s="4" t="n"/>
      <c r="I6" s="4" t="n"/>
    </row>
    <row r="7">
      <c r="A7" s="3" t="inlineStr">
        <is>
          <t>E-mail:</t>
        </is>
      </c>
      <c r="B7" s="4" t="n"/>
      <c r="C7" s="4" t="n"/>
      <c r="D7" s="4" t="n"/>
      <c r="F7" s="3" t="inlineStr">
        <is>
          <t>Validade da proposta:</t>
        </is>
      </c>
      <c r="G7" s="4" t="n"/>
      <c r="H7" s="4" t="n"/>
      <c r="I7" s="4" t="n"/>
    </row>
    <row r="9">
      <c r="A9" s="5" t="inlineStr">
        <is>
          <t>COMO PREENCHER:  preencha somente as células AMARELAS (dados acima e colunas G, H e I da tabela).</t>
        </is>
      </c>
    </row>
    <row r="10">
      <c r="A10" s="6" t="inlineStr">
        <is>
          <t>• Cada linha é um EAN. Informe o PREÇO LÍQUIDO (já com desconto e impostos/ST) da embalagem que o EAN representa (caixa, display etc.). Ex.: 12,34</t>
        </is>
      </c>
    </row>
    <row r="11">
      <c r="A11" s="6" t="inlineStr">
        <is>
          <t>• Sem o item ou sem estoque: deixe o preço em branco. Estoque parcial: informe a quantidade disponível na coluna H.</t>
        </is>
      </c>
    </row>
    <row r="12">
      <c r="A12" s="6" t="inlineStr">
        <is>
          <t>• Não altere, exclua nem reordene linhas e colunas. Devolva este mesmo arquivo em Excel (.xlsx).</t>
        </is>
      </c>
    </row>
    <row r="14" ht="32" customHeight="1">
      <c r="A14" s="7" t="inlineStr">
        <is>
          <t>Item</t>
        </is>
      </c>
      <c r="B14" s="7" t="inlineStr">
        <is>
          <t>Cód. Rocha</t>
        </is>
      </c>
      <c r="C14" s="7" t="inlineStr">
        <is>
          <t>EAN</t>
        </is>
      </c>
      <c r="D14" s="7" t="inlineStr">
        <is>
          <t>Produto</t>
        </is>
      </c>
      <c r="E14" s="7" t="inlineStr">
        <is>
          <t>Fabricante</t>
        </is>
      </c>
      <c r="F14" s="7" t="inlineStr">
        <is>
          <t>Qtde (emb.)</t>
        </is>
      </c>
      <c r="G14" s="8" t="inlineStr">
        <is>
          <t>Preço líquido por emb. (R$)</t>
        </is>
      </c>
      <c r="H14" s="8" t="inlineStr">
        <is>
          <t>Qtde disponível (emb.)</t>
        </is>
      </c>
      <c r="I14" s="8" t="inlineStr">
        <is>
          <t>Observação</t>
        </is>
      </c>
      <c r="J14" s="7" t="inlineStr">
        <is>
          <t>Total (R$)</t>
        </is>
      </c>
    </row>
    <row r="15">
      <c r="A15" s="9" t="n">
        <v>1</v>
      </c>
      <c r="B15" s="9" t="n">
        <v>599171</v>
      </c>
      <c r="C15" s="10" t="inlineStr">
        <is>
          <t>7891317019297</t>
        </is>
      </c>
      <c r="D15" s="11" t="inlineStr">
        <is>
          <t>20 BI CX 5 CAP</t>
        </is>
      </c>
      <c r="E15" s="11" t="inlineStr">
        <is>
          <t>MOMENTA</t>
        </is>
      </c>
      <c r="F15" s="9" t="n">
        <v>3</v>
      </c>
      <c r="G15" s="12" t="n"/>
      <c r="H15" s="13" t="n"/>
      <c r="I15" s="4" t="n"/>
      <c r="J15" s="14">
        <f>IF(G15="","",F15*G15)</f>
        <v/>
      </c>
    </row>
    <row r="16">
      <c r="A16" s="9" t="n">
        <v>2</v>
      </c>
      <c r="B16" s="9" t="n">
        <v>599171</v>
      </c>
      <c r="C16" s="10" t="inlineStr">
        <is>
          <t>7891317031268</t>
        </is>
      </c>
      <c r="D16" s="11" t="inlineStr">
        <is>
          <t>20 BI CX 5 CAP</t>
        </is>
      </c>
      <c r="E16" s="11" t="inlineStr">
        <is>
          <t>MOMENTA</t>
        </is>
      </c>
      <c r="F16" s="9" t="n">
        <v>3</v>
      </c>
      <c r="G16" s="12" t="n"/>
      <c r="H16" s="13" t="n"/>
      <c r="I16" s="4" t="n"/>
      <c r="J16" s="14">
        <f>IF(G16="","",F16*G16)</f>
        <v/>
      </c>
    </row>
    <row r="17">
      <c r="A17" s="15" t="n">
        <v>3</v>
      </c>
      <c r="B17" s="15" t="n">
        <v>594151</v>
      </c>
      <c r="C17" s="16" t="inlineStr">
        <is>
          <t>7896094928107</t>
        </is>
      </c>
      <c r="D17" s="17" t="inlineStr">
        <is>
          <t>AAS 100MG CX 30 COMP</t>
        </is>
      </c>
      <c r="E17" s="17" t="inlineStr">
        <is>
          <t>COSMED</t>
        </is>
      </c>
      <c r="F17" s="15" t="n">
        <v>10</v>
      </c>
      <c r="G17" s="12" t="n"/>
      <c r="H17" s="13" t="n"/>
      <c r="I17" s="4" t="n"/>
      <c r="J17" s="18">
        <f>IF(G17="","",F17*G17)</f>
        <v/>
      </c>
    </row>
    <row r="18">
      <c r="A18" s="9" t="n">
        <v>4</v>
      </c>
      <c r="B18" s="9" t="n">
        <v>13841</v>
      </c>
      <c r="C18" s="10" t="inlineStr">
        <is>
          <t>7897595903693</t>
        </is>
      </c>
      <c r="D18" s="11" t="inlineStr">
        <is>
          <t>AAS PROTECT 100MG CX 30 COMP REV</t>
        </is>
      </c>
      <c r="E18" s="11" t="inlineStr">
        <is>
          <t>COSMED</t>
        </is>
      </c>
      <c r="F18" s="9" t="n">
        <v>1</v>
      </c>
      <c r="G18" s="12" t="n"/>
      <c r="H18" s="13" t="n"/>
      <c r="I18" s="4" t="n"/>
      <c r="J18" s="14">
        <f>IF(G18="","",F18*G18)</f>
        <v/>
      </c>
    </row>
    <row r="19">
      <c r="A19" s="9" t="n">
        <v>5</v>
      </c>
      <c r="B19" s="9" t="n">
        <v>13841</v>
      </c>
      <c r="C19" s="10" t="inlineStr">
        <is>
          <t>7896094928046</t>
        </is>
      </c>
      <c r="D19" s="11" t="inlineStr">
        <is>
          <t>AAS PROTECT 100MG CX 30 COMP REV</t>
        </is>
      </c>
      <c r="E19" s="11" t="inlineStr">
        <is>
          <t>COSMED</t>
        </is>
      </c>
      <c r="F19" s="9" t="n">
        <v>1</v>
      </c>
      <c r="G19" s="12" t="n"/>
      <c r="H19" s="13" t="n"/>
      <c r="I19" s="4" t="n"/>
      <c r="J19" s="14">
        <f>IF(G19="","",F19*G19)</f>
        <v/>
      </c>
    </row>
    <row r="20">
      <c r="A20" s="15" t="n">
        <v>6</v>
      </c>
      <c r="B20" s="15" t="n">
        <v>274461</v>
      </c>
      <c r="C20" s="16" t="inlineStr">
        <is>
          <t>7898040320973</t>
        </is>
      </c>
      <c r="D20" s="17" t="inlineStr">
        <is>
          <t>ABRILAR 7MG XPE FR 100ML+CM</t>
        </is>
      </c>
      <c r="E20" s="17" t="inlineStr">
        <is>
          <t>FQM/FARMA</t>
        </is>
      </c>
      <c r="F20" s="15" t="n">
        <v>4</v>
      </c>
      <c r="G20" s="12" t="n"/>
      <c r="H20" s="13" t="n"/>
      <c r="I20" s="4" t="n"/>
      <c r="J20" s="18">
        <f>IF(G20="","",F20*G20)</f>
        <v/>
      </c>
    </row>
    <row r="21">
      <c r="A21" s="9" t="n">
        <v>7</v>
      </c>
      <c r="B21" s="9" t="n">
        <v>618411</v>
      </c>
      <c r="C21" s="10" t="inlineStr">
        <is>
          <t>3282770153477</t>
        </is>
      </c>
      <c r="D21" s="11" t="inlineStr">
        <is>
          <t>ACTINE GEL DE LIMP 140G</t>
        </is>
      </c>
      <c r="E21" s="11" t="inlineStr">
        <is>
          <t>DARROW LABORATÓRIO</t>
        </is>
      </c>
      <c r="F21" s="9" t="n">
        <v>2</v>
      </c>
      <c r="G21" s="12" t="n"/>
      <c r="H21" s="13" t="n"/>
      <c r="I21" s="4" t="n"/>
      <c r="J21" s="14">
        <f>IF(G21="","",F21*G21)</f>
        <v/>
      </c>
    </row>
    <row r="22">
      <c r="A22" s="15" t="n">
        <v>8</v>
      </c>
      <c r="B22" s="15" t="n">
        <v>621431</v>
      </c>
      <c r="C22" s="16" t="inlineStr">
        <is>
          <t>3282770206036</t>
        </is>
      </c>
      <c r="D22" s="17" t="inlineStr">
        <is>
          <t>ACTINE PROT SOLAR FPS60 40G</t>
        </is>
      </c>
      <c r="E22" s="17" t="inlineStr">
        <is>
          <t>ELSEVE</t>
        </is>
      </c>
      <c r="F22" s="15" t="n">
        <v>2</v>
      </c>
      <c r="G22" s="12" t="n"/>
      <c r="H22" s="13" t="n"/>
      <c r="I22" s="4" t="n"/>
      <c r="J22" s="18">
        <f>IF(G22="","",F22*G22)</f>
        <v/>
      </c>
    </row>
    <row r="23">
      <c r="A23" s="9" t="n">
        <v>9</v>
      </c>
      <c r="B23" s="9" t="n">
        <v>621421</v>
      </c>
      <c r="C23" s="10" t="inlineStr">
        <is>
          <t>3282770206050</t>
        </is>
      </c>
      <c r="D23" s="11" t="inlineStr">
        <is>
          <t>ACTINE PROT SOLAR FPS60 COR 40G</t>
        </is>
      </c>
      <c r="E23" s="11" t="inlineStr">
        <is>
          <t>LA ROCHE</t>
        </is>
      </c>
      <c r="F23" s="9" t="n">
        <v>1</v>
      </c>
      <c r="G23" s="12" t="n"/>
      <c r="H23" s="13" t="n"/>
      <c r="I23" s="4" t="n"/>
      <c r="J23" s="14">
        <f>IF(G23="","",F23*G23)</f>
        <v/>
      </c>
    </row>
    <row r="24">
      <c r="A24" s="15" t="n">
        <v>10</v>
      </c>
      <c r="B24" s="15" t="n">
        <v>558461</v>
      </c>
      <c r="C24" s="16" t="inlineStr">
        <is>
          <t>7896094925144</t>
        </is>
      </c>
      <c r="D24" s="17" t="inlineStr">
        <is>
          <t>AD-TIL SOL GOTAS 20ML</t>
        </is>
      </c>
      <c r="E24" s="17" t="inlineStr">
        <is>
          <t>COSMED</t>
        </is>
      </c>
      <c r="F24" s="15" t="n">
        <v>3</v>
      </c>
      <c r="G24" s="12" t="n"/>
      <c r="H24" s="13" t="n"/>
      <c r="I24" s="4" t="n"/>
      <c r="J24" s="18">
        <f>IF(G24="","",F24*G24)</f>
        <v/>
      </c>
    </row>
    <row r="25">
      <c r="A25" s="9" t="n">
        <v>11</v>
      </c>
      <c r="B25" s="9" t="n">
        <v>642771</v>
      </c>
      <c r="C25" s="10" t="inlineStr">
        <is>
          <t>7892828001016</t>
        </is>
      </c>
      <c r="D25" s="11" t="inlineStr">
        <is>
          <t>ADEFORTE ORAL 01 AMP</t>
        </is>
      </c>
      <c r="E25" s="11" t="inlineStr">
        <is>
          <t>GROSS</t>
        </is>
      </c>
      <c r="F25" s="9" t="n">
        <v>7</v>
      </c>
      <c r="G25" s="12" t="n"/>
      <c r="H25" s="13" t="n"/>
      <c r="I25" s="4" t="n"/>
      <c r="J25" s="14">
        <f>IF(G25="","",F25*G25)</f>
        <v/>
      </c>
    </row>
    <row r="26">
      <c r="A26" s="15" t="n">
        <v>12</v>
      </c>
      <c r="B26" s="15" t="n">
        <v>884</v>
      </c>
      <c r="C26" s="16" t="inlineStr">
        <is>
          <t>7892828002303</t>
        </is>
      </c>
      <c r="D26" s="17" t="inlineStr">
        <is>
          <t>ADEFORTE TURBO USO ORAL 2AMP 3ML</t>
        </is>
      </c>
      <c r="E26" s="17" t="inlineStr">
        <is>
          <t>GROSS</t>
        </is>
      </c>
      <c r="F26" s="15" t="n">
        <v>34</v>
      </c>
      <c r="G26" s="12" t="n"/>
      <c r="H26" s="13" t="n"/>
      <c r="I26" s="4" t="n"/>
      <c r="J26" s="18">
        <f>IF(G26="","",F26*G26)</f>
        <v/>
      </c>
    </row>
    <row r="27">
      <c r="A27" s="9" t="n">
        <v>13</v>
      </c>
      <c r="B27" s="9" t="n">
        <v>296361</v>
      </c>
      <c r="C27" s="10" t="inlineStr">
        <is>
          <t>7896090611782</t>
        </is>
      </c>
      <c r="D27" s="11" t="inlineStr">
        <is>
          <t>ADVIL 400MG CARTELA C/ 3 CAPSULAS</t>
        </is>
      </c>
      <c r="E27" s="11" t="inlineStr">
        <is>
          <t>HALEON</t>
        </is>
      </c>
      <c r="F27" s="9" t="n">
        <v>3</v>
      </c>
      <c r="G27" s="12" t="n"/>
      <c r="H27" s="13" t="n"/>
      <c r="I27" s="4" t="n"/>
      <c r="J27" s="14">
        <f>IF(G27="","",F27*G27)</f>
        <v/>
      </c>
    </row>
    <row r="28">
      <c r="A28" s="9" t="n">
        <v>14</v>
      </c>
      <c r="B28" s="9" t="n">
        <v>296361</v>
      </c>
      <c r="C28" s="10" t="inlineStr">
        <is>
          <t>7896009498411</t>
        </is>
      </c>
      <c r="D28" s="11" t="inlineStr">
        <is>
          <t>ADVIL 400MG CARTELA C/ 3 CAPSULAS</t>
        </is>
      </c>
      <c r="E28" s="11" t="inlineStr">
        <is>
          <t>HALEON</t>
        </is>
      </c>
      <c r="F28" s="9" t="n">
        <v>3</v>
      </c>
      <c r="G28" s="12" t="n"/>
      <c r="H28" s="13" t="n"/>
      <c r="I28" s="4" t="n"/>
      <c r="J28" s="14">
        <f>IF(G28="","",F28*G28)</f>
        <v/>
      </c>
    </row>
    <row r="29">
      <c r="A29" s="9" t="n">
        <v>15</v>
      </c>
      <c r="B29" s="9" t="n">
        <v>296361</v>
      </c>
      <c r="C29" s="10" t="inlineStr">
        <is>
          <t>7896009498435</t>
        </is>
      </c>
      <c r="D29" s="11" t="inlineStr">
        <is>
          <t>ADVIL 400MG CARTELA C/ 3 CAPSULAS</t>
        </is>
      </c>
      <c r="E29" s="11" t="inlineStr">
        <is>
          <t>HALEON</t>
        </is>
      </c>
      <c r="F29" s="9" t="n">
        <v>3</v>
      </c>
      <c r="G29" s="12" t="n"/>
      <c r="H29" s="13" t="n"/>
      <c r="I29" s="4" t="n"/>
      <c r="J29" s="14">
        <f>IF(G29="","",F29*G29)</f>
        <v/>
      </c>
    </row>
    <row r="30">
      <c r="A30" s="9" t="n">
        <v>16</v>
      </c>
      <c r="B30" s="9" t="n">
        <v>296361</v>
      </c>
      <c r="C30" s="10" t="inlineStr">
        <is>
          <t>7896090611775</t>
        </is>
      </c>
      <c r="D30" s="11" t="inlineStr">
        <is>
          <t>ADVIL 400MG CARTELA C/ 3 CAPSULAS</t>
        </is>
      </c>
      <c r="E30" s="11" t="inlineStr">
        <is>
          <t>HALEON</t>
        </is>
      </c>
      <c r="F30" s="9" t="n">
        <v>3</v>
      </c>
      <c r="G30" s="12" t="n"/>
      <c r="H30" s="13" t="n"/>
      <c r="I30" s="4" t="n"/>
      <c r="J30" s="14">
        <f>IF(G30="","",F30*G30)</f>
        <v/>
      </c>
    </row>
    <row r="31">
      <c r="A31" s="15" t="n">
        <v>17</v>
      </c>
      <c r="B31" s="15" t="n">
        <v>612801</v>
      </c>
      <c r="C31" s="16" t="inlineStr">
        <is>
          <t>7896090611805</t>
        </is>
      </c>
      <c r="D31" s="17" t="inlineStr">
        <is>
          <t>ADVIL FRACAO BL X 8 CAP</t>
        </is>
      </c>
      <c r="E31" s="17" t="inlineStr">
        <is>
          <t>HALEON</t>
        </is>
      </c>
      <c r="F31" s="15" t="n">
        <v>2</v>
      </c>
      <c r="G31" s="12" t="n"/>
      <c r="H31" s="13" t="n"/>
      <c r="I31" s="4" t="n"/>
      <c r="J31" s="18">
        <f>IF(G31="","",F31*G31)</f>
        <v/>
      </c>
    </row>
    <row r="32">
      <c r="A32" s="15" t="n">
        <v>18</v>
      </c>
      <c r="B32" s="15" t="n">
        <v>612801</v>
      </c>
      <c r="C32" s="16" t="inlineStr">
        <is>
          <t>7896090611799</t>
        </is>
      </c>
      <c r="D32" s="17" t="inlineStr">
        <is>
          <t>ADVIL FRACAO BL X 8 CAP</t>
        </is>
      </c>
      <c r="E32" s="17" t="inlineStr">
        <is>
          <t>HALEON</t>
        </is>
      </c>
      <c r="F32" s="15" t="n">
        <v>2</v>
      </c>
      <c r="G32" s="12" t="n"/>
      <c r="H32" s="13" t="n"/>
      <c r="I32" s="4" t="n"/>
      <c r="J32" s="18">
        <f>IF(G32="","",F32*G32)</f>
        <v/>
      </c>
    </row>
    <row r="33">
      <c r="A33" s="9" t="n">
        <v>19</v>
      </c>
      <c r="B33" s="9" t="n">
        <v>566661</v>
      </c>
      <c r="C33" s="10" t="inlineStr">
        <is>
          <t>7891317144166</t>
        </is>
      </c>
      <c r="D33" s="11" t="inlineStr">
        <is>
          <t>AIDE 3 200UI SOL OR FR 10ML</t>
        </is>
      </c>
      <c r="E33" s="11" t="inlineStr">
        <is>
          <t>EUROFARMA</t>
        </is>
      </c>
      <c r="F33" s="9" t="n">
        <v>1</v>
      </c>
      <c r="G33" s="12" t="n"/>
      <c r="H33" s="13" t="n"/>
      <c r="I33" s="4" t="n"/>
      <c r="J33" s="14">
        <f>IF(G33="","",F33*G33)</f>
        <v/>
      </c>
    </row>
    <row r="34">
      <c r="A34" s="15" t="n">
        <v>20</v>
      </c>
      <c r="B34" s="15" t="n">
        <v>607471</v>
      </c>
      <c r="C34" s="16" t="inlineStr">
        <is>
          <t>7896094925137</t>
        </is>
      </c>
      <c r="D34" s="17" t="inlineStr">
        <is>
          <t>ALEKTOS PED SOL ORAL FR 120ML + COP</t>
        </is>
      </c>
      <c r="E34" s="17" t="inlineStr">
        <is>
          <t>COSMED</t>
        </is>
      </c>
      <c r="F34" s="15" t="n">
        <v>4</v>
      </c>
      <c r="G34" s="12" t="n"/>
      <c r="H34" s="13" t="n"/>
      <c r="I34" s="4" t="n"/>
      <c r="J34" s="18">
        <f>IF(G34="","",F34*G34)</f>
        <v/>
      </c>
    </row>
    <row r="35">
      <c r="A35" s="9" t="n">
        <v>21</v>
      </c>
      <c r="B35" s="9" t="n">
        <v>257641</v>
      </c>
      <c r="C35" s="10" t="inlineStr">
        <is>
          <t>7896181905288</t>
        </is>
      </c>
      <c r="D35" s="11" t="inlineStr">
        <is>
          <t>ALENIA 6/200MCG FRX60 REFIL</t>
        </is>
      </c>
      <c r="E35" s="11" t="inlineStr">
        <is>
          <t>ACHE</t>
        </is>
      </c>
      <c r="F35" s="9" t="n">
        <v>4</v>
      </c>
      <c r="G35" s="12" t="n"/>
      <c r="H35" s="13" t="n"/>
      <c r="I35" s="4" t="n"/>
      <c r="J35" s="14">
        <f>IF(G35="","",F35*G35)</f>
        <v/>
      </c>
    </row>
    <row r="36">
      <c r="A36" s="15" t="n">
        <v>22</v>
      </c>
      <c r="B36" s="15" t="n">
        <v>644491</v>
      </c>
      <c r="C36" s="16" t="inlineStr">
        <is>
          <t>7891317013844</t>
        </is>
      </c>
      <c r="D36" s="17" t="inlineStr">
        <is>
          <t>ALGIE 150MG CX 10 COMP LIB PROL</t>
        </is>
      </c>
      <c r="E36" s="17" t="inlineStr">
        <is>
          <t>MOMENTA</t>
        </is>
      </c>
      <c r="F36" s="15" t="n">
        <v>2</v>
      </c>
      <c r="G36" s="12" t="n"/>
      <c r="H36" s="13" t="n"/>
      <c r="I36" s="4" t="n"/>
      <c r="J36" s="18">
        <f>IF(G36="","",F36*G36)</f>
        <v/>
      </c>
    </row>
    <row r="37">
      <c r="A37" s="9" t="n">
        <v>23</v>
      </c>
      <c r="B37" s="9" t="n">
        <v>650561</v>
      </c>
      <c r="C37" s="10" t="inlineStr">
        <is>
          <t>7896658039454</t>
        </is>
      </c>
      <c r="D37" s="11" t="inlineStr">
        <is>
          <t>ALGILIVE 160MG CX 10 CAP</t>
        </is>
      </c>
      <c r="E37" s="11" t="inlineStr">
        <is>
          <t>ACHE</t>
        </is>
      </c>
      <c r="F37" s="9" t="n">
        <v>5</v>
      </c>
      <c r="G37" s="12" t="n"/>
      <c r="H37" s="13" t="n"/>
      <c r="I37" s="4" t="n"/>
      <c r="J37" s="14">
        <f>IF(G37="","",F37*G37)</f>
        <v/>
      </c>
    </row>
    <row r="38">
      <c r="A38" s="15" t="n">
        <v>24</v>
      </c>
      <c r="B38" s="15" t="n">
        <v>367361</v>
      </c>
      <c r="C38" s="16" t="inlineStr">
        <is>
          <t>7891721023965</t>
        </is>
      </c>
      <c r="D38" s="17" t="inlineStr">
        <is>
          <t>ALGINAC 1,0+100,0+100,0MG CX 10 COMP REV LIB RETARD</t>
        </is>
      </c>
      <c r="E38" s="17" t="inlineStr">
        <is>
          <t>P&amp;G</t>
        </is>
      </c>
      <c r="F38" s="15" t="n">
        <v>10</v>
      </c>
      <c r="G38" s="12" t="n"/>
      <c r="H38" s="13" t="n"/>
      <c r="I38" s="4" t="n"/>
      <c r="J38" s="18">
        <f>IF(G38="","",F38*G38)</f>
        <v/>
      </c>
    </row>
    <row r="39">
      <c r="A39" s="9" t="n">
        <v>25</v>
      </c>
      <c r="B39" s="9" t="n">
        <v>367401</v>
      </c>
      <c r="C39" s="10" t="inlineStr">
        <is>
          <t>7891721029639</t>
        </is>
      </c>
      <c r="D39" s="11" t="inlineStr">
        <is>
          <t>ALGINAC 1,0+50,0+50,0MG CX 15 COMP</t>
        </is>
      </c>
      <c r="E39" s="11" t="inlineStr">
        <is>
          <t>P&amp;G</t>
        </is>
      </c>
      <c r="F39" s="9" t="n">
        <v>48</v>
      </c>
      <c r="G39" s="12" t="n"/>
      <c r="H39" s="13" t="n"/>
      <c r="I39" s="4" t="n"/>
      <c r="J39" s="14">
        <f>IF(G39="","",F39*G39)</f>
        <v/>
      </c>
    </row>
    <row r="40">
      <c r="A40" s="9" t="n">
        <v>26</v>
      </c>
      <c r="B40" s="9" t="n">
        <v>367401</v>
      </c>
      <c r="C40" s="10" t="inlineStr">
        <is>
          <t>7500435260527</t>
        </is>
      </c>
      <c r="D40" s="11" t="inlineStr">
        <is>
          <t>ALGINAC 1,0+50,0+50,0MG CX 15 COMP</t>
        </is>
      </c>
      <c r="E40" s="11" t="inlineStr">
        <is>
          <t>P&amp;G</t>
        </is>
      </c>
      <c r="F40" s="9" t="n">
        <v>48</v>
      </c>
      <c r="G40" s="12" t="n"/>
      <c r="H40" s="13" t="n"/>
      <c r="I40" s="4" t="n"/>
      <c r="J40" s="14">
        <f>IF(G40="","",F40*G40)</f>
        <v/>
      </c>
    </row>
    <row r="41">
      <c r="A41" s="15" t="n">
        <v>27</v>
      </c>
      <c r="B41" s="15" t="n">
        <v>367421</v>
      </c>
      <c r="C41" s="16" t="inlineStr">
        <is>
          <t>7891721029646</t>
        </is>
      </c>
      <c r="D41" s="17" t="inlineStr">
        <is>
          <t>ALGINAC 1,0+50,0+50,0MG CX 30 CP</t>
        </is>
      </c>
      <c r="E41" s="17" t="inlineStr">
        <is>
          <t>P&amp;G</t>
        </is>
      </c>
      <c r="F41" s="15" t="n">
        <v>1</v>
      </c>
      <c r="G41" s="12" t="n"/>
      <c r="H41" s="13" t="n"/>
      <c r="I41" s="4" t="n"/>
      <c r="J41" s="18">
        <f>IF(G41="","",F41*G41)</f>
        <v/>
      </c>
    </row>
    <row r="42">
      <c r="A42" s="9" t="n">
        <v>28</v>
      </c>
      <c r="B42" s="9" t="n">
        <v>210641</v>
      </c>
      <c r="C42" s="10" t="inlineStr">
        <is>
          <t>7891721008368</t>
        </is>
      </c>
      <c r="D42" s="11" t="inlineStr">
        <is>
          <t>ALGINAC 50,0+50,0MG/ML SOL INJ 3 AMP 2ML+3 AMP 1ML</t>
        </is>
      </c>
      <c r="E42" s="11" t="inlineStr">
        <is>
          <t>P&amp;G</t>
        </is>
      </c>
      <c r="F42" s="9" t="n">
        <v>2</v>
      </c>
      <c r="G42" s="12" t="n"/>
      <c r="H42" s="13" t="n"/>
      <c r="I42" s="4" t="n"/>
      <c r="J42" s="14">
        <f>IF(G42="","",F42*G42)</f>
        <v/>
      </c>
    </row>
    <row r="43">
      <c r="A43" s="15" t="n">
        <v>29</v>
      </c>
      <c r="B43" s="15" t="n">
        <v>295401</v>
      </c>
      <c r="C43" s="16" t="inlineStr">
        <is>
          <t>7891142982407</t>
        </is>
      </c>
      <c r="D43" s="17" t="inlineStr">
        <is>
          <t>ALIVIUM 400MG CX 10 CAP</t>
        </is>
      </c>
      <c r="E43" s="17" t="inlineStr">
        <is>
          <t>MANTECORP/FARMASA</t>
        </is>
      </c>
      <c r="F43" s="15" t="n">
        <v>1</v>
      </c>
      <c r="G43" s="12" t="n"/>
      <c r="H43" s="13" t="n"/>
      <c r="I43" s="4" t="n"/>
      <c r="J43" s="18">
        <f>IF(G43="","",F43*G43)</f>
        <v/>
      </c>
    </row>
    <row r="44">
      <c r="A44" s="9" t="n">
        <v>30</v>
      </c>
      <c r="B44" s="9" t="n">
        <v>526161</v>
      </c>
      <c r="C44" s="10" t="inlineStr">
        <is>
          <t>7891142205490</t>
        </is>
      </c>
      <c r="D44" s="11" t="inlineStr">
        <is>
          <t>ALIVIUM GC SUSP GTS 200MG/ML OR 20ML</t>
        </is>
      </c>
      <c r="E44" s="11" t="inlineStr">
        <is>
          <t>MANTECORP/FARMASA</t>
        </is>
      </c>
      <c r="F44" s="9" t="n">
        <v>3</v>
      </c>
      <c r="G44" s="12" t="n"/>
      <c r="H44" s="13" t="n"/>
      <c r="I44" s="4" t="n"/>
      <c r="J44" s="14">
        <f>IF(G44="","",F44*G44)</f>
        <v/>
      </c>
    </row>
    <row r="45">
      <c r="A45" s="15" t="n">
        <v>31</v>
      </c>
      <c r="B45" s="15" t="n">
        <v>146461</v>
      </c>
      <c r="C45" s="16" t="inlineStr">
        <is>
          <t>7891058024314</t>
        </is>
      </c>
      <c r="D45" s="17" t="inlineStr">
        <is>
          <t>ALLEGRA 60MG CX 10 COMP REV</t>
        </is>
      </c>
      <c r="E45" s="17" t="inlineStr">
        <is>
          <t>SANOFI CONSUMER HEALTHCARE</t>
        </is>
      </c>
      <c r="F45" s="15" t="n">
        <v>3</v>
      </c>
      <c r="G45" s="12" t="n"/>
      <c r="H45" s="13" t="n"/>
      <c r="I45" s="4" t="n"/>
      <c r="J45" s="18">
        <f>IF(G45="","",F45*G45)</f>
        <v/>
      </c>
    </row>
    <row r="46">
      <c r="A46" s="9" t="n">
        <v>32</v>
      </c>
      <c r="B46" s="9" t="n">
        <v>258861</v>
      </c>
      <c r="C46" s="10" t="inlineStr">
        <is>
          <t>7896094921375</t>
        </is>
      </c>
      <c r="D46" s="11" t="inlineStr">
        <is>
          <t>AMOME 50MCG SPR NAS 120 ACIONAMENTOS</t>
        </is>
      </c>
      <c r="E46" s="11" t="inlineStr">
        <is>
          <t>MANTECORP/FARMASA</t>
        </is>
      </c>
      <c r="F46" s="9" t="n">
        <v>1</v>
      </c>
      <c r="G46" s="12" t="n"/>
      <c r="H46" s="13" t="n"/>
      <c r="I46" s="4" t="n"/>
      <c r="J46" s="14">
        <f>IF(G46="","",F46*G46)</f>
        <v/>
      </c>
    </row>
    <row r="47">
      <c r="A47" s="15" t="n">
        <v>33</v>
      </c>
      <c r="B47" s="15" t="n">
        <v>5261</v>
      </c>
      <c r="C47" s="16" t="inlineStr">
        <is>
          <t>7891317004040</t>
        </is>
      </c>
      <c r="D47" s="17" t="inlineStr">
        <is>
          <t>AMORA 2,0+0,03MG CX 21 COMP REV</t>
        </is>
      </c>
      <c r="E47" s="17" t="inlineStr">
        <is>
          <t>EUROFARMA</t>
        </is>
      </c>
      <c r="F47" s="15" t="n">
        <v>3</v>
      </c>
      <c r="G47" s="12" t="n"/>
      <c r="H47" s="13" t="n"/>
      <c r="I47" s="4" t="n"/>
      <c r="J47" s="18">
        <f>IF(G47="","",F47*G47)</f>
        <v/>
      </c>
    </row>
    <row r="48">
      <c r="A48" s="9" t="n">
        <v>34</v>
      </c>
      <c r="B48" s="9" t="n">
        <v>71981</v>
      </c>
      <c r="C48" s="10" t="inlineStr">
        <is>
          <t>7896676414639</t>
        </is>
      </c>
      <c r="D48" s="11" t="inlineStr">
        <is>
          <t>ANA-FLEX 35+300+50MG CX 200 COMP</t>
        </is>
      </c>
      <c r="E48" s="11" t="inlineStr">
        <is>
          <t>CRISTALIA</t>
        </is>
      </c>
      <c r="F48" s="9" t="n">
        <v>1</v>
      </c>
      <c r="G48" s="12" t="n"/>
      <c r="H48" s="13" t="n"/>
      <c r="I48" s="4" t="n"/>
      <c r="J48" s="14">
        <f>IF(G48="","",F48*G48)</f>
        <v/>
      </c>
    </row>
    <row r="49">
      <c r="A49" s="15" t="n">
        <v>35</v>
      </c>
      <c r="B49" s="15" t="n">
        <v>124481</v>
      </c>
      <c r="C49" s="16" t="inlineStr">
        <is>
          <t>7896094207851</t>
        </is>
      </c>
      <c r="D49" s="17" t="inlineStr">
        <is>
          <t>ANCORON 200MG CX 30 COMP REV</t>
        </is>
      </c>
      <c r="E49" s="17" t="inlineStr">
        <is>
          <t>LIBBS</t>
        </is>
      </c>
      <c r="F49" s="15" t="n">
        <v>1</v>
      </c>
      <c r="G49" s="12" t="n"/>
      <c r="H49" s="13" t="n"/>
      <c r="I49" s="4" t="n"/>
      <c r="J49" s="18">
        <f>IF(G49="","",F49*G49)</f>
        <v/>
      </c>
    </row>
    <row r="50">
      <c r="A50" s="9" t="n">
        <v>36</v>
      </c>
      <c r="B50" s="9" t="n">
        <v>469661</v>
      </c>
      <c r="C50" s="10" t="inlineStr">
        <is>
          <t>7891317013967</t>
        </is>
      </c>
      <c r="D50" s="11" t="inlineStr">
        <is>
          <t>ANDOLBA 4,5%+0,5%+0,5% AER TOP TB 43G</t>
        </is>
      </c>
      <c r="E50" s="11" t="inlineStr">
        <is>
          <t>MOMENTA</t>
        </is>
      </c>
      <c r="F50" s="9" t="n">
        <v>2</v>
      </c>
      <c r="G50" s="12" t="n"/>
      <c r="H50" s="13" t="n"/>
      <c r="I50" s="4" t="n"/>
      <c r="J50" s="14">
        <f>IF(G50="","",F50*G50)</f>
        <v/>
      </c>
    </row>
    <row r="51">
      <c r="A51" s="15" t="n">
        <v>37</v>
      </c>
      <c r="B51" s="15" t="n">
        <v>414061</v>
      </c>
      <c r="C51" s="16" t="inlineStr">
        <is>
          <t>7896006214007</t>
        </is>
      </c>
      <c r="D51" s="17" t="inlineStr">
        <is>
          <t>ANDRIODERMOL SOL TOP FR 50ML</t>
        </is>
      </c>
      <c r="E51" s="17" t="inlineStr">
        <is>
          <t>UNIAO QUIMICA</t>
        </is>
      </c>
      <c r="F51" s="15" t="n">
        <v>7</v>
      </c>
      <c r="G51" s="12" t="n"/>
      <c r="H51" s="13" t="n"/>
      <c r="I51" s="4" t="n"/>
      <c r="J51" s="18">
        <f>IF(G51="","",F51*G51)</f>
        <v/>
      </c>
    </row>
    <row r="52">
      <c r="A52" s="9" t="n">
        <v>38</v>
      </c>
      <c r="B52" s="9" t="n">
        <v>364341</v>
      </c>
      <c r="C52" s="10" t="inlineStr">
        <is>
          <t>7898040321505</t>
        </is>
      </c>
      <c r="D52" s="11" t="inlineStr">
        <is>
          <t>ANNITA 20MG/ML PO SUS ORAL FR 100ML</t>
        </is>
      </c>
      <c r="E52" s="11" t="inlineStr">
        <is>
          <t>FQM/FARMA</t>
        </is>
      </c>
      <c r="F52" s="9" t="n">
        <v>3</v>
      </c>
      <c r="G52" s="12" t="n"/>
      <c r="H52" s="13" t="n"/>
      <c r="I52" s="4" t="n"/>
      <c r="J52" s="14">
        <f>IF(G52="","",F52*G52)</f>
        <v/>
      </c>
    </row>
    <row r="53">
      <c r="A53" s="15" t="n">
        <v>39</v>
      </c>
      <c r="B53" s="15" t="n">
        <v>364361</v>
      </c>
      <c r="C53" s="16" t="inlineStr">
        <is>
          <t>7898040321420</t>
        </is>
      </c>
      <c r="D53" s="17" t="inlineStr">
        <is>
          <t>ANNITA 20MG/ML PO SUS ORAL FR 45ML</t>
        </is>
      </c>
      <c r="E53" s="17" t="inlineStr">
        <is>
          <t>FQM/FARMA</t>
        </is>
      </c>
      <c r="F53" s="15" t="n">
        <v>15</v>
      </c>
      <c r="G53" s="12" t="n"/>
      <c r="H53" s="13" t="n"/>
      <c r="I53" s="4" t="n"/>
      <c r="J53" s="18">
        <f>IF(G53="","",F53*G53)</f>
        <v/>
      </c>
    </row>
    <row r="54">
      <c r="A54" s="9" t="n">
        <v>40</v>
      </c>
      <c r="B54" s="9" t="n">
        <v>364321</v>
      </c>
      <c r="C54" s="10" t="inlineStr">
        <is>
          <t>7898040321512</t>
        </is>
      </c>
      <c r="D54" s="11" t="inlineStr">
        <is>
          <t>ANNITA 500MG CX 6 COMP</t>
        </is>
      </c>
      <c r="E54" s="11" t="inlineStr">
        <is>
          <t>FQM/FARMA</t>
        </is>
      </c>
      <c r="F54" s="9" t="n">
        <v>4</v>
      </c>
      <c r="G54" s="12" t="n"/>
      <c r="H54" s="13" t="n"/>
      <c r="I54" s="4" t="n"/>
      <c r="J54" s="14">
        <f>IF(G54="","",F54*G54)</f>
        <v/>
      </c>
    </row>
    <row r="55">
      <c r="A55" s="15" t="n">
        <v>41</v>
      </c>
      <c r="B55" s="15" t="n">
        <v>131861</v>
      </c>
      <c r="C55" s="16" t="inlineStr">
        <is>
          <t>7896094200227</t>
        </is>
      </c>
      <c r="D55" s="17" t="inlineStr">
        <is>
          <t>ANSITEC 5MG CX 20 COMP</t>
        </is>
      </c>
      <c r="E55" s="17" t="inlineStr">
        <is>
          <t>LIBBS</t>
        </is>
      </c>
      <c r="F55" s="15" t="n">
        <v>1</v>
      </c>
      <c r="G55" s="12" t="n"/>
      <c r="H55" s="13" t="n"/>
      <c r="I55" s="4" t="n"/>
      <c r="J55" s="18">
        <f>IF(G55="","",F55*G55)</f>
        <v/>
      </c>
    </row>
    <row r="56">
      <c r="A56" s="9" t="n">
        <v>42</v>
      </c>
      <c r="B56" s="9" t="n">
        <v>624171</v>
      </c>
      <c r="C56" s="10" t="inlineStr">
        <is>
          <t>7899706195089</t>
        </is>
      </c>
      <c r="D56" s="11" t="inlineStr">
        <is>
          <t>ANTHELIOS LRP AIRLIC FL FPS50 S/COR 40ML</t>
        </is>
      </c>
      <c r="E56" s="11" t="inlineStr">
        <is>
          <t>LOREAL</t>
        </is>
      </c>
      <c r="F56" s="9" t="n">
        <v>1</v>
      </c>
      <c r="G56" s="12" t="n"/>
      <c r="H56" s="13" t="n"/>
      <c r="I56" s="4" t="n"/>
      <c r="J56" s="14">
        <f>IF(G56="","",F56*G56)</f>
        <v/>
      </c>
    </row>
    <row r="57">
      <c r="A57" s="15" t="n">
        <v>43</v>
      </c>
      <c r="B57" s="15" t="n">
        <v>618051</v>
      </c>
      <c r="C57" s="16" t="inlineStr">
        <is>
          <t>7908615030098</t>
        </is>
      </c>
      <c r="D57" s="17" t="inlineStr">
        <is>
          <t>ANTHELIOS LRP AIRLIC FPS70 2.0 40G+NECESSARIE</t>
        </is>
      </c>
      <c r="E57" s="17" t="inlineStr">
        <is>
          <t>LA ROCHE</t>
        </is>
      </c>
      <c r="F57" s="15" t="n">
        <v>1</v>
      </c>
      <c r="G57" s="12" t="n"/>
      <c r="H57" s="13" t="n"/>
      <c r="I57" s="4" t="n"/>
      <c r="J57" s="18">
        <f>IF(G57="","",F57*G57)</f>
        <v/>
      </c>
    </row>
    <row r="58">
      <c r="A58" s="9" t="n">
        <v>44</v>
      </c>
      <c r="B58" s="9" t="n">
        <v>648861</v>
      </c>
      <c r="C58" s="10" t="inlineStr">
        <is>
          <t>7908615038384</t>
        </is>
      </c>
      <c r="D58" s="11" t="inlineStr">
        <is>
          <t>ANTHELIOS LRP AIRLIC+FLUIDO FPS50+EFFACL CONC 50G</t>
        </is>
      </c>
      <c r="E58" s="11" t="inlineStr">
        <is>
          <t>LOREAL</t>
        </is>
      </c>
      <c r="F58" s="9" t="n">
        <v>1</v>
      </c>
      <c r="G58" s="12" t="n"/>
      <c r="H58" s="13" t="n"/>
      <c r="I58" s="4" t="n"/>
      <c r="J58" s="14">
        <f>IF(G58="","",F58*G58)</f>
        <v/>
      </c>
    </row>
    <row r="59">
      <c r="A59" s="15" t="n">
        <v>45</v>
      </c>
      <c r="B59" s="15" t="n">
        <v>624211</v>
      </c>
      <c r="C59" s="16" t="inlineStr">
        <is>
          <t>7899706185868</t>
        </is>
      </c>
      <c r="D59" s="17" t="inlineStr">
        <is>
          <t>ANTHELIOS LRP ULTRA COVER FPS60 COR4.0 30G</t>
        </is>
      </c>
      <c r="E59" s="17" t="inlineStr">
        <is>
          <t>LOREAL</t>
        </is>
      </c>
      <c r="F59" s="15" t="n">
        <v>1</v>
      </c>
      <c r="G59" s="12" t="n"/>
      <c r="H59" s="13" t="n"/>
      <c r="I59" s="4" t="n"/>
      <c r="J59" s="18">
        <f>IF(G59="","",F59*G59)</f>
        <v/>
      </c>
    </row>
    <row r="60">
      <c r="A60" s="9" t="n">
        <v>46</v>
      </c>
      <c r="B60" s="9" t="n">
        <v>624351</v>
      </c>
      <c r="C60" s="10" t="inlineStr">
        <is>
          <t>7899706134231</t>
        </is>
      </c>
      <c r="D60" s="11" t="inlineStr">
        <is>
          <t>ANTHELIOS LRP XL FPS70 PROTECT 120ML</t>
        </is>
      </c>
      <c r="E60" s="11" t="inlineStr">
        <is>
          <t>LOREAL</t>
        </is>
      </c>
      <c r="F60" s="9" t="n">
        <v>1</v>
      </c>
      <c r="G60" s="12" t="n"/>
      <c r="H60" s="13" t="n"/>
      <c r="I60" s="4" t="n"/>
      <c r="J60" s="14">
        <f>IF(G60="","",F60*G60)</f>
        <v/>
      </c>
    </row>
    <row r="61">
      <c r="A61" s="15" t="n">
        <v>47</v>
      </c>
      <c r="B61" s="15" t="n">
        <v>666011</v>
      </c>
      <c r="C61" s="16" t="inlineStr">
        <is>
          <t>7898639690586</t>
        </is>
      </c>
      <c r="D61" s="17" t="inlineStr">
        <is>
          <t>APAR PRES DIG HOME GP200 G-TECH-DEMAIS PROD</t>
        </is>
      </c>
      <c r="E61" s="17" t="inlineStr">
        <is>
          <t>G-TECH</t>
        </is>
      </c>
      <c r="F61" s="15" t="n">
        <v>2</v>
      </c>
      <c r="G61" s="12" t="n"/>
      <c r="H61" s="13" t="n"/>
      <c r="I61" s="4" t="n"/>
      <c r="J61" s="18">
        <f>IF(G61="","",F61*G61)</f>
        <v/>
      </c>
    </row>
    <row r="62">
      <c r="A62" s="9" t="n">
        <v>48</v>
      </c>
      <c r="B62" s="9" t="n">
        <v>634561</v>
      </c>
      <c r="C62" s="10" t="inlineStr">
        <is>
          <t>7898639690524</t>
        </is>
      </c>
      <c r="D62" s="11" t="inlineStr">
        <is>
          <t>APARELHO DE PRESSAO DIGITAL DE PULSO PREMIUM</t>
        </is>
      </c>
      <c r="E62" s="11" t="inlineStr">
        <is>
          <t>G-TECH</t>
        </is>
      </c>
      <c r="F62" s="9" t="n">
        <v>1</v>
      </c>
      <c r="G62" s="12" t="n"/>
      <c r="H62" s="13" t="n"/>
      <c r="I62" s="4" t="n"/>
      <c r="J62" s="14">
        <f>IF(G62="","",F62*G62)</f>
        <v/>
      </c>
    </row>
    <row r="63">
      <c r="A63" s="15" t="n">
        <v>49</v>
      </c>
      <c r="B63" s="15" t="n">
        <v>330021</v>
      </c>
      <c r="C63" s="16" t="inlineStr">
        <is>
          <t>7891104193087</t>
        </is>
      </c>
      <c r="D63" s="17" t="inlineStr">
        <is>
          <t>APRACUR 1+100+50MG CARTELA C/ 6CP</t>
        </is>
      </c>
      <c r="E63" s="17" t="inlineStr">
        <is>
          <t>COSMED</t>
        </is>
      </c>
      <c r="F63" s="15" t="n">
        <v>1</v>
      </c>
      <c r="G63" s="12" t="n"/>
      <c r="H63" s="13" t="n"/>
      <c r="I63" s="4" t="n"/>
      <c r="J63" s="18">
        <f>IF(G63="","",F63*G63)</f>
        <v/>
      </c>
    </row>
    <row r="64">
      <c r="A64" s="15" t="n">
        <v>50</v>
      </c>
      <c r="B64" s="15" t="n">
        <v>330021</v>
      </c>
      <c r="C64" s="16" t="inlineStr">
        <is>
          <t>7896094919068</t>
        </is>
      </c>
      <c r="D64" s="17" t="inlineStr">
        <is>
          <t>APRACUR 1+100+50MG CARTELA C/ 6CP</t>
        </is>
      </c>
      <c r="E64" s="17" t="inlineStr">
        <is>
          <t>COSMED</t>
        </is>
      </c>
      <c r="F64" s="15" t="n">
        <v>1</v>
      </c>
      <c r="G64" s="12" t="n"/>
      <c r="H64" s="13" t="n"/>
      <c r="I64" s="4" t="n"/>
      <c r="J64" s="18">
        <f>IF(G64="","",F64*G64)</f>
        <v/>
      </c>
    </row>
    <row r="65">
      <c r="A65" s="9" t="n">
        <v>51</v>
      </c>
      <c r="B65" s="9" t="n">
        <v>225181</v>
      </c>
      <c r="C65" s="10" t="inlineStr">
        <is>
          <t>7896094919044</t>
        </is>
      </c>
      <c r="D65" s="11" t="inlineStr">
        <is>
          <t>APRACUR DUO 250MG+30MG VER 250MG+2MG AMAR COMP REV X 12</t>
        </is>
      </c>
      <c r="E65" s="11" t="inlineStr">
        <is>
          <t>COSMED</t>
        </is>
      </c>
      <c r="F65" s="9" t="n">
        <v>1</v>
      </c>
      <c r="G65" s="12" t="n"/>
      <c r="H65" s="13" t="n"/>
      <c r="I65" s="4" t="n"/>
      <c r="J65" s="14">
        <f>IF(G65="","",F65*G65)</f>
        <v/>
      </c>
    </row>
    <row r="66">
      <c r="A66" s="15" t="n">
        <v>52</v>
      </c>
      <c r="B66" s="15" t="n">
        <v>149961</v>
      </c>
      <c r="C66" s="16" t="inlineStr">
        <is>
          <t>7896261000223</t>
        </is>
      </c>
      <c r="D66" s="17" t="inlineStr">
        <is>
          <t>APRESOLINA 50MG CX 20 DRG</t>
        </is>
      </c>
      <c r="E66" s="17" t="inlineStr">
        <is>
          <t>NOVARTIS</t>
        </is>
      </c>
      <c r="F66" s="15" t="n">
        <v>6</v>
      </c>
      <c r="G66" s="12" t="n"/>
      <c r="H66" s="13" t="n"/>
      <c r="I66" s="4" t="n"/>
      <c r="J66" s="18">
        <f>IF(G66="","",F66*G66)</f>
        <v/>
      </c>
    </row>
    <row r="67">
      <c r="A67" s="15" t="n">
        <v>53</v>
      </c>
      <c r="B67" s="15" t="n">
        <v>149961</v>
      </c>
      <c r="C67" s="16" t="inlineStr">
        <is>
          <t>7896006220510</t>
        </is>
      </c>
      <c r="D67" s="17" t="inlineStr">
        <is>
          <t>APRESOLINA 50MG CX 20 DRG</t>
        </is>
      </c>
      <c r="E67" s="17" t="inlineStr">
        <is>
          <t>NOVARTIS</t>
        </is>
      </c>
      <c r="F67" s="15" t="n">
        <v>6</v>
      </c>
      <c r="G67" s="12" t="n"/>
      <c r="H67" s="13" t="n"/>
      <c r="I67" s="4" t="n"/>
      <c r="J67" s="18">
        <f>IF(G67="","",F67*G67)</f>
        <v/>
      </c>
    </row>
    <row r="68">
      <c r="A68" s="9" t="n">
        <v>54</v>
      </c>
      <c r="B68" s="9" t="n">
        <v>515261</v>
      </c>
      <c r="C68" s="10" t="inlineStr">
        <is>
          <t>7896006220503</t>
        </is>
      </c>
      <c r="D68" s="11" t="inlineStr">
        <is>
          <t>APRESOLINA 50MG CX 60 DRG</t>
        </is>
      </c>
      <c r="E68" s="11" t="inlineStr">
        <is>
          <t>NOVARTIS</t>
        </is>
      </c>
      <c r="F68" s="9" t="n">
        <v>1</v>
      </c>
      <c r="G68" s="12" t="n"/>
      <c r="H68" s="13" t="n"/>
      <c r="I68" s="4" t="n"/>
      <c r="J68" s="14">
        <f>IF(G68="","",F68*G68)</f>
        <v/>
      </c>
    </row>
    <row r="69">
      <c r="A69" s="15" t="n">
        <v>55</v>
      </c>
      <c r="B69" s="15" t="n">
        <v>326161</v>
      </c>
      <c r="C69" s="16" t="inlineStr">
        <is>
          <t>7896112486787</t>
        </is>
      </c>
      <c r="D69" s="17" t="inlineStr">
        <is>
          <t>ARADOIS 50MG CX 30 COMP REV</t>
        </is>
      </c>
      <c r="E69" s="17" t="inlineStr">
        <is>
          <t>BIOLAB</t>
        </is>
      </c>
      <c r="F69" s="15" t="n">
        <v>13</v>
      </c>
      <c r="G69" s="12" t="n"/>
      <c r="H69" s="13" t="n"/>
      <c r="I69" s="4" t="n"/>
      <c r="J69" s="18">
        <f>IF(G69="","",F69*G69)</f>
        <v/>
      </c>
    </row>
    <row r="70">
      <c r="A70" s="9" t="n">
        <v>56</v>
      </c>
      <c r="B70" s="9" t="n">
        <v>241121</v>
      </c>
      <c r="C70" s="10" t="inlineStr">
        <is>
          <t>7897337704984</t>
        </is>
      </c>
      <c r="D70" s="11" t="inlineStr">
        <is>
          <t>ARCOXIA 90MG CX 7 COMP</t>
        </is>
      </c>
      <c r="E70" s="11" t="inlineStr">
        <is>
          <t>ORGANON</t>
        </is>
      </c>
      <c r="F70" s="9" t="n">
        <v>5</v>
      </c>
      <c r="G70" s="12" t="n"/>
      <c r="H70" s="13" t="n"/>
      <c r="I70" s="4" t="n"/>
      <c r="J70" s="14">
        <f>IF(G70="","",F70*G70)</f>
        <v/>
      </c>
    </row>
    <row r="71">
      <c r="A71" s="15" t="n">
        <v>57</v>
      </c>
      <c r="B71" s="15" t="n">
        <v>361441</v>
      </c>
      <c r="C71" s="16" t="inlineStr">
        <is>
          <t>7898096577857</t>
        </is>
      </c>
      <c r="D71" s="17" t="inlineStr">
        <is>
          <t>ARFLEX RETARD 200MG CX 12 CAP</t>
        </is>
      </c>
      <c r="E71" s="17" t="inlineStr">
        <is>
          <t>DIFFUCAP-CHEMOBRAS</t>
        </is>
      </c>
      <c r="F71" s="15" t="n">
        <v>1</v>
      </c>
      <c r="G71" s="12" t="n"/>
      <c r="H71" s="13" t="n"/>
      <c r="I71" s="4" t="n"/>
      <c r="J71" s="18">
        <f>IF(G71="","",F71*G71)</f>
        <v/>
      </c>
    </row>
    <row r="72">
      <c r="A72" s="9" t="n">
        <v>58</v>
      </c>
      <c r="B72" s="9" t="n">
        <v>645341</v>
      </c>
      <c r="C72" s="10" t="inlineStr">
        <is>
          <t>7896094918443</t>
        </is>
      </c>
      <c r="D72" s="11" t="inlineStr">
        <is>
          <t>ARTROFLAN 150MG CX 40 COMP REV</t>
        </is>
      </c>
      <c r="E72" s="11" t="inlineStr">
        <is>
          <t>MANTECORP/FARMASA</t>
        </is>
      </c>
      <c r="F72" s="9" t="n">
        <v>1</v>
      </c>
      <c r="G72" s="12" t="n"/>
      <c r="H72" s="13" t="n"/>
      <c r="I72" s="4" t="n"/>
      <c r="J72" s="14">
        <f>IF(G72="","",F72*G72)</f>
        <v/>
      </c>
    </row>
    <row r="73">
      <c r="A73" s="15" t="n">
        <v>59</v>
      </c>
      <c r="B73" s="15" t="n">
        <v>619611</v>
      </c>
      <c r="C73" s="16" t="inlineStr">
        <is>
          <t>7898636190720</t>
        </is>
      </c>
      <c r="D73" s="17" t="inlineStr">
        <is>
          <t>ASEPXIA PO COMPA MARFIM 10G</t>
        </is>
      </c>
      <c r="E73" s="17" t="inlineStr">
        <is>
          <t>GENOMA</t>
        </is>
      </c>
      <c r="F73" s="15" t="n">
        <v>1</v>
      </c>
      <c r="G73" s="12" t="n"/>
      <c r="H73" s="13" t="n"/>
      <c r="I73" s="4" t="n"/>
      <c r="J73" s="18">
        <f>IF(G73="","",F73*G73)</f>
        <v/>
      </c>
    </row>
    <row r="74">
      <c r="A74" s="9" t="n">
        <v>60</v>
      </c>
      <c r="B74" s="9" t="n">
        <v>13921</v>
      </c>
      <c r="C74" s="10" t="inlineStr">
        <is>
          <t>7891106915175</t>
        </is>
      </c>
      <c r="D74" s="11" t="inlineStr">
        <is>
          <t>ASPIRINA 500MG CX 100 COMP ACLAR</t>
        </is>
      </c>
      <c r="E74" s="11" t="inlineStr">
        <is>
          <t>BAYER</t>
        </is>
      </c>
      <c r="F74" s="9" t="n">
        <v>1</v>
      </c>
      <c r="G74" s="12" t="n"/>
      <c r="H74" s="13" t="n"/>
      <c r="I74" s="4" t="n"/>
      <c r="J74" s="14">
        <f>IF(G74="","",F74*G74)</f>
        <v/>
      </c>
    </row>
    <row r="75">
      <c r="A75" s="15" t="n">
        <v>61</v>
      </c>
      <c r="B75" s="15" t="n">
        <v>14001</v>
      </c>
      <c r="C75" s="16" t="inlineStr">
        <is>
          <t>7891106915151</t>
        </is>
      </c>
      <c r="D75" s="17" t="inlineStr">
        <is>
          <t>ASPIRINA C EFERVESC 400+240MG LIMÃO CARTELA</t>
        </is>
      </c>
      <c r="E75" s="17" t="inlineStr">
        <is>
          <t>BAYER</t>
        </is>
      </c>
      <c r="F75" s="15" t="n">
        <v>1</v>
      </c>
      <c r="G75" s="12" t="n"/>
      <c r="H75" s="13" t="n"/>
      <c r="I75" s="4" t="n"/>
      <c r="J75" s="18">
        <f>IF(G75="","",F75*G75)</f>
        <v/>
      </c>
    </row>
    <row r="76">
      <c r="A76" s="15" t="n">
        <v>62</v>
      </c>
      <c r="B76" s="15" t="n">
        <v>14001</v>
      </c>
      <c r="C76" s="16" t="inlineStr">
        <is>
          <t>7891106000888</t>
        </is>
      </c>
      <c r="D76" s="17" t="inlineStr">
        <is>
          <t>ASPIRINA C EFERVESC 400+240MG LIMÃO CARTELA</t>
        </is>
      </c>
      <c r="E76" s="17" t="inlineStr">
        <is>
          <t>BAYER</t>
        </is>
      </c>
      <c r="F76" s="15" t="n">
        <v>1</v>
      </c>
      <c r="G76" s="12" t="n"/>
      <c r="H76" s="13" t="n"/>
      <c r="I76" s="4" t="n"/>
      <c r="J76" s="18">
        <f>IF(G76="","",F76*G76)</f>
        <v/>
      </c>
    </row>
    <row r="77">
      <c r="A77" s="9" t="n">
        <v>63</v>
      </c>
      <c r="B77" s="9" t="n">
        <v>13301</v>
      </c>
      <c r="C77" s="10" t="inlineStr">
        <is>
          <t>7891106001946</t>
        </is>
      </c>
      <c r="D77" s="11" t="inlineStr">
        <is>
          <t>ASPIRINA PREVENT 100MG CX 30 COMP REV</t>
        </is>
      </c>
      <c r="E77" s="11" t="inlineStr">
        <is>
          <t>MEGALABS</t>
        </is>
      </c>
      <c r="F77" s="9" t="n">
        <v>9</v>
      </c>
      <c r="G77" s="12" t="n"/>
      <c r="H77" s="13" t="n"/>
      <c r="I77" s="4" t="n"/>
      <c r="J77" s="14">
        <f>IF(G77="","",F77*G77)</f>
        <v/>
      </c>
    </row>
    <row r="78">
      <c r="A78" s="15" t="n">
        <v>64</v>
      </c>
      <c r="B78" s="15" t="n">
        <v>47301</v>
      </c>
      <c r="C78" s="16" t="inlineStr">
        <is>
          <t>7891317420840</t>
        </is>
      </c>
      <c r="D78" s="17" t="inlineStr">
        <is>
          <t>ASTRO 500MG CX 5 COMP REV</t>
        </is>
      </c>
      <c r="E78" s="17" t="inlineStr">
        <is>
          <t>EUROFARMA</t>
        </is>
      </c>
      <c r="F78" s="15" t="n">
        <v>1</v>
      </c>
      <c r="G78" s="12" t="n"/>
      <c r="H78" s="13" t="n"/>
      <c r="I78" s="4" t="n"/>
      <c r="J78" s="18">
        <f>IF(G78="","",F78*G78)</f>
        <v/>
      </c>
    </row>
    <row r="79">
      <c r="A79" s="9" t="n">
        <v>65</v>
      </c>
      <c r="B79" s="9" t="n">
        <v>594191</v>
      </c>
      <c r="C79" s="10" t="inlineStr">
        <is>
          <t>7891317014162</t>
        </is>
      </c>
      <c r="D79" s="11" t="inlineStr">
        <is>
          <t>ATAK CLAV 875+125MG CX 14 COMP REV</t>
        </is>
      </c>
      <c r="E79" s="11" t="inlineStr">
        <is>
          <t>MOMENTA</t>
        </is>
      </c>
      <c r="F79" s="9" t="n">
        <v>3</v>
      </c>
      <c r="G79" s="12" t="n"/>
      <c r="H79" s="13" t="n"/>
      <c r="I79" s="4" t="n"/>
      <c r="J79" s="14">
        <f>IF(G79="","",F79*G79)</f>
        <v/>
      </c>
    </row>
    <row r="80">
      <c r="A80" s="15" t="n">
        <v>66</v>
      </c>
      <c r="B80" s="15" t="n">
        <v>637931</v>
      </c>
      <c r="C80" s="16" t="inlineStr">
        <is>
          <t>7898968453098</t>
        </is>
      </c>
      <c r="D80" s="17" t="inlineStr">
        <is>
          <t>ATENSINA 0,100MG CX 30 COMP</t>
        </is>
      </c>
      <c r="E80" s="17" t="inlineStr">
        <is>
          <t>MAWDSLEYS</t>
        </is>
      </c>
      <c r="F80" s="15" t="n">
        <v>1</v>
      </c>
      <c r="G80" s="12" t="n"/>
      <c r="H80" s="13" t="n"/>
      <c r="I80" s="4" t="n"/>
      <c r="J80" s="18">
        <f>IF(G80="","",F80*G80)</f>
        <v/>
      </c>
    </row>
    <row r="81">
      <c r="A81" s="9" t="n">
        <v>67</v>
      </c>
      <c r="B81" s="9" t="n">
        <v>662281</v>
      </c>
      <c r="C81" s="10" t="inlineStr">
        <is>
          <t>7896112403111</t>
        </is>
      </c>
      <c r="D81" s="11" t="inlineStr">
        <is>
          <t>ATIVB 1000MCG CX 30 COMP</t>
        </is>
      </c>
      <c r="E81" s="11" t="inlineStr">
        <is>
          <t>BIOLAB</t>
        </is>
      </c>
      <c r="F81" s="9" t="n">
        <v>8</v>
      </c>
      <c r="G81" s="12" t="n"/>
      <c r="H81" s="13" t="n"/>
      <c r="I81" s="4" t="n"/>
      <c r="J81" s="14">
        <f>IF(G81="","",F81*G81)</f>
        <v/>
      </c>
    </row>
    <row r="82">
      <c r="A82" s="15" t="n">
        <v>68</v>
      </c>
      <c r="B82" s="15" t="n">
        <v>582181</v>
      </c>
      <c r="C82" s="16" t="inlineStr">
        <is>
          <t>7896026307826</t>
        </is>
      </c>
      <c r="D82" s="17" t="inlineStr">
        <is>
          <t>ATROVENT 0,25MG/ML SOL INAL CT FR VD AMB X 20ML</t>
        </is>
      </c>
      <c r="E82" s="17" t="inlineStr">
        <is>
          <t>BOEHRINGER</t>
        </is>
      </c>
      <c r="F82" s="15" t="n">
        <v>10</v>
      </c>
      <c r="G82" s="12" t="n"/>
      <c r="H82" s="13" t="n"/>
      <c r="I82" s="4" t="n"/>
      <c r="J82" s="18">
        <f>IF(G82="","",F82*G82)</f>
        <v/>
      </c>
    </row>
    <row r="83">
      <c r="A83" s="9" t="n">
        <v>69</v>
      </c>
      <c r="B83" s="9" t="n">
        <v>224301</v>
      </c>
      <c r="C83" s="10" t="inlineStr">
        <is>
          <t>7896094915374</t>
        </is>
      </c>
      <c r="D83" s="11" t="inlineStr">
        <is>
          <t>ATROVERAN DIP 1G BL 10 COMP</t>
        </is>
      </c>
      <c r="E83" s="11" t="inlineStr">
        <is>
          <t>COSMED</t>
        </is>
      </c>
      <c r="F83" s="9" t="n">
        <v>4</v>
      </c>
      <c r="G83" s="12" t="n"/>
      <c r="H83" s="13" t="n"/>
      <c r="I83" s="4" t="n"/>
      <c r="J83" s="14">
        <f>IF(G83="","",F83*G83)</f>
        <v/>
      </c>
    </row>
    <row r="84">
      <c r="A84" s="15" t="n">
        <v>70</v>
      </c>
      <c r="B84" s="15" t="n">
        <v>584581</v>
      </c>
      <c r="C84" s="16" t="inlineStr">
        <is>
          <t>7896094914087</t>
        </is>
      </c>
      <c r="D84" s="17" t="inlineStr">
        <is>
          <t>ATROVERAN HOT DISP 1 SACHE</t>
        </is>
      </c>
      <c r="E84" s="17" t="inlineStr">
        <is>
          <t>COSMED</t>
        </is>
      </c>
      <c r="F84" s="15" t="n">
        <v>1</v>
      </c>
      <c r="G84" s="12" t="n"/>
      <c r="H84" s="13" t="n"/>
      <c r="I84" s="4" t="n"/>
      <c r="J84" s="18">
        <f>IF(G84="","",F84*G84)</f>
        <v/>
      </c>
    </row>
    <row r="85">
      <c r="A85" s="15" t="n">
        <v>71</v>
      </c>
      <c r="B85" s="15" t="n">
        <v>584581</v>
      </c>
      <c r="C85" s="16" t="inlineStr">
        <is>
          <t>7896094916616</t>
        </is>
      </c>
      <c r="D85" s="17" t="inlineStr">
        <is>
          <t>ATROVERAN HOT DISP 1 SACHE</t>
        </is>
      </c>
      <c r="E85" s="17" t="inlineStr">
        <is>
          <t>COSMED</t>
        </is>
      </c>
      <c r="F85" s="15" t="n">
        <v>1</v>
      </c>
      <c r="G85" s="12" t="n"/>
      <c r="H85" s="13" t="n"/>
      <c r="I85" s="4" t="n"/>
      <c r="J85" s="18">
        <f>IF(G85="","",F85*G85)</f>
        <v/>
      </c>
    </row>
    <row r="86">
      <c r="A86" s="9" t="n">
        <v>72</v>
      </c>
      <c r="B86" s="9" t="n">
        <v>488841</v>
      </c>
      <c r="C86" s="10" t="inlineStr">
        <is>
          <t>7891317010287</t>
        </is>
      </c>
      <c r="D86" s="11" t="inlineStr">
        <is>
          <t>ATTENZE 10MG CX 30 COMP</t>
        </is>
      </c>
      <c r="E86" s="11" t="inlineStr">
        <is>
          <t>EUROFARMA</t>
        </is>
      </c>
      <c r="F86" s="9" t="n">
        <v>1</v>
      </c>
      <c r="G86" s="12" t="n"/>
      <c r="H86" s="13" t="n"/>
      <c r="I86" s="4" t="n"/>
      <c r="J86" s="14">
        <f>IF(G86="","",F86*G86)</f>
        <v/>
      </c>
    </row>
    <row r="87">
      <c r="A87" s="15" t="n">
        <v>73</v>
      </c>
      <c r="B87" s="15" t="n">
        <v>258201</v>
      </c>
      <c r="C87" s="16" t="inlineStr">
        <is>
          <t>7896015518875</t>
        </is>
      </c>
      <c r="D87" s="17" t="inlineStr">
        <is>
          <t>AVAMYS 27,5MG SPRAY NAS 120 DOS</t>
        </is>
      </c>
      <c r="E87" s="17" t="inlineStr">
        <is>
          <t>GSK</t>
        </is>
      </c>
      <c r="F87" s="15" t="n">
        <v>9</v>
      </c>
      <c r="G87" s="12" t="n"/>
      <c r="H87" s="13" t="n"/>
      <c r="I87" s="4" t="n"/>
      <c r="J87" s="18">
        <f>IF(G87="","",F87*G87)</f>
        <v/>
      </c>
    </row>
    <row r="88">
      <c r="A88" s="9" t="n">
        <v>74</v>
      </c>
      <c r="B88" s="9" t="n">
        <v>15761</v>
      </c>
      <c r="C88" s="10" t="inlineStr">
        <is>
          <t>5702191025637</t>
        </is>
      </c>
      <c r="D88" s="11" t="inlineStr">
        <is>
          <t>AZELAN 150 MG/G GEL CT BG AL X 30 G</t>
        </is>
      </c>
      <c r="E88" s="11" t="inlineStr">
        <is>
          <t>LEO PHARMA</t>
        </is>
      </c>
      <c r="F88" s="9" t="n">
        <v>3</v>
      </c>
      <c r="G88" s="12" t="n"/>
      <c r="H88" s="13" t="n"/>
      <c r="I88" s="4" t="n"/>
      <c r="J88" s="14">
        <f>IF(G88="","",F88*G88)</f>
        <v/>
      </c>
    </row>
    <row r="89">
      <c r="A89" s="15" t="n">
        <v>75</v>
      </c>
      <c r="B89" s="15" t="n">
        <v>329081</v>
      </c>
      <c r="C89" s="16" t="inlineStr">
        <is>
          <t>7896548197967</t>
        </is>
      </c>
      <c r="D89" s="17" t="inlineStr">
        <is>
          <t>AZORGA 10+5MG/ML SUS OFT FR GOT X 5ML</t>
        </is>
      </c>
      <c r="E89" s="17" t="inlineStr">
        <is>
          <t>NOVARTIS</t>
        </is>
      </c>
      <c r="F89" s="15" t="n">
        <v>5</v>
      </c>
      <c r="G89" s="12" t="n"/>
      <c r="H89" s="13" t="n"/>
      <c r="I89" s="4" t="n"/>
      <c r="J89" s="18">
        <f>IF(G89="","",F89*G89)</f>
        <v/>
      </c>
    </row>
    <row r="90">
      <c r="A90" s="9" t="n">
        <v>76</v>
      </c>
      <c r="B90" s="9" t="n">
        <v>364041</v>
      </c>
      <c r="C90" s="10" t="inlineStr">
        <is>
          <t>7891317172749</t>
        </is>
      </c>
      <c r="D90" s="11" t="inlineStr">
        <is>
          <t>AZOX 20MG/ML PO SUS OR FR 100ML+SER DOS</t>
        </is>
      </c>
      <c r="E90" s="11" t="inlineStr">
        <is>
          <t>EUROFARMA</t>
        </is>
      </c>
      <c r="F90" s="9" t="n">
        <v>1</v>
      </c>
      <c r="G90" s="12" t="n"/>
      <c r="H90" s="13" t="n"/>
      <c r="I90" s="4" t="n"/>
      <c r="J90" s="14">
        <f>IF(G90="","",F90*G90)</f>
        <v/>
      </c>
    </row>
    <row r="91">
      <c r="A91" s="9" t="n">
        <v>77</v>
      </c>
      <c r="B91" s="9" t="n">
        <v>364041</v>
      </c>
      <c r="C91" s="10" t="inlineStr">
        <is>
          <t>7891317036768</t>
        </is>
      </c>
      <c r="D91" s="11" t="inlineStr">
        <is>
          <t>AZOX 20MG/ML PO SUS OR FR 100ML+SER DOS</t>
        </is>
      </c>
      <c r="E91" s="11" t="inlineStr">
        <is>
          <t>EUROFARMA</t>
        </is>
      </c>
      <c r="F91" s="9" t="n">
        <v>1</v>
      </c>
      <c r="G91" s="12" t="n"/>
      <c r="H91" s="13" t="n"/>
      <c r="I91" s="4" t="n"/>
      <c r="J91" s="14">
        <f>IF(G91="","",F91*G91)</f>
        <v/>
      </c>
    </row>
    <row r="92">
      <c r="A92" s="15" t="n">
        <v>78</v>
      </c>
      <c r="B92" s="15" t="n">
        <v>364061</v>
      </c>
      <c r="C92" s="16" t="inlineStr">
        <is>
          <t>7891317036751</t>
        </is>
      </c>
      <c r="D92" s="17" t="inlineStr">
        <is>
          <t>AZOX 20MG/ML PO SUS OR FR 45ML+SER DOS</t>
        </is>
      </c>
      <c r="E92" s="17" t="inlineStr">
        <is>
          <t>EUROFARMA</t>
        </is>
      </c>
      <c r="F92" s="15" t="n">
        <v>3</v>
      </c>
      <c r="G92" s="12" t="n"/>
      <c r="H92" s="13" t="n"/>
      <c r="I92" s="4" t="n"/>
      <c r="J92" s="18">
        <f>IF(G92="","",F92*G92)</f>
        <v/>
      </c>
    </row>
    <row r="93">
      <c r="A93" s="9" t="n">
        <v>79</v>
      </c>
      <c r="B93" s="9" t="n">
        <v>265661</v>
      </c>
      <c r="C93" s="10" t="inlineStr">
        <is>
          <t>8902220106079</t>
        </is>
      </c>
      <c r="D93" s="11" t="inlineStr">
        <is>
          <t>AZUKON MR 30MG CX 30 COMP LIB PROL</t>
        </is>
      </c>
      <c r="E93" s="11" t="inlineStr">
        <is>
          <t>TORRENT DO BRASIL</t>
        </is>
      </c>
      <c r="F93" s="9" t="n">
        <v>8</v>
      </c>
      <c r="G93" s="12" t="n"/>
      <c r="H93" s="13" t="n"/>
      <c r="I93" s="4" t="n"/>
      <c r="J93" s="14">
        <f>IF(G93="","",F93*G93)</f>
        <v/>
      </c>
    </row>
    <row r="94">
      <c r="A94" s="15" t="n">
        <v>80</v>
      </c>
      <c r="B94" s="15" t="n">
        <v>645591</v>
      </c>
      <c r="C94" s="16" t="inlineStr">
        <is>
          <t>7898040328603</t>
        </is>
      </c>
      <c r="D94" s="17" t="inlineStr">
        <is>
          <t>BACTRIM F CX 10 COMP</t>
        </is>
      </c>
      <c r="E94" s="17" t="inlineStr">
        <is>
          <t>FQM/FARMA</t>
        </is>
      </c>
      <c r="F94" s="15" t="n">
        <v>2</v>
      </c>
      <c r="G94" s="12" t="n"/>
      <c r="H94" s="13" t="n"/>
      <c r="I94" s="4" t="n"/>
      <c r="J94" s="18">
        <f>IF(G94="","",F94*G94)</f>
        <v/>
      </c>
    </row>
    <row r="95">
      <c r="A95" s="9" t="n">
        <v>81</v>
      </c>
      <c r="B95" s="9" t="n">
        <v>354621</v>
      </c>
      <c r="C95" s="10" t="inlineStr">
        <is>
          <t>7896015519834</t>
        </is>
      </c>
      <c r="D95" s="11" t="inlineStr">
        <is>
          <t>BACTROBAN POMADA BG 10G</t>
        </is>
      </c>
      <c r="E95" s="11" t="inlineStr">
        <is>
          <t>GSK</t>
        </is>
      </c>
      <c r="F95" s="9" t="n">
        <v>1</v>
      </c>
      <c r="G95" s="12" t="n"/>
      <c r="H95" s="13" t="n"/>
      <c r="I95" s="4" t="n"/>
      <c r="J95" s="14">
        <f>IF(G95="","",F95*G95)</f>
        <v/>
      </c>
    </row>
    <row r="96">
      <c r="A96" s="15" t="n">
        <v>82</v>
      </c>
      <c r="B96" s="15" t="n">
        <v>339821</v>
      </c>
      <c r="C96" s="16" t="inlineStr">
        <is>
          <t>7896004817576</t>
        </is>
      </c>
      <c r="D96" s="17" t="inlineStr">
        <is>
          <t>BALSAMO BENGUE GEL BG 20G</t>
        </is>
      </c>
      <c r="E96" s="17" t="inlineStr">
        <is>
          <t>EMS OTC</t>
        </is>
      </c>
      <c r="F96" s="15" t="n">
        <v>1</v>
      </c>
      <c r="G96" s="12" t="n"/>
      <c r="H96" s="13" t="n"/>
      <c r="I96" s="4" t="n"/>
      <c r="J96" s="18">
        <f>IF(G96="","",F96*G96)</f>
        <v/>
      </c>
    </row>
    <row r="97">
      <c r="A97" s="9" t="n">
        <v>83</v>
      </c>
      <c r="B97" s="9" t="n">
        <v>596541</v>
      </c>
      <c r="C97" s="10" t="inlineStr">
        <is>
          <t>7891317026554</t>
        </is>
      </c>
      <c r="D97" s="11" t="inlineStr">
        <is>
          <t>BEDOZE 5MG/ML SOL INJ 2 AMP X 1ML</t>
        </is>
      </c>
      <c r="E97" s="11" t="inlineStr">
        <is>
          <t>EUROFARMA</t>
        </is>
      </c>
      <c r="F97" s="9" t="n">
        <v>7</v>
      </c>
      <c r="G97" s="12" t="n"/>
      <c r="H97" s="13" t="n"/>
      <c r="I97" s="4" t="n"/>
      <c r="J97" s="14">
        <f>IF(G97="","",F97*G97)</f>
        <v/>
      </c>
    </row>
    <row r="98">
      <c r="A98" s="15" t="n">
        <v>84</v>
      </c>
      <c r="B98" s="15" t="n">
        <v>114701</v>
      </c>
      <c r="C98" s="16" t="inlineStr">
        <is>
          <t>7891010974923</t>
        </is>
      </c>
      <c r="D98" s="17" t="inlineStr">
        <is>
          <t>BENALET 5+50+10MG PASTILHA CARTELA MEL/LIMAO C/ 4UN</t>
        </is>
      </c>
      <c r="E98" s="17" t="inlineStr">
        <is>
          <t>JOHNSON &amp; JOHNSON</t>
        </is>
      </c>
      <c r="F98" s="15" t="n">
        <v>1</v>
      </c>
      <c r="G98" s="12" t="n"/>
      <c r="H98" s="13" t="n"/>
      <c r="I98" s="4" t="n"/>
      <c r="J98" s="18">
        <f>IF(G98="","",F98*G98)</f>
        <v/>
      </c>
    </row>
    <row r="99">
      <c r="A99" s="15" t="n">
        <v>85</v>
      </c>
      <c r="B99" s="15" t="n">
        <v>114701</v>
      </c>
      <c r="C99" s="16" t="inlineStr">
        <is>
          <t>7891010256685</t>
        </is>
      </c>
      <c r="D99" s="17" t="inlineStr">
        <is>
          <t>BENALET 5+50+10MG PASTILHA CARTELA MEL/LIMAO C/ 4UN</t>
        </is>
      </c>
      <c r="E99" s="17" t="inlineStr">
        <is>
          <t>JOHNSON &amp; JOHNSON</t>
        </is>
      </c>
      <c r="F99" s="15" t="n">
        <v>1</v>
      </c>
      <c r="G99" s="12" t="n"/>
      <c r="H99" s="13" t="n"/>
      <c r="I99" s="4" t="n"/>
      <c r="J99" s="18">
        <f>IF(G99="","",F99*G99)</f>
        <v/>
      </c>
    </row>
    <row r="100">
      <c r="A100" s="9" t="n">
        <v>86</v>
      </c>
      <c r="B100" s="9" t="n">
        <v>657751</v>
      </c>
      <c r="C100" s="10" t="inlineStr">
        <is>
          <t>7891010256692</t>
        </is>
      </c>
      <c r="D100" s="11" t="inlineStr">
        <is>
          <t>BENALET 5+50+10MG PASTILHA CARTELA MENTA C/ 4UN</t>
        </is>
      </c>
      <c r="E100" s="11" t="inlineStr">
        <is>
          <t>JOHNSON &amp; JOHNSON</t>
        </is>
      </c>
      <c r="F100" s="9" t="n">
        <v>1</v>
      </c>
      <c r="G100" s="12" t="n"/>
      <c r="H100" s="13" t="n"/>
      <c r="I100" s="4" t="n"/>
      <c r="J100" s="14">
        <f>IF(G100="","",F100*G100)</f>
        <v/>
      </c>
    </row>
    <row r="101">
      <c r="A101" s="15" t="n">
        <v>87</v>
      </c>
      <c r="B101" s="15" t="n">
        <v>497121</v>
      </c>
      <c r="C101" s="16" t="inlineStr">
        <is>
          <t>7891268402025</t>
        </is>
      </c>
      <c r="D101" s="17" t="inlineStr">
        <is>
          <t>BENALET 5+50+10MG PASTILHA SB MEL E LIMAO CX C/ 12UN</t>
        </is>
      </c>
      <c r="E101" s="17" t="inlineStr">
        <is>
          <t>JOHNSON &amp; JOHNSON</t>
        </is>
      </c>
      <c r="F101" s="15" t="n">
        <v>2</v>
      </c>
      <c r="G101" s="12" t="n"/>
      <c r="H101" s="13" t="n"/>
      <c r="I101" s="4" t="n"/>
      <c r="J101" s="18">
        <f>IF(G101="","",F101*G101)</f>
        <v/>
      </c>
    </row>
    <row r="102">
      <c r="A102" s="9" t="n">
        <v>88</v>
      </c>
      <c r="B102" s="9" t="n">
        <v>114681</v>
      </c>
      <c r="C102" s="10" t="inlineStr">
        <is>
          <t>7891010974930</t>
        </is>
      </c>
      <c r="D102" s="11" t="inlineStr">
        <is>
          <t>BENALET 5+50+10MG PASTILHA SB MENTA CX C/ 12UN</t>
        </is>
      </c>
      <c r="E102" s="11" t="inlineStr">
        <is>
          <t>JOHNSON &amp; JOHNSON</t>
        </is>
      </c>
      <c r="F102" s="9" t="n">
        <v>1</v>
      </c>
      <c r="G102" s="12" t="n"/>
      <c r="H102" s="13" t="n"/>
      <c r="I102" s="4" t="n"/>
      <c r="J102" s="14">
        <f>IF(G102="","",F102*G102)</f>
        <v/>
      </c>
    </row>
    <row r="103">
      <c r="A103" s="9" t="n">
        <v>89</v>
      </c>
      <c r="B103" s="9" t="n">
        <v>114681</v>
      </c>
      <c r="C103" s="10" t="inlineStr">
        <is>
          <t>7891268402018</t>
        </is>
      </c>
      <c r="D103" s="11" t="inlineStr">
        <is>
          <t>BENALET 5+50+10MG PASTILHA SB MENTA CX C/ 12UN</t>
        </is>
      </c>
      <c r="E103" s="11" t="inlineStr">
        <is>
          <t>JOHNSON &amp; JOHNSON</t>
        </is>
      </c>
      <c r="F103" s="9" t="n">
        <v>1</v>
      </c>
      <c r="G103" s="12" t="n"/>
      <c r="H103" s="13" t="n"/>
      <c r="I103" s="4" t="n"/>
      <c r="J103" s="14">
        <f>IF(G103="","",F103*G103)</f>
        <v/>
      </c>
    </row>
    <row r="104">
      <c r="A104" s="15" t="n">
        <v>90</v>
      </c>
      <c r="B104" s="15" t="n">
        <v>330001</v>
      </c>
      <c r="C104" s="16" t="inlineStr">
        <is>
          <t>7896094915107</t>
        </is>
      </c>
      <c r="D104" s="17" t="inlineStr">
        <is>
          <t>BENEGRIP 250+30+250+2MG BL CX 12CP</t>
        </is>
      </c>
      <c r="E104" s="17" t="inlineStr">
        <is>
          <t>COSMED</t>
        </is>
      </c>
      <c r="F104" s="15" t="n">
        <v>2</v>
      </c>
      <c r="G104" s="12" t="n"/>
      <c r="H104" s="13" t="n"/>
      <c r="I104" s="4" t="n"/>
      <c r="J104" s="18">
        <f>IF(G104="","",F104*G104)</f>
        <v/>
      </c>
    </row>
    <row r="105">
      <c r="A105" s="9" t="n">
        <v>91</v>
      </c>
      <c r="B105" s="9" t="n">
        <v>653281</v>
      </c>
      <c r="C105" s="10" t="inlineStr">
        <is>
          <t>7896094929593</t>
        </is>
      </c>
      <c r="D105" s="11" t="inlineStr">
        <is>
          <t>BENEGRIP IMUNO KIDS 30 CPR SORT-DEMAIS PROD</t>
        </is>
      </c>
      <c r="E105" s="11" t="inlineStr">
        <is>
          <t>HYPERA FARMA</t>
        </is>
      </c>
      <c r="F105" s="9" t="n">
        <v>1</v>
      </c>
      <c r="G105" s="12" t="n"/>
      <c r="H105" s="13" t="n"/>
      <c r="I105" s="4" t="n"/>
      <c r="J105" s="14">
        <f>IF(G105="","",F105*G105)</f>
        <v/>
      </c>
    </row>
    <row r="106">
      <c r="A106" s="15" t="n">
        <v>92</v>
      </c>
      <c r="B106" s="15" t="n">
        <v>399561</v>
      </c>
      <c r="C106" s="16" t="inlineStr">
        <is>
          <t>7896094905825</t>
        </is>
      </c>
      <c r="D106" s="17" t="inlineStr">
        <is>
          <t>BENEGRIP MULTI 13,30+0,33+ 0,13MG SOL OR X 240ML</t>
        </is>
      </c>
      <c r="E106" s="17" t="inlineStr">
        <is>
          <t>COSMED</t>
        </is>
      </c>
      <c r="F106" s="15" t="n">
        <v>1</v>
      </c>
      <c r="G106" s="12" t="n"/>
      <c r="H106" s="13" t="n"/>
      <c r="I106" s="4" t="n"/>
      <c r="J106" s="18">
        <f>IF(G106="","",F106*G106)</f>
        <v/>
      </c>
    </row>
    <row r="107">
      <c r="A107" s="9" t="n">
        <v>93</v>
      </c>
      <c r="B107" s="9" t="n">
        <v>49061</v>
      </c>
      <c r="C107" s="10" t="inlineStr">
        <is>
          <t>7891317496241</t>
        </is>
      </c>
      <c r="D107" s="11" t="inlineStr">
        <is>
          <t>BENZETACIL 300.000U/ML SUS INJ 1FA X 4ML</t>
        </is>
      </c>
      <c r="E107" s="11" t="inlineStr">
        <is>
          <t>SUPERA</t>
        </is>
      </c>
      <c r="F107" s="9" t="n">
        <v>2</v>
      </c>
      <c r="G107" s="12" t="n"/>
      <c r="H107" s="13" t="n"/>
      <c r="I107" s="4" t="n"/>
      <c r="J107" s="14">
        <f>IF(G107="","",F107*G107)</f>
        <v/>
      </c>
    </row>
    <row r="108">
      <c r="A108" s="15" t="n">
        <v>94</v>
      </c>
      <c r="B108" s="15" t="n">
        <v>588821</v>
      </c>
      <c r="C108" s="16" t="inlineStr">
        <is>
          <t>7891106912167</t>
        </is>
      </c>
      <c r="D108" s="17" t="inlineStr">
        <is>
          <t>BEPANTOL BABY 30+15G</t>
        </is>
      </c>
      <c r="E108" s="17" t="inlineStr">
        <is>
          <t>BAYER</t>
        </is>
      </c>
      <c r="F108" s="15" t="n">
        <v>15</v>
      </c>
      <c r="G108" s="12" t="n"/>
      <c r="H108" s="13" t="n"/>
      <c r="I108" s="4" t="n"/>
      <c r="J108" s="18">
        <f>IF(G108="","",F108*G108)</f>
        <v/>
      </c>
    </row>
    <row r="109">
      <c r="A109" s="9" t="n">
        <v>95</v>
      </c>
      <c r="B109" s="9" t="n">
        <v>550701</v>
      </c>
      <c r="C109" s="10" t="inlineStr">
        <is>
          <t>7891106907286</t>
        </is>
      </c>
      <c r="D109" s="11" t="inlineStr">
        <is>
          <t>BEPANTOL DERMA CR 20GR</t>
        </is>
      </c>
      <c r="E109" s="11" t="inlineStr">
        <is>
          <t>BAYER</t>
        </is>
      </c>
      <c r="F109" s="9" t="n">
        <v>10</v>
      </c>
      <c r="G109" s="12" t="n"/>
      <c r="H109" s="13" t="n"/>
      <c r="I109" s="4" t="n"/>
      <c r="J109" s="14">
        <f>IF(G109="","",F109*G109)</f>
        <v/>
      </c>
    </row>
    <row r="110">
      <c r="A110" s="15" t="n">
        <v>96</v>
      </c>
      <c r="B110" s="15" t="n">
        <v>666671</v>
      </c>
      <c r="C110" s="16" t="inlineStr">
        <is>
          <t>7891106914628</t>
        </is>
      </c>
      <c r="D110" s="17" t="inlineStr">
        <is>
          <t>BEPANTOL DERMA REGENERADOR 200ML-DEMAIS PROD</t>
        </is>
      </c>
      <c r="E110" s="17" t="inlineStr">
        <is>
          <t>BAYER</t>
        </is>
      </c>
      <c r="F110" s="15" t="n">
        <v>1</v>
      </c>
      <c r="G110" s="12" t="n"/>
      <c r="H110" s="13" t="n"/>
      <c r="I110" s="4" t="n"/>
      <c r="J110" s="18">
        <f>IF(G110="","",F110*G110)</f>
        <v/>
      </c>
    </row>
    <row r="111">
      <c r="A111" s="9" t="n">
        <v>97</v>
      </c>
      <c r="B111" s="9" t="n">
        <v>666661</v>
      </c>
      <c r="C111" s="10" t="inlineStr">
        <is>
          <t>7891106916578</t>
        </is>
      </c>
      <c r="D111" s="11" t="inlineStr">
        <is>
          <t>BEPANTOL DERMA ROSA MOSQUETA 20G-DEMAIS PROD</t>
        </is>
      </c>
      <c r="E111" s="11" t="inlineStr">
        <is>
          <t>BAYER</t>
        </is>
      </c>
      <c r="F111" s="9" t="n">
        <v>3</v>
      </c>
      <c r="G111" s="12" t="n"/>
      <c r="H111" s="13" t="n"/>
      <c r="I111" s="4" t="n"/>
      <c r="J111" s="14">
        <f>IF(G111="","",F111*G111)</f>
        <v/>
      </c>
    </row>
    <row r="112">
      <c r="A112" s="15" t="n">
        <v>98</v>
      </c>
      <c r="B112" s="15" t="n">
        <v>632681</v>
      </c>
      <c r="C112" s="16" t="inlineStr">
        <is>
          <t>7891106913522</t>
        </is>
      </c>
      <c r="D112" s="17" t="inlineStr">
        <is>
          <t>BEPANTOL DERMA TOQUE SECO CR 30G</t>
        </is>
      </c>
      <c r="E112" s="17" t="inlineStr">
        <is>
          <t>BAYER</t>
        </is>
      </c>
      <c r="F112" s="15" t="n">
        <v>3</v>
      </c>
      <c r="G112" s="12" t="n"/>
      <c r="H112" s="13" t="n"/>
      <c r="I112" s="4" t="n"/>
      <c r="J112" s="18">
        <f>IF(G112="","",F112*G112)</f>
        <v/>
      </c>
    </row>
    <row r="113">
      <c r="A113" s="9" t="n">
        <v>99</v>
      </c>
      <c r="B113" s="9" t="n">
        <v>666701</v>
      </c>
      <c r="C113" s="10" t="inlineStr">
        <is>
          <t>7891106916288</t>
        </is>
      </c>
      <c r="D113" s="11" t="inlineStr">
        <is>
          <t>BEPANTOL LENCOS UMED BIO 48UN-DEMAIS PROD</t>
        </is>
      </c>
      <c r="E113" s="11" t="inlineStr">
        <is>
          <t>BAYER</t>
        </is>
      </c>
      <c r="F113" s="9" t="n">
        <v>2</v>
      </c>
      <c r="G113" s="12" t="n"/>
      <c r="H113" s="13" t="n"/>
      <c r="I113" s="4" t="n"/>
      <c r="J113" s="14">
        <f>IF(G113="","",F113*G113)</f>
        <v/>
      </c>
    </row>
    <row r="114">
      <c r="A114" s="15" t="n">
        <v>100</v>
      </c>
      <c r="B114" s="15" t="n">
        <v>666691</v>
      </c>
      <c r="C114" s="16" t="inlineStr">
        <is>
          <t>7891106916516</t>
        </is>
      </c>
      <c r="D114" s="17" t="inlineStr">
        <is>
          <t>BEPANTOL TATTOO CR RESTAURA 30G-DEMAIS PROD</t>
        </is>
      </c>
      <c r="E114" s="17" t="inlineStr">
        <is>
          <t>BAYER</t>
        </is>
      </c>
      <c r="F114" s="15" t="n">
        <v>2</v>
      </c>
      <c r="G114" s="12" t="n"/>
      <c r="H114" s="13" t="n"/>
      <c r="I114" s="4" t="n"/>
      <c r="J114" s="18">
        <f>IF(G114="","",F114*G114)</f>
        <v/>
      </c>
    </row>
    <row r="115">
      <c r="A115" s="9" t="n">
        <v>101</v>
      </c>
      <c r="B115" s="9" t="n">
        <v>82401</v>
      </c>
      <c r="C115" s="10" t="inlineStr">
        <is>
          <t>7896026171182</t>
        </is>
      </c>
      <c r="D115" s="11" t="inlineStr">
        <is>
          <t>BESEROL 300+125+50+30MG CX 12 COMP</t>
        </is>
      </c>
      <c r="E115" s="11" t="inlineStr">
        <is>
          <t>MEGALABS</t>
        </is>
      </c>
      <c r="F115" s="9" t="n">
        <v>9</v>
      </c>
      <c r="G115" s="12" t="n"/>
      <c r="H115" s="13" t="n"/>
      <c r="I115" s="4" t="n"/>
      <c r="J115" s="14">
        <f>IF(G115="","",F115*G115)</f>
        <v/>
      </c>
    </row>
    <row r="116">
      <c r="A116" s="15" t="n">
        <v>102</v>
      </c>
      <c r="B116" s="15" t="n">
        <v>82381</v>
      </c>
      <c r="C116" s="16" t="inlineStr">
        <is>
          <t>7896026171199</t>
        </is>
      </c>
      <c r="D116" s="17" t="inlineStr">
        <is>
          <t>BESEROL 300+125+50+30MG CX 4 COMP</t>
        </is>
      </c>
      <c r="E116" s="17" t="inlineStr">
        <is>
          <t>MEGALABS</t>
        </is>
      </c>
      <c r="F116" s="15" t="n">
        <v>7</v>
      </c>
      <c r="G116" s="12" t="n"/>
      <c r="H116" s="13" t="n"/>
      <c r="I116" s="4" t="n"/>
      <c r="J116" s="18">
        <f>IF(G116="","",F116*G116)</f>
        <v/>
      </c>
    </row>
    <row r="117">
      <c r="A117" s="9" t="n">
        <v>103</v>
      </c>
      <c r="B117" s="9" t="n">
        <v>254101</v>
      </c>
      <c r="C117" s="10" t="inlineStr">
        <is>
          <t>7891317103323</t>
        </is>
      </c>
      <c r="D117" s="11" t="inlineStr">
        <is>
          <t>BETATRINTA 5+2MG/ML SUS INJ AMP X 1ML+SER SIST</t>
        </is>
      </c>
      <c r="E117" s="11" t="inlineStr">
        <is>
          <t>EUROFARMA</t>
        </is>
      </c>
      <c r="F117" s="9" t="n">
        <v>17</v>
      </c>
      <c r="G117" s="12" t="n"/>
      <c r="H117" s="13" t="n"/>
      <c r="I117" s="4" t="n"/>
      <c r="J117" s="14">
        <f>IF(G117="","",F117*G117)</f>
        <v/>
      </c>
    </row>
    <row r="118">
      <c r="A118" s="15" t="n">
        <v>104</v>
      </c>
      <c r="B118" s="15" t="n">
        <v>128081</v>
      </c>
      <c r="C118" s="16" t="inlineStr">
        <is>
          <t>7891317478964</t>
        </is>
      </c>
      <c r="D118" s="17" t="inlineStr">
        <is>
          <t>BETINA 24MG CX 30 COMP</t>
        </is>
      </c>
      <c r="E118" s="17" t="inlineStr">
        <is>
          <t>EUROFARMA</t>
        </is>
      </c>
      <c r="F118" s="15" t="n">
        <v>1</v>
      </c>
      <c r="G118" s="12" t="n"/>
      <c r="H118" s="13" t="n"/>
      <c r="I118" s="4" t="n"/>
      <c r="J118" s="18">
        <f>IF(G118="","",F118*G118)</f>
        <v/>
      </c>
    </row>
    <row r="119">
      <c r="A119" s="9" t="n">
        <v>105</v>
      </c>
      <c r="B119" s="9" t="n">
        <v>593551</v>
      </c>
      <c r="C119" s="10" t="inlineStr">
        <is>
          <t>7894916517461</t>
        </is>
      </c>
      <c r="D119" s="11" t="inlineStr">
        <is>
          <t>BEXAI 35MG CX 10 CAP</t>
        </is>
      </c>
      <c r="E119" s="11" t="inlineStr">
        <is>
          <t>SIGMA PHARMA</t>
        </is>
      </c>
      <c r="F119" s="9" t="n">
        <v>6</v>
      </c>
      <c r="G119" s="12" t="n"/>
      <c r="H119" s="13" t="n"/>
      <c r="I119" s="4" t="n"/>
      <c r="J119" s="14">
        <f>IF(G119="","",F119*G119)</f>
        <v/>
      </c>
    </row>
    <row r="120">
      <c r="A120" s="15" t="n">
        <v>106</v>
      </c>
      <c r="B120" s="15" t="n">
        <v>550721</v>
      </c>
      <c r="C120" s="16" t="inlineStr">
        <is>
          <t>7891317001964</t>
        </is>
      </c>
      <c r="D120" s="17" t="inlineStr">
        <is>
          <t>BICERTO 150MG CX 10 COMP LIB PROL</t>
        </is>
      </c>
      <c r="E120" s="17" t="inlineStr">
        <is>
          <t>EUROFARMA</t>
        </is>
      </c>
      <c r="F120" s="15" t="n">
        <v>1</v>
      </c>
      <c r="G120" s="12" t="n"/>
      <c r="H120" s="13" t="n"/>
      <c r="I120" s="4" t="n"/>
      <c r="J120" s="18">
        <f>IF(G120="","",F120*G120)</f>
        <v/>
      </c>
    </row>
    <row r="121">
      <c r="A121" s="9" t="n">
        <v>107</v>
      </c>
      <c r="B121" s="9" t="n">
        <v>24703</v>
      </c>
      <c r="C121" s="10" t="inlineStr">
        <is>
          <t>7896658052279</t>
        </is>
      </c>
      <c r="D121" s="11" t="inlineStr">
        <is>
          <t>BIO FEMINA CX 10 CAP</t>
        </is>
      </c>
      <c r="E121" s="11" t="inlineStr">
        <is>
          <t>ACHE</t>
        </is>
      </c>
      <c r="F121" s="9" t="n">
        <v>1</v>
      </c>
      <c r="G121" s="12" t="n"/>
      <c r="H121" s="13" t="n"/>
      <c r="I121" s="4" t="n"/>
      <c r="J121" s="14">
        <f>IF(G121="","",F121*G121)</f>
        <v/>
      </c>
    </row>
    <row r="122">
      <c r="A122" s="15" t="n">
        <v>108</v>
      </c>
      <c r="B122" s="15" t="n">
        <v>210861</v>
      </c>
      <c r="C122" s="16" t="inlineStr">
        <is>
          <t>7896658014321</t>
        </is>
      </c>
      <c r="D122" s="17" t="inlineStr">
        <is>
          <t>BIOFENAC 11,6MG/G SOL SER TB 60G</t>
        </is>
      </c>
      <c r="E122" s="17" t="inlineStr">
        <is>
          <t>ACHE</t>
        </is>
      </c>
      <c r="F122" s="15" t="n">
        <v>5</v>
      </c>
      <c r="G122" s="12" t="n"/>
      <c r="H122" s="13" t="n"/>
      <c r="I122" s="4" t="n"/>
      <c r="J122" s="18">
        <f>IF(G122="","",F122*G122)</f>
        <v/>
      </c>
    </row>
    <row r="123">
      <c r="A123" s="9" t="n">
        <v>109</v>
      </c>
      <c r="B123" s="9" t="n">
        <v>455201</v>
      </c>
      <c r="C123" s="10" t="inlineStr">
        <is>
          <t>7896094903067</t>
        </is>
      </c>
      <c r="D123" s="11" t="inlineStr">
        <is>
          <t>BIOTONICO N 466+833+1+0,1+2+10MCL SOL FR 400ML</t>
        </is>
      </c>
      <c r="E123" s="11" t="inlineStr">
        <is>
          <t>COSMED</t>
        </is>
      </c>
      <c r="F123" s="9" t="n">
        <v>4</v>
      </c>
      <c r="G123" s="12" t="n"/>
      <c r="H123" s="13" t="n"/>
      <c r="I123" s="4" t="n"/>
      <c r="J123" s="14">
        <f>IF(G123="","",F123*G123)</f>
        <v/>
      </c>
    </row>
    <row r="124">
      <c r="A124" s="15" t="n">
        <v>110</v>
      </c>
      <c r="B124" s="15" t="n">
        <v>48321</v>
      </c>
      <c r="C124" s="16" t="inlineStr">
        <is>
          <t>7898100268290</t>
        </is>
      </c>
      <c r="D124" s="17" t="inlineStr">
        <is>
          <t>BIOVICERIN  END/ML SUS OR 2 FLAC X 5ML</t>
        </is>
      </c>
      <c r="E124" s="17" t="inlineStr">
        <is>
          <t>MEGALABS FARMACEUTICA</t>
        </is>
      </c>
      <c r="F124" s="15" t="n">
        <v>23</v>
      </c>
      <c r="G124" s="12" t="n"/>
      <c r="H124" s="13" t="n"/>
      <c r="I124" s="4" t="n"/>
      <c r="J124" s="18">
        <f>IF(G124="","",F124*G124)</f>
        <v/>
      </c>
    </row>
    <row r="125">
      <c r="A125" s="9" t="n">
        <v>111</v>
      </c>
      <c r="B125" s="9" t="n">
        <v>48341</v>
      </c>
      <c r="C125" s="10" t="inlineStr">
        <is>
          <t>7898100268306</t>
        </is>
      </c>
      <c r="D125" s="11" t="inlineStr">
        <is>
          <t>BIOVICERIN END/ML SUS OR FRACIONADO 1UND</t>
        </is>
      </c>
      <c r="E125" s="11" t="inlineStr">
        <is>
          <t>GEYER</t>
        </is>
      </c>
      <c r="F125" s="9" t="n">
        <v>10</v>
      </c>
      <c r="G125" s="12" t="n"/>
      <c r="H125" s="13" t="n"/>
      <c r="I125" s="4" t="n"/>
      <c r="J125" s="14">
        <f>IF(G125="","",F125*G125)</f>
        <v/>
      </c>
    </row>
    <row r="126">
      <c r="A126" s="15" t="n">
        <v>112</v>
      </c>
      <c r="B126" s="15" t="n">
        <v>566161</v>
      </c>
      <c r="C126" s="16" t="inlineStr">
        <is>
          <t>7896714275253</t>
        </is>
      </c>
      <c r="D126" s="17" t="inlineStr">
        <is>
          <t>BLUMEL IMUNE KIDS SOL ORAL 60ML (HCH)</t>
        </is>
      </c>
      <c r="E126" s="17" t="inlineStr">
        <is>
          <t>HYPERA FARMA</t>
        </is>
      </c>
      <c r="F126" s="15" t="n">
        <v>1</v>
      </c>
      <c r="G126" s="12" t="n"/>
      <c r="H126" s="13" t="n"/>
      <c r="I126" s="4" t="n"/>
      <c r="J126" s="18">
        <f>IF(G126="","",F126*G126)</f>
        <v/>
      </c>
    </row>
    <row r="127">
      <c r="A127" s="9" t="n">
        <v>113</v>
      </c>
      <c r="B127" s="9" t="n">
        <v>478041</v>
      </c>
      <c r="C127" s="10" t="inlineStr">
        <is>
          <t>7894916509084</t>
        </is>
      </c>
      <c r="D127" s="11" t="inlineStr">
        <is>
          <t>BRASART HCT 320+12,5MG CX 30 COMP REV</t>
        </is>
      </c>
      <c r="E127" s="11" t="inlineStr">
        <is>
          <t>SIGMA PHARMA</t>
        </is>
      </c>
      <c r="F127" s="9" t="n">
        <v>2</v>
      </c>
      <c r="G127" s="12" t="n"/>
      <c r="H127" s="13" t="n"/>
      <c r="I127" s="4" t="n"/>
      <c r="J127" s="14">
        <f>IF(G127="","",F127*G127)</f>
        <v/>
      </c>
    </row>
    <row r="128">
      <c r="A128" s="15" t="n">
        <v>114</v>
      </c>
      <c r="B128" s="15" t="n">
        <v>605221</v>
      </c>
      <c r="C128" s="16" t="inlineStr">
        <is>
          <t>7896685300497</t>
        </is>
      </c>
      <c r="D128" s="17" t="inlineStr">
        <is>
          <t>BROMELIN SPRAY FR 50ML SB PROPOLIS</t>
        </is>
      </c>
      <c r="E128" s="17" t="inlineStr">
        <is>
          <t>HEBRON</t>
        </is>
      </c>
      <c r="F128" s="15" t="n">
        <v>4</v>
      </c>
      <c r="G128" s="12" t="n"/>
      <c r="H128" s="13" t="n"/>
      <c r="I128" s="4" t="n"/>
      <c r="J128" s="18">
        <f>IF(G128="","",F128*G128)</f>
        <v/>
      </c>
    </row>
    <row r="129">
      <c r="A129" s="9" t="n">
        <v>115</v>
      </c>
      <c r="B129" s="9" t="n">
        <v>582201</v>
      </c>
      <c r="C129" s="10" t="inlineStr">
        <is>
          <t>7896685300473</t>
        </is>
      </c>
      <c r="D129" s="11" t="inlineStr">
        <is>
          <t>BROMELIN SUS ORAL FR 100ML</t>
        </is>
      </c>
      <c r="E129" s="11" t="inlineStr">
        <is>
          <t>HEBRON</t>
        </is>
      </c>
      <c r="F129" s="9" t="n">
        <v>2</v>
      </c>
      <c r="G129" s="12" t="n"/>
      <c r="H129" s="13" t="n"/>
      <c r="I129" s="4" t="n"/>
      <c r="J129" s="14">
        <f>IF(G129="","",F129*G129)</f>
        <v/>
      </c>
    </row>
    <row r="130">
      <c r="A130" s="15" t="n">
        <v>116</v>
      </c>
      <c r="B130" s="15" t="n">
        <v>212841</v>
      </c>
      <c r="C130" s="16" t="inlineStr">
        <is>
          <t>7891058019365</t>
        </is>
      </c>
      <c r="D130" s="17" t="inlineStr">
        <is>
          <t>BUCLINA 25MG CX 30 COMP</t>
        </is>
      </c>
      <c r="E130" s="17" t="inlineStr">
        <is>
          <t>MANTECORP/FARMASA</t>
        </is>
      </c>
      <c r="F130" s="15" t="n">
        <v>4</v>
      </c>
      <c r="G130" s="12" t="n"/>
      <c r="H130" s="13" t="n"/>
      <c r="I130" s="4" t="n"/>
      <c r="J130" s="18">
        <f>IF(G130="","",F130*G130)</f>
        <v/>
      </c>
    </row>
    <row r="131">
      <c r="A131" s="15" t="n">
        <v>117</v>
      </c>
      <c r="B131" s="15" t="n">
        <v>212841</v>
      </c>
      <c r="C131" s="16" t="inlineStr">
        <is>
          <t>7896094928077</t>
        </is>
      </c>
      <c r="D131" s="17" t="inlineStr">
        <is>
          <t>BUCLINA 25MG CX 30 COMP</t>
        </is>
      </c>
      <c r="E131" s="17" t="inlineStr">
        <is>
          <t>MANTECORP/FARMASA</t>
        </is>
      </c>
      <c r="F131" s="15" t="n">
        <v>4</v>
      </c>
      <c r="G131" s="12" t="n"/>
      <c r="H131" s="13" t="n"/>
      <c r="I131" s="4" t="n"/>
      <c r="J131" s="18">
        <f>IF(G131="","",F131*G131)</f>
        <v/>
      </c>
    </row>
    <row r="132">
      <c r="A132" s="9" t="n">
        <v>118</v>
      </c>
      <c r="B132" s="9" t="n">
        <v>560881</v>
      </c>
      <c r="C132" s="10" t="inlineStr">
        <is>
          <t>7896360000933</t>
        </is>
      </c>
      <c r="D132" s="11" t="inlineStr">
        <is>
          <t>BUCLIPLEX FR 120ML</t>
        </is>
      </c>
      <c r="E132" s="11" t="inlineStr">
        <is>
          <t>DOVALLE</t>
        </is>
      </c>
      <c r="F132" s="9" t="n">
        <v>4</v>
      </c>
      <c r="G132" s="12" t="n"/>
      <c r="H132" s="13" t="n"/>
      <c r="I132" s="4" t="n"/>
      <c r="J132" s="14">
        <f>IF(G132="","",F132*G132)</f>
        <v/>
      </c>
    </row>
    <row r="133">
      <c r="A133" s="15" t="n">
        <v>119</v>
      </c>
      <c r="B133" s="15" t="n">
        <v>486901</v>
      </c>
      <c r="C133" s="16" t="inlineStr">
        <is>
          <t>7896094921412</t>
        </is>
      </c>
      <c r="D133" s="17" t="inlineStr">
        <is>
          <t>BUSCODUO 500MG CX 20 COMP REV</t>
        </is>
      </c>
      <c r="E133" s="17" t="inlineStr">
        <is>
          <t>COSMED</t>
        </is>
      </c>
      <c r="F133" s="15" t="n">
        <v>4</v>
      </c>
      <c r="G133" s="12" t="n"/>
      <c r="H133" s="13" t="n"/>
      <c r="I133" s="4" t="n"/>
      <c r="J133" s="18">
        <f>IF(G133="","",F133*G133)</f>
        <v/>
      </c>
    </row>
    <row r="134">
      <c r="A134" s="9" t="n">
        <v>120</v>
      </c>
      <c r="B134" s="9" t="n">
        <v>491821</v>
      </c>
      <c r="C134" s="10" t="inlineStr">
        <is>
          <t>7896094921337</t>
        </is>
      </c>
      <c r="D134" s="11" t="inlineStr">
        <is>
          <t>BUSCOFEM 400MG CARTELA C/2 UNID</t>
        </is>
      </c>
      <c r="E134" s="11" t="inlineStr">
        <is>
          <t>HYPERA FARMA</t>
        </is>
      </c>
      <c r="F134" s="9" t="n">
        <v>1</v>
      </c>
      <c r="G134" s="12" t="n"/>
      <c r="H134" s="13" t="n"/>
      <c r="I134" s="4" t="n"/>
      <c r="J134" s="14">
        <f>IF(G134="","",F134*G134)</f>
        <v/>
      </c>
    </row>
    <row r="135">
      <c r="A135" s="9" t="n">
        <v>121</v>
      </c>
      <c r="B135" s="9" t="n">
        <v>491821</v>
      </c>
      <c r="C135" s="10" t="inlineStr">
        <is>
          <t>7896094921320</t>
        </is>
      </c>
      <c r="D135" s="11" t="inlineStr">
        <is>
          <t>BUSCOFEM 400MG CARTELA C/2 UNID</t>
        </is>
      </c>
      <c r="E135" s="11" t="inlineStr">
        <is>
          <t>HYPERA FARMA</t>
        </is>
      </c>
      <c r="F135" s="9" t="n">
        <v>1</v>
      </c>
      <c r="G135" s="12" t="n"/>
      <c r="H135" s="13" t="n"/>
      <c r="I135" s="4" t="n"/>
      <c r="J135" s="14">
        <f>IF(G135="","",F135*G135)</f>
        <v/>
      </c>
    </row>
    <row r="136">
      <c r="A136" s="15" t="n">
        <v>122</v>
      </c>
      <c r="B136" s="15" t="n">
        <v>491801</v>
      </c>
      <c r="C136" s="16" t="inlineStr">
        <is>
          <t>7896094921344</t>
        </is>
      </c>
      <c r="D136" s="17" t="inlineStr">
        <is>
          <t>BUSCOFEM 400MG CX 10 CAP</t>
        </is>
      </c>
      <c r="E136" s="17" t="inlineStr">
        <is>
          <t>COSMED</t>
        </is>
      </c>
      <c r="F136" s="15" t="n">
        <v>6</v>
      </c>
      <c r="G136" s="12" t="n"/>
      <c r="H136" s="13" t="n"/>
      <c r="I136" s="4" t="n"/>
      <c r="J136" s="18">
        <f>IF(G136="","",F136*G136)</f>
        <v/>
      </c>
    </row>
    <row r="137">
      <c r="A137" s="9" t="n">
        <v>123</v>
      </c>
      <c r="B137" s="9" t="n">
        <v>523621</v>
      </c>
      <c r="C137" s="10" t="inlineStr">
        <is>
          <t>7896094999954</t>
        </is>
      </c>
      <c r="D137" s="11" t="inlineStr">
        <is>
          <t>BUSCOFEM 400MG CX 20 CAP</t>
        </is>
      </c>
      <c r="E137" s="11" t="inlineStr">
        <is>
          <t>COSMED</t>
        </is>
      </c>
      <c r="F137" s="9" t="n">
        <v>2</v>
      </c>
      <c r="G137" s="12" t="n"/>
      <c r="H137" s="13" t="n"/>
      <c r="I137" s="4" t="n"/>
      <c r="J137" s="14">
        <f>IF(G137="","",F137*G137)</f>
        <v/>
      </c>
    </row>
    <row r="138">
      <c r="A138" s="15" t="n">
        <v>124</v>
      </c>
      <c r="B138" s="15" t="n">
        <v>625731</v>
      </c>
      <c r="C138" s="16" t="inlineStr">
        <is>
          <t>7896094928176</t>
        </is>
      </c>
      <c r="D138" s="17" t="inlineStr">
        <is>
          <t>BUSCOPAN 10MG/ML SOL ORAL FR 20ML+SER DOS PED</t>
        </is>
      </c>
      <c r="E138" s="17" t="inlineStr">
        <is>
          <t>COSMED</t>
        </is>
      </c>
      <c r="F138" s="15" t="n">
        <v>4</v>
      </c>
      <c r="G138" s="12" t="n"/>
      <c r="H138" s="13" t="n"/>
      <c r="I138" s="4" t="n"/>
      <c r="J138" s="18">
        <f>IF(G138="","",F138*G138)</f>
        <v/>
      </c>
    </row>
    <row r="139">
      <c r="A139" s="9" t="n">
        <v>125</v>
      </c>
      <c r="B139" s="9" t="n">
        <v>571441</v>
      </c>
      <c r="C139" s="10" t="inlineStr">
        <is>
          <t>7896094922273</t>
        </is>
      </c>
      <c r="D139" s="11" t="inlineStr">
        <is>
          <t>BUSCOPAN COMPOSTO 10,0+250,0MG CARTELA C/ 4 COMPR</t>
        </is>
      </c>
      <c r="E139" s="11" t="inlineStr">
        <is>
          <t>COSMED</t>
        </is>
      </c>
      <c r="F139" s="9" t="n">
        <v>2</v>
      </c>
      <c r="G139" s="12" t="n"/>
      <c r="H139" s="13" t="n"/>
      <c r="I139" s="4" t="n"/>
      <c r="J139" s="14">
        <f>IF(G139="","",F139*G139)</f>
        <v/>
      </c>
    </row>
    <row r="140">
      <c r="A140" s="9" t="n">
        <v>126</v>
      </c>
      <c r="B140" s="9" t="n">
        <v>571441</v>
      </c>
      <c r="C140" s="10" t="inlineStr">
        <is>
          <t>7896094922242</t>
        </is>
      </c>
      <c r="D140" s="11" t="inlineStr">
        <is>
          <t>BUSCOPAN COMPOSTO 10,0+250,0MG CARTELA C/ 4 COMPR</t>
        </is>
      </c>
      <c r="E140" s="11" t="inlineStr">
        <is>
          <t>COSMED</t>
        </is>
      </c>
      <c r="F140" s="9" t="n">
        <v>2</v>
      </c>
      <c r="G140" s="12" t="n"/>
      <c r="H140" s="13" t="n"/>
      <c r="I140" s="4" t="n"/>
      <c r="J140" s="14">
        <f>IF(G140="","",F140*G140)</f>
        <v/>
      </c>
    </row>
    <row r="141">
      <c r="A141" s="15" t="n">
        <v>127</v>
      </c>
      <c r="B141" s="15" t="n">
        <v>643961</v>
      </c>
      <c r="C141" s="16" t="inlineStr">
        <is>
          <t>7896094931299</t>
        </is>
      </c>
      <c r="D141" s="17" t="inlineStr">
        <is>
          <t>BUSCOPAN COMPOSTO SOL GOT CT FR X20ML</t>
        </is>
      </c>
      <c r="E141" s="17" t="inlineStr">
        <is>
          <t>COSMED</t>
        </is>
      </c>
      <c r="F141" s="15" t="n">
        <v>6</v>
      </c>
      <c r="G141" s="12" t="n"/>
      <c r="H141" s="13" t="n"/>
      <c r="I141" s="4" t="n"/>
      <c r="J141" s="18">
        <f>IF(G141="","",F141*G141)</f>
        <v/>
      </c>
    </row>
    <row r="142">
      <c r="A142" s="9" t="n">
        <v>128</v>
      </c>
      <c r="B142" s="9" t="n">
        <v>486841</v>
      </c>
      <c r="C142" s="10" t="inlineStr">
        <is>
          <t>7896094921429</t>
        </is>
      </c>
      <c r="D142" s="11" t="inlineStr">
        <is>
          <t>BUSCOPAN DRAG 10MG CX 20 COMP</t>
        </is>
      </c>
      <c r="E142" s="11" t="inlineStr">
        <is>
          <t>COSMED</t>
        </is>
      </c>
      <c r="F142" s="9" t="n">
        <v>5</v>
      </c>
      <c r="G142" s="12" t="n"/>
      <c r="H142" s="13" t="n"/>
      <c r="I142" s="4" t="n"/>
      <c r="J142" s="14">
        <f>IF(G142="","",F142*G142)</f>
        <v/>
      </c>
    </row>
    <row r="143">
      <c r="A143" s="15" t="n">
        <v>129</v>
      </c>
      <c r="B143" s="15" t="n">
        <v>486801</v>
      </c>
      <c r="C143" s="16" t="inlineStr">
        <is>
          <t>7896094921405</t>
        </is>
      </c>
      <c r="D143" s="17" t="inlineStr">
        <is>
          <t>BUSCOPAN GOTAS 10MG/ML FR 20ML</t>
        </is>
      </c>
      <c r="E143" s="17" t="inlineStr">
        <is>
          <t>HYPERA FARMA</t>
        </is>
      </c>
      <c r="F143" s="15" t="n">
        <v>3</v>
      </c>
      <c r="G143" s="12" t="n"/>
      <c r="H143" s="13" t="n"/>
      <c r="I143" s="4" t="n"/>
      <c r="J143" s="18">
        <f>IF(G143="","",F143*G143)</f>
        <v/>
      </c>
    </row>
    <row r="144">
      <c r="A144" s="15" t="n">
        <v>130</v>
      </c>
      <c r="B144" s="15" t="n">
        <v>486801</v>
      </c>
      <c r="C144" s="16" t="inlineStr">
        <is>
          <t>7896094930001</t>
        </is>
      </c>
      <c r="D144" s="17" t="inlineStr">
        <is>
          <t>BUSCOPAN GOTAS 10MG/ML FR 20ML</t>
        </is>
      </c>
      <c r="E144" s="17" t="inlineStr">
        <is>
          <t>HYPERA FARMA</t>
        </is>
      </c>
      <c r="F144" s="15" t="n">
        <v>3</v>
      </c>
      <c r="G144" s="12" t="n"/>
      <c r="H144" s="13" t="n"/>
      <c r="I144" s="4" t="n"/>
      <c r="J144" s="18">
        <f>IF(G144="","",F144*G144)</f>
        <v/>
      </c>
    </row>
    <row r="145">
      <c r="A145" s="9" t="n">
        <v>131</v>
      </c>
      <c r="B145" s="9" t="n">
        <v>584321</v>
      </c>
      <c r="C145" s="10" t="inlineStr">
        <is>
          <t>4987188568712</t>
        </is>
      </c>
      <c r="D145" s="11" t="inlineStr">
        <is>
          <t>BYE BYE FEVER PARA BEBES C/2UN(HSM)</t>
        </is>
      </c>
      <c r="E145" s="11" t="inlineStr">
        <is>
          <t>GEOLAB</t>
        </is>
      </c>
      <c r="F145" s="9" t="n">
        <v>31</v>
      </c>
      <c r="G145" s="12" t="n"/>
      <c r="H145" s="13" t="n"/>
      <c r="I145" s="4" t="n"/>
      <c r="J145" s="14">
        <f>IF(G145="","",F145*G145)</f>
        <v/>
      </c>
    </row>
    <row r="146">
      <c r="A146" s="9" t="n">
        <v>132</v>
      </c>
      <c r="B146" s="9" t="n">
        <v>584321</v>
      </c>
      <c r="C146" s="10" t="inlineStr">
        <is>
          <t>24987188568716</t>
        </is>
      </c>
      <c r="D146" s="11" t="inlineStr">
        <is>
          <t>BYE BYE FEVER PARA BEBES C/2UN(HSM)</t>
        </is>
      </c>
      <c r="E146" s="11" t="inlineStr">
        <is>
          <t>GEOLAB</t>
        </is>
      </c>
      <c r="F146" s="9" t="n">
        <v>31</v>
      </c>
      <c r="G146" s="12" t="n"/>
      <c r="H146" s="13" t="n"/>
      <c r="I146" s="4" t="n"/>
      <c r="J146" s="14">
        <f>IF(G146="","",F146*G146)</f>
        <v/>
      </c>
    </row>
    <row r="147">
      <c r="A147" s="15" t="n">
        <v>133</v>
      </c>
      <c r="B147" s="15" t="n">
        <v>584301</v>
      </c>
      <c r="C147" s="16" t="inlineStr">
        <is>
          <t>4987188568729</t>
        </is>
      </c>
      <c r="D147" s="17" t="inlineStr">
        <is>
          <t>BYE BYE FEVER PARA CRIANCAS C/2UN(HSM)</t>
        </is>
      </c>
      <c r="E147" s="17" t="inlineStr">
        <is>
          <t>PADRAO</t>
        </is>
      </c>
      <c r="F147" s="15" t="n">
        <v>4</v>
      </c>
      <c r="G147" s="12" t="n"/>
      <c r="H147" s="13" t="n"/>
      <c r="I147" s="4" t="n"/>
      <c r="J147" s="18">
        <f>IF(G147="","",F147*G147)</f>
        <v/>
      </c>
    </row>
    <row r="148">
      <c r="A148" s="9" t="n">
        <v>134</v>
      </c>
      <c r="B148" s="9" t="n">
        <v>603911</v>
      </c>
      <c r="C148" s="10" t="inlineStr">
        <is>
          <t>7896004780061</t>
        </is>
      </c>
      <c r="D148" s="11" t="inlineStr">
        <is>
          <t>CALADRYL POS SOL LOC 100ML</t>
        </is>
      </c>
      <c r="E148" s="11" t="inlineStr">
        <is>
          <t>EMS</t>
        </is>
      </c>
      <c r="F148" s="9" t="n">
        <v>2</v>
      </c>
      <c r="G148" s="12" t="n"/>
      <c r="H148" s="13" t="n"/>
      <c r="I148" s="4" t="n"/>
      <c r="J148" s="14">
        <f>IF(G148="","",F148*G148)</f>
        <v/>
      </c>
    </row>
    <row r="149">
      <c r="A149" s="15" t="n">
        <v>135</v>
      </c>
      <c r="B149" s="15" t="n">
        <v>600551</v>
      </c>
      <c r="C149" s="16" t="inlineStr">
        <is>
          <t>7898040329761</t>
        </is>
      </c>
      <c r="D149" s="17" t="inlineStr">
        <is>
          <t>CALCITRAN B12 SUSP FR 150ML</t>
        </is>
      </c>
      <c r="E149" s="17" t="inlineStr">
        <is>
          <t>FQM/DIVCOM</t>
        </is>
      </c>
      <c r="F149" s="15" t="n">
        <v>1</v>
      </c>
      <c r="G149" s="12" t="n"/>
      <c r="H149" s="13" t="n"/>
      <c r="I149" s="4" t="n"/>
      <c r="J149" s="18">
        <f>IF(G149="","",F149*G149)</f>
        <v/>
      </c>
    </row>
    <row r="150">
      <c r="A150" s="9" t="n">
        <v>136</v>
      </c>
      <c r="B150" s="9" t="n">
        <v>594131</v>
      </c>
      <c r="C150" s="10" t="inlineStr">
        <is>
          <t>7898040329464</t>
        </is>
      </c>
      <c r="D150" s="11" t="inlineStr">
        <is>
          <t>CALCITRAN MDK CX 30 COMP</t>
        </is>
      </c>
      <c r="E150" s="11" t="inlineStr">
        <is>
          <t>FQM/DIVCOM</t>
        </is>
      </c>
      <c r="F150" s="9" t="n">
        <v>7</v>
      </c>
      <c r="G150" s="12" t="n"/>
      <c r="H150" s="13" t="n"/>
      <c r="I150" s="4" t="n"/>
      <c r="J150" s="14">
        <f>IF(G150="","",F150*G150)</f>
        <v/>
      </c>
    </row>
    <row r="151">
      <c r="A151" s="15" t="n">
        <v>137</v>
      </c>
      <c r="B151" s="15" t="n">
        <v>662451</v>
      </c>
      <c r="C151" s="16" t="inlineStr">
        <is>
          <t>7898040328573</t>
        </is>
      </c>
      <c r="D151" s="17" t="inlineStr">
        <is>
          <t>CALCITRAN MDK CX 30 COMP MAST</t>
        </is>
      </c>
      <c r="E151" s="17" t="inlineStr">
        <is>
          <t>FQM/DIVCOM</t>
        </is>
      </c>
      <c r="F151" s="15" t="n">
        <v>1</v>
      </c>
      <c r="G151" s="12" t="n"/>
      <c r="H151" s="13" t="n"/>
      <c r="I151" s="4" t="n"/>
      <c r="J151" s="18">
        <f>IF(G151="","",F151*G151)</f>
        <v/>
      </c>
    </row>
    <row r="152">
      <c r="A152" s="9" t="n">
        <v>138</v>
      </c>
      <c r="B152" s="9" t="n">
        <v>622851</v>
      </c>
      <c r="C152" s="10" t="inlineStr">
        <is>
          <t>7895858017149</t>
        </is>
      </c>
      <c r="D152" s="11" t="inlineStr">
        <is>
          <t>CALMAN 100ML</t>
        </is>
      </c>
      <c r="E152" s="11" t="inlineStr">
        <is>
          <t>APSEN</t>
        </is>
      </c>
      <c r="F152" s="9" t="n">
        <v>6</v>
      </c>
      <c r="G152" s="12" t="n"/>
      <c r="H152" s="13" t="n"/>
      <c r="I152" s="4" t="n"/>
      <c r="J152" s="14">
        <f>IF(G152="","",F152*G152)</f>
        <v/>
      </c>
    </row>
    <row r="153">
      <c r="A153" s="15" t="n">
        <v>139</v>
      </c>
      <c r="B153" s="15" t="n">
        <v>550741</v>
      </c>
      <c r="C153" s="16" t="inlineStr">
        <is>
          <t>7895858017156</t>
        </is>
      </c>
      <c r="D153" s="17" t="inlineStr">
        <is>
          <t>CALMAN 20CPR</t>
        </is>
      </c>
      <c r="E153" s="17" t="inlineStr">
        <is>
          <t>ASPEN</t>
        </is>
      </c>
      <c r="F153" s="15" t="n">
        <v>3</v>
      </c>
      <c r="G153" s="12" t="n"/>
      <c r="H153" s="13" t="n"/>
      <c r="I153" s="4" t="n"/>
      <c r="J153" s="18">
        <f>IF(G153="","",F153*G153)</f>
        <v/>
      </c>
    </row>
    <row r="154">
      <c r="A154" s="9" t="n">
        <v>140</v>
      </c>
      <c r="B154" s="9" t="n">
        <v>210221</v>
      </c>
      <c r="C154" s="10" t="inlineStr">
        <is>
          <t>7896261013490</t>
        </is>
      </c>
      <c r="D154" s="11" t="inlineStr">
        <is>
          <t>CATAFLAM 50MG CX 10 DRG</t>
        </is>
      </c>
      <c r="E154" s="11" t="inlineStr">
        <is>
          <t>NOVARTIS</t>
        </is>
      </c>
      <c r="F154" s="9" t="n">
        <v>4</v>
      </c>
      <c r="G154" s="12" t="n"/>
      <c r="H154" s="13" t="n"/>
      <c r="I154" s="4" t="n"/>
      <c r="J154" s="14">
        <f>IF(G154="","",F154*G154)</f>
        <v/>
      </c>
    </row>
    <row r="155">
      <c r="A155" s="15" t="n">
        <v>141</v>
      </c>
      <c r="B155" s="15" t="n">
        <v>653981</v>
      </c>
      <c r="C155" s="16" t="inlineStr">
        <is>
          <t>7500435231510</t>
        </is>
      </c>
      <c r="D155" s="17" t="inlineStr">
        <is>
          <t>CEBION EFV 1G C/10 COMP-DEMAIS PROD</t>
        </is>
      </c>
      <c r="E155" s="17" t="inlineStr">
        <is>
          <t>P&amp;G</t>
        </is>
      </c>
      <c r="F155" s="15" t="n">
        <v>1</v>
      </c>
      <c r="G155" s="12" t="n"/>
      <c r="H155" s="13" t="n"/>
      <c r="I155" s="4" t="n"/>
      <c r="J155" s="18">
        <f>IF(G155="","",F155*G155)</f>
        <v/>
      </c>
    </row>
    <row r="156">
      <c r="A156" s="9" t="n">
        <v>142</v>
      </c>
      <c r="B156" s="9" t="n">
        <v>86021</v>
      </c>
      <c r="C156" s="10" t="inlineStr">
        <is>
          <t>7894916505130</t>
        </is>
      </c>
      <c r="D156" s="11" t="inlineStr">
        <is>
          <t>CECLOR 250MG/5ML SUS ORAL FR 100ML</t>
        </is>
      </c>
      <c r="E156" s="11" t="inlineStr">
        <is>
          <t>SIGMA PHARMA</t>
        </is>
      </c>
      <c r="F156" s="9" t="n">
        <v>1</v>
      </c>
      <c r="G156" s="12" t="n"/>
      <c r="H156" s="13" t="n"/>
      <c r="I156" s="4" t="n"/>
      <c r="J156" s="14">
        <f>IF(G156="","",F156*G156)</f>
        <v/>
      </c>
    </row>
    <row r="157">
      <c r="A157" s="15" t="n">
        <v>143</v>
      </c>
      <c r="B157" s="15" t="n">
        <v>233941</v>
      </c>
      <c r="C157" s="16" t="inlineStr">
        <is>
          <t>7896658001079</t>
        </is>
      </c>
      <c r="D157" s="17" t="inlineStr">
        <is>
          <t>CEFALIV CX 12 COMP</t>
        </is>
      </c>
      <c r="E157" s="17" t="inlineStr">
        <is>
          <t>ACHE</t>
        </is>
      </c>
      <c r="F157" s="15" t="n">
        <v>17</v>
      </c>
      <c r="G157" s="12" t="n"/>
      <c r="H157" s="13" t="n"/>
      <c r="I157" s="4" t="n"/>
      <c r="J157" s="18">
        <f>IF(G157="","",F157*G157)</f>
        <v/>
      </c>
    </row>
    <row r="158">
      <c r="A158" s="9" t="n">
        <v>144</v>
      </c>
      <c r="B158" s="9" t="n">
        <v>90901</v>
      </c>
      <c r="C158" s="10" t="inlineStr">
        <is>
          <t>7908236800698</t>
        </is>
      </c>
      <c r="D158" s="11" t="inlineStr">
        <is>
          <t>CELEBRA 100MG CX 20 CAP</t>
        </is>
      </c>
      <c r="E158" s="11" t="inlineStr">
        <is>
          <t>MYLAN</t>
        </is>
      </c>
      <c r="F158" s="9" t="n">
        <v>1</v>
      </c>
      <c r="G158" s="12" t="n"/>
      <c r="H158" s="13" t="n"/>
      <c r="I158" s="4" t="n"/>
      <c r="J158" s="14">
        <f>IF(G158="","",F158*G158)</f>
        <v/>
      </c>
    </row>
    <row r="159">
      <c r="A159" s="15" t="n">
        <v>145</v>
      </c>
      <c r="B159" s="15" t="n">
        <v>55841</v>
      </c>
      <c r="C159" s="16" t="inlineStr">
        <is>
          <t>7891142128249</t>
        </is>
      </c>
      <c r="D159" s="17" t="inlineStr">
        <is>
          <t>CELESTONE 0,1MG ELIXIR SOL FR 120ML</t>
        </is>
      </c>
      <c r="E159" s="17" t="inlineStr">
        <is>
          <t>MANTECORP/FARMASA</t>
        </is>
      </c>
      <c r="F159" s="15" t="n">
        <v>1</v>
      </c>
      <c r="G159" s="12" t="n"/>
      <c r="H159" s="13" t="n"/>
      <c r="I159" s="4" t="n"/>
      <c r="J159" s="18">
        <f>IF(G159="","",F159*G159)</f>
        <v/>
      </c>
    </row>
    <row r="160">
      <c r="A160" s="9" t="n">
        <v>146</v>
      </c>
      <c r="B160" s="9" t="n">
        <v>55921</v>
      </c>
      <c r="C160" s="10" t="inlineStr">
        <is>
          <t>7891142128133</t>
        </is>
      </c>
      <c r="D160" s="11" t="inlineStr">
        <is>
          <t>CELESTONE 0,5MG CX 20 COMP</t>
        </is>
      </c>
      <c r="E160" s="11" t="inlineStr">
        <is>
          <t>MANTECORP/FARMASA</t>
        </is>
      </c>
      <c r="F160" s="9" t="n">
        <v>1</v>
      </c>
      <c r="G160" s="12" t="n"/>
      <c r="H160" s="13" t="n"/>
      <c r="I160" s="4" t="n"/>
      <c r="J160" s="14">
        <f>IF(G160="","",F160*G160)</f>
        <v/>
      </c>
    </row>
    <row r="161">
      <c r="A161" s="15" t="n">
        <v>147</v>
      </c>
      <c r="B161" s="15" t="n">
        <v>619961</v>
      </c>
      <c r="C161" s="16" t="inlineStr">
        <is>
          <t>7896009499012</t>
        </is>
      </c>
      <c r="D161" s="17" t="inlineStr">
        <is>
          <t>CENTRUM ESSENCIAL 30CPR</t>
        </is>
      </c>
      <c r="E161" s="17" t="inlineStr">
        <is>
          <t>GLAXO SMITH KLINE BR</t>
        </is>
      </c>
      <c r="F161" s="15" t="n">
        <v>1</v>
      </c>
      <c r="G161" s="12" t="n"/>
      <c r="H161" s="13" t="n"/>
      <c r="I161" s="4" t="n"/>
      <c r="J161" s="18">
        <f>IF(G161="","",F161*G161)</f>
        <v/>
      </c>
    </row>
    <row r="162">
      <c r="A162" s="9" t="n">
        <v>148</v>
      </c>
      <c r="B162" s="9" t="n">
        <v>556161</v>
      </c>
      <c r="C162" s="10" t="inlineStr">
        <is>
          <t>7899706182980</t>
        </is>
      </c>
      <c r="D162" s="11" t="inlineStr">
        <is>
          <t>CERAVE CR HIDRAT 50ML</t>
        </is>
      </c>
      <c r="E162" s="11" t="inlineStr">
        <is>
          <t>CEFISA</t>
        </is>
      </c>
      <c r="F162" s="9" t="n">
        <v>1</v>
      </c>
      <c r="G162" s="12" t="n"/>
      <c r="H162" s="13" t="n"/>
      <c r="I162" s="4" t="n"/>
      <c r="J162" s="14">
        <f>IF(G162="","",F162*G162)</f>
        <v/>
      </c>
    </row>
    <row r="163">
      <c r="A163" s="15" t="n">
        <v>149</v>
      </c>
      <c r="B163" s="15" t="n">
        <v>636021</v>
      </c>
      <c r="C163" s="16" t="inlineStr">
        <is>
          <t>7899706192057</t>
        </is>
      </c>
      <c r="D163" s="17" t="inlineStr">
        <is>
          <t>CERAVE CR OLHOS 15G</t>
        </is>
      </c>
      <c r="E163" s="17" t="inlineStr">
        <is>
          <t>LOREAL PARIS</t>
        </is>
      </c>
      <c r="F163" s="15" t="n">
        <v>1</v>
      </c>
      <c r="G163" s="12" t="n"/>
      <c r="H163" s="13" t="n"/>
      <c r="I163" s="4" t="n"/>
      <c r="J163" s="18">
        <f>IF(G163="","",F163*G163)</f>
        <v/>
      </c>
    </row>
    <row r="164">
      <c r="A164" s="9" t="n">
        <v>150</v>
      </c>
      <c r="B164" s="9" t="n">
        <v>624311</v>
      </c>
      <c r="C164" s="10" t="inlineStr">
        <is>
          <t>7899706190480</t>
        </is>
      </c>
      <c r="D164" s="11" t="inlineStr">
        <is>
          <t>CERAVE CR RENOVOVADOR P/PES 88G</t>
        </is>
      </c>
      <c r="E164" s="11" t="inlineStr">
        <is>
          <t>LOREAL</t>
        </is>
      </c>
      <c r="F164" s="9" t="n">
        <v>1</v>
      </c>
      <c r="G164" s="12" t="n"/>
      <c r="H164" s="13" t="n"/>
      <c r="I164" s="4" t="n"/>
      <c r="J164" s="14">
        <f>IF(G164="","",F164*G164)</f>
        <v/>
      </c>
    </row>
    <row r="165">
      <c r="A165" s="15" t="n">
        <v>151</v>
      </c>
      <c r="B165" s="15" t="n">
        <v>669751</v>
      </c>
      <c r="C165" s="16" t="inlineStr">
        <is>
          <t>7899706159197</t>
        </is>
      </c>
      <c r="D165" s="17" t="inlineStr">
        <is>
          <t>CERAVE CREME HIDRATANTE 454G-DEMAIS PROD</t>
        </is>
      </c>
      <c r="E165" s="17" t="inlineStr">
        <is>
          <t>LOREAL</t>
        </is>
      </c>
      <c r="F165" s="15" t="n">
        <v>2</v>
      </c>
      <c r="G165" s="12" t="n"/>
      <c r="H165" s="13" t="n"/>
      <c r="I165" s="4" t="n"/>
      <c r="J165" s="18">
        <f>IF(G165="","",F165*G165)</f>
        <v/>
      </c>
    </row>
    <row r="166">
      <c r="A166" s="9" t="n">
        <v>152</v>
      </c>
      <c r="B166" s="9" t="n">
        <v>642831</v>
      </c>
      <c r="C166" s="10" t="inlineStr">
        <is>
          <t>7899706172721</t>
        </is>
      </c>
      <c r="D166" s="11" t="inlineStr">
        <is>
          <t>CERAVE GEL LIMPEZA 150G</t>
        </is>
      </c>
      <c r="E166" s="11" t="inlineStr">
        <is>
          <t>LOREAL</t>
        </is>
      </c>
      <c r="F166" s="9" t="n">
        <v>1</v>
      </c>
      <c r="G166" s="12" t="n"/>
      <c r="H166" s="13" t="n"/>
      <c r="I166" s="4" t="n"/>
      <c r="J166" s="14">
        <f>IF(G166="","",F166*G166)</f>
        <v/>
      </c>
    </row>
    <row r="167">
      <c r="A167" s="15" t="n">
        <v>153</v>
      </c>
      <c r="B167" s="15" t="n">
        <v>631111</v>
      </c>
      <c r="C167" s="16" t="inlineStr">
        <is>
          <t>7899706172707</t>
        </is>
      </c>
      <c r="D167" s="17" t="inlineStr">
        <is>
          <t>CERAVE GEL LIMPEZA 60G</t>
        </is>
      </c>
      <c r="E167" s="17" t="inlineStr">
        <is>
          <t>LOREAL</t>
        </is>
      </c>
      <c r="F167" s="15" t="n">
        <v>1</v>
      </c>
      <c r="G167" s="12" t="n"/>
      <c r="H167" s="13" t="n"/>
      <c r="I167" s="4" t="n"/>
      <c r="J167" s="18">
        <f>IF(G167="","",F167*G167)</f>
        <v/>
      </c>
    </row>
    <row r="168">
      <c r="A168" s="9" t="n">
        <v>154</v>
      </c>
      <c r="B168" s="9" t="n">
        <v>552981</v>
      </c>
      <c r="C168" s="10" t="inlineStr">
        <is>
          <t>7899706159258</t>
        </is>
      </c>
      <c r="D168" s="11" t="inlineStr">
        <is>
          <t>CERAVE HIDRAT 200ML</t>
        </is>
      </c>
      <c r="E168" s="11" t="inlineStr">
        <is>
          <t>LOREAL</t>
        </is>
      </c>
      <c r="F168" s="9" t="n">
        <v>4</v>
      </c>
      <c r="G168" s="12" t="n"/>
      <c r="H168" s="13" t="n"/>
      <c r="I168" s="4" t="n"/>
      <c r="J168" s="14">
        <f>IF(G168="","",F168*G168)</f>
        <v/>
      </c>
    </row>
    <row r="169">
      <c r="A169" s="15" t="n">
        <v>155</v>
      </c>
      <c r="B169" s="15" t="n">
        <v>624301</v>
      </c>
      <c r="C169" s="16" t="inlineStr">
        <is>
          <t>7899706186698</t>
        </is>
      </c>
      <c r="D169" s="17" t="inlineStr">
        <is>
          <t>CERAVE LOC HIDRAT FACIAL 52ML</t>
        </is>
      </c>
      <c r="E169" s="17" t="inlineStr">
        <is>
          <t>LOREAL</t>
        </is>
      </c>
      <c r="F169" s="15" t="n">
        <v>7</v>
      </c>
      <c r="G169" s="12" t="n"/>
      <c r="H169" s="13" t="n"/>
      <c r="I169" s="4" t="n"/>
      <c r="J169" s="18">
        <f>IF(G169="","",F169*G169)</f>
        <v/>
      </c>
    </row>
    <row r="170">
      <c r="A170" s="9" t="n">
        <v>156</v>
      </c>
      <c r="B170" s="9" t="n">
        <v>653331</v>
      </c>
      <c r="C170" s="10" t="inlineStr">
        <is>
          <t>7908615086309</t>
        </is>
      </c>
      <c r="D170" s="11" t="inlineStr">
        <is>
          <t>CERAVE LOCAO HIDRATANTE 340ML-DEMAIS PROD</t>
        </is>
      </c>
      <c r="E170" s="11" t="inlineStr">
        <is>
          <t>LA ROCHE</t>
        </is>
      </c>
      <c r="F170" s="9" t="n">
        <v>3</v>
      </c>
      <c r="G170" s="12" t="n"/>
      <c r="H170" s="13" t="n"/>
      <c r="I170" s="4" t="n"/>
      <c r="J170" s="14">
        <f>IF(G170="","",F170*G170)</f>
        <v/>
      </c>
    </row>
    <row r="171">
      <c r="A171" s="15" t="n">
        <v>157</v>
      </c>
      <c r="B171" s="15" t="n">
        <v>637261</v>
      </c>
      <c r="C171" s="16" t="inlineStr">
        <is>
          <t>7899706159272</t>
        </is>
      </c>
      <c r="D171" s="17" t="inlineStr">
        <is>
          <t>CERAVE LOCAO HIDRATANTE 473ML-DEMAIS PROD</t>
        </is>
      </c>
      <c r="E171" s="17" t="inlineStr"/>
      <c r="F171" s="15" t="n">
        <v>2</v>
      </c>
      <c r="G171" s="12" t="n"/>
      <c r="H171" s="13" t="n"/>
      <c r="I171" s="4" t="n"/>
      <c r="J171" s="18">
        <f>IF(G171="","",F171*G171)</f>
        <v/>
      </c>
    </row>
    <row r="172">
      <c r="A172" s="9" t="n">
        <v>158</v>
      </c>
      <c r="B172" s="9" t="n">
        <v>624291</v>
      </c>
      <c r="C172" s="10" t="inlineStr">
        <is>
          <t>7899706211178</t>
        </is>
      </c>
      <c r="D172" s="11" t="inlineStr">
        <is>
          <t>CERAVE SA GEL DE LIMPEZA RENOVA 150G</t>
        </is>
      </c>
      <c r="E172" s="11" t="inlineStr">
        <is>
          <t>LOREAL</t>
        </is>
      </c>
      <c r="F172" s="9" t="n">
        <v>1</v>
      </c>
      <c r="G172" s="12" t="n"/>
      <c r="H172" s="13" t="n"/>
      <c r="I172" s="4" t="n"/>
      <c r="J172" s="14">
        <f>IF(G172="","",F172*G172)</f>
        <v/>
      </c>
    </row>
    <row r="173">
      <c r="A173" s="15" t="n">
        <v>159</v>
      </c>
      <c r="B173" s="15" t="n">
        <v>654251</v>
      </c>
      <c r="C173" s="16" t="inlineStr">
        <is>
          <t>7897337716215</t>
        </is>
      </c>
      <c r="D173" s="17" t="inlineStr">
        <is>
          <t>CERAZETTE 75MCG 28CPR</t>
        </is>
      </c>
      <c r="E173" s="17" t="inlineStr">
        <is>
          <t>ORGANON</t>
        </is>
      </c>
      <c r="F173" s="15" t="n">
        <v>1</v>
      </c>
      <c r="G173" s="12" t="n"/>
      <c r="H173" s="13" t="n"/>
      <c r="I173" s="4" t="n"/>
      <c r="J173" s="18">
        <f>IF(G173="","",F173*G173)</f>
        <v/>
      </c>
    </row>
    <row r="174">
      <c r="A174" s="9" t="n">
        <v>160</v>
      </c>
      <c r="B174" s="9" t="n">
        <v>293601</v>
      </c>
      <c r="C174" s="10" t="inlineStr">
        <is>
          <t>7896548140284</t>
        </is>
      </c>
      <c r="D174" s="11" t="inlineStr">
        <is>
          <t>CERUMIN 0,4+140MG SOL OTO FR GTS 8ML</t>
        </is>
      </c>
      <c r="E174" s="11" t="inlineStr">
        <is>
          <t>NOVARTIS</t>
        </is>
      </c>
      <c r="F174" s="9" t="n">
        <v>7</v>
      </c>
      <c r="G174" s="12" t="n"/>
      <c r="H174" s="13" t="n"/>
      <c r="I174" s="4" t="n"/>
      <c r="J174" s="14">
        <f>IF(G174="","",F174*G174)</f>
        <v/>
      </c>
    </row>
    <row r="175">
      <c r="A175" s="15" t="n">
        <v>161</v>
      </c>
      <c r="B175" s="15" t="n">
        <v>619891</v>
      </c>
      <c r="C175" s="16" t="inlineStr">
        <is>
          <t>7897930777781</t>
        </is>
      </c>
      <c r="D175" s="17" t="inlineStr">
        <is>
          <t>CETAPHIL CR HIDRAT 250G-DEMAIS PROD</t>
        </is>
      </c>
      <c r="E175" s="17" t="inlineStr">
        <is>
          <t>DERMATTIVE</t>
        </is>
      </c>
      <c r="F175" s="15" t="n">
        <v>1</v>
      </c>
      <c r="G175" s="12" t="n"/>
      <c r="H175" s="13" t="n"/>
      <c r="I175" s="4" t="n"/>
      <c r="J175" s="18">
        <f>IF(G175="","",F175*G175)</f>
        <v/>
      </c>
    </row>
    <row r="176">
      <c r="A176" s="15" t="n">
        <v>162</v>
      </c>
      <c r="B176" s="15" t="n">
        <v>619891</v>
      </c>
      <c r="C176" s="16" t="inlineStr">
        <is>
          <t>7897930777873</t>
        </is>
      </c>
      <c r="D176" s="17" t="inlineStr">
        <is>
          <t>CETAPHIL CR HIDRAT 250G-DEMAIS PROD</t>
        </is>
      </c>
      <c r="E176" s="17" t="inlineStr">
        <is>
          <t>DERMATTIVE</t>
        </is>
      </c>
      <c r="F176" s="15" t="n">
        <v>1</v>
      </c>
      <c r="G176" s="12" t="n"/>
      <c r="H176" s="13" t="n"/>
      <c r="I176" s="4" t="n"/>
      <c r="J176" s="18">
        <f>IF(G176="","",F176*G176)</f>
        <v/>
      </c>
    </row>
    <row r="177">
      <c r="A177" s="9" t="n">
        <v>163</v>
      </c>
      <c r="B177" s="9" t="n">
        <v>363</v>
      </c>
      <c r="C177" s="10" t="inlineStr">
        <is>
          <t>7897930777798</t>
        </is>
      </c>
      <c r="D177" s="11" t="inlineStr">
        <is>
          <t>CETAPHIL CR HIDRAT 453GR-DEMAIS PROD</t>
        </is>
      </c>
      <c r="E177" s="11" t="inlineStr">
        <is>
          <t>GALDERMA</t>
        </is>
      </c>
      <c r="F177" s="9" t="n">
        <v>1</v>
      </c>
      <c r="G177" s="12" t="n"/>
      <c r="H177" s="13" t="n"/>
      <c r="I177" s="4" t="n"/>
      <c r="J177" s="14">
        <f>IF(G177="","",F177*G177)</f>
        <v/>
      </c>
    </row>
    <row r="178">
      <c r="A178" s="15" t="n">
        <v>164</v>
      </c>
      <c r="B178" s="15" t="n">
        <v>383</v>
      </c>
      <c r="C178" s="16" t="inlineStr">
        <is>
          <t>7897930777743</t>
        </is>
      </c>
      <c r="D178" s="17" t="inlineStr">
        <is>
          <t>CETAPHIL LOC HIDRATANTE 473ML</t>
        </is>
      </c>
      <c r="E178" s="17" t="inlineStr">
        <is>
          <t>GALDERMA</t>
        </is>
      </c>
      <c r="F178" s="15" t="n">
        <v>2</v>
      </c>
      <c r="G178" s="12" t="n"/>
      <c r="H178" s="13" t="n"/>
      <c r="I178" s="4" t="n"/>
      <c r="J178" s="18">
        <f>IF(G178="","",F178*G178)</f>
        <v/>
      </c>
    </row>
    <row r="179">
      <c r="A179" s="9" t="n">
        <v>165</v>
      </c>
      <c r="B179" s="9" t="n">
        <v>963</v>
      </c>
      <c r="C179" s="10" t="inlineStr">
        <is>
          <t>7908615000169</t>
        </is>
      </c>
      <c r="D179" s="11" t="inlineStr">
        <is>
          <t>CICAPLAST B5 PLUS 20ML-DEMAIS PROD</t>
        </is>
      </c>
      <c r="E179" s="11" t="inlineStr">
        <is>
          <t>LA ROCHE</t>
        </is>
      </c>
      <c r="F179" s="9" t="n">
        <v>10</v>
      </c>
      <c r="G179" s="12" t="n"/>
      <c r="H179" s="13" t="n"/>
      <c r="I179" s="4" t="n"/>
      <c r="J179" s="14">
        <f>IF(G179="","",F179*G179)</f>
        <v/>
      </c>
    </row>
    <row r="180">
      <c r="A180" s="15" t="n">
        <v>166</v>
      </c>
      <c r="B180" s="15" t="n">
        <v>632071</v>
      </c>
      <c r="C180" s="16" t="inlineStr">
        <is>
          <t>7908615000244</t>
        </is>
      </c>
      <c r="D180" s="17" t="inlineStr">
        <is>
          <t>CICAPLAST LRP B5 PLUS 40ML</t>
        </is>
      </c>
      <c r="E180" s="17" t="inlineStr">
        <is>
          <t>LOREAL</t>
        </is>
      </c>
      <c r="F180" s="15" t="n">
        <v>1</v>
      </c>
      <c r="G180" s="12" t="n"/>
      <c r="H180" s="13" t="n"/>
      <c r="I180" s="4" t="n"/>
      <c r="J180" s="18">
        <f>IF(G180="","",F180*G180)</f>
        <v/>
      </c>
    </row>
    <row r="181">
      <c r="A181" s="9" t="n">
        <v>167</v>
      </c>
      <c r="B181" s="9" t="n">
        <v>628631</v>
      </c>
      <c r="C181" s="10" t="inlineStr">
        <is>
          <t>7898636191802</t>
        </is>
      </c>
      <c r="D181" s="11" t="inlineStr">
        <is>
          <t>CICATRICURE AGUA MICELAR 380ML</t>
        </is>
      </c>
      <c r="E181" s="11" t="inlineStr"/>
      <c r="F181" s="9" t="n">
        <v>1</v>
      </c>
      <c r="G181" s="12" t="n"/>
      <c r="H181" s="13" t="n"/>
      <c r="I181" s="4" t="n"/>
      <c r="J181" s="14">
        <f>IF(G181="","",F181*G181)</f>
        <v/>
      </c>
    </row>
    <row r="182">
      <c r="A182" s="15" t="n">
        <v>168</v>
      </c>
      <c r="B182" s="15" t="n">
        <v>594261</v>
      </c>
      <c r="C182" s="16" t="inlineStr">
        <is>
          <t>7898949409625</t>
        </is>
      </c>
      <c r="D182" s="17" t="inlineStr">
        <is>
          <t>CICATRICURE GEL CICATRIZ/ESTRIAS 30G</t>
        </is>
      </c>
      <c r="E182" s="17" t="inlineStr">
        <is>
          <t>GENOMA</t>
        </is>
      </c>
      <c r="F182" s="15" t="n">
        <v>3</v>
      </c>
      <c r="G182" s="12" t="n"/>
      <c r="H182" s="13" t="n"/>
      <c r="I182" s="4" t="n"/>
      <c r="J182" s="18">
        <f>IF(G182="","",F182*G182)</f>
        <v/>
      </c>
    </row>
    <row r="183">
      <c r="A183" s="9" t="n">
        <v>169</v>
      </c>
      <c r="B183" s="9" t="n">
        <v>645631</v>
      </c>
      <c r="C183" s="10" t="inlineStr">
        <is>
          <t>7891317022105</t>
        </is>
      </c>
      <c r="D183" s="11" t="inlineStr">
        <is>
          <t>CITOBE 5000MCG+100+100MG CX 30 DRG</t>
        </is>
      </c>
      <c r="E183" s="11" t="inlineStr">
        <is>
          <t>MOMENTA</t>
        </is>
      </c>
      <c r="F183" s="9" t="n">
        <v>1</v>
      </c>
      <c r="G183" s="12" t="n"/>
      <c r="H183" s="13" t="n"/>
      <c r="I183" s="4" t="n"/>
      <c r="J183" s="14">
        <f>IF(G183="","",F183*G183)</f>
        <v/>
      </c>
    </row>
    <row r="184">
      <c r="A184" s="15" t="n">
        <v>170</v>
      </c>
      <c r="B184" s="15" t="n">
        <v>632771</v>
      </c>
      <c r="C184" s="16" t="inlineStr">
        <is>
          <t>7500435230957</t>
        </is>
      </c>
      <c r="D184" s="17" t="inlineStr">
        <is>
          <t>CITONEURIN 5000 TAB 30 BRA</t>
        </is>
      </c>
      <c r="E184" s="17" t="inlineStr">
        <is>
          <t>P&amp;G</t>
        </is>
      </c>
      <c r="F184" s="15" t="n">
        <v>8</v>
      </c>
      <c r="G184" s="12" t="n"/>
      <c r="H184" s="13" t="n"/>
      <c r="I184" s="4" t="n"/>
      <c r="J184" s="18">
        <f>IF(G184="","",F184*G184)</f>
        <v/>
      </c>
    </row>
    <row r="185">
      <c r="A185" s="9" t="n">
        <v>171</v>
      </c>
      <c r="B185" s="9" t="n">
        <v>161441</v>
      </c>
      <c r="C185" s="10" t="inlineStr">
        <is>
          <t>7896548113479</t>
        </is>
      </c>
      <c r="D185" s="11" t="inlineStr">
        <is>
          <t>CLARIL 0,25+3MG SOL FR OFT GTS 15ML</t>
        </is>
      </c>
      <c r="E185" s="11" t="inlineStr">
        <is>
          <t>ALCON</t>
        </is>
      </c>
      <c r="F185" s="9" t="n">
        <v>14</v>
      </c>
      <c r="G185" s="12" t="n"/>
      <c r="H185" s="13" t="n"/>
      <c r="I185" s="4" t="n"/>
      <c r="J185" s="14">
        <f>IF(G185="","",F185*G185)</f>
        <v/>
      </c>
    </row>
    <row r="186">
      <c r="A186" s="15" t="n">
        <v>172</v>
      </c>
      <c r="B186" s="15" t="n">
        <v>225881</v>
      </c>
      <c r="C186" s="16" t="inlineStr">
        <is>
          <t>7896672202681</t>
        </is>
      </c>
      <c r="D186" s="17" t="inlineStr">
        <is>
          <t>CLENIL 0,4MG/ML SUS NAS 2 STR X 5 FLAC X 2ML</t>
        </is>
      </c>
      <c r="E186" s="17" t="inlineStr">
        <is>
          <t>CHIESI</t>
        </is>
      </c>
      <c r="F186" s="15" t="n">
        <v>3</v>
      </c>
      <c r="G186" s="12" t="n"/>
      <c r="H186" s="13" t="n"/>
      <c r="I186" s="4" t="n"/>
      <c r="J186" s="18">
        <f>IF(G186="","",F186*G186)</f>
        <v/>
      </c>
    </row>
    <row r="187">
      <c r="A187" s="9" t="n">
        <v>173</v>
      </c>
      <c r="B187" s="9" t="n">
        <v>225801</v>
      </c>
      <c r="C187" s="10" t="inlineStr">
        <is>
          <t>7896672202872</t>
        </is>
      </c>
      <c r="D187" s="11" t="inlineStr">
        <is>
          <t>CLENIL HFA HFA 200MCG SPRAY 200 DOS</t>
        </is>
      </c>
      <c r="E187" s="11" t="inlineStr">
        <is>
          <t>CHIESI</t>
        </is>
      </c>
      <c r="F187" s="9" t="n">
        <v>4</v>
      </c>
      <c r="G187" s="12" t="n"/>
      <c r="H187" s="13" t="n"/>
      <c r="I187" s="4" t="n"/>
      <c r="J187" s="14">
        <f>IF(G187="","",F187*G187)</f>
        <v/>
      </c>
    </row>
    <row r="188">
      <c r="A188" s="15" t="n">
        <v>174</v>
      </c>
      <c r="B188" s="15" t="n">
        <v>225761</v>
      </c>
      <c r="C188" s="16" t="inlineStr">
        <is>
          <t>7896672202810</t>
        </is>
      </c>
      <c r="D188" s="17" t="inlineStr">
        <is>
          <t>CLENIL HFA HFA 50MCG SPRAY 200 DOS</t>
        </is>
      </c>
      <c r="E188" s="17" t="inlineStr">
        <is>
          <t>CHIESI</t>
        </is>
      </c>
      <c r="F188" s="15" t="n">
        <v>1</v>
      </c>
      <c r="G188" s="12" t="n"/>
      <c r="H188" s="13" t="n"/>
      <c r="I188" s="4" t="n"/>
      <c r="J188" s="18">
        <f>IF(G188="","",F188*G188)</f>
        <v/>
      </c>
    </row>
    <row r="189">
      <c r="A189" s="9" t="n">
        <v>175</v>
      </c>
      <c r="B189" s="9" t="n">
        <v>652301</v>
      </c>
      <c r="C189" s="10" t="inlineStr">
        <is>
          <t>7896026172295</t>
        </is>
      </c>
      <c r="D189" s="11" t="inlineStr">
        <is>
          <t>CLINDOXYL CONTROL 5% 45MG-OUTROS</t>
        </is>
      </c>
      <c r="E189" s="11" t="inlineStr"/>
      <c r="F189" s="9" t="n">
        <v>2</v>
      </c>
      <c r="G189" s="12" t="n"/>
      <c r="H189" s="13" t="n"/>
      <c r="I189" s="4" t="n"/>
      <c r="J189" s="14">
        <f>IF(G189="","",F189*G189)</f>
        <v/>
      </c>
    </row>
    <row r="190">
      <c r="A190" s="15" t="n">
        <v>176</v>
      </c>
      <c r="B190" s="15" t="n">
        <v>135661</v>
      </c>
      <c r="C190" s="16" t="inlineStr">
        <is>
          <t>7891158106965</t>
        </is>
      </c>
      <c r="D190" s="17" t="inlineStr">
        <is>
          <t>COBAVITAL 1+4MG 16 COMP</t>
        </is>
      </c>
      <c r="E190" s="17" t="inlineStr">
        <is>
          <t>ABBOTT</t>
        </is>
      </c>
      <c r="F190" s="15" t="n">
        <v>2</v>
      </c>
      <c r="G190" s="12" t="n"/>
      <c r="H190" s="13" t="n"/>
      <c r="I190" s="4" t="n"/>
      <c r="J190" s="18">
        <f>IF(G190="","",F190*G190)</f>
        <v/>
      </c>
    </row>
    <row r="191">
      <c r="A191" s="9" t="n">
        <v>177</v>
      </c>
      <c r="B191" s="9" t="n">
        <v>661331</v>
      </c>
      <c r="C191" s="10" t="inlineStr">
        <is>
          <t>7891158106897</t>
        </is>
      </c>
      <c r="D191" s="11" t="inlineStr">
        <is>
          <t>COBAVITAL 30CPR</t>
        </is>
      </c>
      <c r="E191" s="11" t="inlineStr">
        <is>
          <t>ABBOTT LABORATORIOS DO BRASIL</t>
        </is>
      </c>
      <c r="F191" s="9" t="n">
        <v>6</v>
      </c>
      <c r="G191" s="12" t="n"/>
      <c r="H191" s="13" t="n"/>
      <c r="I191" s="4" t="n"/>
      <c r="J191" s="14">
        <f>IF(G191="","",F191*G191)</f>
        <v/>
      </c>
    </row>
    <row r="192">
      <c r="A192" s="9" t="n">
        <v>178</v>
      </c>
      <c r="B192" s="9" t="n">
        <v>661331</v>
      </c>
      <c r="C192" s="10" t="inlineStr">
        <is>
          <t>7891158102950</t>
        </is>
      </c>
      <c r="D192" s="11" t="inlineStr">
        <is>
          <t>COBAVITAL 30CPR</t>
        </is>
      </c>
      <c r="E192" s="11" t="inlineStr">
        <is>
          <t>ABBOTT LABORATORIOS DO BRASIL</t>
        </is>
      </c>
      <c r="F192" s="9" t="n">
        <v>6</v>
      </c>
      <c r="G192" s="12" t="n"/>
      <c r="H192" s="13" t="n"/>
      <c r="I192" s="4" t="n"/>
      <c r="J192" s="14">
        <f>IF(G192="","",F192*G192)</f>
        <v/>
      </c>
    </row>
    <row r="193">
      <c r="A193" s="15" t="n">
        <v>179</v>
      </c>
      <c r="B193" s="15" t="n">
        <v>674291</v>
      </c>
      <c r="C193" s="16" t="inlineStr">
        <is>
          <t>7896637035736</t>
        </is>
      </c>
      <c r="D193" s="17" t="inlineStr">
        <is>
          <t>COBI-12 1000MCG C/30 COMP SUBL-OUTROS</t>
        </is>
      </c>
      <c r="E193" s="17" t="inlineStr">
        <is>
          <t>EUROFA-GEN</t>
        </is>
      </c>
      <c r="F193" s="15" t="n">
        <v>13</v>
      </c>
      <c r="G193" s="12" t="n"/>
      <c r="H193" s="13" t="n"/>
      <c r="I193" s="4" t="n"/>
      <c r="J193" s="18">
        <f>IF(G193="","",F193*G193)</f>
        <v/>
      </c>
    </row>
    <row r="194">
      <c r="A194" s="9" t="n">
        <v>180</v>
      </c>
      <c r="B194" s="9" t="n">
        <v>399321</v>
      </c>
      <c r="C194" s="10" t="inlineStr">
        <is>
          <t>7899420506918</t>
        </is>
      </c>
      <c r="D194" s="11" t="inlineStr">
        <is>
          <t>COD PAR 500+30MG CX 12 COMP</t>
        </is>
      </c>
      <c r="E194" s="11" t="inlineStr">
        <is>
          <t>SUPERA</t>
        </is>
      </c>
      <c r="F194" s="9" t="n">
        <v>1</v>
      </c>
      <c r="G194" s="12" t="n"/>
      <c r="H194" s="13" t="n"/>
      <c r="I194" s="4" t="n"/>
      <c r="J194" s="14">
        <f>IF(G194="","",F194*G194)</f>
        <v/>
      </c>
    </row>
    <row r="195">
      <c r="A195" s="15" t="n">
        <v>181</v>
      </c>
      <c r="B195" s="15" t="n">
        <v>674281</v>
      </c>
      <c r="C195" s="16" t="inlineStr">
        <is>
          <t>7896676442670</t>
        </is>
      </c>
      <c r="D195" s="17" t="inlineStr">
        <is>
          <t>CODEIN 30MG C/12 CP (A2) CRI-REFERENCIA</t>
        </is>
      </c>
      <c r="E195" s="17" t="inlineStr">
        <is>
          <t>APSEN</t>
        </is>
      </c>
      <c r="F195" s="15" t="n">
        <v>1</v>
      </c>
      <c r="G195" s="12" t="n"/>
      <c r="H195" s="13" t="n"/>
      <c r="I195" s="4" t="n"/>
      <c r="J195" s="18">
        <f>IF(G195="","",F195*G195)</f>
        <v/>
      </c>
    </row>
    <row r="196">
      <c r="A196" s="9" t="n">
        <v>182</v>
      </c>
      <c r="B196" s="9" t="n">
        <v>515861</v>
      </c>
      <c r="C196" s="10" t="inlineStr">
        <is>
          <t>7896676438062</t>
        </is>
      </c>
      <c r="D196" s="11" t="inlineStr">
        <is>
          <t>CODEIN 30MG CX 12 COMP</t>
        </is>
      </c>
      <c r="E196" s="11" t="inlineStr">
        <is>
          <t>CRISTALIA</t>
        </is>
      </c>
      <c r="F196" s="9" t="n">
        <v>1</v>
      </c>
      <c r="G196" s="12" t="n"/>
      <c r="H196" s="13" t="n"/>
      <c r="I196" s="4" t="n"/>
      <c r="J196" s="14">
        <f>IF(G196="","",F196*G196)</f>
        <v/>
      </c>
    </row>
    <row r="197">
      <c r="A197" s="15" t="n">
        <v>183</v>
      </c>
      <c r="B197" s="15" t="n">
        <v>560901</v>
      </c>
      <c r="C197" s="16" t="inlineStr">
        <is>
          <t>7896658027796</t>
        </is>
      </c>
      <c r="D197" s="17" t="inlineStr">
        <is>
          <t>COLIDIS FR 5ML</t>
        </is>
      </c>
      <c r="E197" s="17" t="inlineStr">
        <is>
          <t>ACHE</t>
        </is>
      </c>
      <c r="F197" s="15" t="n">
        <v>9</v>
      </c>
      <c r="G197" s="12" t="n"/>
      <c r="H197" s="13" t="n"/>
      <c r="I197" s="4" t="n"/>
      <c r="J197" s="18">
        <f>IF(G197="","",F197*G197)</f>
        <v/>
      </c>
    </row>
    <row r="198">
      <c r="A198" s="9" t="n">
        <v>184</v>
      </c>
      <c r="B198" s="9" t="n">
        <v>359901</v>
      </c>
      <c r="C198" s="10" t="inlineStr">
        <is>
          <t>7896658003653</t>
        </is>
      </c>
      <c r="D198" s="11" t="inlineStr">
        <is>
          <t>COMBIRON FOLICO CX 45 COMP REV</t>
        </is>
      </c>
      <c r="E198" s="11" t="inlineStr">
        <is>
          <t>ACHE</t>
        </is>
      </c>
      <c r="F198" s="9" t="n">
        <v>5</v>
      </c>
      <c r="G198" s="12" t="n"/>
      <c r="H198" s="13" t="n"/>
      <c r="I198" s="4" t="n"/>
      <c r="J198" s="14">
        <f>IF(G198="","",F198*G198)</f>
        <v/>
      </c>
    </row>
    <row r="199">
      <c r="A199" s="15" t="n">
        <v>185</v>
      </c>
      <c r="B199" s="15" t="n">
        <v>230641</v>
      </c>
      <c r="C199" s="16" t="inlineStr">
        <is>
          <t>7896015523398</t>
        </is>
      </c>
      <c r="D199" s="17" t="inlineStr">
        <is>
          <t>COMBODART 0,5+0,4MG CX 30 CAP</t>
        </is>
      </c>
      <c r="E199" s="17" t="inlineStr">
        <is>
          <t>GSK</t>
        </is>
      </c>
      <c r="F199" s="15" t="n">
        <v>6</v>
      </c>
      <c r="G199" s="12" t="n"/>
      <c r="H199" s="13" t="n"/>
      <c r="I199" s="4" t="n"/>
      <c r="J199" s="18">
        <f>IF(G199="","",F199*G199)</f>
        <v/>
      </c>
    </row>
    <row r="200">
      <c r="A200" s="9" t="n">
        <v>186</v>
      </c>
      <c r="B200" s="9" t="n">
        <v>641601</v>
      </c>
      <c r="C200" s="10" t="inlineStr">
        <is>
          <t>7896026173018</t>
        </is>
      </c>
      <c r="D200" s="11" t="inlineStr">
        <is>
          <t>COMPLEXO ALMEIDA PRADO 46 C/60 COMP-OUTROS</t>
        </is>
      </c>
      <c r="E200" s="11" t="inlineStr"/>
      <c r="F200" s="9" t="n">
        <v>4</v>
      </c>
      <c r="G200" s="12" t="n"/>
      <c r="H200" s="13" t="n"/>
      <c r="I200" s="4" t="n"/>
      <c r="J200" s="14">
        <f>IF(G200="","",F200*G200)</f>
        <v/>
      </c>
    </row>
    <row r="201">
      <c r="A201" s="15" t="n">
        <v>187</v>
      </c>
      <c r="B201" s="15" t="n">
        <v>6561</v>
      </c>
      <c r="C201" s="16" t="inlineStr">
        <is>
          <t>7894916502900</t>
        </is>
      </c>
      <c r="D201" s="17" t="inlineStr">
        <is>
          <t>CONTRACEP SUS INJ 1 FA X 1ML</t>
        </is>
      </c>
      <c r="E201" s="17" t="inlineStr">
        <is>
          <t>SIGMA PHARMA</t>
        </is>
      </c>
      <c r="F201" s="15" t="n">
        <v>12</v>
      </c>
      <c r="G201" s="12" t="n"/>
      <c r="H201" s="13" t="n"/>
      <c r="I201" s="4" t="n"/>
      <c r="J201" s="18">
        <f>IF(G201="","",F201*G201)</f>
        <v/>
      </c>
    </row>
    <row r="202">
      <c r="A202" s="9" t="n">
        <v>188</v>
      </c>
      <c r="B202" s="9" t="n">
        <v>90721</v>
      </c>
      <c r="C202" s="10" t="inlineStr">
        <is>
          <t>7891317137557</t>
        </is>
      </c>
      <c r="D202" s="11" t="inlineStr">
        <is>
          <t>COQUES 200MG CX 10 CAP</t>
        </is>
      </c>
      <c r="E202" s="11" t="inlineStr">
        <is>
          <t>EUROFARMA</t>
        </is>
      </c>
      <c r="F202" s="9" t="n">
        <v>2</v>
      </c>
      <c r="G202" s="12" t="n"/>
      <c r="H202" s="13" t="n"/>
      <c r="I202" s="4" t="n"/>
      <c r="J202" s="14">
        <f>IF(G202="","",F202*G202)</f>
        <v/>
      </c>
    </row>
    <row r="203">
      <c r="A203" s="15" t="n">
        <v>189</v>
      </c>
      <c r="B203" s="15" t="n">
        <v>550981</v>
      </c>
      <c r="C203" s="16" t="inlineStr">
        <is>
          <t>7896015519636</t>
        </is>
      </c>
      <c r="D203" s="17" t="inlineStr">
        <is>
          <t>COREGA FRASCO 22G PÓ FIXADOR DE DENTADURA MENTA</t>
        </is>
      </c>
      <c r="E203" s="17" t="inlineStr">
        <is>
          <t>GSK</t>
        </is>
      </c>
      <c r="F203" s="15" t="n">
        <v>9</v>
      </c>
      <c r="G203" s="12" t="n"/>
      <c r="H203" s="13" t="n"/>
      <c r="I203" s="4" t="n"/>
      <c r="J203" s="18">
        <f>IF(G203="","",F203*G203)</f>
        <v/>
      </c>
    </row>
    <row r="204">
      <c r="A204" s="9" t="n">
        <v>190</v>
      </c>
      <c r="B204" s="9" t="n">
        <v>550761</v>
      </c>
      <c r="C204" s="10" t="inlineStr">
        <is>
          <t>7896015592707</t>
        </is>
      </c>
      <c r="D204" s="11" t="inlineStr">
        <is>
          <t>COREGA PO UNITARIO 22G - MENTA (FRAÇÃO)</t>
        </is>
      </c>
      <c r="E204" s="11" t="inlineStr">
        <is>
          <t>PADRAO</t>
        </is>
      </c>
      <c r="F204" s="9" t="n">
        <v>1</v>
      </c>
      <c r="G204" s="12" t="n"/>
      <c r="H204" s="13" t="n"/>
      <c r="I204" s="4" t="n"/>
      <c r="J204" s="14">
        <f>IF(G204="","",F204*G204)</f>
        <v/>
      </c>
    </row>
    <row r="205">
      <c r="A205" s="15" t="n">
        <v>191</v>
      </c>
      <c r="B205" s="15" t="n">
        <v>673911</v>
      </c>
      <c r="C205" s="16" t="inlineStr">
        <is>
          <t>7896009498268</t>
        </is>
      </c>
      <c r="D205" s="17" t="inlineStr">
        <is>
          <t>COREGA PO UNITARIO 22G - SEM SABOR</t>
        </is>
      </c>
      <c r="E205" s="17" t="inlineStr">
        <is>
          <t>HALEON</t>
        </is>
      </c>
      <c r="F205" s="15" t="n">
        <v>1</v>
      </c>
      <c r="G205" s="12" t="n"/>
      <c r="H205" s="13" t="n"/>
      <c r="I205" s="4" t="n"/>
      <c r="J205" s="18">
        <f>IF(G205="","",F205*G205)</f>
        <v/>
      </c>
    </row>
    <row r="206">
      <c r="A206" s="9" t="n">
        <v>192</v>
      </c>
      <c r="B206" s="9" t="n">
        <v>556241</v>
      </c>
      <c r="C206" s="10" t="inlineStr">
        <is>
          <t>7896015591007</t>
        </is>
      </c>
      <c r="D206" s="11" t="inlineStr">
        <is>
          <t>COREGA ULTRA CR 8,5G</t>
        </is>
      </c>
      <c r="E206" s="11" t="inlineStr">
        <is>
          <t>GSK</t>
        </is>
      </c>
      <c r="F206" s="9" t="n">
        <v>16</v>
      </c>
      <c r="G206" s="12" t="n"/>
      <c r="H206" s="13" t="n"/>
      <c r="I206" s="4" t="n"/>
      <c r="J206" s="14">
        <f>IF(G206="","",F206*G206)</f>
        <v/>
      </c>
    </row>
    <row r="207">
      <c r="A207" s="15" t="n">
        <v>193</v>
      </c>
      <c r="B207" s="15" t="n">
        <v>618941</v>
      </c>
      <c r="C207" s="16" t="inlineStr">
        <is>
          <t>7896015525804</t>
        </is>
      </c>
      <c r="D207" s="17" t="inlineStr">
        <is>
          <t>COREGA ULTRA MAX CR 70G</t>
        </is>
      </c>
      <c r="E207" s="17" t="inlineStr">
        <is>
          <t>GSK</t>
        </is>
      </c>
      <c r="F207" s="15" t="n">
        <v>1</v>
      </c>
      <c r="G207" s="12" t="n"/>
      <c r="H207" s="13" t="n"/>
      <c r="I207" s="4" t="n"/>
      <c r="J207" s="18">
        <f>IF(G207="","",F207*G207)</f>
        <v/>
      </c>
    </row>
    <row r="208">
      <c r="A208" s="15" t="n">
        <v>194</v>
      </c>
      <c r="B208" s="15" t="n">
        <v>618941</v>
      </c>
      <c r="C208" s="16" t="inlineStr">
        <is>
          <t>7896015592110</t>
        </is>
      </c>
      <c r="D208" s="17" t="inlineStr">
        <is>
          <t>COREGA ULTRA MAX CR 70G</t>
        </is>
      </c>
      <c r="E208" s="17" t="inlineStr">
        <is>
          <t>GSK</t>
        </is>
      </c>
      <c r="F208" s="15" t="n">
        <v>1</v>
      </c>
      <c r="G208" s="12" t="n"/>
      <c r="H208" s="13" t="n"/>
      <c r="I208" s="4" t="n"/>
      <c r="J208" s="18">
        <f>IF(G208="","",F208*G208)</f>
        <v/>
      </c>
    </row>
    <row r="209">
      <c r="A209" s="9" t="n">
        <v>195</v>
      </c>
      <c r="B209" s="9" t="n">
        <v>609631</v>
      </c>
      <c r="C209" s="10" t="inlineStr">
        <is>
          <t>7891142982155</t>
        </is>
      </c>
      <c r="D209" s="11" t="inlineStr">
        <is>
          <t>CORISTINA D PRO 400+4+4MG BL 8 COMP</t>
        </is>
      </c>
      <c r="E209" s="11" t="inlineStr">
        <is>
          <t>MANTECORP/FARMASA</t>
        </is>
      </c>
      <c r="F209" s="9" t="n">
        <v>4</v>
      </c>
      <c r="G209" s="12" t="n"/>
      <c r="H209" s="13" t="n"/>
      <c r="I209" s="4" t="n"/>
      <c r="J209" s="14">
        <f>IF(G209="","",F209*G209)</f>
        <v/>
      </c>
    </row>
    <row r="210">
      <c r="A210" s="15" t="n">
        <v>196</v>
      </c>
      <c r="B210" s="15" t="n">
        <v>637061</v>
      </c>
      <c r="C210" s="16" t="inlineStr">
        <is>
          <t>7891142982100</t>
        </is>
      </c>
      <c r="D210" s="17" t="inlineStr">
        <is>
          <t>CORISTINA D PRO 400+4+4MG CX 16 COMP</t>
        </is>
      </c>
      <c r="E210" s="17" t="inlineStr">
        <is>
          <t>MANTECORP/FARMASA</t>
        </is>
      </c>
      <c r="F210" s="15" t="n">
        <v>4</v>
      </c>
      <c r="G210" s="12" t="n"/>
      <c r="H210" s="13" t="n"/>
      <c r="I210" s="4" t="n"/>
      <c r="J210" s="18">
        <f>IF(G210="","",F210*G210)</f>
        <v/>
      </c>
    </row>
    <row r="211">
      <c r="A211" s="9" t="n">
        <v>197</v>
      </c>
      <c r="B211" s="9" t="n">
        <v>287021</v>
      </c>
      <c r="C211" s="10" t="inlineStr">
        <is>
          <t>7896181900115</t>
        </is>
      </c>
      <c r="D211" s="11" t="inlineStr">
        <is>
          <t>CORUS H 50/12,5MG CX 30 COMP</t>
        </is>
      </c>
      <c r="E211" s="11" t="inlineStr">
        <is>
          <t>ACHE</t>
        </is>
      </c>
      <c r="F211" s="9" t="n">
        <v>1</v>
      </c>
      <c r="G211" s="12" t="n"/>
      <c r="H211" s="13" t="n"/>
      <c r="I211" s="4" t="n"/>
      <c r="J211" s="14">
        <f>IF(G211="","",F211*G211)</f>
        <v/>
      </c>
    </row>
    <row r="212">
      <c r="A212" s="15" t="n">
        <v>198</v>
      </c>
      <c r="B212" s="15" t="n">
        <v>610121</v>
      </c>
      <c r="C212" s="16" t="inlineStr">
        <is>
          <t>7509546675862</t>
        </is>
      </c>
      <c r="D212" s="17" t="inlineStr">
        <is>
          <t>CR DEN COLGATE PERIOGARD 60G</t>
        </is>
      </c>
      <c r="E212" s="17" t="inlineStr">
        <is>
          <t>COLGATE PALMOLIVE</t>
        </is>
      </c>
      <c r="F212" s="15" t="n">
        <v>5</v>
      </c>
      <c r="G212" s="12" t="n"/>
      <c r="H212" s="13" t="n"/>
      <c r="I212" s="4" t="n"/>
      <c r="J212" s="18">
        <f>IF(G212="","",F212*G212)</f>
        <v/>
      </c>
    </row>
    <row r="213">
      <c r="A213" s="9" t="n">
        <v>199</v>
      </c>
      <c r="B213" s="9" t="n">
        <v>615281</v>
      </c>
      <c r="C213" s="10" t="inlineStr">
        <is>
          <t>4005900945693</t>
        </is>
      </c>
      <c r="D213" s="11" t="inlineStr">
        <is>
          <t>CR FACIAL NIVEA HIDRAT ACNE CONTROL 50G</t>
        </is>
      </c>
      <c r="E213" s="11" t="inlineStr">
        <is>
          <t>NIVEA</t>
        </is>
      </c>
      <c r="F213" s="9" t="n">
        <v>1</v>
      </c>
      <c r="G213" s="12" t="n"/>
      <c r="H213" s="13" t="n"/>
      <c r="I213" s="4" t="n"/>
      <c r="J213" s="14">
        <f>IF(G213="","",F213*G213)</f>
        <v/>
      </c>
    </row>
    <row r="214">
      <c r="A214" s="15" t="n">
        <v>200</v>
      </c>
      <c r="B214" s="15" t="n">
        <v>597201</v>
      </c>
      <c r="C214" s="16" t="inlineStr">
        <is>
          <t>0000042398004</t>
        </is>
      </c>
      <c r="D214" s="17" t="inlineStr">
        <is>
          <t>CR FACIAL NIVEA HIDRAT EM GEL FRESH 100ML</t>
        </is>
      </c>
      <c r="E214" s="17" t="inlineStr">
        <is>
          <t>NIVEA</t>
        </is>
      </c>
      <c r="F214" s="15" t="n">
        <v>2</v>
      </c>
      <c r="G214" s="12" t="n"/>
      <c r="H214" s="13" t="n"/>
      <c r="I214" s="4" t="n"/>
      <c r="J214" s="18">
        <f>IF(G214="","",F214*G214)</f>
        <v/>
      </c>
    </row>
    <row r="215">
      <c r="A215" s="9" t="n">
        <v>201</v>
      </c>
      <c r="B215" s="9" t="n">
        <v>594521</v>
      </c>
      <c r="C215" s="10" t="inlineStr">
        <is>
          <t>0000042360407</t>
        </is>
      </c>
      <c r="D215" s="11" t="inlineStr">
        <is>
          <t>CR FACIAL NIVEA NUTRITIVO 100G</t>
        </is>
      </c>
      <c r="E215" s="11" t="inlineStr">
        <is>
          <t>NIVEA</t>
        </is>
      </c>
      <c r="F215" s="9" t="n">
        <v>4</v>
      </c>
      <c r="G215" s="12" t="n"/>
      <c r="H215" s="13" t="n"/>
      <c r="I215" s="4" t="n"/>
      <c r="J215" s="14">
        <f>IF(G215="","",F215*G215)</f>
        <v/>
      </c>
    </row>
    <row r="216">
      <c r="A216" s="15" t="n">
        <v>202</v>
      </c>
      <c r="B216" s="15" t="n">
        <v>556501</v>
      </c>
      <c r="C216" s="16" t="inlineStr">
        <is>
          <t>42277217</t>
        </is>
      </c>
      <c r="D216" s="17" t="inlineStr">
        <is>
          <t>CR NIVEA 29G</t>
        </is>
      </c>
      <c r="E216" s="17" t="inlineStr">
        <is>
          <t>NIVEA</t>
        </is>
      </c>
      <c r="F216" s="15" t="n">
        <v>19</v>
      </c>
      <c r="G216" s="12" t="n"/>
      <c r="H216" s="13" t="n"/>
      <c r="I216" s="4" t="n"/>
      <c r="J216" s="18">
        <f>IF(G216="","",F216*G216)</f>
        <v/>
      </c>
    </row>
    <row r="217">
      <c r="A217" s="9" t="n">
        <v>203</v>
      </c>
      <c r="B217" s="9" t="n">
        <v>576481</v>
      </c>
      <c r="C217" s="10" t="inlineStr">
        <is>
          <t>4005808890590</t>
        </is>
      </c>
      <c r="D217" s="11" t="inlineStr">
        <is>
          <t>CR NIVEA SOFT HIDRAT.97G</t>
        </is>
      </c>
      <c r="E217" s="11" t="inlineStr">
        <is>
          <t>NIVEA</t>
        </is>
      </c>
      <c r="F217" s="9" t="n">
        <v>2</v>
      </c>
      <c r="G217" s="12" t="n"/>
      <c r="H217" s="13" t="n"/>
      <c r="I217" s="4" t="n"/>
      <c r="J217" s="14">
        <f>IF(G217="","",F217*G217)</f>
        <v/>
      </c>
    </row>
    <row r="218">
      <c r="A218" s="15" t="n">
        <v>204</v>
      </c>
      <c r="B218" s="15" t="n">
        <v>413841</v>
      </c>
      <c r="C218" s="16" t="inlineStr">
        <is>
          <t>7896070600249</t>
        </is>
      </c>
      <c r="D218" s="17" t="inlineStr">
        <is>
          <t>CREMEFENERGAN 20MG/G CREM DERM BG 30G</t>
        </is>
      </c>
      <c r="E218" s="17" t="inlineStr">
        <is>
          <t>SANOFI CONSUMER HEALTHCARE</t>
        </is>
      </c>
      <c r="F218" s="15" t="n">
        <v>1</v>
      </c>
      <c r="G218" s="12" t="n"/>
      <c r="H218" s="13" t="n"/>
      <c r="I218" s="4" t="n"/>
      <c r="J218" s="18">
        <f>IF(G218="","",F218*G218)</f>
        <v/>
      </c>
    </row>
    <row r="219">
      <c r="A219" s="9" t="n">
        <v>205</v>
      </c>
      <c r="B219" s="9" t="n">
        <v>463461</v>
      </c>
      <c r="C219" s="10" t="inlineStr">
        <is>
          <t>7891317136468</t>
        </is>
      </c>
      <c r="D219" s="11" t="inlineStr">
        <is>
          <t>CREVAGIN 30+20MG CREM VAG BG X 40G +7APLIC</t>
        </is>
      </c>
      <c r="E219" s="11" t="inlineStr">
        <is>
          <t>EUROFARMA</t>
        </is>
      </c>
      <c r="F219" s="9" t="n">
        <v>3</v>
      </c>
      <c r="G219" s="12" t="n"/>
      <c r="H219" s="13" t="n"/>
      <c r="I219" s="4" t="n"/>
      <c r="J219" s="14">
        <f>IF(G219="","",F219*G219)</f>
        <v/>
      </c>
    </row>
    <row r="220">
      <c r="A220" s="15" t="n">
        <v>206</v>
      </c>
      <c r="B220" s="15" t="n">
        <v>605281</v>
      </c>
      <c r="C220" s="16" t="inlineStr">
        <is>
          <t>7893454714783</t>
        </is>
      </c>
      <c r="D220" s="17" t="inlineStr">
        <is>
          <t>CULTURELLE PROBIOTICO CX 30 SACHES</t>
        </is>
      </c>
      <c r="E220" s="17" t="inlineStr">
        <is>
          <t>CELLERA FARMA</t>
        </is>
      </c>
      <c r="F220" s="15" t="n">
        <v>1</v>
      </c>
      <c r="G220" s="12" t="n"/>
      <c r="H220" s="13" t="n"/>
      <c r="I220" s="4" t="n"/>
      <c r="J220" s="18">
        <f>IF(G220="","",F220*G220)</f>
        <v/>
      </c>
    </row>
    <row r="221">
      <c r="A221" s="9" t="n">
        <v>207</v>
      </c>
      <c r="B221" s="9" t="n">
        <v>626861</v>
      </c>
      <c r="C221" s="10" t="inlineStr">
        <is>
          <t>7893454714776</t>
        </is>
      </c>
      <c r="D221" s="11" t="inlineStr">
        <is>
          <t>CULTURELLE PROBIOTICO CX 6 SACHES</t>
        </is>
      </c>
      <c r="E221" s="11" t="inlineStr">
        <is>
          <t>CELLERA FARMA</t>
        </is>
      </c>
      <c r="F221" s="9" t="n">
        <v>1</v>
      </c>
      <c r="G221" s="12" t="n"/>
      <c r="H221" s="13" t="n"/>
      <c r="I221" s="4" t="n"/>
      <c r="J221" s="14">
        <f>IF(G221="","",F221*G221)</f>
        <v/>
      </c>
    </row>
    <row r="222">
      <c r="A222" s="15" t="n">
        <v>208</v>
      </c>
      <c r="B222" s="15" t="n">
        <v>651401</v>
      </c>
      <c r="C222" s="16" t="inlineStr">
        <is>
          <t>7896676440508</t>
        </is>
      </c>
      <c r="D222" s="17" t="inlineStr">
        <is>
          <t>CUTISANOL BABY CREME 45G-DEMAIS PROD</t>
        </is>
      </c>
      <c r="E222" s="17" t="inlineStr">
        <is>
          <t>NESTLE</t>
        </is>
      </c>
      <c r="F222" s="15" t="n">
        <v>1</v>
      </c>
      <c r="G222" s="12" t="n"/>
      <c r="H222" s="13" t="n"/>
      <c r="I222" s="4" t="n"/>
      <c r="J222" s="18">
        <f>IF(G222="","",F222*G222)</f>
        <v/>
      </c>
    </row>
    <row r="223">
      <c r="A223" s="9" t="n">
        <v>209</v>
      </c>
      <c r="B223" s="9" t="n">
        <v>605211</v>
      </c>
      <c r="C223" s="10" t="inlineStr">
        <is>
          <t>7896316101424</t>
        </is>
      </c>
      <c r="D223" s="11" t="inlineStr">
        <is>
          <t>CYCLOFEMINA 25MG+5MG/0,5ML SUS INJ 1 AMP X 0,5ML</t>
        </is>
      </c>
      <c r="E223" s="11" t="inlineStr">
        <is>
          <t>HEMAFARMA/CARNOT</t>
        </is>
      </c>
      <c r="F223" s="9" t="n">
        <v>6</v>
      </c>
      <c r="G223" s="12" t="n"/>
      <c r="H223" s="13" t="n"/>
      <c r="I223" s="4" t="n"/>
      <c r="J223" s="14">
        <f>IF(G223="","",F223*G223)</f>
        <v/>
      </c>
    </row>
    <row r="224">
      <c r="A224" s="15" t="n">
        <v>210</v>
      </c>
      <c r="B224" s="15" t="n">
        <v>137481</v>
      </c>
      <c r="C224" s="16" t="inlineStr">
        <is>
          <t>7896006225010</t>
        </is>
      </c>
      <c r="D224" s="17" t="inlineStr">
        <is>
          <t>CYLOCORT 3+1MG POM OFT BG 3,5G</t>
        </is>
      </c>
      <c r="E224" s="17" t="inlineStr">
        <is>
          <t>UNIAO QUIMICA</t>
        </is>
      </c>
      <c r="F224" s="15" t="n">
        <v>5</v>
      </c>
      <c r="G224" s="12" t="n"/>
      <c r="H224" s="13" t="n"/>
      <c r="I224" s="4" t="n"/>
      <c r="J224" s="18">
        <f>IF(G224="","",F224*G224)</f>
        <v/>
      </c>
    </row>
    <row r="225">
      <c r="A225" s="9" t="n">
        <v>211</v>
      </c>
      <c r="B225" s="9" t="n">
        <v>226061</v>
      </c>
      <c r="C225" s="10" t="inlineStr">
        <is>
          <t>5702191007916</t>
        </is>
      </c>
      <c r="D225" s="11" t="inlineStr">
        <is>
          <t>DAIVOBET 50MCG+0,5MG/G POM DERM BG 30G</t>
        </is>
      </c>
      <c r="E225" s="11" t="inlineStr">
        <is>
          <t>LEO PHARMA</t>
        </is>
      </c>
      <c r="F225" s="9" t="n">
        <v>2</v>
      </c>
      <c r="G225" s="12" t="n"/>
      <c r="H225" s="13" t="n"/>
      <c r="I225" s="4" t="n"/>
      <c r="J225" s="14">
        <f>IF(G225="","",F225*G225)</f>
        <v/>
      </c>
    </row>
    <row r="226">
      <c r="A226" s="15" t="n">
        <v>212</v>
      </c>
      <c r="B226" s="15" t="n">
        <v>347821</v>
      </c>
      <c r="C226" s="16" t="inlineStr">
        <is>
          <t>7896212479825</t>
        </is>
      </c>
      <c r="D226" s="17" t="inlineStr">
        <is>
          <t>DAKTARIN GEL ORAL 20MG/G GEL ORAL BG 40G</t>
        </is>
      </c>
      <c r="E226" s="17" t="inlineStr">
        <is>
          <t>JOHNSON &amp; JOHNSON</t>
        </is>
      </c>
      <c r="F226" s="15" t="n">
        <v>1</v>
      </c>
      <c r="G226" s="12" t="n"/>
      <c r="H226" s="13" t="n"/>
      <c r="I226" s="4" t="n"/>
      <c r="J226" s="18">
        <f>IF(G226="","",F226*G226)</f>
        <v/>
      </c>
    </row>
    <row r="227">
      <c r="A227" s="9" t="n">
        <v>213</v>
      </c>
      <c r="B227" s="9" t="n">
        <v>238741</v>
      </c>
      <c r="C227" s="10" t="inlineStr">
        <is>
          <t>7894916509831</t>
        </is>
      </c>
      <c r="D227" s="11" t="inlineStr">
        <is>
          <t>DALYNE 3+0,03MG CAIXA C/ 3 CARTELAS</t>
        </is>
      </c>
      <c r="E227" s="11" t="inlineStr">
        <is>
          <t>SIGMA PHARMA</t>
        </is>
      </c>
      <c r="F227" s="9" t="n">
        <v>1</v>
      </c>
      <c r="G227" s="12" t="n"/>
      <c r="H227" s="13" t="n"/>
      <c r="I227" s="4" t="n"/>
      <c r="J227" s="14">
        <f>IF(G227="","",F227*G227)</f>
        <v/>
      </c>
    </row>
    <row r="228">
      <c r="A228" s="15" t="n">
        <v>214</v>
      </c>
      <c r="B228" s="15" t="n">
        <v>238881</v>
      </c>
      <c r="C228" s="16" t="inlineStr">
        <is>
          <t>7894916508988</t>
        </is>
      </c>
      <c r="D228" s="17" t="inlineStr">
        <is>
          <t>DALYNE 3+0,3MG CX 21 COMP REV</t>
        </is>
      </c>
      <c r="E228" s="17" t="inlineStr">
        <is>
          <t>SIGMA PHARMA</t>
        </is>
      </c>
      <c r="F228" s="15" t="n">
        <v>1</v>
      </c>
      <c r="G228" s="12" t="n"/>
      <c r="H228" s="13" t="n"/>
      <c r="I228" s="4" t="n"/>
      <c r="J228" s="18">
        <f>IF(G228="","",F228*G228)</f>
        <v/>
      </c>
    </row>
    <row r="229">
      <c r="A229" s="9" t="n">
        <v>215</v>
      </c>
      <c r="B229" s="9" t="n">
        <v>550781</v>
      </c>
      <c r="C229" s="10" t="inlineStr">
        <is>
          <t>7896658027208</t>
        </is>
      </c>
      <c r="D229" s="11" t="inlineStr">
        <is>
          <t>DAYVIT KIDS FR 120ML</t>
        </is>
      </c>
      <c r="E229" s="11" t="inlineStr">
        <is>
          <t>ACHE</t>
        </is>
      </c>
      <c r="F229" s="9" t="n">
        <v>1</v>
      </c>
      <c r="G229" s="12" t="n"/>
      <c r="H229" s="13" t="n"/>
      <c r="I229" s="4" t="n"/>
      <c r="J229" s="14">
        <f>IF(G229="","",F229*G229)</f>
        <v/>
      </c>
    </row>
    <row r="230">
      <c r="A230" s="15" t="n">
        <v>216</v>
      </c>
      <c r="B230" s="15" t="n">
        <v>254781</v>
      </c>
      <c r="C230" s="16" t="inlineStr">
        <is>
          <t>7896658003189</t>
        </is>
      </c>
      <c r="D230" s="17" t="inlineStr">
        <is>
          <t>DECADRON 4MG INJ CX FA X 2,5ML</t>
        </is>
      </c>
      <c r="E230" s="17" t="inlineStr">
        <is>
          <t>ACHE</t>
        </is>
      </c>
      <c r="F230" s="15" t="n">
        <v>5</v>
      </c>
      <c r="G230" s="12" t="n"/>
      <c r="H230" s="13" t="n"/>
      <c r="I230" s="4" t="n"/>
      <c r="J230" s="18">
        <f>IF(G230="","",F230*G230)</f>
        <v/>
      </c>
    </row>
    <row r="231">
      <c r="A231" s="9" t="n">
        <v>217</v>
      </c>
      <c r="B231" s="9" t="n">
        <v>329661</v>
      </c>
      <c r="C231" s="10" t="inlineStr">
        <is>
          <t>7896658001901</t>
        </is>
      </c>
      <c r="D231" s="11" t="inlineStr">
        <is>
          <t>DECONGEX PLUS 12+15MG CX 12 COMP REV</t>
        </is>
      </c>
      <c r="E231" s="11" t="inlineStr">
        <is>
          <t>ACHE</t>
        </is>
      </c>
      <c r="F231" s="9" t="n">
        <v>5</v>
      </c>
      <c r="G231" s="12" t="n"/>
      <c r="H231" s="13" t="n"/>
      <c r="I231" s="4" t="n"/>
      <c r="J231" s="14">
        <f>IF(G231="","",F231*G231)</f>
        <v/>
      </c>
    </row>
    <row r="232">
      <c r="A232" s="15" t="n">
        <v>218</v>
      </c>
      <c r="B232" s="15" t="n">
        <v>329701</v>
      </c>
      <c r="C232" s="16" t="inlineStr">
        <is>
          <t>7896658001925</t>
        </is>
      </c>
      <c r="D232" s="17" t="inlineStr">
        <is>
          <t>DECONGEX PLUS 2+2,5MG SOL FR GTS 20ML</t>
        </is>
      </c>
      <c r="E232" s="17" t="inlineStr">
        <is>
          <t>ACHE</t>
        </is>
      </c>
      <c r="F232" s="15" t="n">
        <v>6</v>
      </c>
      <c r="G232" s="12" t="n"/>
      <c r="H232" s="13" t="n"/>
      <c r="I232" s="4" t="n"/>
      <c r="J232" s="18">
        <f>IF(G232="","",F232*G232)</f>
        <v/>
      </c>
    </row>
    <row r="233">
      <c r="A233" s="9" t="n">
        <v>219</v>
      </c>
      <c r="B233" s="9" t="n">
        <v>18903</v>
      </c>
      <c r="C233" s="10" t="inlineStr">
        <is>
          <t>7896658049620</t>
        </is>
      </c>
      <c r="D233" s="11" t="inlineStr">
        <is>
          <t>DECONTOSSE 40MG/ML XPE 100ML+CP</t>
        </is>
      </c>
      <c r="E233" s="11" t="inlineStr"/>
      <c r="F233" s="9" t="n">
        <v>7</v>
      </c>
      <c r="G233" s="12" t="n"/>
      <c r="H233" s="13" t="n"/>
      <c r="I233" s="4" t="n"/>
      <c r="J233" s="14">
        <f>IF(G233="","",F233*G233)</f>
        <v/>
      </c>
    </row>
    <row r="234">
      <c r="A234" s="15" t="n">
        <v>220</v>
      </c>
      <c r="B234" s="15" t="n">
        <v>6581</v>
      </c>
      <c r="C234" s="16" t="inlineStr">
        <is>
          <t>7891268101799</t>
        </is>
      </c>
      <c r="D234" s="17" t="inlineStr">
        <is>
          <t>DEPO PROVERA 150MG SUS INJ 1FA X 1ML</t>
        </is>
      </c>
      <c r="E234" s="17" t="inlineStr">
        <is>
          <t>PFIZER</t>
        </is>
      </c>
      <c r="F234" s="15" t="n">
        <v>5</v>
      </c>
      <c r="G234" s="12" t="n"/>
      <c r="H234" s="13" t="n"/>
      <c r="I234" s="4" t="n"/>
      <c r="J234" s="18">
        <f>IF(G234="","",F234*G234)</f>
        <v/>
      </c>
    </row>
    <row r="235">
      <c r="A235" s="9" t="n">
        <v>221</v>
      </c>
      <c r="B235" s="9" t="n">
        <v>6601</v>
      </c>
      <c r="C235" s="10" t="inlineStr">
        <is>
          <t>7891268101782</t>
        </is>
      </c>
      <c r="D235" s="11" t="inlineStr">
        <is>
          <t>DEPO PROVERA 150MG SUS INJ 1FA X 1ML+1SER PREENCH</t>
        </is>
      </c>
      <c r="E235" s="11" t="inlineStr">
        <is>
          <t>PFIZER</t>
        </is>
      </c>
      <c r="F235" s="9" t="n">
        <v>1</v>
      </c>
      <c r="G235" s="12" t="n"/>
      <c r="H235" s="13" t="n"/>
      <c r="I235" s="4" t="n"/>
      <c r="J235" s="14">
        <f>IF(G235="","",F235*G235)</f>
        <v/>
      </c>
    </row>
    <row r="236">
      <c r="A236" s="15" t="n">
        <v>222</v>
      </c>
      <c r="B236" s="15" t="n">
        <v>623211</v>
      </c>
      <c r="C236" s="16" t="inlineStr">
        <is>
          <t>7899706126335</t>
        </is>
      </c>
      <c r="D236" s="17" t="inlineStr">
        <is>
          <t>DERMO EXP AGUA MICELAR 200ML</t>
        </is>
      </c>
      <c r="E236" s="17" t="inlineStr">
        <is>
          <t>LOREAL PARIS</t>
        </is>
      </c>
      <c r="F236" s="15" t="n">
        <v>1</v>
      </c>
      <c r="G236" s="12" t="n"/>
      <c r="H236" s="13" t="n"/>
      <c r="I236" s="4" t="n"/>
      <c r="J236" s="18">
        <f>IF(G236="","",F236*G236)</f>
        <v/>
      </c>
    </row>
    <row r="237">
      <c r="A237" s="9" t="n">
        <v>223</v>
      </c>
      <c r="B237" s="9" t="n">
        <v>630151</v>
      </c>
      <c r="C237" s="10" t="inlineStr">
        <is>
          <t>7896026172066</t>
        </is>
      </c>
      <c r="D237" s="11" t="inlineStr">
        <is>
          <t>DERSANI HIDROGEL ALGINATO 30G-DEMAIS PROD</t>
        </is>
      </c>
      <c r="E237" s="11" t="inlineStr">
        <is>
          <t>MEGALABS</t>
        </is>
      </c>
      <c r="F237" s="9" t="n">
        <v>3</v>
      </c>
      <c r="G237" s="12" t="n"/>
      <c r="H237" s="13" t="n"/>
      <c r="I237" s="4" t="n"/>
      <c r="J237" s="14">
        <f>IF(G237="","",F237*G237)</f>
        <v/>
      </c>
    </row>
    <row r="238">
      <c r="A238" s="15" t="n">
        <v>224</v>
      </c>
      <c r="B238" s="15" t="n">
        <v>553521</v>
      </c>
      <c r="C238" s="16" t="inlineStr">
        <is>
          <t>7898087340040</t>
        </is>
      </c>
      <c r="D238" s="17" t="inlineStr">
        <is>
          <t>DERSANI ORIGINAL LOC OLEOSA 100ML</t>
        </is>
      </c>
      <c r="E238" s="17" t="inlineStr">
        <is>
          <t>MEGALABS FARMACEUTICA</t>
        </is>
      </c>
      <c r="F238" s="15" t="n">
        <v>2</v>
      </c>
      <c r="G238" s="12" t="n"/>
      <c r="H238" s="13" t="n"/>
      <c r="I238" s="4" t="n"/>
      <c r="J238" s="18">
        <f>IF(G238="","",F238*G238)</f>
        <v/>
      </c>
    </row>
    <row r="239">
      <c r="A239" s="9" t="n">
        <v>225</v>
      </c>
      <c r="B239" s="9" t="n">
        <v>604381</v>
      </c>
      <c r="C239" s="10" t="inlineStr">
        <is>
          <t>4005808310999</t>
        </is>
      </c>
      <c r="D239" s="11" t="inlineStr">
        <is>
          <t>DES.HID.NIVEA LOTION 200ML</t>
        </is>
      </c>
      <c r="E239" s="11" t="inlineStr">
        <is>
          <t>NIVEA</t>
        </is>
      </c>
      <c r="F239" s="9" t="n">
        <v>4</v>
      </c>
      <c r="G239" s="12" t="n"/>
      <c r="H239" s="13" t="n"/>
      <c r="I239" s="4" t="n"/>
      <c r="J239" s="14">
        <f>IF(G239="","",F239*G239)</f>
        <v/>
      </c>
    </row>
    <row r="240">
      <c r="A240" s="15" t="n">
        <v>226</v>
      </c>
      <c r="B240" s="15" t="n">
        <v>634411</v>
      </c>
      <c r="C240" s="16" t="inlineStr">
        <is>
          <t>7896094930209</t>
        </is>
      </c>
      <c r="D240" s="17" t="inlineStr">
        <is>
          <t>DESCON CX 12 COMP LIB PROL</t>
        </is>
      </c>
      <c r="E240" s="17" t="inlineStr">
        <is>
          <t>MANTECORP/FARMASA</t>
        </is>
      </c>
      <c r="F240" s="15" t="n">
        <v>10</v>
      </c>
      <c r="G240" s="12" t="n"/>
      <c r="H240" s="13" t="n"/>
      <c r="I240" s="4" t="n"/>
      <c r="J240" s="18">
        <f>IF(G240="","",F240*G240)</f>
        <v/>
      </c>
    </row>
    <row r="241">
      <c r="A241" s="9" t="n">
        <v>227</v>
      </c>
      <c r="B241" s="9" t="n">
        <v>625721</v>
      </c>
      <c r="C241" s="10" t="inlineStr">
        <is>
          <t>7896094929371</t>
        </is>
      </c>
      <c r="D241" s="11" t="inlineStr">
        <is>
          <t>DESCON XPE CT FR X 120 ML</t>
        </is>
      </c>
      <c r="E241" s="11" t="inlineStr">
        <is>
          <t>MANTECORP/FARMASA</t>
        </is>
      </c>
      <c r="F241" s="9" t="n">
        <v>4</v>
      </c>
      <c r="G241" s="12" t="n"/>
      <c r="H241" s="13" t="n"/>
      <c r="I241" s="4" t="n"/>
      <c r="J241" s="14">
        <f>IF(G241="","",F241*G241)</f>
        <v/>
      </c>
    </row>
    <row r="242">
      <c r="A242" s="15" t="n">
        <v>228</v>
      </c>
      <c r="B242" s="15" t="n">
        <v>359561</v>
      </c>
      <c r="C242" s="16" t="inlineStr">
        <is>
          <t>7891106006132</t>
        </is>
      </c>
      <c r="D242" s="17" t="inlineStr">
        <is>
          <t>DESCONTINUADO - PROTOVIT PLUS SOL ORAL FR GTS 20ML</t>
        </is>
      </c>
      <c r="E242" s="17" t="inlineStr">
        <is>
          <t>BAYER</t>
        </is>
      </c>
      <c r="F242" s="15" t="n">
        <v>2</v>
      </c>
      <c r="G242" s="12" t="n"/>
      <c r="H242" s="13" t="n"/>
      <c r="I242" s="4" t="n"/>
      <c r="J242" s="18">
        <f>IF(G242="","",F242*G242)</f>
        <v/>
      </c>
    </row>
    <row r="243">
      <c r="A243" s="9" t="n">
        <v>229</v>
      </c>
      <c r="B243" s="9" t="n">
        <v>41803</v>
      </c>
      <c r="C243" s="10" t="inlineStr">
        <is>
          <t>7891721024481</t>
        </is>
      </c>
      <c r="D243" s="11" t="inlineStr">
        <is>
          <t>DEXA-CITONEURIN NFF C/3APX1ML (PGO)</t>
        </is>
      </c>
      <c r="E243" s="11" t="inlineStr">
        <is>
          <t>PROCTER   GAMBLE DO BRASIL</t>
        </is>
      </c>
      <c r="F243" s="9" t="n">
        <v>20</v>
      </c>
      <c r="G243" s="12" t="n"/>
      <c r="H243" s="13" t="n"/>
      <c r="I243" s="4" t="n"/>
      <c r="J243" s="14">
        <f>IF(G243="","",F243*G243)</f>
        <v/>
      </c>
    </row>
    <row r="244">
      <c r="A244" s="15" t="n">
        <v>230</v>
      </c>
      <c r="B244" s="15" t="n">
        <v>601471</v>
      </c>
      <c r="C244" s="16" t="inlineStr">
        <is>
          <t>7891317010751</t>
        </is>
      </c>
      <c r="D244" s="17" t="inlineStr">
        <is>
          <t>DEXALGEN 100+100MG/ML AMP 1ML+5+4,37MG 3 AMP X 2ML</t>
        </is>
      </c>
      <c r="E244" s="17" t="inlineStr">
        <is>
          <t>EUROFARMA</t>
        </is>
      </c>
      <c r="F244" s="15" t="n">
        <v>2</v>
      </c>
      <c r="G244" s="12" t="n"/>
      <c r="H244" s="13" t="n"/>
      <c r="I244" s="4" t="n"/>
      <c r="J244" s="18">
        <f>IF(G244="","",F244*G244)</f>
        <v/>
      </c>
    </row>
    <row r="245">
      <c r="A245" s="9" t="n">
        <v>231</v>
      </c>
      <c r="B245" s="9" t="n">
        <v>247221</v>
      </c>
      <c r="C245" s="10" t="inlineStr">
        <is>
          <t>7891317031350</t>
        </is>
      </c>
      <c r="D245" s="11" t="inlineStr">
        <is>
          <t>DEXFER 100MG/ML SOL FR GOT 30ML+ADAPT</t>
        </is>
      </c>
      <c r="E245" s="11" t="inlineStr">
        <is>
          <t>EUROFARMA</t>
        </is>
      </c>
      <c r="F245" s="9" t="n">
        <v>4</v>
      </c>
      <c r="G245" s="12" t="n"/>
      <c r="H245" s="13" t="n"/>
      <c r="I245" s="4" t="n"/>
      <c r="J245" s="14">
        <f>IF(G245="","",F245*G245)</f>
        <v/>
      </c>
    </row>
    <row r="246">
      <c r="A246" s="9" t="n">
        <v>232</v>
      </c>
      <c r="B246" s="9" t="n">
        <v>247221</v>
      </c>
      <c r="C246" s="10" t="inlineStr">
        <is>
          <t>7891317016883</t>
        </is>
      </c>
      <c r="D246" s="11" t="inlineStr">
        <is>
          <t>DEXFER 100MG/ML SOL FR GOT 30ML+ADAPT</t>
        </is>
      </c>
      <c r="E246" s="11" t="inlineStr">
        <is>
          <t>EUROFARMA</t>
        </is>
      </c>
      <c r="F246" s="9" t="n">
        <v>4</v>
      </c>
      <c r="G246" s="12" t="n"/>
      <c r="H246" s="13" t="n"/>
      <c r="I246" s="4" t="n"/>
      <c r="J246" s="14">
        <f>IF(G246="","",F246*G246)</f>
        <v/>
      </c>
    </row>
    <row r="247">
      <c r="A247" s="15" t="n">
        <v>233</v>
      </c>
      <c r="B247" s="15" t="n">
        <v>247121</v>
      </c>
      <c r="C247" s="16" t="inlineStr">
        <is>
          <t>7891317000660</t>
        </is>
      </c>
      <c r="D247" s="17" t="inlineStr">
        <is>
          <t>DEXFER 400MG CX 30 COMP REV</t>
        </is>
      </c>
      <c r="E247" s="17" t="inlineStr">
        <is>
          <t>EUROFARMA</t>
        </is>
      </c>
      <c r="F247" s="15" t="n">
        <v>2</v>
      </c>
      <c r="G247" s="12" t="n"/>
      <c r="H247" s="13" t="n"/>
      <c r="I247" s="4" t="n"/>
      <c r="J247" s="18">
        <f>IF(G247="","",F247*G247)</f>
        <v/>
      </c>
    </row>
    <row r="248">
      <c r="A248" s="15" t="n">
        <v>234</v>
      </c>
      <c r="B248" s="15" t="n">
        <v>247121</v>
      </c>
      <c r="C248" s="16" t="inlineStr">
        <is>
          <t>7891317016623</t>
        </is>
      </c>
      <c r="D248" s="17" t="inlineStr">
        <is>
          <t>DEXFER 400MG CX 30 COMP REV</t>
        </is>
      </c>
      <c r="E248" s="17" t="inlineStr">
        <is>
          <t>EUROFARMA</t>
        </is>
      </c>
      <c r="F248" s="15" t="n">
        <v>2</v>
      </c>
      <c r="G248" s="12" t="n"/>
      <c r="H248" s="13" t="n"/>
      <c r="I248" s="4" t="n"/>
      <c r="J248" s="18">
        <f>IF(G248="","",F248*G248)</f>
        <v/>
      </c>
    </row>
    <row r="249">
      <c r="A249" s="9" t="n">
        <v>235</v>
      </c>
      <c r="B249" s="9" t="n">
        <v>207901</v>
      </c>
      <c r="C249" s="10" t="inlineStr">
        <is>
          <t>7896641808982</t>
        </is>
      </c>
      <c r="D249" s="11" t="inlineStr">
        <is>
          <t>DEXILANT 30MG CX 30 CAP LIB RETARD</t>
        </is>
      </c>
      <c r="E249" s="11" t="inlineStr">
        <is>
          <t>TAKEDA PHARMA</t>
        </is>
      </c>
      <c r="F249" s="9" t="n">
        <v>1</v>
      </c>
      <c r="G249" s="12" t="n"/>
      <c r="H249" s="13" t="n"/>
      <c r="I249" s="4" t="n"/>
      <c r="J249" s="14">
        <f>IF(G249="","",F249*G249)</f>
        <v/>
      </c>
    </row>
    <row r="250">
      <c r="A250" s="15" t="n">
        <v>236</v>
      </c>
      <c r="B250" s="15" t="n">
        <v>207821</v>
      </c>
      <c r="C250" s="16" t="inlineStr">
        <is>
          <t>7896641809026</t>
        </is>
      </c>
      <c r="D250" s="17" t="inlineStr">
        <is>
          <t>DEXILANT 60MG CX 30 CAP LIB RETARD</t>
        </is>
      </c>
      <c r="E250" s="17" t="inlineStr">
        <is>
          <t>TAKEDA PHARMA</t>
        </is>
      </c>
      <c r="F250" s="15" t="n">
        <v>3</v>
      </c>
      <c r="G250" s="12" t="n"/>
      <c r="H250" s="13" t="n"/>
      <c r="I250" s="4" t="n"/>
      <c r="J250" s="18">
        <f>IF(G250="","",F250*G250)</f>
        <v/>
      </c>
    </row>
    <row r="251">
      <c r="A251" s="9" t="n">
        <v>237</v>
      </c>
      <c r="B251" s="9" t="n">
        <v>539561</v>
      </c>
      <c r="C251" s="10" t="inlineStr">
        <is>
          <t>7891106913966</t>
        </is>
      </c>
      <c r="D251" s="11" t="inlineStr">
        <is>
          <t>DIANE 35 2+0,035MG CX 21 DRG</t>
        </is>
      </c>
      <c r="E251" s="11" t="inlineStr">
        <is>
          <t>BAYER</t>
        </is>
      </c>
      <c r="F251" s="9" t="n">
        <v>5</v>
      </c>
      <c r="G251" s="12" t="n"/>
      <c r="H251" s="13" t="n"/>
      <c r="I251" s="4" t="n"/>
      <c r="J251" s="14">
        <f>IF(G251="","",F251*G251)</f>
        <v/>
      </c>
    </row>
    <row r="252">
      <c r="A252" s="15" t="n">
        <v>238</v>
      </c>
      <c r="B252" s="15" t="n">
        <v>4621</v>
      </c>
      <c r="C252" s="16" t="inlineStr">
        <is>
          <t>7891721010026</t>
        </is>
      </c>
      <c r="D252" s="17" t="inlineStr">
        <is>
          <t>DICLIN 2+0,035MG CX 21 COMP REV</t>
        </is>
      </c>
      <c r="E252" s="17" t="inlineStr">
        <is>
          <t>MERCK</t>
        </is>
      </c>
      <c r="F252" s="15" t="n">
        <v>1</v>
      </c>
      <c r="G252" s="12" t="n"/>
      <c r="H252" s="13" t="n"/>
      <c r="I252" s="4" t="n"/>
      <c r="J252" s="18">
        <f>IF(G252="","",F252*G252)</f>
        <v/>
      </c>
    </row>
    <row r="253">
      <c r="A253" s="9" t="n">
        <v>239</v>
      </c>
      <c r="B253" s="9" t="n">
        <v>159901</v>
      </c>
      <c r="C253" s="10" t="inlineStr">
        <is>
          <t>7896658008023</t>
        </is>
      </c>
      <c r="D253" s="11" t="inlineStr">
        <is>
          <t>DIGEPLUS CX 30 CAP</t>
        </is>
      </c>
      <c r="E253" s="11" t="inlineStr">
        <is>
          <t>ACHE</t>
        </is>
      </c>
      <c r="F253" s="9" t="n">
        <v>1</v>
      </c>
      <c r="G253" s="12" t="n"/>
      <c r="H253" s="13" t="n"/>
      <c r="I253" s="4" t="n"/>
      <c r="J253" s="14">
        <f>IF(G253="","",F253*G253)</f>
        <v/>
      </c>
    </row>
    <row r="254">
      <c r="A254" s="15" t="n">
        <v>240</v>
      </c>
      <c r="B254" s="15" t="n">
        <v>226161</v>
      </c>
      <c r="C254" s="16" t="inlineStr">
        <is>
          <t>7891142141279</t>
        </is>
      </c>
      <c r="D254" s="17" t="inlineStr">
        <is>
          <t>DIPROSONE 0,64MG CREME BG 30G</t>
        </is>
      </c>
      <c r="E254" s="17" t="inlineStr">
        <is>
          <t>MANTECORP/FARMASA</t>
        </is>
      </c>
      <c r="F254" s="15" t="n">
        <v>1</v>
      </c>
      <c r="G254" s="12" t="n"/>
      <c r="H254" s="13" t="n"/>
      <c r="I254" s="4" t="n"/>
      <c r="J254" s="18">
        <f>IF(G254="","",F254*G254)</f>
        <v/>
      </c>
    </row>
    <row r="255">
      <c r="A255" s="9" t="n">
        <v>241</v>
      </c>
      <c r="B255" s="9" t="n">
        <v>226141</v>
      </c>
      <c r="C255" s="10" t="inlineStr">
        <is>
          <t>7891142141286</t>
        </is>
      </c>
      <c r="D255" s="11" t="inlineStr">
        <is>
          <t>DIPROSONE 0,64MG LOCAO FR 30ML</t>
        </is>
      </c>
      <c r="E255" s="11" t="inlineStr">
        <is>
          <t>MANTECORP/FARMASA</t>
        </is>
      </c>
      <c r="F255" s="9" t="n">
        <v>2</v>
      </c>
      <c r="G255" s="12" t="n"/>
      <c r="H255" s="13" t="n"/>
      <c r="I255" s="4" t="n"/>
      <c r="J255" s="14">
        <f>IF(G255="","",F255*G255)</f>
        <v/>
      </c>
    </row>
    <row r="256">
      <c r="A256" s="15" t="n">
        <v>242</v>
      </c>
      <c r="B256" s="15" t="n">
        <v>254221</v>
      </c>
      <c r="C256" s="16" t="inlineStr">
        <is>
          <t>7891142142252</t>
        </is>
      </c>
      <c r="D256" s="17" t="inlineStr">
        <is>
          <t>DIPROSPAN 5+2MG INJ 1AMP X 1ML</t>
        </is>
      </c>
      <c r="E256" s="17" t="inlineStr">
        <is>
          <t>MANTECORP/FARMASA</t>
        </is>
      </c>
      <c r="F256" s="15" t="n">
        <v>6</v>
      </c>
      <c r="G256" s="12" t="n"/>
      <c r="H256" s="13" t="n"/>
      <c r="I256" s="4" t="n"/>
      <c r="J256" s="18">
        <f>IF(G256="","",F256*G256)</f>
        <v/>
      </c>
    </row>
    <row r="257">
      <c r="A257" s="9" t="n">
        <v>243</v>
      </c>
      <c r="B257" s="9" t="n">
        <v>134841</v>
      </c>
      <c r="C257" s="10" t="inlineStr">
        <is>
          <t>7898040322441</t>
        </is>
      </c>
      <c r="D257" s="11" t="inlineStr">
        <is>
          <t>DOLAMIN FLEX 125+5,0MG CX 12 COMP REV</t>
        </is>
      </c>
      <c r="E257" s="11" t="inlineStr">
        <is>
          <t>FQM/FARMA</t>
        </is>
      </c>
      <c r="F257" s="9" t="n">
        <v>1</v>
      </c>
      <c r="G257" s="12" t="n"/>
      <c r="H257" s="13" t="n"/>
      <c r="I257" s="4" t="n"/>
      <c r="J257" s="14">
        <f>IF(G257="","",F257*G257)</f>
        <v/>
      </c>
    </row>
    <row r="258">
      <c r="A258" s="15" t="n">
        <v>244</v>
      </c>
      <c r="B258" s="15" t="n">
        <v>633651</v>
      </c>
      <c r="C258" s="16" t="inlineStr">
        <is>
          <t>7891058005474</t>
        </is>
      </c>
      <c r="D258" s="17" t="inlineStr">
        <is>
          <t>DORFLEX DIP 1G CX 10 COMP</t>
        </is>
      </c>
      <c r="E258" s="17" t="inlineStr">
        <is>
          <t>SANOFI CONSUMER HEALTHCARE</t>
        </is>
      </c>
      <c r="F258" s="15" t="n">
        <v>303</v>
      </c>
      <c r="G258" s="12" t="n"/>
      <c r="H258" s="13" t="n"/>
      <c r="I258" s="4" t="n"/>
      <c r="J258" s="18">
        <f>IF(G258="","",F258*G258)</f>
        <v/>
      </c>
    </row>
    <row r="259">
      <c r="A259" s="9" t="n">
        <v>245</v>
      </c>
      <c r="B259" s="9" t="n">
        <v>622821</v>
      </c>
      <c r="C259" s="10" t="inlineStr">
        <is>
          <t>7891058003975</t>
        </is>
      </c>
      <c r="D259" s="11" t="inlineStr">
        <is>
          <t>DORFLEX MAX 600+70+100MG CX 16 COMP</t>
        </is>
      </c>
      <c r="E259" s="11" t="inlineStr">
        <is>
          <t>SANOFI CONSUMER HEALTHCARE</t>
        </is>
      </c>
      <c r="F259" s="9" t="n">
        <v>1</v>
      </c>
      <c r="G259" s="12" t="n"/>
      <c r="H259" s="13" t="n"/>
      <c r="I259" s="4" t="n"/>
      <c r="J259" s="14">
        <f>IF(G259="","",F259*G259)</f>
        <v/>
      </c>
    </row>
    <row r="260">
      <c r="A260" s="15" t="n">
        <v>246</v>
      </c>
      <c r="B260" s="15" t="n">
        <v>498901</v>
      </c>
      <c r="C260" s="16" t="inlineStr">
        <is>
          <t>7891058022815</t>
        </is>
      </c>
      <c r="D260" s="17" t="inlineStr">
        <is>
          <t>DORFLEX UNO 1G CX 10 COMP</t>
        </is>
      </c>
      <c r="E260" s="17" t="inlineStr">
        <is>
          <t>SANOFI CONSUMER HEALTHCARE</t>
        </is>
      </c>
      <c r="F260" s="15" t="n">
        <v>1</v>
      </c>
      <c r="G260" s="12" t="n"/>
      <c r="H260" s="13" t="n"/>
      <c r="I260" s="4" t="n"/>
      <c r="J260" s="18">
        <f>IF(G260="","",F260*G260)</f>
        <v/>
      </c>
    </row>
    <row r="261">
      <c r="A261" s="9" t="n">
        <v>247</v>
      </c>
      <c r="B261" s="9" t="n">
        <v>660151</v>
      </c>
      <c r="C261" s="10" t="inlineStr">
        <is>
          <t>7896094931428</t>
        </is>
      </c>
      <c r="D261" s="11" t="inlineStr">
        <is>
          <t>DORII PRO 550MG CPRV CT BL 1X10</t>
        </is>
      </c>
      <c r="E261" s="11" t="inlineStr">
        <is>
          <t>COSMED</t>
        </is>
      </c>
      <c r="F261" s="9" t="n">
        <v>9</v>
      </c>
      <c r="G261" s="12" t="n"/>
      <c r="H261" s="13" t="n"/>
      <c r="I261" s="4" t="n"/>
      <c r="J261" s="14">
        <f>IF(G261="","",F261*G261)</f>
        <v/>
      </c>
    </row>
    <row r="262">
      <c r="A262" s="15" t="n">
        <v>248</v>
      </c>
      <c r="B262" s="15" t="n">
        <v>397941</v>
      </c>
      <c r="C262" s="16" t="inlineStr">
        <is>
          <t>7896094910546</t>
        </is>
      </c>
      <c r="D262" s="17" t="inlineStr">
        <is>
          <t>DORIL ENXAQUECA CARTELA C/ 2 DOSES 4CP</t>
        </is>
      </c>
      <c r="E262" s="17" t="inlineStr">
        <is>
          <t>COSMED</t>
        </is>
      </c>
      <c r="F262" s="15" t="n">
        <v>2</v>
      </c>
      <c r="G262" s="12" t="n"/>
      <c r="H262" s="13" t="n"/>
      <c r="I262" s="4" t="n"/>
      <c r="J262" s="18">
        <f>IF(G262="","",F262*G262)</f>
        <v/>
      </c>
    </row>
    <row r="263">
      <c r="A263" s="15" t="n">
        <v>249</v>
      </c>
      <c r="B263" s="15" t="n">
        <v>397941</v>
      </c>
      <c r="C263" s="16" t="inlineStr">
        <is>
          <t>7896094906310</t>
        </is>
      </c>
      <c r="D263" s="17" t="inlineStr">
        <is>
          <t>DORIL ENXAQUECA CARTELA C/ 2 DOSES 4CP</t>
        </is>
      </c>
      <c r="E263" s="17" t="inlineStr">
        <is>
          <t>COSMED</t>
        </is>
      </c>
      <c r="F263" s="15" t="n">
        <v>2</v>
      </c>
      <c r="G263" s="12" t="n"/>
      <c r="H263" s="13" t="n"/>
      <c r="I263" s="4" t="n"/>
      <c r="J263" s="18">
        <f>IF(G263="","",F263*G263)</f>
        <v/>
      </c>
    </row>
    <row r="264">
      <c r="A264" s="9" t="n">
        <v>250</v>
      </c>
      <c r="B264" s="9" t="n">
        <v>142681</v>
      </c>
      <c r="C264" s="10" t="inlineStr">
        <is>
          <t>7896004757957</t>
        </is>
      </c>
      <c r="D264" s="11" t="inlineStr">
        <is>
          <t>DORZAL 20MG/ML SOL OFT FR X 5ML</t>
        </is>
      </c>
      <c r="E264" s="11" t="inlineStr">
        <is>
          <t>LEGRAND PRESCRIÇÃO</t>
        </is>
      </c>
      <c r="F264" s="9" t="n">
        <v>1</v>
      </c>
      <c r="G264" s="12" t="n"/>
      <c r="H264" s="13" t="n"/>
      <c r="I264" s="4" t="n"/>
      <c r="J264" s="14">
        <f>IF(G264="","",F264*G264)</f>
        <v/>
      </c>
    </row>
    <row r="265">
      <c r="A265" s="15" t="n">
        <v>251</v>
      </c>
      <c r="B265" s="15" t="n">
        <v>643911</v>
      </c>
      <c r="C265" s="16" t="inlineStr">
        <is>
          <t>7896112402343</t>
        </is>
      </c>
      <c r="D265" s="17" t="inlineStr">
        <is>
          <t>DOSS 2000UI CX 30 CAP</t>
        </is>
      </c>
      <c r="E265" s="17" t="inlineStr">
        <is>
          <t>BIOLAB</t>
        </is>
      </c>
      <c r="F265" s="15" t="n">
        <v>1</v>
      </c>
      <c r="G265" s="12" t="n"/>
      <c r="H265" s="13" t="n"/>
      <c r="I265" s="4" t="n"/>
      <c r="J265" s="18">
        <f>IF(G265="","",F265*G265)</f>
        <v/>
      </c>
    </row>
    <row r="266">
      <c r="A266" s="9" t="n">
        <v>252</v>
      </c>
      <c r="B266" s="9" t="n">
        <v>663061</v>
      </c>
      <c r="C266" s="10" t="inlineStr">
        <is>
          <t>7891150096486</t>
        </is>
      </c>
      <c r="D266" s="11" t="inlineStr">
        <is>
          <t>DOVE GEL LIMP FACIAL PL OLEOS E ACNEIC 150ML   UNIL %DN:17.00</t>
        </is>
      </c>
      <c r="E266" s="11" t="inlineStr">
        <is>
          <t>DOVE</t>
        </is>
      </c>
      <c r="F266" s="9" t="n">
        <v>2</v>
      </c>
      <c r="G266" s="12" t="n"/>
      <c r="H266" s="13" t="n"/>
      <c r="I266" s="4" t="n"/>
      <c r="J266" s="14">
        <f>IF(G266="","",F266*G266)</f>
        <v/>
      </c>
    </row>
    <row r="267">
      <c r="A267" s="15" t="n">
        <v>253</v>
      </c>
      <c r="B267" s="15" t="n">
        <v>663071</v>
      </c>
      <c r="C267" s="16" t="inlineStr">
        <is>
          <t>7891150096509</t>
        </is>
      </c>
      <c r="D267" s="17" t="inlineStr">
        <is>
          <t>DOVE GEL LIMP FACIAL PL SENS E OLEOS 150ML   UNIL %DN:17.00</t>
        </is>
      </c>
      <c r="E267" s="17" t="inlineStr">
        <is>
          <t>DOVE</t>
        </is>
      </c>
      <c r="F267" s="15" t="n">
        <v>1</v>
      </c>
      <c r="G267" s="12" t="n"/>
      <c r="H267" s="13" t="n"/>
      <c r="I267" s="4" t="n"/>
      <c r="J267" s="18">
        <f>IF(G267="","",F267*G267)</f>
        <v/>
      </c>
    </row>
    <row r="268">
      <c r="A268" s="9" t="n">
        <v>254</v>
      </c>
      <c r="B268" s="9" t="n">
        <v>666711</v>
      </c>
      <c r="C268" s="10" t="inlineStr">
        <is>
          <t>7891317042202</t>
        </is>
      </c>
      <c r="D268" s="11" t="inlineStr">
        <is>
          <t>DOZI 1000MCG C/30 COMP SUB-OUTROS</t>
        </is>
      </c>
      <c r="E268" s="11" t="inlineStr">
        <is>
          <t>EUROFARMA</t>
        </is>
      </c>
      <c r="F268" s="9" t="n">
        <v>1</v>
      </c>
      <c r="G268" s="12" t="n"/>
      <c r="H268" s="13" t="n"/>
      <c r="I268" s="4" t="n"/>
      <c r="J268" s="14">
        <f>IF(G268="","",F268*G268)</f>
        <v/>
      </c>
    </row>
    <row r="269">
      <c r="A269" s="15" t="n">
        <v>255</v>
      </c>
      <c r="B269" s="15" t="n">
        <v>503121</v>
      </c>
      <c r="C269" s="16" t="inlineStr">
        <is>
          <t>7898430192920</t>
        </is>
      </c>
      <c r="D269" s="17" t="inlineStr">
        <is>
          <t>DPREV 10.000UI CX 4 COMP REV</t>
        </is>
      </c>
      <c r="E269" s="17" t="inlineStr">
        <is>
          <t>MYRALIS PHARMA</t>
        </is>
      </c>
      <c r="F269" s="15" t="n">
        <v>1</v>
      </c>
      <c r="G269" s="12" t="n"/>
      <c r="H269" s="13" t="n"/>
      <c r="I269" s="4" t="n"/>
      <c r="J269" s="18">
        <f>IF(G269="","",F269*G269)</f>
        <v/>
      </c>
    </row>
    <row r="270">
      <c r="A270" s="9" t="n">
        <v>256</v>
      </c>
      <c r="B270" s="9" t="n">
        <v>481541</v>
      </c>
      <c r="C270" s="10" t="inlineStr">
        <is>
          <t>7898430193590</t>
        </is>
      </c>
      <c r="D270" s="11" t="inlineStr">
        <is>
          <t>DPREV 14000UI 1BL X 4 COMP REV</t>
        </is>
      </c>
      <c r="E270" s="11" t="inlineStr">
        <is>
          <t>MYRALIS PHARMA</t>
        </is>
      </c>
      <c r="F270" s="9" t="n">
        <v>2</v>
      </c>
      <c r="G270" s="12" t="n"/>
      <c r="H270" s="13" t="n"/>
      <c r="I270" s="4" t="n"/>
      <c r="J270" s="14">
        <f>IF(G270="","",F270*G270)</f>
        <v/>
      </c>
    </row>
    <row r="271">
      <c r="A271" s="15" t="n">
        <v>257</v>
      </c>
      <c r="B271" s="15" t="n">
        <v>588941</v>
      </c>
      <c r="C271" s="16" t="inlineStr">
        <is>
          <t>7896094999503</t>
        </is>
      </c>
      <c r="D271" s="17" t="inlineStr">
        <is>
          <t>DRAMIN 50MG CARTELA COM 10 CPS</t>
        </is>
      </c>
      <c r="E271" s="17" t="inlineStr">
        <is>
          <t>COSMED</t>
        </is>
      </c>
      <c r="F271" s="15" t="n">
        <v>1</v>
      </c>
      <c r="G271" s="12" t="n"/>
      <c r="H271" s="13" t="n"/>
      <c r="I271" s="4" t="n"/>
      <c r="J271" s="18">
        <f>IF(G271="","",F271*G271)</f>
        <v/>
      </c>
    </row>
    <row r="272">
      <c r="A272" s="9" t="n">
        <v>258</v>
      </c>
      <c r="B272" s="9" t="n">
        <v>669071</v>
      </c>
      <c r="C272" s="10" t="inlineStr"/>
      <c r="D272" s="11" t="inlineStr">
        <is>
          <t>DRAMIN CAPS GEL (CARTELADO) PV</t>
        </is>
      </c>
      <c r="E272" s="11" t="inlineStr"/>
      <c r="F272" s="9" t="n">
        <v>1</v>
      </c>
      <c r="G272" s="12" t="n"/>
      <c r="H272" s="13" t="n"/>
      <c r="I272" s="4" t="n"/>
      <c r="J272" s="14">
        <f>IF(G272="","",F272*G272)</f>
        <v/>
      </c>
    </row>
    <row r="273">
      <c r="A273" s="15" t="n">
        <v>259</v>
      </c>
      <c r="B273" s="15" t="n">
        <v>329261</v>
      </c>
      <c r="C273" s="16" t="inlineStr">
        <is>
          <t>7896006230052</t>
        </is>
      </c>
      <c r="D273" s="17" t="inlineStr">
        <is>
          <t>DRUSOLOL 2+0,5PCC SOL OFT FR 5ML</t>
        </is>
      </c>
      <c r="E273" s="17" t="inlineStr">
        <is>
          <t>UNIAO QUIMICA</t>
        </is>
      </c>
      <c r="F273" s="15" t="n">
        <v>5</v>
      </c>
      <c r="G273" s="12" t="n"/>
      <c r="H273" s="13" t="n"/>
      <c r="I273" s="4" t="n"/>
      <c r="J273" s="18">
        <f>IF(G273="","",F273*G273)</f>
        <v/>
      </c>
    </row>
    <row r="274">
      <c r="A274" s="9" t="n">
        <v>260</v>
      </c>
      <c r="B274" s="9" t="n">
        <v>655311</v>
      </c>
      <c r="C274" s="10" t="inlineStr">
        <is>
          <t>7891317027179</t>
        </is>
      </c>
      <c r="D274" s="11" t="inlineStr">
        <is>
          <t>DUALGI 200MG+500MG 12CPR</t>
        </is>
      </c>
      <c r="E274" s="11" t="inlineStr">
        <is>
          <t>EUROFARMA</t>
        </is>
      </c>
      <c r="F274" s="9" t="n">
        <v>3</v>
      </c>
      <c r="G274" s="12" t="n"/>
      <c r="H274" s="13" t="n"/>
      <c r="I274" s="4" t="n"/>
      <c r="J274" s="14">
        <f>IF(G274="","",F274*G274)</f>
        <v/>
      </c>
    </row>
    <row r="275">
      <c r="A275" s="15" t="n">
        <v>261</v>
      </c>
      <c r="B275" s="15" t="n">
        <v>341481</v>
      </c>
      <c r="C275" s="16" t="inlineStr">
        <is>
          <t>7891317003029</t>
        </is>
      </c>
      <c r="D275" s="17" t="inlineStr">
        <is>
          <t>DUOMO 4MG CX 30 COMP</t>
        </is>
      </c>
      <c r="E275" s="17" t="inlineStr">
        <is>
          <t>EUROFARMA</t>
        </is>
      </c>
      <c r="F275" s="15" t="n">
        <v>1</v>
      </c>
      <c r="G275" s="12" t="n"/>
      <c r="H275" s="13" t="n"/>
      <c r="I275" s="4" t="n"/>
      <c r="J275" s="18">
        <f>IF(G275="","",F275*G275)</f>
        <v/>
      </c>
    </row>
    <row r="276">
      <c r="A276" s="9" t="n">
        <v>262</v>
      </c>
      <c r="B276" s="9" t="n">
        <v>230701</v>
      </c>
      <c r="C276" s="10" t="inlineStr">
        <is>
          <t>7892953003558</t>
        </is>
      </c>
      <c r="D276" s="11" t="inlineStr">
        <is>
          <t>DUTAM 0,5+0,4MG CX 30 CAP LIB PROL</t>
        </is>
      </c>
      <c r="E276" s="11" t="inlineStr">
        <is>
          <t>ADIUM</t>
        </is>
      </c>
      <c r="F276" s="9" t="n">
        <v>11</v>
      </c>
      <c r="G276" s="12" t="n"/>
      <c r="H276" s="13" t="n"/>
      <c r="I276" s="4" t="n"/>
      <c r="J276" s="14">
        <f>IF(G276="","",F276*G276)</f>
        <v/>
      </c>
    </row>
    <row r="277">
      <c r="A277" s="15" t="n">
        <v>263</v>
      </c>
      <c r="B277" s="15" t="n">
        <v>230841</v>
      </c>
      <c r="C277" s="16" t="inlineStr">
        <is>
          <t>7891317005351</t>
        </is>
      </c>
      <c r="D277" s="17" t="inlineStr">
        <is>
          <t>EBASTEL 10MG CX 10 COMP</t>
        </is>
      </c>
      <c r="E277" s="17" t="inlineStr">
        <is>
          <t>EUROFARMA</t>
        </is>
      </c>
      <c r="F277" s="15" t="n">
        <v>7</v>
      </c>
      <c r="G277" s="12" t="n"/>
      <c r="H277" s="13" t="n"/>
      <c r="I277" s="4" t="n"/>
      <c r="J277" s="18">
        <f>IF(G277="","",F277*G277)</f>
        <v/>
      </c>
    </row>
    <row r="278">
      <c r="A278" s="9" t="n">
        <v>264</v>
      </c>
      <c r="B278" s="9" t="n">
        <v>83081</v>
      </c>
      <c r="C278" s="10" t="inlineStr">
        <is>
          <t>7896676433050</t>
        </is>
      </c>
      <c r="D278" s="11" t="inlineStr">
        <is>
          <t>ECOFILM 5MG SOL OFT FR GTS 5ML</t>
        </is>
      </c>
      <c r="E278" s="11" t="inlineStr">
        <is>
          <t>CRISTALIA</t>
        </is>
      </c>
      <c r="F278" s="9" t="n">
        <v>12</v>
      </c>
      <c r="G278" s="12" t="n"/>
      <c r="H278" s="13" t="n"/>
      <c r="I278" s="4" t="n"/>
      <c r="J278" s="14">
        <f>IF(G278="","",F278*G278)</f>
        <v/>
      </c>
    </row>
    <row r="279">
      <c r="A279" s="15" t="n">
        <v>265</v>
      </c>
      <c r="B279" s="15" t="n">
        <v>625661</v>
      </c>
      <c r="C279" s="16" t="inlineStr">
        <is>
          <t>7896714292045</t>
        </is>
      </c>
      <c r="D279" s="17" t="inlineStr">
        <is>
          <t>ECOXE 90MG CX 7 COMP</t>
        </is>
      </c>
      <c r="E279" s="17" t="inlineStr">
        <is>
          <t>MANTECORP/FARMASA</t>
        </is>
      </c>
      <c r="F279" s="15" t="n">
        <v>1</v>
      </c>
      <c r="G279" s="12" t="n"/>
      <c r="H279" s="13" t="n"/>
      <c r="I279" s="4" t="n"/>
      <c r="J279" s="18">
        <f>IF(G279="","",F279*G279)</f>
        <v/>
      </c>
    </row>
    <row r="280">
      <c r="A280" s="9" t="n">
        <v>266</v>
      </c>
      <c r="B280" s="9" t="n">
        <v>7003</v>
      </c>
      <c r="C280" s="10" t="inlineStr">
        <is>
          <t>5000456096638</t>
        </is>
      </c>
      <c r="D280" s="11" t="inlineStr">
        <is>
          <t>EDISTRIDE 10MG 30CPR REV</t>
        </is>
      </c>
      <c r="E280" s="11" t="inlineStr">
        <is>
          <t>ACHE</t>
        </is>
      </c>
      <c r="F280" s="9" t="n">
        <v>33</v>
      </c>
      <c r="G280" s="12" t="n"/>
      <c r="H280" s="13" t="n"/>
      <c r="I280" s="4" t="n"/>
      <c r="J280" s="14">
        <f>IF(G280="","",F280*G280)</f>
        <v/>
      </c>
    </row>
    <row r="281">
      <c r="A281" s="15" t="n">
        <v>267</v>
      </c>
      <c r="B281" s="15" t="n">
        <v>663891</v>
      </c>
      <c r="C281" s="16" t="inlineStr">
        <is>
          <t>7899706155021</t>
        </is>
      </c>
      <c r="D281" s="17" t="inlineStr">
        <is>
          <t>EFFACLAR GEL CONCENTRADO 300GR-DEMAIS PROD</t>
        </is>
      </c>
      <c r="E281" s="17" t="inlineStr">
        <is>
          <t>LA ROCHE</t>
        </is>
      </c>
      <c r="F281" s="15" t="n">
        <v>1</v>
      </c>
      <c r="G281" s="12" t="n"/>
      <c r="H281" s="13" t="n"/>
      <c r="I281" s="4" t="n"/>
      <c r="J281" s="18">
        <f>IF(G281="","",F281*G281)</f>
        <v/>
      </c>
    </row>
    <row r="282">
      <c r="A282" s="9" t="n">
        <v>268</v>
      </c>
      <c r="B282" s="9" t="n">
        <v>573481</v>
      </c>
      <c r="C282" s="10" t="inlineStr">
        <is>
          <t>7899706149211</t>
        </is>
      </c>
      <c r="D282" s="11" t="inlineStr">
        <is>
          <t>EFFACLAR LRP CONCENTRADO 70G  LORE %DN:0.00</t>
        </is>
      </c>
      <c r="E282" s="11" t="inlineStr">
        <is>
          <t>LA ROCHE</t>
        </is>
      </c>
      <c r="F282" s="9" t="n">
        <v>1</v>
      </c>
      <c r="G282" s="12" t="n"/>
      <c r="H282" s="13" t="n"/>
      <c r="I282" s="4" t="n"/>
      <c r="J282" s="14">
        <f>IF(G282="","",F282*G282)</f>
        <v/>
      </c>
    </row>
    <row r="283">
      <c r="A283" s="15" t="n">
        <v>269</v>
      </c>
      <c r="B283" s="15" t="n">
        <v>393461</v>
      </c>
      <c r="C283" s="16" t="inlineStr">
        <is>
          <t>7896023701436</t>
        </is>
      </c>
      <c r="D283" s="17" t="inlineStr">
        <is>
          <t>ELIXIR PAREGORICO 0,05ML/ML SOL OR FR GOT 30ML</t>
        </is>
      </c>
      <c r="E283" s="17" t="inlineStr">
        <is>
          <t>CATARINENSE PHARMA</t>
        </is>
      </c>
      <c r="F283" s="15" t="n">
        <v>4</v>
      </c>
      <c r="G283" s="12" t="n"/>
      <c r="H283" s="13" t="n"/>
      <c r="I283" s="4" t="n"/>
      <c r="J283" s="18">
        <f>IF(G283="","",F283*G283)</f>
        <v/>
      </c>
    </row>
    <row r="284">
      <c r="A284" s="9" t="n">
        <v>270</v>
      </c>
      <c r="B284" s="9" t="n">
        <v>612281</v>
      </c>
      <c r="C284" s="10" t="inlineStr">
        <is>
          <t>7896112406143</t>
        </is>
      </c>
      <c r="D284" s="11" t="inlineStr">
        <is>
          <t>ENDOFER 100MG CX 30 COMP MAST</t>
        </is>
      </c>
      <c r="E284" s="11" t="inlineStr">
        <is>
          <t>BIOLAB</t>
        </is>
      </c>
      <c r="F284" s="9" t="n">
        <v>1</v>
      </c>
      <c r="G284" s="12" t="n"/>
      <c r="H284" s="13" t="n"/>
      <c r="I284" s="4" t="n"/>
      <c r="J284" s="14">
        <f>IF(G284="","",F284*G284)</f>
        <v/>
      </c>
    </row>
    <row r="285">
      <c r="A285" s="15" t="n">
        <v>271</v>
      </c>
      <c r="B285" s="15" t="n">
        <v>571781</v>
      </c>
      <c r="C285" s="16" t="inlineStr">
        <is>
          <t>7896685302088</t>
        </is>
      </c>
      <c r="D285" s="17" t="inlineStr">
        <is>
          <t>ENERGICLIN CX 30 COMP</t>
        </is>
      </c>
      <c r="E285" s="17" t="inlineStr">
        <is>
          <t>HEBRON</t>
        </is>
      </c>
      <c r="F285" s="15" t="n">
        <v>1</v>
      </c>
      <c r="G285" s="12" t="n"/>
      <c r="H285" s="13" t="n"/>
      <c r="I285" s="4" t="n"/>
      <c r="J285" s="18">
        <f>IF(G285="","",F285*G285)</f>
        <v/>
      </c>
    </row>
    <row r="286">
      <c r="A286" s="9" t="n">
        <v>272</v>
      </c>
      <c r="B286" s="9" t="n">
        <v>669571</v>
      </c>
      <c r="C286" s="10" t="inlineStr">
        <is>
          <t>7891058006501</t>
        </is>
      </c>
      <c r="D286" s="11" t="inlineStr">
        <is>
          <t>ENTEROGERMINA 2BCFU/5ML SUSP BT5-DEMAIS PROD</t>
        </is>
      </c>
      <c r="E286" s="11" t="inlineStr">
        <is>
          <t>SANOFI</t>
        </is>
      </c>
      <c r="F286" s="9" t="n">
        <v>4</v>
      </c>
      <c r="G286" s="12" t="n"/>
      <c r="H286" s="13" t="n"/>
      <c r="I286" s="4" t="n"/>
      <c r="J286" s="14">
        <f>IF(G286="","",F286*G286)</f>
        <v/>
      </c>
    </row>
    <row r="287">
      <c r="A287" s="15" t="n">
        <v>273</v>
      </c>
      <c r="B287" s="15" t="n">
        <v>545781</v>
      </c>
      <c r="C287" s="16" t="inlineStr">
        <is>
          <t>7891058016999</t>
        </is>
      </c>
      <c r="D287" s="17" t="inlineStr">
        <is>
          <t>ENTEROGERMINA 2BCFUS/5ML SUS PROBIOTICO CAIXA COM 10 FLACONETES</t>
        </is>
      </c>
      <c r="E287" s="17" t="inlineStr">
        <is>
          <t>SANOFI CONSUMER HEALTHCARE</t>
        </is>
      </c>
      <c r="F287" s="15" t="n">
        <v>242</v>
      </c>
      <c r="G287" s="12" t="n"/>
      <c r="H287" s="13" t="n"/>
      <c r="I287" s="4" t="n"/>
      <c r="J287" s="18">
        <f>IF(G287="","",F287*G287)</f>
        <v/>
      </c>
    </row>
    <row r="288">
      <c r="A288" s="9" t="n">
        <v>274</v>
      </c>
      <c r="B288" s="9" t="n">
        <v>617661</v>
      </c>
      <c r="C288" s="10" t="inlineStr">
        <is>
          <t>7891058001988</t>
        </is>
      </c>
      <c r="D288" s="11" t="inlineStr">
        <is>
          <t>ENTEROGERMINA 5 BCFU/2 G X 9 SACHES</t>
        </is>
      </c>
      <c r="E288" s="11" t="inlineStr">
        <is>
          <t>SANOFI CONSUMER HEALTHCARE</t>
        </is>
      </c>
      <c r="F288" s="9" t="n">
        <v>6</v>
      </c>
      <c r="G288" s="12" t="n"/>
      <c r="H288" s="13" t="n"/>
      <c r="I288" s="4" t="n"/>
      <c r="J288" s="14">
        <f>IF(G288="","",F288*G288)</f>
        <v/>
      </c>
    </row>
    <row r="289">
      <c r="A289" s="15" t="n">
        <v>275</v>
      </c>
      <c r="B289" s="15" t="n">
        <v>570681</v>
      </c>
      <c r="C289" s="16" t="inlineStr">
        <is>
          <t>7891058020286</t>
        </is>
      </c>
      <c r="D289" s="17" t="inlineStr">
        <is>
          <t>ENTEROGERMINA PLUS 4BCFU/5ML X 5 FR</t>
        </is>
      </c>
      <c r="E289" s="17" t="inlineStr">
        <is>
          <t>SANOFI CONSUMER HEALTHCARE</t>
        </is>
      </c>
      <c r="F289" s="15" t="n">
        <v>4</v>
      </c>
      <c r="G289" s="12" t="n"/>
      <c r="H289" s="13" t="n"/>
      <c r="I289" s="4" t="n"/>
      <c r="J289" s="18">
        <f>IF(G289="","",F289*G289)</f>
        <v/>
      </c>
    </row>
    <row r="290">
      <c r="A290" s="9" t="n">
        <v>276</v>
      </c>
      <c r="B290" s="9" t="n">
        <v>600341</v>
      </c>
      <c r="C290" s="10" t="inlineStr">
        <is>
          <t>7891024033425</t>
        </is>
      </c>
      <c r="D290" s="11" t="inlineStr">
        <is>
          <t>ENX BUC COLGATE PERIOG EXTRA MINT 250ML</t>
        </is>
      </c>
      <c r="E290" s="11" t="inlineStr">
        <is>
          <t>COLGATE PALMOLIVE</t>
        </is>
      </c>
      <c r="F290" s="9" t="n">
        <v>3</v>
      </c>
      <c r="G290" s="12" t="n"/>
      <c r="H290" s="13" t="n"/>
      <c r="I290" s="4" t="n"/>
      <c r="J290" s="14">
        <f>IF(G290="","",F290*G290)</f>
        <v/>
      </c>
    </row>
    <row r="291">
      <c r="A291" s="15" t="n">
        <v>277</v>
      </c>
      <c r="B291" s="15" t="n">
        <v>646151</v>
      </c>
      <c r="C291" s="16" t="inlineStr">
        <is>
          <t>7896094922228</t>
        </is>
      </c>
      <c r="D291" s="17" t="inlineStr">
        <is>
          <t>EPAREMA FLACONETES 10ML X 4</t>
        </is>
      </c>
      <c r="E291" s="17" t="inlineStr">
        <is>
          <t>COSMED</t>
        </is>
      </c>
      <c r="F291" s="15" t="n">
        <v>1</v>
      </c>
      <c r="G291" s="12" t="n"/>
      <c r="H291" s="13" t="n"/>
      <c r="I291" s="4" t="n"/>
      <c r="J291" s="18">
        <f>IF(G291="","",F291*G291)</f>
        <v/>
      </c>
    </row>
    <row r="292">
      <c r="A292" s="9" t="n">
        <v>278</v>
      </c>
      <c r="B292" s="9" t="n">
        <v>653751</v>
      </c>
      <c r="C292" s="10" t="inlineStr">
        <is>
          <t>7891142205551</t>
        </is>
      </c>
      <c r="D292" s="11" t="inlineStr">
        <is>
          <t>EPIDRAT CALM B5 BG 20ML-DEMAIS PROD</t>
        </is>
      </c>
      <c r="E292" s="11" t="inlineStr">
        <is>
          <t>LA ROCHE</t>
        </is>
      </c>
      <c r="F292" s="9" t="n">
        <v>2</v>
      </c>
      <c r="G292" s="12" t="n"/>
      <c r="H292" s="13" t="n"/>
      <c r="I292" s="4" t="n"/>
      <c r="J292" s="14">
        <f>IF(G292="","",F292*G292)</f>
        <v/>
      </c>
    </row>
    <row r="293">
      <c r="A293" s="15" t="n">
        <v>279</v>
      </c>
      <c r="B293" s="15" t="n">
        <v>654891</v>
      </c>
      <c r="C293" s="16" t="inlineStr">
        <is>
          <t>7891142204349</t>
        </is>
      </c>
      <c r="D293" s="17" t="inlineStr">
        <is>
          <t>EPISOL SEC OC FPS60 60G-OUTROS</t>
        </is>
      </c>
      <c r="E293" s="17" t="inlineStr">
        <is>
          <t>HYPERA FARMA</t>
        </is>
      </c>
      <c r="F293" s="15" t="n">
        <v>1</v>
      </c>
      <c r="G293" s="12" t="n"/>
      <c r="H293" s="13" t="n"/>
      <c r="I293" s="4" t="n"/>
      <c r="J293" s="18">
        <f>IF(G293="","",F293*G293)</f>
        <v/>
      </c>
    </row>
    <row r="294">
      <c r="A294" s="9" t="n">
        <v>280</v>
      </c>
      <c r="B294" s="9" t="n">
        <v>665561</v>
      </c>
      <c r="C294" s="10" t="inlineStr">
        <is>
          <t>7896094931473</t>
        </is>
      </c>
      <c r="D294" s="11" t="inlineStr">
        <is>
          <t>EPOCLER 100MG+20MG 30CPR REV-OUTROS</t>
        </is>
      </c>
      <c r="E294" s="11" t="inlineStr">
        <is>
          <t>HYPERA FARMA</t>
        </is>
      </c>
      <c r="F294" s="9" t="n">
        <v>4</v>
      </c>
      <c r="G294" s="12" t="n"/>
      <c r="H294" s="13" t="n"/>
      <c r="I294" s="4" t="n"/>
      <c r="J294" s="14">
        <f>IF(G294="","",F294*G294)</f>
        <v/>
      </c>
    </row>
    <row r="295">
      <c r="A295" s="15" t="n">
        <v>281</v>
      </c>
      <c r="B295" s="15" t="n">
        <v>668031</v>
      </c>
      <c r="C295" s="16" t="inlineStr">
        <is>
          <t>7896094931459</t>
        </is>
      </c>
      <c r="D295" s="17" t="inlineStr">
        <is>
          <t>EPOCLER 100MG+20MG CARTELA C/ 10CP</t>
        </is>
      </c>
      <c r="E295" s="17" t="inlineStr">
        <is>
          <t>HYPERA FARMA</t>
        </is>
      </c>
      <c r="F295" s="15" t="n">
        <v>1</v>
      </c>
      <c r="G295" s="12" t="n"/>
      <c r="H295" s="13" t="n"/>
      <c r="I295" s="4" t="n"/>
      <c r="J295" s="18">
        <f>IF(G295="","",F295*G295)</f>
        <v/>
      </c>
    </row>
    <row r="296">
      <c r="A296" s="15" t="n">
        <v>282</v>
      </c>
      <c r="B296" s="15" t="n">
        <v>668031</v>
      </c>
      <c r="C296" s="16" t="inlineStr">
        <is>
          <t>7896094931466</t>
        </is>
      </c>
      <c r="D296" s="17" t="inlineStr">
        <is>
          <t>EPOCLER 100MG+20MG CARTELA C/ 10CP</t>
        </is>
      </c>
      <c r="E296" s="17" t="inlineStr">
        <is>
          <t>HYPERA FARMA</t>
        </is>
      </c>
      <c r="F296" s="15" t="n">
        <v>1</v>
      </c>
      <c r="G296" s="12" t="n"/>
      <c r="H296" s="13" t="n"/>
      <c r="I296" s="4" t="n"/>
      <c r="J296" s="18">
        <f>IF(G296="","",F296*G296)</f>
        <v/>
      </c>
    </row>
    <row r="297">
      <c r="A297" s="9" t="n">
        <v>283</v>
      </c>
      <c r="B297" s="9" t="n">
        <v>15</v>
      </c>
      <c r="C297" s="10" t="inlineStr">
        <is>
          <t>7896094903272</t>
        </is>
      </c>
      <c r="D297" s="11" t="inlineStr">
        <is>
          <t>EPOCLER SOL ORAL FLACONETE CAIXA C/ 12</t>
        </is>
      </c>
      <c r="E297" s="11" t="inlineStr">
        <is>
          <t>HYPERA FARMA</t>
        </is>
      </c>
      <c r="F297" s="9" t="n">
        <v>59</v>
      </c>
      <c r="G297" s="12" t="n"/>
      <c r="H297" s="13" t="n"/>
      <c r="I297" s="4" t="n"/>
      <c r="J297" s="14">
        <f>IF(G297="","",F297*G297)</f>
        <v/>
      </c>
    </row>
    <row r="298">
      <c r="A298" s="15" t="n">
        <v>284</v>
      </c>
      <c r="B298" s="15" t="n">
        <v>304281</v>
      </c>
      <c r="C298" s="16" t="inlineStr">
        <is>
          <t>7896094912977</t>
        </is>
      </c>
      <c r="D298" s="17" t="inlineStr">
        <is>
          <t>ESTOMAZIL 462+90+438MG SACHE ABACAXI</t>
        </is>
      </c>
      <c r="E298" s="17" t="inlineStr">
        <is>
          <t>COSMED</t>
        </is>
      </c>
      <c r="F298" s="15" t="n">
        <v>2</v>
      </c>
      <c r="G298" s="12" t="n"/>
      <c r="H298" s="13" t="n"/>
      <c r="I298" s="4" t="n"/>
      <c r="J298" s="18">
        <f>IF(G298="","",F298*G298)</f>
        <v/>
      </c>
    </row>
    <row r="299">
      <c r="A299" s="15" t="n">
        <v>285</v>
      </c>
      <c r="B299" s="15" t="n">
        <v>304281</v>
      </c>
      <c r="C299" s="16" t="inlineStr">
        <is>
          <t>7896094914155</t>
        </is>
      </c>
      <c r="D299" s="17" t="inlineStr">
        <is>
          <t>ESTOMAZIL 462+90+438MG SACHE ABACAXI</t>
        </is>
      </c>
      <c r="E299" s="17" t="inlineStr">
        <is>
          <t>COSMED</t>
        </is>
      </c>
      <c r="F299" s="15" t="n">
        <v>2</v>
      </c>
      <c r="G299" s="12" t="n"/>
      <c r="H299" s="13" t="n"/>
      <c r="I299" s="4" t="n"/>
      <c r="J299" s="18">
        <f>IF(G299="","",F299*G299)</f>
        <v/>
      </c>
    </row>
    <row r="300">
      <c r="A300" s="9" t="n">
        <v>286</v>
      </c>
      <c r="B300" s="9" t="n">
        <v>550801</v>
      </c>
      <c r="C300" s="10" t="inlineStr">
        <is>
          <t>7892828001337</t>
        </is>
      </c>
      <c r="D300" s="11" t="inlineStr">
        <is>
          <t>ETNA 1+2,5+1,5MG CX 20 CAP</t>
        </is>
      </c>
      <c r="E300" s="11" t="inlineStr">
        <is>
          <t>GROSS</t>
        </is>
      </c>
      <c r="F300" s="9" t="n">
        <v>3</v>
      </c>
      <c r="G300" s="12" t="n"/>
      <c r="H300" s="13" t="n"/>
      <c r="I300" s="4" t="n"/>
      <c r="J300" s="14">
        <f>IF(G300="","",F300*G300)</f>
        <v/>
      </c>
    </row>
    <row r="301">
      <c r="A301" s="15" t="n">
        <v>287</v>
      </c>
      <c r="B301" s="15" t="n">
        <v>658021</v>
      </c>
      <c r="C301" s="16" t="inlineStr">
        <is>
          <t>4005900995520</t>
        </is>
      </c>
      <c r="D301" s="17" t="inlineStr">
        <is>
          <t>EUCERIN HYDRO FLUID SUN FPS60 50ML</t>
        </is>
      </c>
      <c r="E301" s="17" t="inlineStr"/>
      <c r="F301" s="15" t="n">
        <v>1</v>
      </c>
      <c r="G301" s="12" t="n"/>
      <c r="H301" s="13" t="n"/>
      <c r="I301" s="4" t="n"/>
      <c r="J301" s="18">
        <f>IF(G301="","",F301*G301)</f>
        <v/>
      </c>
    </row>
    <row r="302">
      <c r="A302" s="9" t="n">
        <v>288</v>
      </c>
      <c r="B302" s="9" t="n">
        <v>669141</v>
      </c>
      <c r="C302" s="10" t="inlineStr">
        <is>
          <t>7898040325466</t>
        </is>
      </c>
      <c r="D302" s="11" t="inlineStr">
        <is>
          <t>EXIMIA FORTALIZE FORTALIZE KERA D FR 30 COMP</t>
        </is>
      </c>
      <c r="E302" s="11" t="inlineStr">
        <is>
          <t>FQM/MELORA</t>
        </is>
      </c>
      <c r="F302" s="9" t="n">
        <v>1</v>
      </c>
      <c r="G302" s="12" t="n"/>
      <c r="H302" s="13" t="n"/>
      <c r="I302" s="4" t="n"/>
      <c r="J302" s="14">
        <f>IF(G302="","",F302*G302)</f>
        <v/>
      </c>
    </row>
    <row r="303">
      <c r="A303" s="15" t="n">
        <v>289</v>
      </c>
      <c r="B303" s="15" t="n">
        <v>490681</v>
      </c>
      <c r="C303" s="16" t="inlineStr">
        <is>
          <t>7896004777221</t>
        </is>
      </c>
      <c r="D303" s="17" t="inlineStr">
        <is>
          <t>FACOBA 5+1MG/ML SOL OFT FR 5ML-L</t>
        </is>
      </c>
      <c r="E303" s="17" t="inlineStr">
        <is>
          <t>LEGRAND PRESCRIÇÃO</t>
        </is>
      </c>
      <c r="F303" s="15" t="n">
        <v>6</v>
      </c>
      <c r="G303" s="12" t="n"/>
      <c r="H303" s="13" t="n"/>
      <c r="I303" s="4" t="n"/>
      <c r="J303" s="18">
        <f>IF(G303="","",F303*G303)</f>
        <v/>
      </c>
    </row>
    <row r="304">
      <c r="A304" s="9" t="n">
        <v>290</v>
      </c>
      <c r="B304" s="9" t="n">
        <v>646991</v>
      </c>
      <c r="C304" s="10" t="inlineStr">
        <is>
          <t>7500435185011</t>
        </is>
      </c>
      <c r="D304" s="11" t="inlineStr">
        <is>
          <t>FEMIBION 1 C/28 COMP-DEMAIS PROD</t>
        </is>
      </c>
      <c r="E304" s="11" t="inlineStr">
        <is>
          <t>P&amp;G</t>
        </is>
      </c>
      <c r="F304" s="9" t="n">
        <v>1</v>
      </c>
      <c r="G304" s="12" t="n"/>
      <c r="H304" s="13" t="n"/>
      <c r="I304" s="4" t="n"/>
      <c r="J304" s="14">
        <f>IF(G304="","",F304*G304)</f>
        <v/>
      </c>
    </row>
    <row r="305">
      <c r="A305" s="15" t="n">
        <v>291</v>
      </c>
      <c r="B305" s="15" t="n">
        <v>634431</v>
      </c>
      <c r="C305" s="16" t="inlineStr">
        <is>
          <t>7891317025137</t>
        </is>
      </c>
      <c r="D305" s="17" t="inlineStr">
        <is>
          <t>FEMINIS CX 30 CAP</t>
        </is>
      </c>
      <c r="E305" s="17" t="inlineStr">
        <is>
          <t>EUROFARMA</t>
        </is>
      </c>
      <c r="F305" s="15" t="n">
        <v>5</v>
      </c>
      <c r="G305" s="12" t="n"/>
      <c r="H305" s="13" t="n"/>
      <c r="I305" s="4" t="n"/>
      <c r="J305" s="18">
        <f>IF(G305="","",F305*G305)</f>
        <v/>
      </c>
    </row>
    <row r="306">
      <c r="A306" s="9" t="n">
        <v>292</v>
      </c>
      <c r="B306" s="9" t="n">
        <v>365641</v>
      </c>
      <c r="C306" s="10" t="inlineStr">
        <is>
          <t>7896658003981</t>
        </is>
      </c>
      <c r="D306" s="11" t="inlineStr">
        <is>
          <t>FENTIZOL 0,02G/G CREME DERM BG 20G</t>
        </is>
      </c>
      <c r="E306" s="11" t="inlineStr">
        <is>
          <t>ACHE</t>
        </is>
      </c>
      <c r="F306" s="9" t="n">
        <v>1</v>
      </c>
      <c r="G306" s="12" t="n"/>
      <c r="H306" s="13" t="n"/>
      <c r="I306" s="4" t="n"/>
      <c r="J306" s="14">
        <f>IF(G306="","",F306*G306)</f>
        <v/>
      </c>
    </row>
    <row r="307">
      <c r="A307" s="15" t="n">
        <v>293</v>
      </c>
      <c r="B307" s="15" t="n">
        <v>365581</v>
      </c>
      <c r="C307" s="16" t="inlineStr">
        <is>
          <t>7896658005091</t>
        </is>
      </c>
      <c r="D307" s="17" t="inlineStr">
        <is>
          <t>FENTIZOL 0,02G/G CREME VAG BG 40G+7APLIC</t>
        </is>
      </c>
      <c r="E307" s="17" t="inlineStr">
        <is>
          <t>ACHE</t>
        </is>
      </c>
      <c r="F307" s="15" t="n">
        <v>1</v>
      </c>
      <c r="G307" s="12" t="n"/>
      <c r="H307" s="13" t="n"/>
      <c r="I307" s="4" t="n"/>
      <c r="J307" s="18">
        <f>IF(G307="","",F307*G307)</f>
        <v/>
      </c>
    </row>
    <row r="308">
      <c r="A308" s="9" t="n">
        <v>294</v>
      </c>
      <c r="B308" s="9" t="n">
        <v>430141</v>
      </c>
      <c r="C308" s="10" t="inlineStr">
        <is>
          <t>7896014673124</t>
        </is>
      </c>
      <c r="D308" s="11" t="inlineStr">
        <is>
          <t>FERROPURUM 20 MG/ML SOL INJ 5 AMP 5ML</t>
        </is>
      </c>
      <c r="E308" s="11" t="inlineStr">
        <is>
          <t>BLAU FARMACEUTICA</t>
        </is>
      </c>
      <c r="F308" s="9" t="n">
        <v>7</v>
      </c>
      <c r="G308" s="12" t="n"/>
      <c r="H308" s="13" t="n"/>
      <c r="I308" s="4" t="n"/>
      <c r="J308" s="14">
        <f>IF(G308="","",F308*G308)</f>
        <v/>
      </c>
    </row>
    <row r="309">
      <c r="A309" s="15" t="n">
        <v>295</v>
      </c>
      <c r="B309" s="15" t="n">
        <v>626071</v>
      </c>
      <c r="C309" s="16" t="inlineStr">
        <is>
          <t>7896023756849</t>
        </is>
      </c>
      <c r="D309" s="17" t="inlineStr">
        <is>
          <t>FIGATIL 10ML FLACONETE</t>
        </is>
      </c>
      <c r="E309" s="17" t="inlineStr">
        <is>
          <t>CATARINENSE PHARMA</t>
        </is>
      </c>
      <c r="F309" s="15" t="n">
        <v>1</v>
      </c>
      <c r="G309" s="12" t="n"/>
      <c r="H309" s="13" t="n"/>
      <c r="I309" s="4" t="n"/>
      <c r="J309" s="18">
        <f>IF(G309="","",F309*G309)</f>
        <v/>
      </c>
    </row>
    <row r="310">
      <c r="A310" s="9" t="n">
        <v>296</v>
      </c>
      <c r="B310" s="9" t="n">
        <v>1841</v>
      </c>
      <c r="C310" s="10" t="inlineStr">
        <is>
          <t>7891317485153</t>
        </is>
      </c>
      <c r="D310" s="11" t="inlineStr">
        <is>
          <t>FILINAR 5MG/ML GEL FR 120ML</t>
        </is>
      </c>
      <c r="E310" s="11" t="inlineStr">
        <is>
          <t>SUPERA</t>
        </is>
      </c>
      <c r="F310" s="9" t="n">
        <v>1</v>
      </c>
      <c r="G310" s="12" t="n"/>
      <c r="H310" s="13" t="n"/>
      <c r="I310" s="4" t="n"/>
      <c r="J310" s="14">
        <f>IF(G310="","",F310*G310)</f>
        <v/>
      </c>
    </row>
    <row r="311">
      <c r="A311" s="15" t="n">
        <v>297</v>
      </c>
      <c r="B311" s="15" t="n">
        <v>615321</v>
      </c>
      <c r="C311" s="16" t="inlineStr">
        <is>
          <t>4005808311286</t>
        </is>
      </c>
      <c r="D311" s="17" t="inlineStr">
        <is>
          <t>FIRM NIVEA LOCAO Q10 VITC 200ML</t>
        </is>
      </c>
      <c r="E311" s="17" t="inlineStr">
        <is>
          <t>NIVEA</t>
        </is>
      </c>
      <c r="F311" s="15" t="n">
        <v>1</v>
      </c>
      <c r="G311" s="12" t="n"/>
      <c r="H311" s="13" t="n"/>
      <c r="I311" s="4" t="n"/>
      <c r="J311" s="18">
        <f>IF(G311="","",F311*G311)</f>
        <v/>
      </c>
    </row>
    <row r="312">
      <c r="A312" s="9" t="n">
        <v>298</v>
      </c>
      <c r="B312" s="9" t="n">
        <v>626401</v>
      </c>
      <c r="C312" s="10" t="inlineStr">
        <is>
          <t>4005900549266</t>
        </is>
      </c>
      <c r="D312" s="11" t="inlineStr">
        <is>
          <t>FIRM NIVEA LOCAO Q10 VITC 400ML DUOPACK</t>
        </is>
      </c>
      <c r="E312" s="11" t="inlineStr">
        <is>
          <t>NIVEA</t>
        </is>
      </c>
      <c r="F312" s="9" t="n">
        <v>2</v>
      </c>
      <c r="G312" s="12" t="n"/>
      <c r="H312" s="13" t="n"/>
      <c r="I312" s="4" t="n"/>
      <c r="J312" s="14">
        <f>IF(G312="","",F312*G312)</f>
        <v/>
      </c>
    </row>
    <row r="313">
      <c r="A313" s="15" t="n">
        <v>299</v>
      </c>
      <c r="B313" s="15" t="n">
        <v>643971</v>
      </c>
      <c r="C313" s="16" t="inlineStr">
        <is>
          <t>7896026172639</t>
        </is>
      </c>
      <c r="D313" s="17" t="inlineStr">
        <is>
          <t>FISIOGEL HID PELE SECA 200G-DEMAIS PROD</t>
        </is>
      </c>
      <c r="E313" s="17" t="inlineStr">
        <is>
          <t>MEGALABS</t>
        </is>
      </c>
      <c r="F313" s="15" t="n">
        <v>5</v>
      </c>
      <c r="G313" s="12" t="n"/>
      <c r="H313" s="13" t="n"/>
      <c r="I313" s="4" t="n"/>
      <c r="J313" s="18">
        <f>IF(G313="","",F313*G313)</f>
        <v/>
      </c>
    </row>
    <row r="314">
      <c r="A314" s="9" t="n">
        <v>300</v>
      </c>
      <c r="B314" s="9" t="n">
        <v>355221</v>
      </c>
      <c r="C314" s="10" t="inlineStr">
        <is>
          <t>7891106006491</t>
        </is>
      </c>
      <c r="D314" s="11" t="inlineStr">
        <is>
          <t>FLANAX 275MG CX 20 COMP REV</t>
        </is>
      </c>
      <c r="E314" s="11" t="inlineStr">
        <is>
          <t>BAYER</t>
        </is>
      </c>
      <c r="F314" s="9" t="n">
        <v>2</v>
      </c>
      <c r="G314" s="12" t="n"/>
      <c r="H314" s="13" t="n"/>
      <c r="I314" s="4" t="n"/>
      <c r="J314" s="14">
        <f>IF(G314="","",F314*G314)</f>
        <v/>
      </c>
    </row>
    <row r="315">
      <c r="A315" s="15" t="n">
        <v>301</v>
      </c>
      <c r="B315" s="15" t="n">
        <v>355201</v>
      </c>
      <c r="C315" s="16" t="inlineStr">
        <is>
          <t>7891106908313</t>
        </is>
      </c>
      <c r="D315" s="17" t="inlineStr">
        <is>
          <t>FLANAX 550 MG COM 2CP(CARTELA)</t>
        </is>
      </c>
      <c r="E315" s="17" t="inlineStr">
        <is>
          <t>BAYER S.A.</t>
        </is>
      </c>
      <c r="F315" s="15" t="n">
        <v>25</v>
      </c>
      <c r="G315" s="12" t="n"/>
      <c r="H315" s="13" t="n"/>
      <c r="I315" s="4" t="n"/>
      <c r="J315" s="18">
        <f>IF(G315="","",F315*G315)</f>
        <v/>
      </c>
    </row>
    <row r="316">
      <c r="A316" s="15" t="n">
        <v>302</v>
      </c>
      <c r="B316" s="15" t="n">
        <v>355201</v>
      </c>
      <c r="C316" s="16" t="inlineStr">
        <is>
          <t>7891106912471</t>
        </is>
      </c>
      <c r="D316" s="17" t="inlineStr">
        <is>
          <t>FLANAX 550 MG COM 2CP(CARTELA)</t>
        </is>
      </c>
      <c r="E316" s="17" t="inlineStr">
        <is>
          <t>BAYER S.A.</t>
        </is>
      </c>
      <c r="F316" s="15" t="n">
        <v>25</v>
      </c>
      <c r="G316" s="12" t="n"/>
      <c r="H316" s="13" t="n"/>
      <c r="I316" s="4" t="n"/>
      <c r="J316" s="18">
        <f>IF(G316="","",F316*G316)</f>
        <v/>
      </c>
    </row>
    <row r="317">
      <c r="A317" s="9" t="n">
        <v>303</v>
      </c>
      <c r="B317" s="9" t="n">
        <v>355241</v>
      </c>
      <c r="C317" s="10" t="inlineStr">
        <is>
          <t>7891106006507</t>
        </is>
      </c>
      <c r="D317" s="11" t="inlineStr">
        <is>
          <t>FLANAX 550MG CX 10 COMP REV</t>
        </is>
      </c>
      <c r="E317" s="11" t="inlineStr">
        <is>
          <t>BAYER</t>
        </is>
      </c>
      <c r="F317" s="9" t="n">
        <v>18</v>
      </c>
      <c r="G317" s="12" t="n"/>
      <c r="H317" s="13" t="n"/>
      <c r="I317" s="4" t="n"/>
      <c r="J317" s="14">
        <f>IF(G317="","",F317*G317)</f>
        <v/>
      </c>
    </row>
    <row r="318">
      <c r="A318" s="15" t="n">
        <v>304</v>
      </c>
      <c r="B318" s="15" t="n">
        <v>668981</v>
      </c>
      <c r="C318" s="16" t="inlineStr">
        <is>
          <t>7891106910989</t>
        </is>
      </c>
      <c r="D318" s="17" t="inlineStr">
        <is>
          <t>FLANAX XR 660MG C/8 COMP REV-REFERENCIA</t>
        </is>
      </c>
      <c r="E318" s="17" t="inlineStr">
        <is>
          <t>BAYER</t>
        </is>
      </c>
      <c r="F318" s="15" t="n">
        <v>1</v>
      </c>
      <c r="G318" s="12" t="n"/>
      <c r="H318" s="13" t="n"/>
      <c r="I318" s="4" t="n"/>
      <c r="J318" s="18">
        <f>IF(G318="","",F318*G318)</f>
        <v/>
      </c>
    </row>
    <row r="319">
      <c r="A319" s="9" t="n">
        <v>305</v>
      </c>
      <c r="B319" s="9" t="n">
        <v>240541</v>
      </c>
      <c r="C319" s="10" t="inlineStr">
        <is>
          <t>7896637023146</t>
        </is>
      </c>
      <c r="D319" s="11" t="inlineStr">
        <is>
          <t>FLANCOX 300MG CX 14 COMP REV</t>
        </is>
      </c>
      <c r="E319" s="11" t="inlineStr">
        <is>
          <t>APSEN</t>
        </is>
      </c>
      <c r="F319" s="9" t="n">
        <v>4</v>
      </c>
      <c r="G319" s="12" t="n"/>
      <c r="H319" s="13" t="n"/>
      <c r="I319" s="4" t="n"/>
      <c r="J319" s="14">
        <f>IF(G319="","",F319*G319)</f>
        <v/>
      </c>
    </row>
    <row r="320">
      <c r="A320" s="15" t="n">
        <v>306</v>
      </c>
      <c r="B320" s="15" t="n">
        <v>240241</v>
      </c>
      <c r="C320" s="16" t="inlineStr">
        <is>
          <t>7896637023238</t>
        </is>
      </c>
      <c r="D320" s="17" t="inlineStr">
        <is>
          <t>FLANCOX 500MG CX 14 COMP REV</t>
        </is>
      </c>
      <c r="E320" s="17" t="inlineStr">
        <is>
          <t>APSEN</t>
        </is>
      </c>
      <c r="F320" s="15" t="n">
        <v>8</v>
      </c>
      <c r="G320" s="12" t="n"/>
      <c r="H320" s="13" t="n"/>
      <c r="I320" s="4" t="n"/>
      <c r="J320" s="18">
        <f>IF(G320="","",F320*G320)</f>
        <v/>
      </c>
    </row>
    <row r="321">
      <c r="A321" s="9" t="n">
        <v>307</v>
      </c>
      <c r="B321" s="9" t="n">
        <v>582241</v>
      </c>
      <c r="C321" s="10" t="inlineStr">
        <is>
          <t>7896637031943</t>
        </is>
      </c>
      <c r="D321" s="11" t="inlineStr">
        <is>
          <t>FLANCOX 600MG CX 14 REV OR</t>
        </is>
      </c>
      <c r="E321" s="11" t="inlineStr">
        <is>
          <t>APSEN</t>
        </is>
      </c>
      <c r="F321" s="9" t="n">
        <v>13</v>
      </c>
      <c r="G321" s="12" t="n"/>
      <c r="H321" s="13" t="n"/>
      <c r="I321" s="4" t="n"/>
      <c r="J321" s="14">
        <f>IF(G321="","",F321*G321)</f>
        <v/>
      </c>
    </row>
    <row r="322">
      <c r="A322" s="15" t="n">
        <v>308</v>
      </c>
      <c r="B322" s="15" t="n">
        <v>566701</v>
      </c>
      <c r="C322" s="16" t="inlineStr">
        <is>
          <t>7898040324438</t>
        </is>
      </c>
      <c r="D322" s="17" t="inlineStr">
        <is>
          <t>FLETOP LOCAO 200ML</t>
        </is>
      </c>
      <c r="E322" s="17" t="inlineStr">
        <is>
          <t>FQM/FARMA</t>
        </is>
      </c>
      <c r="F322" s="15" t="n">
        <v>2</v>
      </c>
      <c r="G322" s="12" t="n"/>
      <c r="H322" s="13" t="n"/>
      <c r="I322" s="4" t="n"/>
      <c r="J322" s="18">
        <f>IF(G322="","",F322*G322)</f>
        <v/>
      </c>
    </row>
    <row r="323">
      <c r="A323" s="9" t="n">
        <v>309</v>
      </c>
      <c r="B323" s="9" t="n">
        <v>242381</v>
      </c>
      <c r="C323" s="10" t="inlineStr">
        <is>
          <t>7891721023422</t>
        </is>
      </c>
      <c r="D323" s="11" t="inlineStr">
        <is>
          <t>FLEXIVE CDM 350MG/G CREM DERM BG 25G</t>
        </is>
      </c>
      <c r="E323" s="11" t="inlineStr">
        <is>
          <t>P&amp;G</t>
        </is>
      </c>
      <c r="F323" s="9" t="n">
        <v>2</v>
      </c>
      <c r="G323" s="12" t="n"/>
      <c r="H323" s="13" t="n"/>
      <c r="I323" s="4" t="n"/>
      <c r="J323" s="14">
        <f>IF(G323="","",F323*G323)</f>
        <v/>
      </c>
    </row>
    <row r="324">
      <c r="A324" s="15" t="n">
        <v>310</v>
      </c>
      <c r="B324" s="15" t="n">
        <v>127481</v>
      </c>
      <c r="C324" s="16" t="inlineStr">
        <is>
          <t>7896658002892</t>
        </is>
      </c>
      <c r="D324" s="17" t="inlineStr">
        <is>
          <t>FLOGO-ROSA 50MG/ML SOL GIN X 100ML+CM</t>
        </is>
      </c>
      <c r="E324" s="17" t="inlineStr">
        <is>
          <t>ACHE</t>
        </is>
      </c>
      <c r="F324" s="15" t="n">
        <v>1</v>
      </c>
      <c r="G324" s="12" t="n"/>
      <c r="H324" s="13" t="n"/>
      <c r="I324" s="4" t="n"/>
      <c r="J324" s="18">
        <f>IF(G324="","",F324*G324)</f>
        <v/>
      </c>
    </row>
    <row r="325">
      <c r="A325" s="9" t="n">
        <v>311</v>
      </c>
      <c r="B325" s="9" t="n">
        <v>127521</v>
      </c>
      <c r="C325" s="10" t="inlineStr">
        <is>
          <t>7896658005466</t>
        </is>
      </c>
      <c r="D325" s="11" t="inlineStr">
        <is>
          <t>FLOGORAL CAIXA C/ 12 PAST SB CEREJA</t>
        </is>
      </c>
      <c r="E325" s="11" t="inlineStr">
        <is>
          <t>ACHE</t>
        </is>
      </c>
      <c r="F325" s="9" t="n">
        <v>3</v>
      </c>
      <c r="G325" s="12" t="n"/>
      <c r="H325" s="13" t="n"/>
      <c r="I325" s="4" t="n"/>
      <c r="J325" s="14">
        <f>IF(G325="","",F325*G325)</f>
        <v/>
      </c>
    </row>
    <row r="326">
      <c r="A326" s="15" t="n">
        <v>312</v>
      </c>
      <c r="B326" s="15" t="n">
        <v>652451</v>
      </c>
      <c r="C326" s="16" t="inlineStr"/>
      <c r="D326" s="17" t="inlineStr">
        <is>
          <t>FLOGORAL CARTELA 4 PAST SB LARANJA</t>
        </is>
      </c>
      <c r="E326" s="17" t="inlineStr">
        <is>
          <t>ACHE</t>
        </is>
      </c>
      <c r="F326" s="15" t="n">
        <v>3</v>
      </c>
      <c r="G326" s="12" t="n"/>
      <c r="H326" s="13" t="n"/>
      <c r="I326" s="4" t="n"/>
      <c r="J326" s="18">
        <f>IF(G326="","",F326*G326)</f>
        <v/>
      </c>
    </row>
    <row r="327">
      <c r="A327" s="9" t="n">
        <v>313</v>
      </c>
      <c r="B327" s="9" t="n">
        <v>315161</v>
      </c>
      <c r="C327" s="10" t="inlineStr">
        <is>
          <t>7896714250946</t>
        </is>
      </c>
      <c r="D327" s="11" t="inlineStr">
        <is>
          <t>FLOMICIN 100MG FR 12 CAP</t>
        </is>
      </c>
      <c r="E327" s="11" t="inlineStr">
        <is>
          <t>NEO QUIMICA</t>
        </is>
      </c>
      <c r="F327" s="9" t="n">
        <v>3</v>
      </c>
      <c r="G327" s="12" t="n"/>
      <c r="H327" s="13" t="n"/>
      <c r="I327" s="4" t="n"/>
      <c r="J327" s="14">
        <f>IF(G327="","",F327*G327)</f>
        <v/>
      </c>
    </row>
    <row r="328">
      <c r="A328" s="15" t="n">
        <v>314</v>
      </c>
      <c r="B328" s="15" t="n">
        <v>634241</v>
      </c>
      <c r="C328" s="16" t="inlineStr">
        <is>
          <t>7898040329648</t>
        </is>
      </c>
      <c r="D328" s="17" t="inlineStr">
        <is>
          <t>FLORATIL 100MG CX 12 CAP</t>
        </is>
      </c>
      <c r="E328" s="17" t="inlineStr">
        <is>
          <t>FQM/DIVCOM</t>
        </is>
      </c>
      <c r="F328" s="15" t="n">
        <v>2</v>
      </c>
      <c r="G328" s="12" t="n"/>
      <c r="H328" s="13" t="n"/>
      <c r="I328" s="4" t="n"/>
      <c r="J328" s="18">
        <f>IF(G328="","",F328*G328)</f>
        <v/>
      </c>
    </row>
    <row r="329">
      <c r="A329" s="9" t="n">
        <v>315</v>
      </c>
      <c r="B329" s="9" t="n">
        <v>589581</v>
      </c>
      <c r="C329" s="10" t="inlineStr">
        <is>
          <t>7898040329655</t>
        </is>
      </c>
      <c r="D329" s="11" t="inlineStr">
        <is>
          <t>FLORATIL 200MG CX 6 CAP</t>
        </is>
      </c>
      <c r="E329" s="11" t="inlineStr">
        <is>
          <t>FQM/DIVCOM</t>
        </is>
      </c>
      <c r="F329" s="9" t="n">
        <v>1</v>
      </c>
      <c r="G329" s="12" t="n"/>
      <c r="H329" s="13" t="n"/>
      <c r="I329" s="4" t="n"/>
      <c r="J329" s="14">
        <f>IF(G329="","",F329*G329)</f>
        <v/>
      </c>
    </row>
    <row r="330">
      <c r="A330" s="15" t="n">
        <v>316</v>
      </c>
      <c r="B330" s="15" t="n">
        <v>671851</v>
      </c>
      <c r="C330" s="16" t="inlineStr">
        <is>
          <t>7898040329600</t>
        </is>
      </c>
      <c r="D330" s="17" t="inlineStr">
        <is>
          <t>FLORATIL 250MG BL 6 SACHE</t>
        </is>
      </c>
      <c r="E330" s="17" t="inlineStr">
        <is>
          <t>FQM/DIVCOM</t>
        </is>
      </c>
      <c r="F330" s="15" t="n">
        <v>2</v>
      </c>
      <c r="G330" s="12" t="n"/>
      <c r="H330" s="13" t="n"/>
      <c r="I330" s="4" t="n"/>
      <c r="J330" s="18">
        <f>IF(G330="","",F330*G330)</f>
        <v/>
      </c>
    </row>
    <row r="331">
      <c r="A331" s="15" t="n">
        <v>317</v>
      </c>
      <c r="B331" s="15" t="n">
        <v>671851</v>
      </c>
      <c r="C331" s="16" t="inlineStr">
        <is>
          <t>7898040329587</t>
        </is>
      </c>
      <c r="D331" s="17" t="inlineStr">
        <is>
          <t>FLORATIL 250MG BL 6 SACHE</t>
        </is>
      </c>
      <c r="E331" s="17" t="inlineStr">
        <is>
          <t>FQM/DIVCOM</t>
        </is>
      </c>
      <c r="F331" s="15" t="n">
        <v>2</v>
      </c>
      <c r="G331" s="12" t="n"/>
      <c r="H331" s="13" t="n"/>
      <c r="I331" s="4" t="n"/>
      <c r="J331" s="18">
        <f>IF(G331="","",F331*G331)</f>
        <v/>
      </c>
    </row>
    <row r="332">
      <c r="A332" s="9" t="n">
        <v>318</v>
      </c>
      <c r="B332" s="9" t="n">
        <v>430641</v>
      </c>
      <c r="C332" s="10" t="inlineStr">
        <is>
          <t>7896685301661</t>
        </is>
      </c>
      <c r="D332" s="11" t="inlineStr">
        <is>
          <t>FLORAX CX 5 FLAC X 5ML PED</t>
        </is>
      </c>
      <c r="E332" s="11" t="inlineStr">
        <is>
          <t>HEBRON</t>
        </is>
      </c>
      <c r="F332" s="9" t="n">
        <v>3</v>
      </c>
      <c r="G332" s="12" t="n"/>
      <c r="H332" s="13" t="n"/>
      <c r="I332" s="4" t="n"/>
      <c r="J332" s="14">
        <f>IF(G332="","",F332*G332)</f>
        <v/>
      </c>
    </row>
    <row r="333">
      <c r="A333" s="15" t="n">
        <v>319</v>
      </c>
      <c r="B333" s="15" t="n">
        <v>606661</v>
      </c>
      <c r="C333" s="16" t="inlineStr">
        <is>
          <t>7896685303818</t>
        </is>
      </c>
      <c r="D333" s="17" t="inlineStr">
        <is>
          <t>FLORAX HYDRA FR 500ML SB GUARANA</t>
        </is>
      </c>
      <c r="E333" s="17" t="inlineStr">
        <is>
          <t>HEBRON</t>
        </is>
      </c>
      <c r="F333" s="15" t="n">
        <v>4</v>
      </c>
      <c r="G333" s="12" t="n"/>
      <c r="H333" s="13" t="n"/>
      <c r="I333" s="4" t="n"/>
      <c r="J333" s="18">
        <f>IF(G333="","",F333*G333)</f>
        <v/>
      </c>
    </row>
    <row r="334">
      <c r="A334" s="9" t="n">
        <v>320</v>
      </c>
      <c r="B334" s="9" t="n">
        <v>606671</v>
      </c>
      <c r="C334" s="10" t="inlineStr">
        <is>
          <t>7896685303825</t>
        </is>
      </c>
      <c r="D334" s="11" t="inlineStr">
        <is>
          <t>FLORAX HYDRA FR 500ML SB NATURAL</t>
        </is>
      </c>
      <c r="E334" s="11" t="inlineStr">
        <is>
          <t>HEBRON</t>
        </is>
      </c>
      <c r="F334" s="9" t="n">
        <v>2</v>
      </c>
      <c r="G334" s="12" t="n"/>
      <c r="H334" s="13" t="n"/>
      <c r="I334" s="4" t="n"/>
      <c r="J334" s="14">
        <f>IF(G334="","",F334*G334)</f>
        <v/>
      </c>
    </row>
    <row r="335">
      <c r="A335" s="15" t="n">
        <v>321</v>
      </c>
      <c r="B335" s="15" t="n">
        <v>430821</v>
      </c>
      <c r="C335" s="16" t="inlineStr">
        <is>
          <t>7896685303559</t>
        </is>
      </c>
      <c r="D335" s="17" t="inlineStr">
        <is>
          <t>FLORAX SM SUS ORAL CX 10 FLAC X 5ML ADU SB FRAMBOESA</t>
        </is>
      </c>
      <c r="E335" s="17" t="inlineStr">
        <is>
          <t>HEBRON</t>
        </is>
      </c>
      <c r="F335" s="15" t="n">
        <v>15</v>
      </c>
      <c r="G335" s="12" t="n"/>
      <c r="H335" s="13" t="n"/>
      <c r="I335" s="4" t="n"/>
      <c r="J335" s="18">
        <f>IF(G335="","",F335*G335)</f>
        <v/>
      </c>
    </row>
    <row r="336">
      <c r="A336" s="9" t="n">
        <v>322</v>
      </c>
      <c r="B336" s="9" t="n">
        <v>430921</v>
      </c>
      <c r="C336" s="10" t="inlineStr">
        <is>
          <t>7896685303290</t>
        </is>
      </c>
      <c r="D336" s="11" t="inlineStr">
        <is>
          <t>FLORAX SM SUS ORAL CX 5 FLAC X 5ML ADU SB UVA</t>
        </is>
      </c>
      <c r="E336" s="11" t="inlineStr">
        <is>
          <t>HEBRON</t>
        </is>
      </c>
      <c r="F336" s="9" t="n">
        <v>1</v>
      </c>
      <c r="G336" s="12" t="n"/>
      <c r="H336" s="13" t="n"/>
      <c r="I336" s="4" t="n"/>
      <c r="J336" s="14">
        <f>IF(G336="","",F336*G336)</f>
        <v/>
      </c>
    </row>
    <row r="337">
      <c r="A337" s="15" t="n">
        <v>323</v>
      </c>
      <c r="B337" s="15" t="n">
        <v>430861</v>
      </c>
      <c r="C337" s="16" t="inlineStr">
        <is>
          <t>7896685303283</t>
        </is>
      </c>
      <c r="D337" s="17" t="inlineStr">
        <is>
          <t>FLORAX SM SUS ORAL CX 5 FLAC X 5ML PED SB UVA</t>
        </is>
      </c>
      <c r="E337" s="17" t="inlineStr">
        <is>
          <t>HEBRON</t>
        </is>
      </c>
      <c r="F337" s="15" t="n">
        <v>6</v>
      </c>
      <c r="G337" s="12" t="n"/>
      <c r="H337" s="13" t="n"/>
      <c r="I337" s="4" t="n"/>
      <c r="J337" s="18">
        <f>IF(G337="","",F337*G337)</f>
        <v/>
      </c>
    </row>
    <row r="338">
      <c r="A338" s="9" t="n">
        <v>324</v>
      </c>
      <c r="B338" s="9" t="n">
        <v>430681</v>
      </c>
      <c r="C338" s="10" t="inlineStr">
        <is>
          <t>7896685301654</t>
        </is>
      </c>
      <c r="D338" s="11" t="inlineStr">
        <is>
          <t>FLORAX SUS ORAL CX 5 FLAC X 5ML ADU</t>
        </is>
      </c>
      <c r="E338" s="11" t="inlineStr">
        <is>
          <t>HEBRON</t>
        </is>
      </c>
      <c r="F338" s="9" t="n">
        <v>8</v>
      </c>
      <c r="G338" s="12" t="n"/>
      <c r="H338" s="13" t="n"/>
      <c r="I338" s="4" t="n"/>
      <c r="J338" s="14">
        <f>IF(G338="","",F338*G338)</f>
        <v/>
      </c>
    </row>
    <row r="339">
      <c r="A339" s="15" t="n">
        <v>325</v>
      </c>
      <c r="B339" s="15" t="n">
        <v>358601</v>
      </c>
      <c r="C339" s="16" t="inlineStr">
        <is>
          <t>7896685300183</t>
        </is>
      </c>
      <c r="D339" s="17" t="inlineStr">
        <is>
          <t>FLORAX SUS ORAL CX 5 FLAC X 5ML PED</t>
        </is>
      </c>
      <c r="E339" s="17" t="inlineStr">
        <is>
          <t>HEBRON</t>
        </is>
      </c>
      <c r="F339" s="15" t="n">
        <v>1</v>
      </c>
      <c r="G339" s="12" t="n"/>
      <c r="H339" s="13" t="n"/>
      <c r="I339" s="4" t="n"/>
      <c r="J339" s="18">
        <f>IF(G339="","",F339*G339)</f>
        <v/>
      </c>
    </row>
    <row r="340">
      <c r="A340" s="9" t="n">
        <v>326</v>
      </c>
      <c r="B340" s="9" t="n">
        <v>610981</v>
      </c>
      <c r="C340" s="10" t="inlineStr">
        <is>
          <t>7891317011369</t>
        </is>
      </c>
      <c r="D340" s="11" t="inlineStr">
        <is>
          <t>FLORIPA GOTAS FR GTS 8 ML</t>
        </is>
      </c>
      <c r="E340" s="11" t="inlineStr">
        <is>
          <t>EUROFARMA</t>
        </is>
      </c>
      <c r="F340" s="9" t="n">
        <v>1</v>
      </c>
      <c r="G340" s="12" t="n"/>
      <c r="H340" s="13" t="n"/>
      <c r="I340" s="4" t="n"/>
      <c r="J340" s="14">
        <f>IF(G340="","",F340*G340)</f>
        <v/>
      </c>
    </row>
    <row r="341">
      <c r="A341" s="15" t="n">
        <v>327</v>
      </c>
      <c r="B341" s="15" t="n">
        <v>123901</v>
      </c>
      <c r="C341" s="16" t="inlineStr">
        <is>
          <t>7896672201523</t>
        </is>
      </c>
      <c r="D341" s="17" t="inlineStr">
        <is>
          <t>FLUIBRON 7,5MG/ML SOL INAL ENV 10 FLAC X 2ML</t>
        </is>
      </c>
      <c r="E341" s="17" t="inlineStr">
        <is>
          <t>CHIESI</t>
        </is>
      </c>
      <c r="F341" s="15" t="n">
        <v>1</v>
      </c>
      <c r="G341" s="12" t="n"/>
      <c r="H341" s="13" t="n"/>
      <c r="I341" s="4" t="n"/>
      <c r="J341" s="18">
        <f>IF(G341="","",F341*G341)</f>
        <v/>
      </c>
    </row>
    <row r="342">
      <c r="A342" s="9" t="n">
        <v>328</v>
      </c>
      <c r="B342" s="9" t="n">
        <v>574201</v>
      </c>
      <c r="C342" s="10" t="inlineStr">
        <is>
          <t>7896672203954</t>
        </is>
      </c>
      <c r="D342" s="11" t="inlineStr">
        <is>
          <t>FLUIBRON 7,5MG/ML SOL OR FR X 50ML</t>
        </is>
      </c>
      <c r="E342" s="11" t="inlineStr">
        <is>
          <t>CHIESI</t>
        </is>
      </c>
      <c r="F342" s="9" t="n">
        <v>1</v>
      </c>
      <c r="G342" s="12" t="n"/>
      <c r="H342" s="13" t="n"/>
      <c r="I342" s="4" t="n"/>
      <c r="J342" s="14">
        <f>IF(G342="","",F342*G342)</f>
        <v/>
      </c>
    </row>
    <row r="343">
      <c r="A343" s="15" t="n">
        <v>329</v>
      </c>
      <c r="B343" s="15" t="n">
        <v>5981</v>
      </c>
      <c r="C343" s="16" t="inlineStr">
        <is>
          <t>7896676432916</t>
        </is>
      </c>
      <c r="D343" s="17" t="inlineStr">
        <is>
          <t>FLUTINOL 1MG/ML SUS OFT FR 5ML</t>
        </is>
      </c>
      <c r="E343" s="17" t="inlineStr">
        <is>
          <t>CRISTALIA</t>
        </is>
      </c>
      <c r="F343" s="15" t="n">
        <v>5</v>
      </c>
      <c r="G343" s="12" t="n"/>
      <c r="H343" s="13" t="n"/>
      <c r="I343" s="4" t="n"/>
      <c r="J343" s="18">
        <f>IF(G343="","",F343*G343)</f>
        <v/>
      </c>
    </row>
    <row r="344">
      <c r="A344" s="9" t="n">
        <v>330</v>
      </c>
      <c r="B344" s="9" t="n">
        <v>636341</v>
      </c>
      <c r="C344" s="10" t="inlineStr">
        <is>
          <t>7891317023331</t>
        </is>
      </c>
      <c r="D344" s="11" t="inlineStr">
        <is>
          <t>FORFIG 200MG CX 20 CAP</t>
        </is>
      </c>
      <c r="E344" s="11" t="inlineStr">
        <is>
          <t>MOMENTA</t>
        </is>
      </c>
      <c r="F344" s="9" t="n">
        <v>1</v>
      </c>
      <c r="G344" s="12" t="n"/>
      <c r="H344" s="13" t="n"/>
      <c r="I344" s="4" t="n"/>
      <c r="J344" s="14">
        <f>IF(G344="","",F344*G344)</f>
        <v/>
      </c>
    </row>
    <row r="345">
      <c r="A345" s="15" t="n">
        <v>331</v>
      </c>
      <c r="B345" s="15" t="n">
        <v>539681</v>
      </c>
      <c r="C345" s="16" t="inlineStr">
        <is>
          <t>7896677700281</t>
        </is>
      </c>
      <c r="D345" s="17" t="inlineStr">
        <is>
          <t>FORTEVIRON CX 60 COMP</t>
        </is>
      </c>
      <c r="E345" s="17" t="inlineStr">
        <is>
          <t>WP LAB.</t>
        </is>
      </c>
      <c r="F345" s="15" t="n">
        <v>2</v>
      </c>
      <c r="G345" s="12" t="n"/>
      <c r="H345" s="13" t="n"/>
      <c r="I345" s="4" t="n"/>
      <c r="J345" s="18">
        <f>IF(G345="","",F345*G345)</f>
        <v/>
      </c>
    </row>
    <row r="346">
      <c r="A346" s="9" t="n">
        <v>332</v>
      </c>
      <c r="B346" s="9" t="n">
        <v>638781</v>
      </c>
      <c r="C346" s="10" t="inlineStr">
        <is>
          <t>040141785435</t>
        </is>
      </c>
      <c r="D346" s="11" t="inlineStr">
        <is>
          <t>FORTMAGRI 1500MG 60 CPS (BERBERINA+FENO+MOROSIL+CROMO)</t>
        </is>
      </c>
      <c r="E346" s="11" t="inlineStr"/>
      <c r="F346" s="9" t="n">
        <v>1</v>
      </c>
      <c r="G346" s="12" t="n"/>
      <c r="H346" s="13" t="n"/>
      <c r="I346" s="4" t="n"/>
      <c r="J346" s="14">
        <f>IF(G346="","",F346*G346)</f>
        <v/>
      </c>
    </row>
    <row r="347">
      <c r="A347" s="15" t="n">
        <v>333</v>
      </c>
      <c r="B347" s="15" t="n">
        <v>622611</v>
      </c>
      <c r="C347" s="16" t="inlineStr">
        <is>
          <t>5000456070423</t>
        </is>
      </c>
      <c r="D347" s="17" t="inlineStr">
        <is>
          <t>FORXIGA 10MG CX 30 COMP</t>
        </is>
      </c>
      <c r="E347" s="17" t="inlineStr">
        <is>
          <t>ASTRAZENECA</t>
        </is>
      </c>
      <c r="F347" s="15" t="n">
        <v>2</v>
      </c>
      <c r="G347" s="12" t="n"/>
      <c r="H347" s="13" t="n"/>
      <c r="I347" s="4" t="n"/>
      <c r="J347" s="18">
        <f>IF(G347="","",F347*G347)</f>
        <v/>
      </c>
    </row>
    <row r="348">
      <c r="A348" s="9" t="n">
        <v>334</v>
      </c>
      <c r="B348" s="9" t="n">
        <v>670571</v>
      </c>
      <c r="C348" s="10" t="inlineStr">
        <is>
          <t>7898216368037</t>
        </is>
      </c>
      <c r="D348" s="11" t="inlineStr">
        <is>
          <t>GARDENAL 100MG C/20 COMP (C1)-REFERENCIA</t>
        </is>
      </c>
      <c r="E348" s="11" t="inlineStr">
        <is>
          <t>SANOFI</t>
        </is>
      </c>
      <c r="F348" s="9" t="n">
        <v>2</v>
      </c>
      <c r="G348" s="12" t="n"/>
      <c r="H348" s="13" t="n"/>
      <c r="I348" s="4" t="n"/>
      <c r="J348" s="14">
        <f>IF(G348="","",F348*G348)</f>
        <v/>
      </c>
    </row>
    <row r="349">
      <c r="A349" s="15" t="n">
        <v>335</v>
      </c>
      <c r="B349" s="15" t="n">
        <v>661961</v>
      </c>
      <c r="C349" s="16" t="inlineStr">
        <is>
          <t>7908785422099</t>
        </is>
      </c>
      <c r="D349" s="17" t="inlineStr">
        <is>
          <t>GARNIER HID FACIAL 85G ANTIMANCHAS</t>
        </is>
      </c>
      <c r="E349" s="17" t="inlineStr">
        <is>
          <t>GARNIER</t>
        </is>
      </c>
      <c r="F349" s="15" t="n">
        <v>6</v>
      </c>
      <c r="G349" s="12" t="n"/>
      <c r="H349" s="13" t="n"/>
      <c r="I349" s="4" t="n"/>
      <c r="J349" s="18">
        <f>IF(G349="","",F349*G349)</f>
        <v/>
      </c>
    </row>
    <row r="350">
      <c r="A350" s="9" t="n">
        <v>336</v>
      </c>
      <c r="B350" s="9" t="n">
        <v>665861</v>
      </c>
      <c r="C350" s="10" t="inlineStr">
        <is>
          <t>7908785422150</t>
        </is>
      </c>
      <c r="D350" s="11" t="inlineStr">
        <is>
          <t>GARNIER HIDRAT FAC ANTISSINAIS 85G-DEMAIS PROD</t>
        </is>
      </c>
      <c r="E350" s="11" t="inlineStr">
        <is>
          <t>GARNIER</t>
        </is>
      </c>
      <c r="F350" s="9" t="n">
        <v>1</v>
      </c>
      <c r="G350" s="12" t="n"/>
      <c r="H350" s="13" t="n"/>
      <c r="I350" s="4" t="n"/>
      <c r="J350" s="14">
        <f>IF(G350="","",F350*G350)</f>
        <v/>
      </c>
    </row>
    <row r="351">
      <c r="A351" s="15" t="n">
        <v>337</v>
      </c>
      <c r="B351" s="15" t="n">
        <v>578561</v>
      </c>
      <c r="C351" s="16" t="inlineStr">
        <is>
          <t>7896862960261</t>
        </is>
      </c>
      <c r="D351" s="17" t="inlineStr">
        <is>
          <t>GASTROGEL FRESH FRESH SUSP ORAL FR 240ML</t>
        </is>
      </c>
      <c r="E351" s="17" t="inlineStr">
        <is>
          <t>MEDQUIMICA</t>
        </is>
      </c>
      <c r="F351" s="15" t="n">
        <v>1</v>
      </c>
      <c r="G351" s="12" t="n"/>
      <c r="H351" s="13" t="n"/>
      <c r="I351" s="4" t="n"/>
      <c r="J351" s="18">
        <f>IF(G351="","",F351*G351)</f>
        <v/>
      </c>
    </row>
    <row r="352">
      <c r="A352" s="9" t="n">
        <v>338</v>
      </c>
      <c r="B352" s="9" t="n">
        <v>578081</v>
      </c>
      <c r="C352" s="10" t="inlineStr">
        <is>
          <t>7896622305844</t>
        </is>
      </c>
      <c r="D352" s="11" t="inlineStr">
        <is>
          <t>GASTROL 5G LARANJA UN (CARTELADO)</t>
        </is>
      </c>
      <c r="E352" s="11" t="inlineStr">
        <is>
          <t>BRAINFARMA</t>
        </is>
      </c>
      <c r="F352" s="9" t="n">
        <v>1</v>
      </c>
      <c r="G352" s="12" t="n"/>
      <c r="H352" s="13" t="n"/>
      <c r="I352" s="4" t="n"/>
      <c r="J352" s="14">
        <f>IF(G352="","",F352*G352)</f>
        <v/>
      </c>
    </row>
    <row r="353">
      <c r="A353" s="9" t="n">
        <v>339</v>
      </c>
      <c r="B353" s="9" t="n">
        <v>578081</v>
      </c>
      <c r="C353" s="10" t="inlineStr">
        <is>
          <t>7896094918658</t>
        </is>
      </c>
      <c r="D353" s="11" t="inlineStr">
        <is>
          <t>GASTROL 5G LARANJA UN (CARTELADO)</t>
        </is>
      </c>
      <c r="E353" s="11" t="inlineStr">
        <is>
          <t>BRAINFARMA</t>
        </is>
      </c>
      <c r="F353" s="9" t="n">
        <v>1</v>
      </c>
      <c r="G353" s="12" t="n"/>
      <c r="H353" s="13" t="n"/>
      <c r="I353" s="4" t="n"/>
      <c r="J353" s="14">
        <f>IF(G353="","",F353*G353)</f>
        <v/>
      </c>
    </row>
    <row r="354">
      <c r="A354" s="15" t="n">
        <v>340</v>
      </c>
      <c r="B354" s="15" t="n">
        <v>78981</v>
      </c>
      <c r="C354" s="16" t="inlineStr">
        <is>
          <t>7896622302805</t>
        </is>
      </c>
      <c r="D354" s="17" t="inlineStr">
        <is>
          <t>GASTROL PAST CARTELA</t>
        </is>
      </c>
      <c r="E354" s="17" t="inlineStr">
        <is>
          <t>NEO QUIMICA</t>
        </is>
      </c>
      <c r="F354" s="15" t="n">
        <v>1</v>
      </c>
      <c r="G354" s="12" t="n"/>
      <c r="H354" s="13" t="n"/>
      <c r="I354" s="4" t="n"/>
      <c r="J354" s="18">
        <f>IF(G354="","",F354*G354)</f>
        <v/>
      </c>
    </row>
    <row r="355">
      <c r="A355" s="15" t="n">
        <v>341</v>
      </c>
      <c r="B355" s="15" t="n">
        <v>78981</v>
      </c>
      <c r="C355" s="16" t="inlineStr">
        <is>
          <t>7896622305875</t>
        </is>
      </c>
      <c r="D355" s="17" t="inlineStr">
        <is>
          <t>GASTROL PAST CARTELA</t>
        </is>
      </c>
      <c r="E355" s="17" t="inlineStr">
        <is>
          <t>NEO QUIMICA</t>
        </is>
      </c>
      <c r="F355" s="15" t="n">
        <v>1</v>
      </c>
      <c r="G355" s="12" t="n"/>
      <c r="H355" s="13" t="n"/>
      <c r="I355" s="4" t="n"/>
      <c r="J355" s="18">
        <f>IF(G355="","",F355*G355)</f>
        <v/>
      </c>
    </row>
    <row r="356">
      <c r="A356" s="9" t="n">
        <v>342</v>
      </c>
      <c r="B356" s="9" t="n">
        <v>618661</v>
      </c>
      <c r="C356" s="10" t="inlineStr">
        <is>
          <t>7896094928459</t>
        </is>
      </c>
      <c r="D356" s="11" t="inlineStr">
        <is>
          <t>GASTROL PO EFER CT 6 X ABACAXI</t>
        </is>
      </c>
      <c r="E356" s="11" t="inlineStr">
        <is>
          <t>NEO QUIMICA</t>
        </is>
      </c>
      <c r="F356" s="9" t="n">
        <v>1</v>
      </c>
      <c r="G356" s="12" t="n"/>
      <c r="H356" s="13" t="n"/>
      <c r="I356" s="4" t="n"/>
      <c r="J356" s="14">
        <f>IF(G356="","",F356*G356)</f>
        <v/>
      </c>
    </row>
    <row r="357">
      <c r="A357" s="15" t="n">
        <v>343</v>
      </c>
      <c r="B357" s="15" t="n">
        <v>80841</v>
      </c>
      <c r="C357" s="16" t="inlineStr">
        <is>
          <t>7896622305837</t>
        </is>
      </c>
      <c r="D357" s="17" t="inlineStr">
        <is>
          <t>GASTROL PO ENFERV SACHE UNITARIO 5G SB ABACAXI</t>
        </is>
      </c>
      <c r="E357" s="17" t="inlineStr">
        <is>
          <t>NEO QUIMICA</t>
        </is>
      </c>
      <c r="F357" s="15" t="n">
        <v>1</v>
      </c>
      <c r="G357" s="12" t="n"/>
      <c r="H357" s="13" t="n"/>
      <c r="I357" s="4" t="n"/>
      <c r="J357" s="18">
        <f>IF(G357="","",F357*G357)</f>
        <v/>
      </c>
    </row>
    <row r="358">
      <c r="A358" s="9" t="n">
        <v>344</v>
      </c>
      <c r="B358" s="9" t="n">
        <v>80461</v>
      </c>
      <c r="C358" s="10" t="inlineStr">
        <is>
          <t>7896622300450</t>
        </is>
      </c>
      <c r="D358" s="11" t="inlineStr">
        <is>
          <t>GASTROL SUS FR 250ML</t>
        </is>
      </c>
      <c r="E358" s="11" t="inlineStr">
        <is>
          <t>NEO QUIMICA</t>
        </is>
      </c>
      <c r="F358" s="9" t="n">
        <v>1</v>
      </c>
      <c r="G358" s="12" t="n"/>
      <c r="H358" s="13" t="n"/>
      <c r="I358" s="4" t="n"/>
      <c r="J358" s="14">
        <f>IF(G358="","",F358*G358)</f>
        <v/>
      </c>
    </row>
    <row r="359">
      <c r="A359" s="15" t="n">
        <v>345</v>
      </c>
      <c r="B359" s="15" t="n">
        <v>431201</v>
      </c>
      <c r="C359" s="16" t="inlineStr">
        <is>
          <t>7896094901582</t>
        </is>
      </c>
      <c r="D359" s="17" t="inlineStr">
        <is>
          <t>GELOL 0,0444ML POM DERM BG 20G</t>
        </is>
      </c>
      <c r="E359" s="17" t="inlineStr">
        <is>
          <t>COSMED</t>
        </is>
      </c>
      <c r="F359" s="15" t="n">
        <v>1</v>
      </c>
      <c r="G359" s="12" t="n"/>
      <c r="H359" s="13" t="n"/>
      <c r="I359" s="4" t="n"/>
      <c r="J359" s="18">
        <f>IF(G359="","",F359*G359)</f>
        <v/>
      </c>
    </row>
    <row r="360">
      <c r="A360" s="9" t="n">
        <v>346</v>
      </c>
      <c r="B360" s="9" t="n">
        <v>635741</v>
      </c>
      <c r="C360" s="10" t="inlineStr">
        <is>
          <t>7891106916059</t>
        </is>
      </c>
      <c r="D360" s="11" t="inlineStr">
        <is>
          <t>GINO CANESTEN 1 500MG 1COMP+APL-REFERENCIA</t>
        </is>
      </c>
      <c r="E360" s="11" t="inlineStr">
        <is>
          <t>BAYER</t>
        </is>
      </c>
      <c r="F360" s="9" t="n">
        <v>1</v>
      </c>
      <c r="G360" s="12" t="n"/>
      <c r="H360" s="13" t="n"/>
      <c r="I360" s="4" t="n"/>
      <c r="J360" s="14">
        <f>IF(G360="","",F360*G360)</f>
        <v/>
      </c>
    </row>
    <row r="361">
      <c r="A361" s="15" t="n">
        <v>347</v>
      </c>
      <c r="B361" s="15" t="n">
        <v>189081</v>
      </c>
      <c r="C361" s="16" t="inlineStr">
        <is>
          <t>7891106001762</t>
        </is>
      </c>
      <c r="D361" s="17" t="inlineStr">
        <is>
          <t>GINO CANESTEN 10MG/G CREME VAG BG 35G+6APLIC</t>
        </is>
      </c>
      <c r="E361" s="17" t="inlineStr">
        <is>
          <t>BAYER</t>
        </is>
      </c>
      <c r="F361" s="15" t="n">
        <v>1</v>
      </c>
      <c r="G361" s="12" t="n"/>
      <c r="H361" s="13" t="n"/>
      <c r="I361" s="4" t="n"/>
      <c r="J361" s="18">
        <f>IF(G361="","",F361*G361)</f>
        <v/>
      </c>
    </row>
    <row r="362">
      <c r="A362" s="9" t="n">
        <v>348</v>
      </c>
      <c r="B362" s="9" t="n">
        <v>189141</v>
      </c>
      <c r="C362" s="10" t="inlineStr">
        <is>
          <t>7891106003230</t>
        </is>
      </c>
      <c r="D362" s="11" t="inlineStr">
        <is>
          <t>GINO CANESTEN 20 MG/G CREME VAG BG 20G+3APLIC</t>
        </is>
      </c>
      <c r="E362" s="11" t="inlineStr">
        <is>
          <t>BAYER</t>
        </is>
      </c>
      <c r="F362" s="9" t="n">
        <v>2</v>
      </c>
      <c r="G362" s="12" t="n"/>
      <c r="H362" s="13" t="n"/>
      <c r="I362" s="4" t="n"/>
      <c r="J362" s="14">
        <f>IF(G362="","",F362*G362)</f>
        <v/>
      </c>
    </row>
    <row r="363">
      <c r="A363" s="15" t="n">
        <v>349</v>
      </c>
      <c r="B363" s="15" t="n">
        <v>672591</v>
      </c>
      <c r="C363" s="16" t="inlineStr">
        <is>
          <t>7891106916554</t>
        </is>
      </c>
      <c r="D363" s="17" t="inlineStr">
        <is>
          <t>GINO CANESTEN TRI CUIDADO 200ML-DEMAIS PROD</t>
        </is>
      </c>
      <c r="E363" s="17" t="inlineStr">
        <is>
          <t>BAYER</t>
        </is>
      </c>
      <c r="F363" s="15" t="n">
        <v>1</v>
      </c>
      <c r="G363" s="12" t="n"/>
      <c r="H363" s="13" t="n"/>
      <c r="I363" s="4" t="n"/>
      <c r="J363" s="18">
        <f>IF(G363="","",F363*G363)</f>
        <v/>
      </c>
    </row>
    <row r="364">
      <c r="A364" s="9" t="n">
        <v>350</v>
      </c>
      <c r="B364" s="9" t="n">
        <v>458281</v>
      </c>
      <c r="C364" s="10" t="inlineStr">
        <is>
          <t>7896006208266</t>
        </is>
      </c>
      <c r="D364" s="11" t="inlineStr">
        <is>
          <t>GLAUB MD 1MG/ML FR 5ML</t>
        </is>
      </c>
      <c r="E364" s="11" t="inlineStr">
        <is>
          <t>UNIAO QUIMICA</t>
        </is>
      </c>
      <c r="F364" s="9" t="n">
        <v>2</v>
      </c>
      <c r="G364" s="12" t="n"/>
      <c r="H364" s="13" t="n"/>
      <c r="I364" s="4" t="n"/>
      <c r="J364" s="14">
        <f>IF(G364="","",F364*G364)</f>
        <v/>
      </c>
    </row>
    <row r="365">
      <c r="A365" s="15" t="n">
        <v>351</v>
      </c>
      <c r="B365" s="15" t="n">
        <v>328861</v>
      </c>
      <c r="C365" s="16" t="inlineStr">
        <is>
          <t>7896006290162</t>
        </is>
      </c>
      <c r="D365" s="17" t="inlineStr">
        <is>
          <t>GLAUCOTRAT 0,50% SOL FR X 5ML</t>
        </is>
      </c>
      <c r="E365" s="17" t="inlineStr">
        <is>
          <t>UNIAO QUIMICA</t>
        </is>
      </c>
      <c r="F365" s="15" t="n">
        <v>3</v>
      </c>
      <c r="G365" s="12" t="n"/>
      <c r="H365" s="13" t="n"/>
      <c r="I365" s="4" t="n"/>
      <c r="J365" s="18">
        <f>IF(G365="","",F365*G365)</f>
        <v/>
      </c>
    </row>
    <row r="366">
      <c r="A366" s="9" t="n">
        <v>352</v>
      </c>
      <c r="B366" s="9" t="n">
        <v>156321</v>
      </c>
      <c r="C366" s="10" t="inlineStr">
        <is>
          <t>7891721201530</t>
        </is>
      </c>
      <c r="D366" s="11" t="inlineStr">
        <is>
          <t>GLIFAGE XR 850MG CX 30 COMP LIB PROL</t>
        </is>
      </c>
      <c r="E366" s="11" t="inlineStr">
        <is>
          <t>MERCK</t>
        </is>
      </c>
      <c r="F366" s="9" t="n">
        <v>5</v>
      </c>
      <c r="G366" s="12" t="n"/>
      <c r="H366" s="13" t="n"/>
      <c r="I366" s="4" t="n"/>
      <c r="J366" s="14">
        <f>IF(G366="","",F366*G366)</f>
        <v/>
      </c>
    </row>
    <row r="367">
      <c r="A367" s="15" t="n">
        <v>353</v>
      </c>
      <c r="B367" s="15" t="n">
        <v>595291</v>
      </c>
      <c r="C367" s="16" t="inlineStr">
        <is>
          <t>7898495609289</t>
        </is>
      </c>
      <c r="D367" s="17" t="inlineStr">
        <is>
          <t>GROW CALCIO 150ML + SER DOS</t>
        </is>
      </c>
      <c r="E367" s="17" t="inlineStr">
        <is>
          <t>CIFARMA CIENTIFICA FARMACEUTICA</t>
        </is>
      </c>
      <c r="F367" s="15" t="n">
        <v>1</v>
      </c>
      <c r="G367" s="12" t="n"/>
      <c r="H367" s="13" t="n"/>
      <c r="I367" s="4" t="n"/>
      <c r="J367" s="18">
        <f>IF(G367="","",F367*G367)</f>
        <v/>
      </c>
    </row>
    <row r="368">
      <c r="A368" s="15" t="n">
        <v>354</v>
      </c>
      <c r="B368" s="15" t="n">
        <v>595291</v>
      </c>
      <c r="C368" s="16" t="inlineStr">
        <is>
          <t>7908020507505</t>
        </is>
      </c>
      <c r="D368" s="17" t="inlineStr">
        <is>
          <t>GROW CALCIO 150ML + SER DOS</t>
        </is>
      </c>
      <c r="E368" s="17" t="inlineStr">
        <is>
          <t>CIFARMA CIENTIFICA FARMACEUTICA</t>
        </is>
      </c>
      <c r="F368" s="15" t="n">
        <v>1</v>
      </c>
      <c r="G368" s="12" t="n"/>
      <c r="H368" s="13" t="n"/>
      <c r="I368" s="4" t="n"/>
      <c r="J368" s="18">
        <f>IF(G368="","",F368*G368)</f>
        <v/>
      </c>
    </row>
    <row r="369">
      <c r="A369" s="9" t="n">
        <v>355</v>
      </c>
      <c r="B369" s="9" t="n">
        <v>627211</v>
      </c>
      <c r="C369" s="10" t="inlineStr">
        <is>
          <t>7908020501435</t>
        </is>
      </c>
      <c r="D369" s="11" t="inlineStr">
        <is>
          <t>GROW D 10ML-DEMAIS PROD</t>
        </is>
      </c>
      <c r="E369" s="11" t="inlineStr">
        <is>
          <t>CIFARMA</t>
        </is>
      </c>
      <c r="F369" s="9" t="n">
        <v>1</v>
      </c>
      <c r="G369" s="12" t="n"/>
      <c r="H369" s="13" t="n"/>
      <c r="I369" s="4" t="n"/>
      <c r="J369" s="14">
        <f>IF(G369="","",F369*G369)</f>
        <v/>
      </c>
    </row>
    <row r="370">
      <c r="A370" s="15" t="n">
        <v>356</v>
      </c>
      <c r="B370" s="15" t="n">
        <v>559601</v>
      </c>
      <c r="C370" s="16" t="inlineStr">
        <is>
          <t>7898495609326</t>
        </is>
      </c>
      <c r="D370" s="17" t="inlineStr">
        <is>
          <t>GROW VIT BB C/20ML (CFE)</t>
        </is>
      </c>
      <c r="E370" s="17" t="inlineStr">
        <is>
          <t>CIFARMA CIENTIFICA FARMACEUTICA</t>
        </is>
      </c>
      <c r="F370" s="15" t="n">
        <v>1</v>
      </c>
      <c r="G370" s="12" t="n"/>
      <c r="H370" s="13" t="n"/>
      <c r="I370" s="4" t="n"/>
      <c r="J370" s="18">
        <f>IF(G370="","",F370*G370)</f>
        <v/>
      </c>
    </row>
    <row r="371">
      <c r="A371" s="9" t="n">
        <v>357</v>
      </c>
      <c r="B371" s="9" t="n">
        <v>415501</v>
      </c>
      <c r="C371" s="10" t="inlineStr">
        <is>
          <t>7897473206403</t>
        </is>
      </c>
      <c r="D371" s="11" t="inlineStr">
        <is>
          <t>HALOBEX 0,5MG CREM DERM BG 30G</t>
        </is>
      </c>
      <c r="E371" s="11" t="inlineStr">
        <is>
          <t>HYPERA FARMA</t>
        </is>
      </c>
      <c r="F371" s="9" t="n">
        <v>5</v>
      </c>
      <c r="G371" s="12" t="n"/>
      <c r="H371" s="13" t="n"/>
      <c r="I371" s="4" t="n"/>
      <c r="J371" s="14">
        <f>IF(G371="","",F371*G371)</f>
        <v/>
      </c>
    </row>
    <row r="372">
      <c r="A372" s="15" t="n">
        <v>358</v>
      </c>
      <c r="B372" s="15" t="n">
        <v>626321</v>
      </c>
      <c r="C372" s="16" t="inlineStr">
        <is>
          <t>7898040325008</t>
        </is>
      </c>
      <c r="D372" s="17" t="inlineStr">
        <is>
          <t>HIDRAFEMME GEL 24G C/ 8 APLIC</t>
        </is>
      </c>
      <c r="E372" s="17" t="inlineStr">
        <is>
          <t>FQM/FARMA</t>
        </is>
      </c>
      <c r="F372" s="15" t="n">
        <v>2</v>
      </c>
      <c r="G372" s="12" t="n"/>
      <c r="H372" s="13" t="n"/>
      <c r="I372" s="4" t="n"/>
      <c r="J372" s="18">
        <f>IF(G372="","",F372*G372)</f>
        <v/>
      </c>
    </row>
    <row r="373">
      <c r="A373" s="9" t="n">
        <v>359</v>
      </c>
      <c r="B373" s="9" t="n">
        <v>619571</v>
      </c>
      <c r="C373" s="10" t="inlineStr">
        <is>
          <t>4005900163875</t>
        </is>
      </c>
      <c r="D373" s="11" t="inlineStr">
        <is>
          <t>HIDRAT NIVEA ANTIC PERNAS RENOV 400ML   NIVE %DN:2.00</t>
        </is>
      </c>
      <c r="E373" s="11" t="inlineStr">
        <is>
          <t>NIVEA</t>
        </is>
      </c>
      <c r="F373" s="9" t="n">
        <v>1</v>
      </c>
      <c r="G373" s="12" t="n"/>
      <c r="H373" s="13" t="n"/>
      <c r="I373" s="4" t="n"/>
      <c r="J373" s="14">
        <f>IF(G373="","",F373*G373)</f>
        <v/>
      </c>
    </row>
    <row r="374">
      <c r="A374" s="15" t="n">
        <v>360</v>
      </c>
      <c r="B374" s="15" t="n">
        <v>554181</v>
      </c>
      <c r="C374" s="16" t="inlineStr">
        <is>
          <t>7891010249953</t>
        </is>
      </c>
      <c r="D374" s="17" t="inlineStr">
        <is>
          <t>HIPOGLOS AMENDOAS 40G</t>
        </is>
      </c>
      <c r="E374" s="17" t="inlineStr">
        <is>
          <t>JOHNSON    JOHNSON</t>
        </is>
      </c>
      <c r="F374" s="15" t="n">
        <v>3</v>
      </c>
      <c r="G374" s="12" t="n"/>
      <c r="H374" s="13" t="n"/>
      <c r="I374" s="4" t="n"/>
      <c r="J374" s="18">
        <f>IF(G374="","",F374*G374)</f>
        <v/>
      </c>
    </row>
    <row r="375">
      <c r="A375" s="9" t="n">
        <v>361</v>
      </c>
      <c r="B375" s="9" t="n">
        <v>621551</v>
      </c>
      <c r="C375" s="10" t="inlineStr">
        <is>
          <t>7891010255763</t>
        </is>
      </c>
      <c r="D375" s="11" t="inlineStr">
        <is>
          <t>HIPOGLOS ORIGINAL 40G</t>
        </is>
      </c>
      <c r="E375" s="11" t="inlineStr">
        <is>
          <t>JOHNSON    JOHNSON</t>
        </is>
      </c>
      <c r="F375" s="9" t="n">
        <v>4</v>
      </c>
      <c r="G375" s="12" t="n"/>
      <c r="H375" s="13" t="n"/>
      <c r="I375" s="4" t="n"/>
      <c r="J375" s="14">
        <f>IF(G375="","",F375*G375)</f>
        <v/>
      </c>
    </row>
    <row r="376">
      <c r="A376" s="15" t="n">
        <v>362</v>
      </c>
      <c r="B376" s="15" t="n">
        <v>406321</v>
      </c>
      <c r="C376" s="16" t="inlineStr">
        <is>
          <t>7897411601529</t>
        </is>
      </c>
      <c r="D376" s="17" t="inlineStr">
        <is>
          <t>HIRUDOID 3MG/G POM BG X 40G</t>
        </is>
      </c>
      <c r="E376" s="17" t="inlineStr">
        <is>
          <t>DAIICHI SANKYO</t>
        </is>
      </c>
      <c r="F376" s="15" t="n">
        <v>1</v>
      </c>
      <c r="G376" s="12" t="n"/>
      <c r="H376" s="13" t="n"/>
      <c r="I376" s="4" t="n"/>
      <c r="J376" s="18">
        <f>IF(G376="","",F376*G376)</f>
        <v/>
      </c>
    </row>
    <row r="377">
      <c r="A377" s="9" t="n">
        <v>363</v>
      </c>
      <c r="B377" s="9" t="n">
        <v>213481</v>
      </c>
      <c r="C377" s="10" t="inlineStr">
        <is>
          <t>7897129301506</t>
        </is>
      </c>
      <c r="D377" s="11" t="inlineStr">
        <is>
          <t>HIXIZINE 2MG/ML SOL OR FR 120ML</t>
        </is>
      </c>
      <c r="E377" s="11" t="inlineStr">
        <is>
          <t>SUPERA</t>
        </is>
      </c>
      <c r="F377" s="9" t="n">
        <v>4</v>
      </c>
      <c r="G377" s="12" t="n"/>
      <c r="H377" s="13" t="n"/>
      <c r="I377" s="4" t="n"/>
      <c r="J377" s="14">
        <f>IF(G377="","",F377*G377)</f>
        <v/>
      </c>
    </row>
    <row r="378">
      <c r="A378" s="15" t="n">
        <v>364</v>
      </c>
      <c r="B378" s="15" t="n">
        <v>289421</v>
      </c>
      <c r="C378" s="16" t="inlineStr">
        <is>
          <t>7891317124182</t>
        </is>
      </c>
      <c r="D378" s="17" t="inlineStr">
        <is>
          <t>HOLMES H 20+12,5MG CX 30 COMP REV</t>
        </is>
      </c>
      <c r="E378" s="17" t="inlineStr">
        <is>
          <t>EUROFARMA</t>
        </is>
      </c>
      <c r="F378" s="15" t="n">
        <v>1</v>
      </c>
      <c r="G378" s="12" t="n"/>
      <c r="H378" s="13" t="n"/>
      <c r="I378" s="4" t="n"/>
      <c r="J378" s="18">
        <f>IF(G378="","",F378*G378)</f>
        <v/>
      </c>
    </row>
    <row r="379">
      <c r="A379" s="9" t="n">
        <v>365</v>
      </c>
      <c r="B379" s="9" t="n">
        <v>289481</v>
      </c>
      <c r="C379" s="10" t="inlineStr">
        <is>
          <t>7891317124236</t>
        </is>
      </c>
      <c r="D379" s="11" t="inlineStr">
        <is>
          <t>HOLMES H 40+25MG CX 30 COMP REV</t>
        </is>
      </c>
      <c r="E379" s="11" t="inlineStr">
        <is>
          <t>EUROFARMA</t>
        </is>
      </c>
      <c r="F379" s="9" t="n">
        <v>2</v>
      </c>
      <c r="G379" s="12" t="n"/>
      <c r="H379" s="13" t="n"/>
      <c r="I379" s="4" t="n"/>
      <c r="J379" s="14">
        <f>IF(G379="","",F379*G379)</f>
        <v/>
      </c>
    </row>
    <row r="380">
      <c r="A380" s="15" t="n">
        <v>366</v>
      </c>
      <c r="B380" s="15" t="n">
        <v>539741</v>
      </c>
      <c r="C380" s="16" t="inlineStr">
        <is>
          <t>3662042000058</t>
        </is>
      </c>
      <c r="D380" s="17" t="inlineStr">
        <is>
          <t>HYABAK SOL OFT FR X 10ML</t>
        </is>
      </c>
      <c r="E380" s="17" t="inlineStr">
        <is>
          <t>UNIAO QUIMICA</t>
        </is>
      </c>
      <c r="F380" s="15" t="n">
        <v>1</v>
      </c>
      <c r="G380" s="12" t="n"/>
      <c r="H380" s="13" t="n"/>
      <c r="I380" s="4" t="n"/>
      <c r="J380" s="18">
        <f>IF(G380="","",F380*G380)</f>
        <v/>
      </c>
    </row>
    <row r="381">
      <c r="A381" s="9" t="n">
        <v>367</v>
      </c>
      <c r="B381" s="9" t="n">
        <v>2763</v>
      </c>
      <c r="C381" s="10" t="inlineStr">
        <is>
          <t>7891142204547</t>
        </is>
      </c>
      <c r="D381" s="11" t="inlineStr">
        <is>
          <t>HYDRAPORIN AI BISNAGA 120G</t>
        </is>
      </c>
      <c r="E381" s="11" t="inlineStr">
        <is>
          <t>HYPERA FARMA</t>
        </is>
      </c>
      <c r="F381" s="9" t="n">
        <v>1</v>
      </c>
      <c r="G381" s="12" t="n"/>
      <c r="H381" s="13" t="n"/>
      <c r="I381" s="4" t="n"/>
      <c r="J381" s="14">
        <f>IF(G381="","",F381*G381)</f>
        <v/>
      </c>
    </row>
    <row r="382">
      <c r="A382" s="15" t="n">
        <v>368</v>
      </c>
      <c r="B382" s="15" t="n">
        <v>572741</v>
      </c>
      <c r="C382" s="16" t="inlineStr">
        <is>
          <t>7898495609364</t>
        </is>
      </c>
      <c r="D382" s="17" t="inlineStr">
        <is>
          <t>IMOLAC 120ML</t>
        </is>
      </c>
      <c r="E382" s="17" t="inlineStr">
        <is>
          <t>CIFARMA CIENTIFICA FARMACEUTICA</t>
        </is>
      </c>
      <c r="F382" s="15" t="n">
        <v>1</v>
      </c>
      <c r="G382" s="12" t="n"/>
      <c r="H382" s="13" t="n"/>
      <c r="I382" s="4" t="n"/>
      <c r="J382" s="18">
        <f>IF(G382="","",F382*G382)</f>
        <v/>
      </c>
    </row>
    <row r="383">
      <c r="A383" s="9" t="n">
        <v>369</v>
      </c>
      <c r="B383" s="9" t="n">
        <v>592811</v>
      </c>
      <c r="C383" s="10" t="inlineStr">
        <is>
          <t>7898495609487</t>
        </is>
      </c>
      <c r="D383" s="11" t="inlineStr">
        <is>
          <t>IMOLAC SOL C/200ML+COP (CFE)</t>
        </is>
      </c>
      <c r="E383" s="11" t="inlineStr">
        <is>
          <t>CIFARMA CIENTIFICA FARMACEUTICA</t>
        </is>
      </c>
      <c r="F383" s="9" t="n">
        <v>2</v>
      </c>
      <c r="G383" s="12" t="n"/>
      <c r="H383" s="13" t="n"/>
      <c r="I383" s="4" t="n"/>
      <c r="J383" s="14">
        <f>IF(G383="","",F383*G383)</f>
        <v/>
      </c>
    </row>
    <row r="384">
      <c r="A384" s="15" t="n">
        <v>370</v>
      </c>
      <c r="B384" s="15" t="n">
        <v>153101</v>
      </c>
      <c r="C384" s="16" t="inlineStr">
        <is>
          <t>7896212478750</t>
        </is>
      </c>
      <c r="D384" s="17" t="inlineStr">
        <is>
          <t>IMOSEC 2MG CX 12 COMP</t>
        </is>
      </c>
      <c r="E384" s="17" t="inlineStr">
        <is>
          <t>JOHNSON &amp; JOHNSON</t>
        </is>
      </c>
      <c r="F384" s="15" t="n">
        <v>38</v>
      </c>
      <c r="G384" s="12" t="n"/>
      <c r="H384" s="13" t="n"/>
      <c r="I384" s="4" t="n"/>
      <c r="J384" s="18">
        <f>IF(G384="","",F384*G384)</f>
        <v/>
      </c>
    </row>
    <row r="385">
      <c r="A385" s="15" t="n">
        <v>371</v>
      </c>
      <c r="B385" s="15" t="n">
        <v>153101</v>
      </c>
      <c r="C385" s="16" t="inlineStr">
        <is>
          <t>7891010256364</t>
        </is>
      </c>
      <c r="D385" s="17" t="inlineStr">
        <is>
          <t>IMOSEC 2MG CX 12 COMP</t>
        </is>
      </c>
      <c r="E385" s="17" t="inlineStr">
        <is>
          <t>JOHNSON &amp; JOHNSON</t>
        </is>
      </c>
      <c r="F385" s="15" t="n">
        <v>38</v>
      </c>
      <c r="G385" s="12" t="n"/>
      <c r="H385" s="13" t="n"/>
      <c r="I385" s="4" t="n"/>
      <c r="J385" s="18">
        <f>IF(G385="","",F385*G385)</f>
        <v/>
      </c>
    </row>
    <row r="386">
      <c r="A386" s="9" t="n">
        <v>372</v>
      </c>
      <c r="B386" s="9" t="n">
        <v>653971</v>
      </c>
      <c r="C386" s="10" t="inlineStr">
        <is>
          <t>7896360001985</t>
        </is>
      </c>
      <c r="D386" s="11" t="inlineStr">
        <is>
          <t>IMUNOVALLE 120ML (DVL)</t>
        </is>
      </c>
      <c r="E386" s="11" t="inlineStr">
        <is>
          <t>DOVALLE</t>
        </is>
      </c>
      <c r="F386" s="9" t="n">
        <v>1</v>
      </c>
      <c r="G386" s="12" t="n"/>
      <c r="H386" s="13" t="n"/>
      <c r="I386" s="4" t="n"/>
      <c r="J386" s="14">
        <f>IF(G386="","",F386*G386)</f>
        <v/>
      </c>
    </row>
    <row r="387">
      <c r="A387" s="15" t="n">
        <v>373</v>
      </c>
      <c r="B387" s="15" t="n">
        <v>594881</v>
      </c>
      <c r="C387" s="16" t="inlineStr">
        <is>
          <t>7898639690975</t>
        </is>
      </c>
      <c r="D387" s="17" t="inlineStr">
        <is>
          <t>INALADOR NEBULIZADOR COMPACT DC1 G-TECH</t>
        </is>
      </c>
      <c r="E387" s="17" t="inlineStr">
        <is>
          <t>GTECH</t>
        </is>
      </c>
      <c r="F387" s="15" t="n">
        <v>4</v>
      </c>
      <c r="G387" s="12" t="n"/>
      <c r="H387" s="13" t="n"/>
      <c r="I387" s="4" t="n"/>
      <c r="J387" s="18">
        <f>IF(G387="","",F387*G387)</f>
        <v/>
      </c>
    </row>
    <row r="388">
      <c r="A388" s="9" t="n">
        <v>374</v>
      </c>
      <c r="B388" s="9" t="n">
        <v>389621</v>
      </c>
      <c r="C388" s="10" t="inlineStr">
        <is>
          <t>7896637031509</t>
        </is>
      </c>
      <c r="D388" s="11" t="inlineStr">
        <is>
          <t>INILOK 40MG CX 30 COMP</t>
        </is>
      </c>
      <c r="E388" s="11" t="inlineStr">
        <is>
          <t>APSEN</t>
        </is>
      </c>
      <c r="F388" s="9" t="n">
        <v>9</v>
      </c>
      <c r="G388" s="12" t="n"/>
      <c r="H388" s="13" t="n"/>
      <c r="I388" s="4" t="n"/>
      <c r="J388" s="14">
        <f>IF(G388="","",F388*G388)</f>
        <v/>
      </c>
    </row>
    <row r="389">
      <c r="A389" s="15" t="n">
        <v>375</v>
      </c>
      <c r="B389" s="15" t="n">
        <v>258141</v>
      </c>
      <c r="C389" s="16" t="inlineStr">
        <is>
          <t>7896641812811</t>
        </is>
      </c>
      <c r="D389" s="17" t="inlineStr">
        <is>
          <t>INZELM 20MG CX 30 COMP REV</t>
        </is>
      </c>
      <c r="E389" s="17" t="inlineStr">
        <is>
          <t>TAKEDA PHARMA</t>
        </is>
      </c>
      <c r="F389" s="15" t="n">
        <v>2</v>
      </c>
      <c r="G389" s="12" t="n"/>
      <c r="H389" s="13" t="n"/>
      <c r="I389" s="4" t="n"/>
      <c r="J389" s="18">
        <f>IF(G389="","",F389*G389)</f>
        <v/>
      </c>
    </row>
    <row r="390">
      <c r="A390" s="9" t="n">
        <v>376</v>
      </c>
      <c r="B390" s="9" t="n">
        <v>240081</v>
      </c>
      <c r="C390" s="10" t="inlineStr">
        <is>
          <t>7896094208094</t>
        </is>
      </c>
      <c r="D390" s="11" t="inlineStr">
        <is>
          <t>IUMI 3+0,02MG CX 24 COMP REV</t>
        </is>
      </c>
      <c r="E390" s="11" t="inlineStr">
        <is>
          <t>LIBBS</t>
        </is>
      </c>
      <c r="F390" s="9" t="n">
        <v>4</v>
      </c>
      <c r="G390" s="12" t="n"/>
      <c r="H390" s="13" t="n"/>
      <c r="I390" s="4" t="n"/>
      <c r="J390" s="14">
        <f>IF(G390="","",F390*G390)</f>
        <v/>
      </c>
    </row>
    <row r="391">
      <c r="A391" s="15" t="n">
        <v>377</v>
      </c>
      <c r="B391" s="15" t="n">
        <v>239381</v>
      </c>
      <c r="C391" s="16" t="inlineStr">
        <is>
          <t>7896094208674</t>
        </is>
      </c>
      <c r="D391" s="17" t="inlineStr">
        <is>
          <t>IUMI 3/0,02MG CAIXA C/ 3 CARTELAS 24 COMP REV</t>
        </is>
      </c>
      <c r="E391" s="17" t="inlineStr">
        <is>
          <t>LIBBS</t>
        </is>
      </c>
      <c r="F391" s="15" t="n">
        <v>1</v>
      </c>
      <c r="G391" s="12" t="n"/>
      <c r="H391" s="13" t="n"/>
      <c r="I391" s="4" t="n"/>
      <c r="J391" s="18">
        <f>IF(G391="","",F391*G391)</f>
        <v/>
      </c>
    </row>
    <row r="392">
      <c r="A392" s="9" t="n">
        <v>378</v>
      </c>
      <c r="B392" s="9" t="n">
        <v>237681</v>
      </c>
      <c r="C392" s="10" t="inlineStr">
        <is>
          <t>7896094209510</t>
        </is>
      </c>
      <c r="D392" s="11" t="inlineStr">
        <is>
          <t>IZIZ 2,5+1,5MG CX CARTELA COMP REV CAIXA C/ 3 CARTELAS</t>
        </is>
      </c>
      <c r="E392" s="11" t="inlineStr">
        <is>
          <t>LIBBS</t>
        </is>
      </c>
      <c r="F392" s="9" t="n">
        <v>1</v>
      </c>
      <c r="G392" s="12" t="n"/>
      <c r="H392" s="13" t="n"/>
      <c r="I392" s="4" t="n"/>
      <c r="J392" s="14">
        <f>IF(G392="","",F392*G392)</f>
        <v/>
      </c>
    </row>
    <row r="393">
      <c r="A393" s="15" t="n">
        <v>379</v>
      </c>
      <c r="B393" s="15" t="n">
        <v>653301</v>
      </c>
      <c r="C393" s="16" t="inlineStr">
        <is>
          <t>7896094928312</t>
        </is>
      </c>
      <c r="D393" s="17" t="inlineStr">
        <is>
          <t>KELAC 10MG C/10 COMP SUBL-SIMILAR</t>
        </is>
      </c>
      <c r="E393" s="17" t="inlineStr">
        <is>
          <t>HYPERA FARMA</t>
        </is>
      </c>
      <c r="F393" s="15" t="n">
        <v>1</v>
      </c>
      <c r="G393" s="12" t="n"/>
      <c r="H393" s="13" t="n"/>
      <c r="I393" s="4" t="n"/>
      <c r="J393" s="18">
        <f>IF(G393="","",F393*G393)</f>
        <v/>
      </c>
    </row>
    <row r="394">
      <c r="A394" s="9" t="n">
        <v>380</v>
      </c>
      <c r="B394" s="9" t="n">
        <v>646621</v>
      </c>
      <c r="C394" s="10" t="inlineStr">
        <is>
          <t>7898301056726</t>
        </is>
      </c>
      <c r="D394" s="11" t="inlineStr">
        <is>
          <t>KIT MEDIDOR DE GLICOSE G-TECH FREE 1</t>
        </is>
      </c>
      <c r="E394" s="11" t="inlineStr">
        <is>
          <t>G-TECH</t>
        </is>
      </c>
      <c r="F394" s="9" t="n">
        <v>8</v>
      </c>
      <c r="G394" s="12" t="n"/>
      <c r="H394" s="13" t="n"/>
      <c r="I394" s="4" t="n"/>
      <c r="J394" s="14">
        <f>IF(G394="","",F394*G394)</f>
        <v/>
      </c>
    </row>
    <row r="395">
      <c r="A395" s="15" t="n">
        <v>381</v>
      </c>
      <c r="B395" s="15" t="n">
        <v>619221</v>
      </c>
      <c r="C395" s="16" t="inlineStr">
        <is>
          <t>7898301059666</t>
        </is>
      </c>
      <c r="D395" s="17" t="inlineStr">
        <is>
          <t>KIT MEDIDOR DE GLICOSE LITE - COMPLETO</t>
        </is>
      </c>
      <c r="E395" s="17" t="inlineStr">
        <is>
          <t>G-TECH</t>
        </is>
      </c>
      <c r="F395" s="15" t="n">
        <v>2</v>
      </c>
      <c r="G395" s="12" t="n"/>
      <c r="H395" s="13" t="n"/>
      <c r="I395" s="4" t="n"/>
      <c r="J395" s="18">
        <f>IF(G395="","",F395*G395)</f>
        <v/>
      </c>
    </row>
    <row r="396">
      <c r="A396" s="9" t="n">
        <v>382</v>
      </c>
      <c r="B396" s="9" t="n">
        <v>556341</v>
      </c>
      <c r="C396" s="10" t="inlineStr">
        <is>
          <t>7891317015060</t>
        </is>
      </c>
      <c r="D396" s="11" t="inlineStr">
        <is>
          <t>KOIDE D 0,25MG/5ML+2 MG/5ML XPE FR 120ML+CP MED</t>
        </is>
      </c>
      <c r="E396" s="11" t="inlineStr">
        <is>
          <t>MOMENTA</t>
        </is>
      </c>
      <c r="F396" s="9" t="n">
        <v>12</v>
      </c>
      <c r="G396" s="12" t="n"/>
      <c r="H396" s="13" t="n"/>
      <c r="I396" s="4" t="n"/>
      <c r="J396" s="14">
        <f>IF(G396="","",F396*G396)</f>
        <v/>
      </c>
    </row>
    <row r="397">
      <c r="A397" s="15" t="n">
        <v>383</v>
      </c>
      <c r="B397" s="15" t="n">
        <v>190241</v>
      </c>
      <c r="C397" s="16" t="inlineStr">
        <is>
          <t>7896676427745</t>
        </is>
      </c>
      <c r="D397" s="17" t="inlineStr">
        <is>
          <t>KOLLAGENASE 0,6U/G POM DERM BG 30G+ESP</t>
        </is>
      </c>
      <c r="E397" s="17" t="inlineStr">
        <is>
          <t>CRISTALIA</t>
        </is>
      </c>
      <c r="F397" s="15" t="n">
        <v>4</v>
      </c>
      <c r="G397" s="12" t="n"/>
      <c r="H397" s="13" t="n"/>
      <c r="I397" s="4" t="n"/>
      <c r="J397" s="18">
        <f>IF(G397="","",F397*G397)</f>
        <v/>
      </c>
    </row>
    <row r="398">
      <c r="A398" s="9" t="n">
        <v>384</v>
      </c>
      <c r="B398" s="9" t="n">
        <v>633041</v>
      </c>
      <c r="C398" s="10" t="inlineStr">
        <is>
          <t>7896685300657</t>
        </is>
      </c>
      <c r="D398" s="11" t="inlineStr">
        <is>
          <t>KRONEL GEL GIN BG 60G+10APLIC</t>
        </is>
      </c>
      <c r="E398" s="11" t="inlineStr">
        <is>
          <t>HEBRON</t>
        </is>
      </c>
      <c r="F398" s="9" t="n">
        <v>1</v>
      </c>
      <c r="G398" s="12" t="n"/>
      <c r="H398" s="13" t="n"/>
      <c r="I398" s="4" t="n"/>
      <c r="J398" s="14">
        <f>IF(G398="","",F398*G398)</f>
        <v/>
      </c>
    </row>
    <row r="399">
      <c r="A399" s="15" t="n">
        <v>385</v>
      </c>
      <c r="B399" s="15" t="n">
        <v>606681</v>
      </c>
      <c r="C399" s="16" t="inlineStr">
        <is>
          <t>7896685303863</t>
        </is>
      </c>
      <c r="D399" s="17" t="inlineStr">
        <is>
          <t>KRONEL SAB LIQ INTIMO FR 80ML</t>
        </is>
      </c>
      <c r="E399" s="17" t="inlineStr">
        <is>
          <t>HEBRON</t>
        </is>
      </c>
      <c r="F399" s="15" t="n">
        <v>7</v>
      </c>
      <c r="G399" s="12" t="n"/>
      <c r="H399" s="13" t="n"/>
      <c r="I399" s="4" t="n"/>
      <c r="J399" s="18">
        <f>IF(G399="","",F399*G399)</f>
        <v/>
      </c>
    </row>
    <row r="400">
      <c r="A400" s="9" t="n">
        <v>386</v>
      </c>
      <c r="B400" s="9" t="n">
        <v>582461</v>
      </c>
      <c r="C400" s="10" t="inlineStr">
        <is>
          <t>4005900663993</t>
        </is>
      </c>
      <c r="D400" s="11" t="inlineStr">
        <is>
          <t>LABIAL NIVEA CEREJA SHINE 4,8G</t>
        </is>
      </c>
      <c r="E400" s="11" t="inlineStr">
        <is>
          <t>NIVEA</t>
        </is>
      </c>
      <c r="F400" s="9" t="n">
        <v>4</v>
      </c>
      <c r="G400" s="12" t="n"/>
      <c r="H400" s="13" t="n"/>
      <c r="I400" s="4" t="n"/>
      <c r="J400" s="14">
        <f>IF(G400="","",F400*G400)</f>
        <v/>
      </c>
    </row>
    <row r="401">
      <c r="A401" s="15" t="n">
        <v>387</v>
      </c>
      <c r="B401" s="15" t="n">
        <v>621451</v>
      </c>
      <c r="C401" s="16" t="inlineStr">
        <is>
          <t>4005808369621</t>
        </is>
      </c>
      <c r="D401" s="17" t="inlineStr">
        <is>
          <t>LABIAL NIVEA MED PROTEC 4,8G</t>
        </is>
      </c>
      <c r="E401" s="17" t="inlineStr">
        <is>
          <t>NIVEA</t>
        </is>
      </c>
      <c r="F401" s="15" t="n">
        <v>2</v>
      </c>
      <c r="G401" s="12" t="n"/>
      <c r="H401" s="13" t="n"/>
      <c r="I401" s="4" t="n"/>
      <c r="J401" s="18">
        <f>IF(G401="","",F401*G401)</f>
        <v/>
      </c>
    </row>
    <row r="402">
      <c r="A402" s="9" t="n">
        <v>388</v>
      </c>
      <c r="B402" s="9" t="n">
        <v>621481</v>
      </c>
      <c r="C402" s="10" t="inlineStr">
        <is>
          <t>4005900921598</t>
        </is>
      </c>
      <c r="D402" s="11" t="inlineStr">
        <is>
          <t>LABIAL NIVEA ROSA PINK 4,8G</t>
        </is>
      </c>
      <c r="E402" s="11" t="inlineStr">
        <is>
          <t>NIVEA</t>
        </is>
      </c>
      <c r="F402" s="9" t="n">
        <v>1</v>
      </c>
      <c r="G402" s="12" t="n"/>
      <c r="H402" s="13" t="n"/>
      <c r="I402" s="4" t="n"/>
      <c r="J402" s="14">
        <f>IF(G402="","",F402*G402)</f>
        <v/>
      </c>
    </row>
    <row r="403">
      <c r="A403" s="15" t="n">
        <v>389</v>
      </c>
      <c r="B403" s="15" t="n">
        <v>615351</v>
      </c>
      <c r="C403" s="16" t="inlineStr">
        <is>
          <t>4005808850839</t>
        </is>
      </c>
      <c r="D403" s="17" t="inlineStr">
        <is>
          <t>LABIAL NIVEA STAR FRU STRAWB 4,8G</t>
        </is>
      </c>
      <c r="E403" s="17" t="inlineStr">
        <is>
          <t>NIVEA</t>
        </is>
      </c>
      <c r="F403" s="15" t="n">
        <v>5</v>
      </c>
      <c r="G403" s="12" t="n"/>
      <c r="H403" s="13" t="n"/>
      <c r="I403" s="4" t="n"/>
      <c r="J403" s="18">
        <f>IF(G403="","",F403*G403)</f>
        <v/>
      </c>
    </row>
    <row r="404">
      <c r="A404" s="9" t="n">
        <v>390</v>
      </c>
      <c r="B404" s="9" t="n">
        <v>128981</v>
      </c>
      <c r="C404" s="10" t="inlineStr">
        <is>
          <t>7896637028479</t>
        </is>
      </c>
      <c r="D404" s="11" t="inlineStr">
        <is>
          <t>LABIRIN 16MG CX 30 COMP</t>
        </is>
      </c>
      <c r="E404" s="11" t="inlineStr">
        <is>
          <t>APSEN</t>
        </is>
      </c>
      <c r="F404" s="9" t="n">
        <v>3</v>
      </c>
      <c r="G404" s="12" t="n"/>
      <c r="H404" s="13" t="n"/>
      <c r="I404" s="4" t="n"/>
      <c r="J404" s="14">
        <f>IF(G404="","",F404*G404)</f>
        <v/>
      </c>
    </row>
    <row r="405">
      <c r="A405" s="15" t="n">
        <v>391</v>
      </c>
      <c r="B405" s="15" t="n">
        <v>129021</v>
      </c>
      <c r="C405" s="16" t="inlineStr">
        <is>
          <t>7896637028523</t>
        </is>
      </c>
      <c r="D405" s="17" t="inlineStr">
        <is>
          <t>LABIRIN 24MG CX 30 COMP</t>
        </is>
      </c>
      <c r="E405" s="17" t="inlineStr">
        <is>
          <t>APSEN</t>
        </is>
      </c>
      <c r="F405" s="15" t="n">
        <v>4</v>
      </c>
      <c r="G405" s="12" t="n"/>
      <c r="H405" s="13" t="n"/>
      <c r="I405" s="4" t="n"/>
      <c r="J405" s="18">
        <f>IF(G405="","",F405*G405)</f>
        <v/>
      </c>
    </row>
    <row r="406">
      <c r="A406" s="9" t="n">
        <v>392</v>
      </c>
      <c r="B406" s="9" t="n">
        <v>662291</v>
      </c>
      <c r="C406" s="10" t="inlineStr">
        <is>
          <t>7896637034852</t>
        </is>
      </c>
      <c r="D406" s="11" t="inlineStr">
        <is>
          <t>LABIRIN XR 48MG 30CPR</t>
        </is>
      </c>
      <c r="E406" s="11" t="inlineStr">
        <is>
          <t>APSEN</t>
        </is>
      </c>
      <c r="F406" s="9" t="n">
        <v>1</v>
      </c>
      <c r="G406" s="12" t="n"/>
      <c r="H406" s="13" t="n"/>
      <c r="I406" s="4" t="n"/>
      <c r="J406" s="14">
        <f>IF(G406="","",F406*G406)</f>
        <v/>
      </c>
    </row>
    <row r="407">
      <c r="A407" s="15" t="n">
        <v>393</v>
      </c>
      <c r="B407" s="15" t="n">
        <v>208201</v>
      </c>
      <c r="C407" s="16" t="inlineStr">
        <is>
          <t>7896676432855</t>
        </is>
      </c>
      <c r="D407" s="17" t="inlineStr">
        <is>
          <t>LACRIBELL 1+3MG SOL OFT FR 15ML</t>
        </is>
      </c>
      <c r="E407" s="17" t="inlineStr">
        <is>
          <t>CRISTALIA</t>
        </is>
      </c>
      <c r="F407" s="15" t="n">
        <v>2</v>
      </c>
      <c r="G407" s="12" t="n"/>
      <c r="H407" s="13" t="n"/>
      <c r="I407" s="4" t="n"/>
      <c r="J407" s="18">
        <f>IF(G407="","",F407*G407)</f>
        <v/>
      </c>
    </row>
    <row r="408">
      <c r="A408" s="9" t="n">
        <v>394</v>
      </c>
      <c r="B408" s="9" t="n">
        <v>82021</v>
      </c>
      <c r="C408" s="10" t="inlineStr">
        <is>
          <t>7896006291398</t>
        </is>
      </c>
      <c r="D408" s="11" t="inlineStr">
        <is>
          <t>LACRIFILM 5MG/ML SOL OFT FR GTS 10ML</t>
        </is>
      </c>
      <c r="E408" s="11" t="inlineStr">
        <is>
          <t>UNIAO QUIMICA</t>
        </is>
      </c>
      <c r="F408" s="9" t="n">
        <v>11</v>
      </c>
      <c r="G408" s="12" t="n"/>
      <c r="H408" s="13" t="n"/>
      <c r="I408" s="4" t="n"/>
      <c r="J408" s="14">
        <f>IF(G408="","",F408*G408)</f>
        <v/>
      </c>
    </row>
    <row r="409">
      <c r="A409" s="15" t="n">
        <v>395</v>
      </c>
      <c r="B409" s="15" t="n">
        <v>58821</v>
      </c>
      <c r="C409" s="16" t="inlineStr">
        <is>
          <t>7896094912472</t>
        </is>
      </c>
      <c r="D409" s="17" t="inlineStr">
        <is>
          <t>LACTO-PURGA 5MG CARTELA 6 CP</t>
        </is>
      </c>
      <c r="E409" s="17" t="inlineStr">
        <is>
          <t>HYPERA FARMA</t>
        </is>
      </c>
      <c r="F409" s="15" t="n">
        <v>1</v>
      </c>
      <c r="G409" s="12" t="n"/>
      <c r="H409" s="13" t="n"/>
      <c r="I409" s="4" t="n"/>
      <c r="J409" s="18">
        <f>IF(G409="","",F409*G409)</f>
        <v/>
      </c>
    </row>
    <row r="410">
      <c r="A410" s="15" t="n">
        <v>396</v>
      </c>
      <c r="B410" s="15" t="n">
        <v>58821</v>
      </c>
      <c r="C410" s="16" t="inlineStr">
        <is>
          <t>7896094903234</t>
        </is>
      </c>
      <c r="D410" s="17" t="inlineStr">
        <is>
          <t>LACTO-PURGA 5MG CARTELA 6 CP</t>
        </is>
      </c>
      <c r="E410" s="17" t="inlineStr">
        <is>
          <t>HYPERA FARMA</t>
        </is>
      </c>
      <c r="F410" s="15" t="n">
        <v>1</v>
      </c>
      <c r="G410" s="12" t="n"/>
      <c r="H410" s="13" t="n"/>
      <c r="I410" s="4" t="n"/>
      <c r="J410" s="18">
        <f>IF(G410="","",F410*G410)</f>
        <v/>
      </c>
    </row>
    <row r="411">
      <c r="A411" s="9" t="n">
        <v>397</v>
      </c>
      <c r="B411" s="9" t="n">
        <v>58841</v>
      </c>
      <c r="C411" s="10" t="inlineStr">
        <is>
          <t>7896094904118</t>
        </is>
      </c>
      <c r="D411" s="11" t="inlineStr">
        <is>
          <t>LACTO-PURGA CX 16 COMP REV</t>
        </is>
      </c>
      <c r="E411" s="11" t="inlineStr">
        <is>
          <t>COSMED</t>
        </is>
      </c>
      <c r="F411" s="9" t="n">
        <v>7</v>
      </c>
      <c r="G411" s="12" t="n"/>
      <c r="H411" s="13" t="n"/>
      <c r="I411" s="4" t="n"/>
      <c r="J411" s="14">
        <f>IF(G411="","",F411*G411)</f>
        <v/>
      </c>
    </row>
    <row r="412">
      <c r="A412" s="15" t="n">
        <v>398</v>
      </c>
      <c r="B412" s="15" t="n">
        <v>310061</v>
      </c>
      <c r="C412" s="16" t="inlineStr">
        <is>
          <t>7897411610750</t>
        </is>
      </c>
      <c r="D412" s="17" t="inlineStr">
        <is>
          <t>LACTULONA 667MG/ML XPE FR 120ML SB AMEIXA</t>
        </is>
      </c>
      <c r="E412" s="17" t="inlineStr">
        <is>
          <t>DAIICHI SANKYO</t>
        </is>
      </c>
      <c r="F412" s="15" t="n">
        <v>1</v>
      </c>
      <c r="G412" s="12" t="n"/>
      <c r="H412" s="13" t="n"/>
      <c r="I412" s="4" t="n"/>
      <c r="J412" s="18">
        <f>IF(G412="","",F412*G412)</f>
        <v/>
      </c>
    </row>
    <row r="413">
      <c r="A413" s="9" t="n">
        <v>399</v>
      </c>
      <c r="B413" s="9" t="n">
        <v>555341</v>
      </c>
      <c r="C413" s="10" t="inlineStr">
        <is>
          <t>7898949409458</t>
        </is>
      </c>
      <c r="D413" s="11" t="inlineStr">
        <is>
          <t>LAKESIA GENOMMA CAIXA 30ML SOLUÇÃO ANTIMICÓTICA</t>
        </is>
      </c>
      <c r="E413" s="11" t="inlineStr">
        <is>
          <t>PADRAO</t>
        </is>
      </c>
      <c r="F413" s="9" t="n">
        <v>1</v>
      </c>
      <c r="G413" s="12" t="n"/>
      <c r="H413" s="13" t="n"/>
      <c r="I413" s="4" t="n"/>
      <c r="J413" s="14">
        <f>IF(G413="","",F413*G413)</f>
        <v/>
      </c>
    </row>
    <row r="414">
      <c r="A414" s="15" t="n">
        <v>400</v>
      </c>
      <c r="B414" s="15" t="n">
        <v>1173</v>
      </c>
      <c r="C414" s="16" t="inlineStr">
        <is>
          <t>7898639694041</t>
        </is>
      </c>
      <c r="D414" s="17" t="inlineStr">
        <is>
          <t>LANCETAS PARA LANCETADOR 28G C/100 UND</t>
        </is>
      </c>
      <c r="E414" s="17" t="inlineStr">
        <is>
          <t>G-TECH</t>
        </is>
      </c>
      <c r="F414" s="15" t="n">
        <v>6</v>
      </c>
      <c r="G414" s="12" t="n"/>
      <c r="H414" s="13" t="n"/>
      <c r="I414" s="4" t="n"/>
      <c r="J414" s="18">
        <f>IF(G414="","",F414*G414)</f>
        <v/>
      </c>
    </row>
    <row r="415">
      <c r="A415" s="15" t="n">
        <v>401</v>
      </c>
      <c r="B415" s="15" t="n">
        <v>1173</v>
      </c>
      <c r="C415" s="16" t="inlineStr">
        <is>
          <t>7898639691934</t>
        </is>
      </c>
      <c r="D415" s="17" t="inlineStr">
        <is>
          <t>LANCETAS PARA LANCETADOR 28G C/100 UND</t>
        </is>
      </c>
      <c r="E415" s="17" t="inlineStr">
        <is>
          <t>G-TECH</t>
        </is>
      </c>
      <c r="F415" s="15" t="n">
        <v>6</v>
      </c>
      <c r="G415" s="12" t="n"/>
      <c r="H415" s="13" t="n"/>
      <c r="I415" s="4" t="n"/>
      <c r="J415" s="18">
        <f>IF(G415="","",F415*G415)</f>
        <v/>
      </c>
    </row>
    <row r="416">
      <c r="A416" s="9" t="n">
        <v>402</v>
      </c>
      <c r="B416" s="9" t="n">
        <v>1183</v>
      </c>
      <c r="C416" s="10" t="inlineStr">
        <is>
          <t>7898639691965</t>
        </is>
      </c>
      <c r="D416" s="11" t="inlineStr">
        <is>
          <t>LANCETAS PARA LANCETADOR 30G C/50 UND</t>
        </is>
      </c>
      <c r="E416" s="11" t="inlineStr">
        <is>
          <t>G-TECH</t>
        </is>
      </c>
      <c r="F416" s="9" t="n">
        <v>1</v>
      </c>
      <c r="G416" s="12" t="n"/>
      <c r="H416" s="13" t="n"/>
      <c r="I416" s="4" t="n"/>
      <c r="J416" s="14">
        <f>IF(G416="","",F416*G416)</f>
        <v/>
      </c>
    </row>
    <row r="417">
      <c r="A417" s="15" t="n">
        <v>403</v>
      </c>
      <c r="B417" s="15" t="n">
        <v>655561</v>
      </c>
      <c r="C417" s="16" t="inlineStr">
        <is>
          <t>7891317029869</t>
        </is>
      </c>
      <c r="D417" s="17" t="inlineStr">
        <is>
          <t>LARC 500MG C/14 COMP-SIMILAR</t>
        </is>
      </c>
      <c r="E417" s="17" t="inlineStr">
        <is>
          <t>MOMENTA</t>
        </is>
      </c>
      <c r="F417" s="15" t="n">
        <v>2</v>
      </c>
      <c r="G417" s="12" t="n"/>
      <c r="H417" s="13" t="n"/>
      <c r="I417" s="4" t="n"/>
      <c r="J417" s="18">
        <f>IF(G417="","",F417*G417)</f>
        <v/>
      </c>
    </row>
    <row r="418">
      <c r="A418" s="9" t="n">
        <v>404</v>
      </c>
      <c r="B418" s="9" t="n">
        <v>671941</v>
      </c>
      <c r="C418" s="10" t="inlineStr">
        <is>
          <t>7891317040949</t>
        </is>
      </c>
      <c r="D418" s="11" t="inlineStr">
        <is>
          <t>LARC 600MG C/14 COMP REV-SIMILAR</t>
        </is>
      </c>
      <c r="E418" s="11" t="inlineStr">
        <is>
          <t>MOMENTA</t>
        </is>
      </c>
      <c r="F418" s="9" t="n">
        <v>2</v>
      </c>
      <c r="G418" s="12" t="n"/>
      <c r="H418" s="13" t="n"/>
      <c r="I418" s="4" t="n"/>
      <c r="J418" s="14">
        <f>IF(G418="","",F418*G418)</f>
        <v/>
      </c>
    </row>
    <row r="419">
      <c r="A419" s="15" t="n">
        <v>405</v>
      </c>
      <c r="B419" s="15" t="n">
        <v>259401</v>
      </c>
      <c r="C419" s="16" t="inlineStr">
        <is>
          <t>7891058431037</t>
        </is>
      </c>
      <c r="D419" s="17" t="inlineStr">
        <is>
          <t>LASIX 40MG CX 20 COMP</t>
        </is>
      </c>
      <c r="E419" s="17" t="inlineStr">
        <is>
          <t>SANOFI/MEDLEY</t>
        </is>
      </c>
      <c r="F419" s="15" t="n">
        <v>2</v>
      </c>
      <c r="G419" s="12" t="n"/>
      <c r="H419" s="13" t="n"/>
      <c r="I419" s="4" t="n"/>
      <c r="J419" s="18">
        <f>IF(G419="","",F419*G419)</f>
        <v/>
      </c>
    </row>
    <row r="420">
      <c r="A420" s="9" t="n">
        <v>406</v>
      </c>
      <c r="B420" s="9" t="n">
        <v>651991</v>
      </c>
      <c r="C420" s="10" t="inlineStr">
        <is>
          <t>7895858015664</t>
        </is>
      </c>
      <c r="D420" s="11" t="inlineStr">
        <is>
          <t>LEITE DE MAGNESIA PHILLIPS HORT 120ML</t>
        </is>
      </c>
      <c r="E420" s="11" t="inlineStr"/>
      <c r="F420" s="9" t="n">
        <v>4</v>
      </c>
      <c r="G420" s="12" t="n"/>
      <c r="H420" s="13" t="n"/>
      <c r="I420" s="4" t="n"/>
      <c r="J420" s="14">
        <f>IF(G420="","",F420*G420)</f>
        <v/>
      </c>
    </row>
    <row r="421">
      <c r="A421" s="15" t="n">
        <v>407</v>
      </c>
      <c r="B421" s="15" t="n">
        <v>539621</v>
      </c>
      <c r="C421" s="16" t="inlineStr">
        <is>
          <t>7895858015688</t>
        </is>
      </c>
      <c r="D421" s="17" t="inlineStr">
        <is>
          <t>LEITE MAGNESIA PHIL C/120ML</t>
        </is>
      </c>
      <c r="E421" s="17" t="inlineStr">
        <is>
          <t>ASPEN</t>
        </is>
      </c>
      <c r="F421" s="15" t="n">
        <v>18</v>
      </c>
      <c r="G421" s="12" t="n"/>
      <c r="H421" s="13" t="n"/>
      <c r="I421" s="4" t="n"/>
      <c r="J421" s="18">
        <f>IF(G421="","",F421*G421)</f>
        <v/>
      </c>
    </row>
    <row r="422">
      <c r="A422" s="9" t="n">
        <v>408</v>
      </c>
      <c r="B422" s="9" t="n">
        <v>560961</v>
      </c>
      <c r="C422" s="10" t="inlineStr">
        <is>
          <t>7895858015695</t>
        </is>
      </c>
      <c r="D422" s="11" t="inlineStr">
        <is>
          <t>LEITE MAGNESIA PHILL 350ML</t>
        </is>
      </c>
      <c r="E422" s="11" t="inlineStr">
        <is>
          <t>ASPEN</t>
        </is>
      </c>
      <c r="F422" s="9" t="n">
        <v>5</v>
      </c>
      <c r="G422" s="12" t="n"/>
      <c r="H422" s="13" t="n"/>
      <c r="I422" s="4" t="n"/>
      <c r="J422" s="14">
        <f>IF(G422="","",F422*G422)</f>
        <v/>
      </c>
    </row>
    <row r="423">
      <c r="A423" s="15" t="n">
        <v>409</v>
      </c>
      <c r="B423" s="15" t="n">
        <v>463241</v>
      </c>
      <c r="C423" s="16" t="inlineStr">
        <is>
          <t>7896658002403</t>
        </is>
      </c>
      <c r="D423" s="17" t="inlineStr">
        <is>
          <t>LEUCOGEN 20MG/5ML XPE FR 120ML</t>
        </is>
      </c>
      <c r="E423" s="17" t="inlineStr">
        <is>
          <t>ACHE</t>
        </is>
      </c>
      <c r="F423" s="15" t="n">
        <v>3</v>
      </c>
      <c r="G423" s="12" t="n"/>
      <c r="H423" s="13" t="n"/>
      <c r="I423" s="4" t="n"/>
      <c r="J423" s="18">
        <f>IF(G423="","",F423*G423)</f>
        <v/>
      </c>
    </row>
    <row r="424">
      <c r="A424" s="9" t="n">
        <v>410</v>
      </c>
      <c r="B424" s="9" t="n">
        <v>319301</v>
      </c>
      <c r="C424" s="10" t="inlineStr">
        <is>
          <t>7896241248287</t>
        </is>
      </c>
      <c r="D424" s="11" t="inlineStr">
        <is>
          <t>LEVEL 0,10+0,02MG CX 21 COMP REV</t>
        </is>
      </c>
      <c r="E424" s="11" t="inlineStr">
        <is>
          <t>BIOLAB</t>
        </is>
      </c>
      <c r="F424" s="9" t="n">
        <v>4</v>
      </c>
      <c r="G424" s="12" t="n"/>
      <c r="H424" s="13" t="n"/>
      <c r="I424" s="4" t="n"/>
      <c r="J424" s="14">
        <f>IF(G424="","",F424*G424)</f>
        <v/>
      </c>
    </row>
    <row r="425">
      <c r="A425" s="15" t="n">
        <v>411</v>
      </c>
      <c r="B425" s="15" t="n">
        <v>643941</v>
      </c>
      <c r="C425" s="16" t="inlineStr">
        <is>
          <t>7896112408727</t>
        </is>
      </c>
      <c r="D425" s="17" t="inlineStr">
        <is>
          <t>LIDE 400MG CX 10 COMP</t>
        </is>
      </c>
      <c r="E425" s="17" t="inlineStr">
        <is>
          <t>BIOLAB</t>
        </is>
      </c>
      <c r="F425" s="15" t="n">
        <v>2</v>
      </c>
      <c r="G425" s="12" t="n"/>
      <c r="H425" s="13" t="n"/>
      <c r="I425" s="4" t="n"/>
      <c r="J425" s="18">
        <f>IF(G425="","",F425*G425)</f>
        <v/>
      </c>
    </row>
    <row r="426">
      <c r="A426" s="9" t="n">
        <v>412</v>
      </c>
      <c r="B426" s="9" t="n">
        <v>623531</v>
      </c>
      <c r="C426" s="10" t="inlineStr">
        <is>
          <t>3337875803786</t>
        </is>
      </c>
      <c r="D426" s="11" t="inlineStr">
        <is>
          <t>LIPIKAR BAUME LIGHT AP+M 400ML-DEMAIS PROD</t>
        </is>
      </c>
      <c r="E426" s="11" t="inlineStr">
        <is>
          <t>LOREAL</t>
        </is>
      </c>
      <c r="F426" s="9" t="n">
        <v>1</v>
      </c>
      <c r="G426" s="12" t="n"/>
      <c r="H426" s="13" t="n"/>
      <c r="I426" s="4" t="n"/>
      <c r="J426" s="14">
        <f>IF(G426="","",F426*G426)</f>
        <v/>
      </c>
    </row>
    <row r="427">
      <c r="A427" s="15" t="n">
        <v>413</v>
      </c>
      <c r="B427" s="15" t="n">
        <v>82061</v>
      </c>
      <c r="C427" s="16" t="inlineStr">
        <is>
          <t>7898636192182</t>
        </is>
      </c>
      <c r="D427" s="17" t="inlineStr">
        <is>
          <t>LIRIS 5MG/ML SOL OFT FR 10ML</t>
        </is>
      </c>
      <c r="E427" s="17" t="inlineStr">
        <is>
          <t>UNIAO QUIMICA</t>
        </is>
      </c>
      <c r="F427" s="15" t="n">
        <v>1</v>
      </c>
      <c r="G427" s="12" t="n"/>
      <c r="H427" s="13" t="n"/>
      <c r="I427" s="4" t="n"/>
      <c r="J427" s="18">
        <f>IF(G427="","",F427*G427)</f>
        <v/>
      </c>
    </row>
    <row r="428">
      <c r="A428" s="9" t="n">
        <v>414</v>
      </c>
      <c r="B428" s="9" t="n">
        <v>223361</v>
      </c>
      <c r="C428" s="10" t="inlineStr">
        <is>
          <t>7896094916227</t>
        </is>
      </c>
      <c r="D428" s="11" t="inlineStr">
        <is>
          <t>LISADOR DIP 1G BL 10 COMP</t>
        </is>
      </c>
      <c r="E428" s="11" t="inlineStr">
        <is>
          <t>MANTECORP/FARMASA</t>
        </is>
      </c>
      <c r="F428" s="9" t="n">
        <v>11</v>
      </c>
      <c r="G428" s="12" t="n"/>
      <c r="H428" s="13" t="n"/>
      <c r="I428" s="4" t="n"/>
      <c r="J428" s="14">
        <f>IF(G428="","",F428*G428)</f>
        <v/>
      </c>
    </row>
    <row r="429">
      <c r="A429" s="15" t="n">
        <v>415</v>
      </c>
      <c r="B429" s="15" t="n">
        <v>223381</v>
      </c>
      <c r="C429" s="16" t="inlineStr">
        <is>
          <t>7896094916234</t>
        </is>
      </c>
      <c r="D429" s="17" t="inlineStr">
        <is>
          <t>LISADOR DIP 1G BL 20 COMP</t>
        </is>
      </c>
      <c r="E429" s="17" t="inlineStr">
        <is>
          <t>MANTECORP/FARMASA</t>
        </is>
      </c>
      <c r="F429" s="15" t="n">
        <v>8</v>
      </c>
      <c r="G429" s="12" t="n"/>
      <c r="H429" s="13" t="n"/>
      <c r="I429" s="4" t="n"/>
      <c r="J429" s="18">
        <f>IF(G429="","",F429*G429)</f>
        <v/>
      </c>
    </row>
    <row r="430">
      <c r="A430" s="9" t="n">
        <v>416</v>
      </c>
      <c r="B430" s="9" t="n">
        <v>619591</v>
      </c>
      <c r="C430" s="10" t="inlineStr">
        <is>
          <t>4005900399861</t>
        </is>
      </c>
      <c r="D430" s="11" t="inlineStr">
        <is>
          <t>LOC NIVEA DEO HIDRA DERMA CARE 200ML</t>
        </is>
      </c>
      <c r="E430" s="11" t="inlineStr">
        <is>
          <t>NIVEA</t>
        </is>
      </c>
      <c r="F430" s="9" t="n">
        <v>1</v>
      </c>
      <c r="G430" s="12" t="n"/>
      <c r="H430" s="13" t="n"/>
      <c r="I430" s="4" t="n"/>
      <c r="J430" s="14">
        <f>IF(G430="","",F430*G430)</f>
        <v/>
      </c>
    </row>
    <row r="431">
      <c r="A431" s="15" t="n">
        <v>417</v>
      </c>
      <c r="B431" s="15" t="n">
        <v>62761</v>
      </c>
      <c r="C431" s="16" t="inlineStr">
        <is>
          <t>7896637023443</t>
        </is>
      </c>
      <c r="D431" s="17" t="inlineStr">
        <is>
          <t>LONIUM 40MG CX 30 COMP REV</t>
        </is>
      </c>
      <c r="E431" s="17" t="inlineStr">
        <is>
          <t>APSEN</t>
        </is>
      </c>
      <c r="F431" s="15" t="n">
        <v>1</v>
      </c>
      <c r="G431" s="12" t="n"/>
      <c r="H431" s="13" t="n"/>
      <c r="I431" s="4" t="n"/>
      <c r="J431" s="18">
        <f>IF(G431="","",F431*G431)</f>
        <v/>
      </c>
    </row>
    <row r="432">
      <c r="A432" s="9" t="n">
        <v>418</v>
      </c>
      <c r="B432" s="9" t="n">
        <v>553001</v>
      </c>
      <c r="C432" s="10" t="inlineStr">
        <is>
          <t>7896016804939</t>
        </is>
      </c>
      <c r="D432" s="11" t="inlineStr">
        <is>
          <t>LUFTAL (N.S.) 125MG FR 10 CAP GEL</t>
        </is>
      </c>
      <c r="E432" s="11" t="inlineStr">
        <is>
          <t>RECKITT BENCKISER</t>
        </is>
      </c>
      <c r="F432" s="9" t="n">
        <v>3</v>
      </c>
      <c r="G432" s="12" t="n"/>
      <c r="H432" s="13" t="n"/>
      <c r="I432" s="4" t="n"/>
      <c r="J432" s="14">
        <f>IF(G432="","",F432*G432)</f>
        <v/>
      </c>
    </row>
    <row r="433">
      <c r="A433" s="15" t="n">
        <v>419</v>
      </c>
      <c r="B433" s="15" t="n">
        <v>434541</v>
      </c>
      <c r="C433" s="16" t="inlineStr">
        <is>
          <t>7896222720887</t>
        </is>
      </c>
      <c r="D433" s="17" t="inlineStr">
        <is>
          <t>LUFTAL 75MG EMU INF FR GOT 15ML</t>
        </is>
      </c>
      <c r="E433" s="17" t="inlineStr">
        <is>
          <t>RECKITT BENCKISER</t>
        </is>
      </c>
      <c r="F433" s="15" t="n">
        <v>1</v>
      </c>
      <c r="G433" s="12" t="n"/>
      <c r="H433" s="13" t="n"/>
      <c r="I433" s="4" t="n"/>
      <c r="J433" s="18">
        <f>IF(G433="","",F433*G433)</f>
        <v/>
      </c>
    </row>
    <row r="434">
      <c r="A434" s="9" t="n">
        <v>420</v>
      </c>
      <c r="B434" s="9" t="n">
        <v>415301</v>
      </c>
      <c r="C434" s="10" t="inlineStr">
        <is>
          <t>7891317132392</t>
        </is>
      </c>
      <c r="D434" s="11" t="inlineStr">
        <is>
          <t>LUGANO 12+250MCG CX 60 CAP PO INAL</t>
        </is>
      </c>
      <c r="E434" s="11" t="inlineStr">
        <is>
          <t>EUROFARMA</t>
        </is>
      </c>
      <c r="F434" s="9" t="n">
        <v>1</v>
      </c>
      <c r="G434" s="12" t="n"/>
      <c r="H434" s="13" t="n"/>
      <c r="I434" s="4" t="n"/>
      <c r="J434" s="14">
        <f>IF(G434="","",F434*G434)</f>
        <v/>
      </c>
    </row>
    <row r="435">
      <c r="A435" s="15" t="n">
        <v>421</v>
      </c>
      <c r="B435" s="15" t="n">
        <v>367761</v>
      </c>
      <c r="C435" s="16" t="inlineStr">
        <is>
          <t>7891142165770</t>
        </is>
      </c>
      <c r="D435" s="17" t="inlineStr">
        <is>
          <t>MACRODANTINA 100MG CX 28 ACP</t>
        </is>
      </c>
      <c r="E435" s="17" t="inlineStr">
        <is>
          <t>MANTECORP/FARMASA</t>
        </is>
      </c>
      <c r="F435" s="15" t="n">
        <v>6</v>
      </c>
      <c r="G435" s="12" t="n"/>
      <c r="H435" s="13" t="n"/>
      <c r="I435" s="4" t="n"/>
      <c r="J435" s="18">
        <f>IF(G435="","",F435*G435)</f>
        <v/>
      </c>
    </row>
    <row r="436">
      <c r="A436" s="9" t="n">
        <v>422</v>
      </c>
      <c r="B436" s="9" t="n">
        <v>553481</v>
      </c>
      <c r="C436" s="10" t="inlineStr">
        <is>
          <t>7895858017422</t>
        </is>
      </c>
      <c r="D436" s="11" t="inlineStr">
        <is>
          <t>MAGNESIA BISURADA 63,7+521+67+3,3MG(CARTELA)</t>
        </is>
      </c>
      <c r="E436" s="11" t="inlineStr">
        <is>
          <t>ASPEN PHARMA</t>
        </is>
      </c>
      <c r="F436" s="9" t="n">
        <v>6</v>
      </c>
      <c r="G436" s="12" t="n"/>
      <c r="H436" s="13" t="n"/>
      <c r="I436" s="4" t="n"/>
      <c r="J436" s="14">
        <f>IF(G436="","",F436*G436)</f>
        <v/>
      </c>
    </row>
    <row r="437">
      <c r="A437" s="9" t="n">
        <v>423</v>
      </c>
      <c r="B437" s="9" t="n">
        <v>553481</v>
      </c>
      <c r="C437" s="10" t="inlineStr">
        <is>
          <t>7895858017439</t>
        </is>
      </c>
      <c r="D437" s="11" t="inlineStr">
        <is>
          <t>MAGNESIA BISURADA 63,7+521+67+3,3MG(CARTELA)</t>
        </is>
      </c>
      <c r="E437" s="11" t="inlineStr">
        <is>
          <t>ASPEN PHARMA</t>
        </is>
      </c>
      <c r="F437" s="9" t="n">
        <v>6</v>
      </c>
      <c r="G437" s="12" t="n"/>
      <c r="H437" s="13" t="n"/>
      <c r="I437" s="4" t="n"/>
      <c r="J437" s="14">
        <f>IF(G437="","",F437*G437)</f>
        <v/>
      </c>
    </row>
    <row r="438">
      <c r="A438" s="15" t="n">
        <v>424</v>
      </c>
      <c r="B438" s="15" t="n">
        <v>449941</v>
      </c>
      <c r="C438" s="16" t="inlineStr">
        <is>
          <t>7896026170475</t>
        </is>
      </c>
      <c r="D438" s="17" t="inlineStr">
        <is>
          <t>MALVATRICIN 0,1+1MG/ML SOL TOP FR 250ML</t>
        </is>
      </c>
      <c r="E438" s="17" t="inlineStr">
        <is>
          <t>MEGALABS</t>
        </is>
      </c>
      <c r="F438" s="15" t="n">
        <v>1</v>
      </c>
      <c r="G438" s="12" t="n"/>
      <c r="H438" s="13" t="n"/>
      <c r="I438" s="4" t="n"/>
      <c r="J438" s="18">
        <f>IF(G438="","",F438*G438)</f>
        <v/>
      </c>
    </row>
    <row r="439">
      <c r="A439" s="9" t="n">
        <v>425</v>
      </c>
      <c r="B439" s="9" t="n">
        <v>654211</v>
      </c>
      <c r="C439" s="10" t="inlineStr">
        <is>
          <t>7896026170406</t>
        </is>
      </c>
      <c r="D439" s="11" t="inlineStr">
        <is>
          <t>MALVATRIKIDS BABY CR DEN S/FLUOR 70G</t>
        </is>
      </c>
      <c r="E439" s="11" t="inlineStr">
        <is>
          <t>MEGALABS</t>
        </is>
      </c>
      <c r="F439" s="9" t="n">
        <v>3</v>
      </c>
      <c r="G439" s="12" t="n"/>
      <c r="H439" s="13" t="n"/>
      <c r="I439" s="4" t="n"/>
      <c r="J439" s="14">
        <f>IF(G439="","",F439*G439)</f>
        <v/>
      </c>
    </row>
    <row r="440">
      <c r="A440" s="15" t="n">
        <v>426</v>
      </c>
      <c r="B440" s="15" t="n">
        <v>654241</v>
      </c>
      <c r="C440" s="16" t="inlineStr">
        <is>
          <t>7896026172158</t>
        </is>
      </c>
      <c r="D440" s="17" t="inlineStr">
        <is>
          <t>MALVATRIKIDS JUNIOR GEL DENT 85G</t>
        </is>
      </c>
      <c r="E440" s="17" t="inlineStr">
        <is>
          <t>MEGALABS</t>
        </is>
      </c>
      <c r="F440" s="15" t="n">
        <v>1</v>
      </c>
      <c r="G440" s="12" t="n"/>
      <c r="H440" s="13" t="n"/>
      <c r="I440" s="4" t="n"/>
      <c r="J440" s="18">
        <f>IF(G440="","",F440*G440)</f>
        <v/>
      </c>
    </row>
    <row r="441">
      <c r="A441" s="9" t="n">
        <v>427</v>
      </c>
      <c r="B441" s="9" t="n">
        <v>654231</v>
      </c>
      <c r="C441" s="10" t="inlineStr">
        <is>
          <t>7896026170390</t>
        </is>
      </c>
      <c r="D441" s="11" t="inlineStr">
        <is>
          <t>MALVATRIKIDS-F CR DEN C/FLUOR 70GR</t>
        </is>
      </c>
      <c r="E441" s="11" t="inlineStr">
        <is>
          <t>MEGALABS</t>
        </is>
      </c>
      <c r="F441" s="9" t="n">
        <v>2</v>
      </c>
      <c r="G441" s="12" t="n"/>
      <c r="H441" s="13" t="n"/>
      <c r="I441" s="4" t="n"/>
      <c r="J441" s="14">
        <f>IF(G441="","",F441*G441)</f>
        <v/>
      </c>
    </row>
    <row r="442">
      <c r="A442" s="15" t="n">
        <v>428</v>
      </c>
      <c r="B442" s="15" t="n">
        <v>652311</v>
      </c>
      <c r="C442" s="16" t="inlineStr">
        <is>
          <t>7896026170994</t>
        </is>
      </c>
      <c r="D442" s="17" t="inlineStr">
        <is>
          <t>MALVONA PROPOLIS SPRAY 30ML</t>
        </is>
      </c>
      <c r="E442" s="17" t="inlineStr">
        <is>
          <t>MEGALABS</t>
        </is>
      </c>
      <c r="F442" s="15" t="n">
        <v>1</v>
      </c>
      <c r="G442" s="12" t="n"/>
      <c r="H442" s="13" t="n"/>
      <c r="I442" s="4" t="n"/>
      <c r="J442" s="18">
        <f>IF(G442="","",F442*G442)</f>
        <v/>
      </c>
    </row>
    <row r="443">
      <c r="A443" s="9" t="n">
        <v>429</v>
      </c>
      <c r="B443" s="9" t="n">
        <v>205141</v>
      </c>
      <c r="C443" s="10" t="inlineStr">
        <is>
          <t>7891317180621</t>
        </is>
      </c>
      <c r="D443" s="11" t="inlineStr">
        <is>
          <t>MAMADES 0,075MG CX 28 COMP REV</t>
        </is>
      </c>
      <c r="E443" s="11" t="inlineStr">
        <is>
          <t>EUROFARMA</t>
        </is>
      </c>
      <c r="F443" s="9" t="n">
        <v>1</v>
      </c>
      <c r="G443" s="12" t="n"/>
      <c r="H443" s="13" t="n"/>
      <c r="I443" s="4" t="n"/>
      <c r="J443" s="14">
        <f>IF(G443="","",F443*G443)</f>
        <v/>
      </c>
    </row>
    <row r="444">
      <c r="A444" s="15" t="n">
        <v>430</v>
      </c>
      <c r="B444" s="15" t="n">
        <v>652061</v>
      </c>
      <c r="C444" s="16" t="inlineStr">
        <is>
          <t>7891317029951</t>
        </is>
      </c>
      <c r="D444" s="17" t="inlineStr">
        <is>
          <t>MAQ SENIOR PREMIUM 30CPR-DEMAIS PROD</t>
        </is>
      </c>
      <c r="E444" s="17" t="inlineStr"/>
      <c r="F444" s="15" t="n">
        <v>2</v>
      </c>
      <c r="G444" s="12" t="n"/>
      <c r="H444" s="13" t="n"/>
      <c r="I444" s="4" t="n"/>
      <c r="J444" s="18">
        <f>IF(G444="","",F444*G444)</f>
        <v/>
      </c>
    </row>
    <row r="445">
      <c r="A445" s="9" t="n">
        <v>431</v>
      </c>
      <c r="B445" s="9" t="n">
        <v>550821</v>
      </c>
      <c r="C445" s="10" t="inlineStr">
        <is>
          <t>7898040325237</t>
        </is>
      </c>
      <c r="D445" s="11" t="inlineStr">
        <is>
          <t>MARESIS (N.S.) BABY SOL SPRAY FR 100ML</t>
        </is>
      </c>
      <c r="E445" s="11" t="inlineStr">
        <is>
          <t>FQM/FARMA</t>
        </is>
      </c>
      <c r="F445" s="9" t="n">
        <v>6</v>
      </c>
      <c r="G445" s="12" t="n"/>
      <c r="H445" s="13" t="n"/>
      <c r="I445" s="4" t="n"/>
      <c r="J445" s="14">
        <f>IF(G445="","",F445*G445)</f>
        <v/>
      </c>
    </row>
    <row r="446">
      <c r="A446" s="15" t="n">
        <v>432</v>
      </c>
      <c r="B446" s="15" t="n">
        <v>1563</v>
      </c>
      <c r="C446" s="16" t="inlineStr">
        <is>
          <t>7898040326531</t>
        </is>
      </c>
      <c r="D446" s="17" t="inlineStr">
        <is>
          <t>MARESIS (N.S.) BABY SOL SPRAY FR 150ML</t>
        </is>
      </c>
      <c r="E446" s="17" t="inlineStr">
        <is>
          <t>FQM/FARMA</t>
        </is>
      </c>
      <c r="F446" s="15" t="n">
        <v>5</v>
      </c>
      <c r="G446" s="12" t="n"/>
      <c r="H446" s="13" t="n"/>
      <c r="I446" s="4" t="n"/>
      <c r="J446" s="18">
        <f>IF(G446="","",F446*G446)</f>
        <v/>
      </c>
    </row>
    <row r="447">
      <c r="A447" s="9" t="n">
        <v>433</v>
      </c>
      <c r="B447" s="9" t="n">
        <v>653761</v>
      </c>
      <c r="C447" s="10" t="inlineStr">
        <is>
          <t>7898244720609</t>
        </is>
      </c>
      <c r="D447" s="11" t="inlineStr">
        <is>
          <t>MARESIS FLEX 1,08G KIT FR+15SACH   FQM %DN:15.00</t>
        </is>
      </c>
      <c r="E447" s="11" t="inlineStr">
        <is>
          <t>FQM/DIVCOM</t>
        </is>
      </c>
      <c r="F447" s="9" t="n">
        <v>1</v>
      </c>
      <c r="G447" s="12" t="n"/>
      <c r="H447" s="13" t="n"/>
      <c r="I447" s="4" t="n"/>
      <c r="J447" s="14">
        <f>IF(G447="","",F447*G447)</f>
        <v/>
      </c>
    </row>
    <row r="448">
      <c r="A448" s="15" t="n">
        <v>434</v>
      </c>
      <c r="B448" s="15" t="n">
        <v>653771</v>
      </c>
      <c r="C448" s="16" t="inlineStr">
        <is>
          <t>7898244720630</t>
        </is>
      </c>
      <c r="D448" s="17" t="inlineStr">
        <is>
          <t>MARESIS FLEX 2,16G KIT FR+30SACH   FQM %DN:15.00</t>
        </is>
      </c>
      <c r="E448" s="17" t="inlineStr"/>
      <c r="F448" s="15" t="n">
        <v>1</v>
      </c>
      <c r="G448" s="12" t="n"/>
      <c r="H448" s="13" t="n"/>
      <c r="I448" s="4" t="n"/>
      <c r="J448" s="18">
        <f>IF(G448="","",F448*G448)</f>
        <v/>
      </c>
    </row>
    <row r="449">
      <c r="A449" s="9" t="n">
        <v>435</v>
      </c>
      <c r="B449" s="9" t="n">
        <v>478621</v>
      </c>
      <c r="C449" s="10" t="inlineStr">
        <is>
          <t>7898040320911</t>
        </is>
      </c>
      <c r="D449" s="11" t="inlineStr">
        <is>
          <t>MAREVAN 5MG CX 10 COMP</t>
        </is>
      </c>
      <c r="E449" s="11" t="inlineStr">
        <is>
          <t>FQM/FARMA</t>
        </is>
      </c>
      <c r="F449" s="9" t="n">
        <v>3</v>
      </c>
      <c r="G449" s="12" t="n"/>
      <c r="H449" s="13" t="n"/>
      <c r="I449" s="4" t="n"/>
      <c r="J449" s="14">
        <f>IF(G449="","",F449*G449)</f>
        <v/>
      </c>
    </row>
    <row r="450">
      <c r="A450" s="15" t="n">
        <v>436</v>
      </c>
      <c r="B450" s="15" t="n">
        <v>478641</v>
      </c>
      <c r="C450" s="16" t="inlineStr">
        <is>
          <t>7898040320928</t>
        </is>
      </c>
      <c r="D450" s="17" t="inlineStr">
        <is>
          <t>MAREVAN 5MG CX 30 COMP</t>
        </is>
      </c>
      <c r="E450" s="17" t="inlineStr">
        <is>
          <t>FQM/FARMA</t>
        </is>
      </c>
      <c r="F450" s="15" t="n">
        <v>1</v>
      </c>
      <c r="G450" s="12" t="n"/>
      <c r="H450" s="13" t="n"/>
      <c r="I450" s="4" t="n"/>
      <c r="J450" s="18">
        <f>IF(G450="","",F450*G450)</f>
        <v/>
      </c>
    </row>
    <row r="451">
      <c r="A451" s="9" t="n">
        <v>437</v>
      </c>
      <c r="B451" s="9" t="n">
        <v>664741</v>
      </c>
      <c r="C451" s="10" t="inlineStr">
        <is>
          <t>7891000359426</t>
        </is>
      </c>
      <c r="D451" s="11" t="inlineStr">
        <is>
          <t>MATERNA DHA 30CAP</t>
        </is>
      </c>
      <c r="E451" s="11" t="inlineStr">
        <is>
          <t>NESTLE</t>
        </is>
      </c>
      <c r="F451" s="9" t="n">
        <v>1</v>
      </c>
      <c r="G451" s="12" t="n"/>
      <c r="H451" s="13" t="n"/>
      <c r="I451" s="4" t="n"/>
      <c r="J451" s="14">
        <f>IF(G451="","",F451*G451)</f>
        <v/>
      </c>
    </row>
    <row r="452">
      <c r="A452" s="15" t="n">
        <v>438</v>
      </c>
      <c r="B452" s="15" t="n">
        <v>667521</v>
      </c>
      <c r="C452" s="16" t="inlineStr">
        <is>
          <t>7891000361887</t>
        </is>
      </c>
      <c r="D452" s="17" t="inlineStr">
        <is>
          <t>MATERNA SUPL MV DHA 30 CAPS-DEMAIS PROD</t>
        </is>
      </c>
      <c r="E452" s="17" t="inlineStr">
        <is>
          <t>NESTLE</t>
        </is>
      </c>
      <c r="F452" s="15" t="n">
        <v>1</v>
      </c>
      <c r="G452" s="12" t="n"/>
      <c r="H452" s="13" t="n"/>
      <c r="I452" s="4" t="n"/>
      <c r="J452" s="18">
        <f>IF(G452="","",F452*G452)</f>
        <v/>
      </c>
    </row>
    <row r="453">
      <c r="A453" s="9" t="n">
        <v>439</v>
      </c>
      <c r="B453" s="9" t="n">
        <v>206681</v>
      </c>
      <c r="C453" s="10" t="inlineStr">
        <is>
          <t>7896548111727</t>
        </is>
      </c>
      <c r="D453" s="11" t="inlineStr">
        <is>
          <t>MAXIDEX 1MG/ML SUS OFT FR GTS 5ML</t>
        </is>
      </c>
      <c r="E453" s="11" t="inlineStr">
        <is>
          <t>NOVARTIS</t>
        </is>
      </c>
      <c r="F453" s="9" t="n">
        <v>7</v>
      </c>
      <c r="G453" s="12" t="n"/>
      <c r="H453" s="13" t="n"/>
      <c r="I453" s="4" t="n"/>
      <c r="J453" s="14">
        <f>IF(G453="","",F453*G453)</f>
        <v/>
      </c>
    </row>
    <row r="454">
      <c r="A454" s="15" t="n">
        <v>440</v>
      </c>
      <c r="B454" s="15" t="n">
        <v>137761</v>
      </c>
      <c r="C454" s="16" t="inlineStr">
        <is>
          <t>7896676432824</t>
        </is>
      </c>
      <c r="D454" s="17" t="inlineStr">
        <is>
          <t>MAXIFLOX-D 3,5+1MG POM OFT BG 3,5G</t>
        </is>
      </c>
      <c r="E454" s="17" t="inlineStr">
        <is>
          <t>CRISTALIA</t>
        </is>
      </c>
      <c r="F454" s="15" t="n">
        <v>2</v>
      </c>
      <c r="G454" s="12" t="n"/>
      <c r="H454" s="13" t="n"/>
      <c r="I454" s="4" t="n"/>
      <c r="J454" s="18">
        <f>IF(G454="","",F454*G454)</f>
        <v/>
      </c>
    </row>
    <row r="455">
      <c r="A455" s="9" t="n">
        <v>441</v>
      </c>
      <c r="B455" s="9" t="n">
        <v>137781</v>
      </c>
      <c r="C455" s="10" t="inlineStr">
        <is>
          <t>7896676432800</t>
        </is>
      </c>
      <c r="D455" s="11" t="inlineStr">
        <is>
          <t>MAXIFLOX-D 3,5+1MG SUS OFT FR 5ML</t>
        </is>
      </c>
      <c r="E455" s="11" t="inlineStr">
        <is>
          <t>CRISTALIA</t>
        </is>
      </c>
      <c r="F455" s="9" t="n">
        <v>1</v>
      </c>
      <c r="G455" s="12" t="n"/>
      <c r="H455" s="13" t="n"/>
      <c r="I455" s="4" t="n"/>
      <c r="J455" s="14">
        <f>IF(G455="","",F455*G455)</f>
        <v/>
      </c>
    </row>
    <row r="456">
      <c r="A456" s="15" t="n">
        <v>442</v>
      </c>
      <c r="B456" s="15" t="n">
        <v>588701</v>
      </c>
      <c r="C456" s="16" t="inlineStr">
        <is>
          <t>7898495605533</t>
        </is>
      </c>
      <c r="D456" s="17" t="inlineStr">
        <is>
          <t>MAXIMUS A-Z C/30CP (CFE)</t>
        </is>
      </c>
      <c r="E456" s="17" t="inlineStr">
        <is>
          <t>CIFARMA CIENTIFICA FARMACEUTICA</t>
        </is>
      </c>
      <c r="F456" s="15" t="n">
        <v>1</v>
      </c>
      <c r="G456" s="12" t="n"/>
      <c r="H456" s="13" t="n"/>
      <c r="I456" s="4" t="n"/>
      <c r="J456" s="18">
        <f>IF(G456="","",F456*G456)</f>
        <v/>
      </c>
    </row>
    <row r="457">
      <c r="A457" s="9" t="n">
        <v>443</v>
      </c>
      <c r="B457" s="9" t="n">
        <v>207461</v>
      </c>
      <c r="C457" s="10" t="inlineStr">
        <is>
          <t>7896006290322</t>
        </is>
      </c>
      <c r="D457" s="11" t="inlineStr">
        <is>
          <t>MAXINOM SUS OFT FR GTS 5ML</t>
        </is>
      </c>
      <c r="E457" s="11" t="inlineStr">
        <is>
          <t>UNIAO QUIMICA</t>
        </is>
      </c>
      <c r="F457" s="9" t="n">
        <v>1</v>
      </c>
      <c r="G457" s="12" t="n"/>
      <c r="H457" s="13" t="n"/>
      <c r="I457" s="4" t="n"/>
      <c r="J457" s="14">
        <f>IF(G457="","",F457*G457)</f>
        <v/>
      </c>
    </row>
    <row r="458">
      <c r="A458" s="15" t="n">
        <v>444</v>
      </c>
      <c r="B458" s="15" t="n">
        <v>207481</v>
      </c>
      <c r="C458" s="16" t="inlineStr">
        <is>
          <t>7896548111987</t>
        </is>
      </c>
      <c r="D458" s="17" t="inlineStr">
        <is>
          <t>MAXITROL 1+5MG+6MUI SUS OFT FR GTS 5ML</t>
        </is>
      </c>
      <c r="E458" s="17" t="inlineStr">
        <is>
          <t>NOVARTIS</t>
        </is>
      </c>
      <c r="F458" s="15" t="n">
        <v>1</v>
      </c>
      <c r="G458" s="12" t="n"/>
      <c r="H458" s="13" t="n"/>
      <c r="I458" s="4" t="n"/>
      <c r="J458" s="18">
        <f>IF(G458="","",F458*G458)</f>
        <v/>
      </c>
    </row>
    <row r="459">
      <c r="A459" s="9" t="n">
        <v>445</v>
      </c>
      <c r="B459" s="9" t="n">
        <v>337741</v>
      </c>
      <c r="C459" s="10" t="inlineStr">
        <is>
          <t>7896637023641</t>
        </is>
      </c>
      <c r="D459" s="11" t="inlineStr">
        <is>
          <t>MECLIN 50MG CX 15 COMP</t>
        </is>
      </c>
      <c r="E459" s="11" t="inlineStr">
        <is>
          <t>APSEN</t>
        </is>
      </c>
      <c r="F459" s="9" t="n">
        <v>4</v>
      </c>
      <c r="G459" s="12" t="n"/>
      <c r="H459" s="13" t="n"/>
      <c r="I459" s="4" t="n"/>
      <c r="J459" s="14">
        <f>IF(G459="","",F459*G459)</f>
        <v/>
      </c>
    </row>
    <row r="460">
      <c r="A460" s="15" t="n">
        <v>446</v>
      </c>
      <c r="B460" s="15" t="n">
        <v>640331</v>
      </c>
      <c r="C460" s="16" t="inlineStr">
        <is>
          <t>7897947610491</t>
        </is>
      </c>
      <c r="D460" s="17" t="inlineStr">
        <is>
          <t>MEGA DAY JUNIOR XPE FR 240ML</t>
        </is>
      </c>
      <c r="E460" s="17" t="inlineStr"/>
      <c r="F460" s="15" t="n">
        <v>1</v>
      </c>
      <c r="G460" s="12" t="n"/>
      <c r="H460" s="13" t="n"/>
      <c r="I460" s="4" t="n"/>
      <c r="J460" s="18">
        <f>IF(G460="","",F460*G460)</f>
        <v/>
      </c>
    </row>
    <row r="461">
      <c r="A461" s="9" t="n">
        <v>447</v>
      </c>
      <c r="B461" s="9" t="n">
        <v>673191</v>
      </c>
      <c r="C461" s="10" t="inlineStr">
        <is>
          <t>7896023752513</t>
        </is>
      </c>
      <c r="D461" s="11" t="inlineStr">
        <is>
          <t>MELAGRIAO SPRAY - MENTA - 30ML-DEMAIS PROD</t>
        </is>
      </c>
      <c r="E461" s="11" t="inlineStr">
        <is>
          <t>CATARINENSE PHARMA</t>
        </is>
      </c>
      <c r="F461" s="9" t="n">
        <v>9</v>
      </c>
      <c r="G461" s="12" t="n"/>
      <c r="H461" s="13" t="n"/>
      <c r="I461" s="4" t="n"/>
      <c r="J461" s="14">
        <f>IF(G461="","",F461*G461)</f>
        <v/>
      </c>
    </row>
    <row r="462">
      <c r="A462" s="15" t="n">
        <v>448</v>
      </c>
      <c r="B462" s="15" t="n">
        <v>3223</v>
      </c>
      <c r="C462" s="16" t="inlineStr">
        <is>
          <t>7896023708626</t>
        </is>
      </c>
      <c r="D462" s="17" t="inlineStr">
        <is>
          <t>MELAGRIAO SPRAY 30ML EXTRA FORTE</t>
        </is>
      </c>
      <c r="E462" s="17" t="inlineStr"/>
      <c r="F462" s="15" t="n">
        <v>1</v>
      </c>
      <c r="G462" s="12" t="n"/>
      <c r="H462" s="13" t="n"/>
      <c r="I462" s="4" t="n"/>
      <c r="J462" s="18">
        <f>IF(G462="","",F462*G462)</f>
        <v/>
      </c>
    </row>
    <row r="463">
      <c r="A463" s="9" t="n">
        <v>449</v>
      </c>
      <c r="B463" s="9" t="n">
        <v>627701</v>
      </c>
      <c r="C463" s="10" t="inlineStr">
        <is>
          <t>7896023793332</t>
        </is>
      </c>
      <c r="D463" s="11" t="inlineStr">
        <is>
          <t>MELAGRIAO SPRAY LIMÃO 30ML</t>
        </is>
      </c>
      <c r="E463" s="11" t="inlineStr">
        <is>
          <t>CATARINENSE PHARMA</t>
        </is>
      </c>
      <c r="F463" s="9" t="n">
        <v>5</v>
      </c>
      <c r="G463" s="12" t="n"/>
      <c r="H463" s="13" t="n"/>
      <c r="I463" s="4" t="n"/>
      <c r="J463" s="14">
        <f>IF(G463="","",F463*G463)</f>
        <v/>
      </c>
    </row>
    <row r="464">
      <c r="A464" s="15" t="n">
        <v>450</v>
      </c>
      <c r="B464" s="15" t="n">
        <v>548221</v>
      </c>
      <c r="C464" s="16" t="inlineStr">
        <is>
          <t>7896023719899</t>
        </is>
      </c>
      <c r="D464" s="17" t="inlineStr">
        <is>
          <t>MELAGRIÃO EXPECTORANTE CATARINENSE 150ML</t>
        </is>
      </c>
      <c r="E464" s="17" t="inlineStr">
        <is>
          <t>CATARINENSE PHARMA</t>
        </is>
      </c>
      <c r="F464" s="15" t="n">
        <v>2</v>
      </c>
      <c r="G464" s="12" t="n"/>
      <c r="H464" s="13" t="n"/>
      <c r="I464" s="4" t="n"/>
      <c r="J464" s="18">
        <f>IF(G464="","",F464*G464)</f>
        <v/>
      </c>
    </row>
    <row r="465">
      <c r="A465" s="9" t="n">
        <v>451</v>
      </c>
      <c r="B465" s="9" t="n">
        <v>626141</v>
      </c>
      <c r="C465" s="10" t="inlineStr">
        <is>
          <t>7891317011598</t>
        </is>
      </c>
      <c r="D465" s="11" t="inlineStr">
        <is>
          <t>MELOCOX ODT 15MG CX 10 COMP ORODISP</t>
        </is>
      </c>
      <c r="E465" s="11" t="inlineStr">
        <is>
          <t>EUROFARMA</t>
        </is>
      </c>
      <c r="F465" s="9" t="n">
        <v>2</v>
      </c>
      <c r="G465" s="12" t="n"/>
      <c r="H465" s="13" t="n"/>
      <c r="I465" s="4" t="n"/>
      <c r="J465" s="14">
        <f>IF(G465="","",F465*G465)</f>
        <v/>
      </c>
    </row>
    <row r="466">
      <c r="A466" s="15" t="n">
        <v>452</v>
      </c>
      <c r="B466" s="15" t="n">
        <v>618311</v>
      </c>
      <c r="C466" s="16" t="inlineStr">
        <is>
          <t>7896658047077</t>
        </is>
      </c>
      <c r="D466" s="17" t="inlineStr">
        <is>
          <t>MELYSSE 25MG/5ML XPE PED FR 120ML</t>
        </is>
      </c>
      <c r="E466" s="17" t="inlineStr">
        <is>
          <t>ACHE</t>
        </is>
      </c>
      <c r="F466" s="15" t="n">
        <v>1</v>
      </c>
      <c r="G466" s="12" t="n"/>
      <c r="H466" s="13" t="n"/>
      <c r="I466" s="4" t="n"/>
      <c r="J466" s="18">
        <f>IF(G466="","",F466*G466)</f>
        <v/>
      </c>
    </row>
    <row r="467">
      <c r="A467" s="9" t="n">
        <v>453</v>
      </c>
      <c r="B467" s="9" t="n">
        <v>158801</v>
      </c>
      <c r="C467" s="10" t="inlineStr">
        <is>
          <t>7896658012419</t>
        </is>
      </c>
      <c r="D467" s="11" t="inlineStr">
        <is>
          <t>MERITOR 4+1000MG CX 30 COMP REV</t>
        </is>
      </c>
      <c r="E467" s="11" t="inlineStr">
        <is>
          <t>ACHE</t>
        </is>
      </c>
      <c r="F467" s="9" t="n">
        <v>1</v>
      </c>
      <c r="G467" s="12" t="n"/>
      <c r="H467" s="13" t="n"/>
      <c r="I467" s="4" t="n"/>
      <c r="J467" s="14">
        <f>IF(G467="","",F467*G467)</f>
        <v/>
      </c>
    </row>
    <row r="468">
      <c r="A468" s="15" t="n">
        <v>454</v>
      </c>
      <c r="B468" s="15" t="n">
        <v>626611</v>
      </c>
      <c r="C468" s="16" t="inlineStr">
        <is>
          <t>7896094917354</t>
        </is>
      </c>
      <c r="D468" s="17" t="inlineStr">
        <is>
          <t>MERTHIOLATE LIQ SPR PET AMBAR 30ML</t>
        </is>
      </c>
      <c r="E468" s="17" t="inlineStr">
        <is>
          <t>COSMED</t>
        </is>
      </c>
      <c r="F468" s="15" t="n">
        <v>1</v>
      </c>
      <c r="G468" s="12" t="n"/>
      <c r="H468" s="13" t="n"/>
      <c r="I468" s="4" t="n"/>
      <c r="J468" s="18">
        <f>IF(G468="","",F468*G468)</f>
        <v/>
      </c>
    </row>
    <row r="469">
      <c r="A469" s="9" t="n">
        <v>455</v>
      </c>
      <c r="B469" s="9" t="n">
        <v>663861</v>
      </c>
      <c r="C469" s="10" t="inlineStr">
        <is>
          <t>7891106916233</t>
        </is>
      </c>
      <c r="D469" s="11" t="inlineStr">
        <is>
          <t>MESIGYNA 50+5MG/ML C/1 SER PR+AG-REFERENCIA</t>
        </is>
      </c>
      <c r="E469" s="11" t="inlineStr">
        <is>
          <t>BAYER</t>
        </is>
      </c>
      <c r="F469" s="9" t="n">
        <v>3</v>
      </c>
      <c r="G469" s="12" t="n"/>
      <c r="H469" s="13" t="n"/>
      <c r="I469" s="4" t="n"/>
      <c r="J469" s="14">
        <f>IF(G469="","",F469*G469)</f>
        <v/>
      </c>
    </row>
    <row r="470">
      <c r="A470" s="15" t="n">
        <v>456</v>
      </c>
      <c r="B470" s="15" t="n">
        <v>622911</v>
      </c>
      <c r="C470" s="16" t="inlineStr">
        <is>
          <t>020800750165</t>
        </is>
      </c>
      <c r="D470" s="17" t="inlineStr">
        <is>
          <t>METAMUCIL 0,562G PO PREP 10 ENV X 1 SACHE SB LARANJA</t>
        </is>
      </c>
      <c r="E470" s="17" t="inlineStr">
        <is>
          <t>P&amp;G</t>
        </is>
      </c>
      <c r="F470" s="15" t="n">
        <v>2</v>
      </c>
      <c r="G470" s="12" t="n"/>
      <c r="H470" s="13" t="n"/>
      <c r="I470" s="4" t="n"/>
      <c r="J470" s="18">
        <f>IF(G470="","",F470*G470)</f>
        <v/>
      </c>
    </row>
    <row r="471">
      <c r="A471" s="9" t="n">
        <v>457</v>
      </c>
      <c r="B471" s="9" t="n">
        <v>665551</v>
      </c>
      <c r="C471" s="10" t="inlineStr">
        <is>
          <t>00020800750158</t>
        </is>
      </c>
      <c r="D471" s="11" t="inlineStr">
        <is>
          <t>METAMUCIL SOLUVEL LARANJA 174G-OUTROS</t>
        </is>
      </c>
      <c r="E471" s="11" t="inlineStr">
        <is>
          <t>P&amp;G</t>
        </is>
      </c>
      <c r="F471" s="9" t="n">
        <v>1</v>
      </c>
      <c r="G471" s="12" t="n"/>
      <c r="H471" s="13" t="n"/>
      <c r="I471" s="4" t="n"/>
      <c r="J471" s="14">
        <f>IF(G471="","",F471*G471)</f>
        <v/>
      </c>
    </row>
    <row r="472">
      <c r="A472" s="15" t="n">
        <v>458</v>
      </c>
      <c r="B472" s="15" t="n">
        <v>345701</v>
      </c>
      <c r="C472" s="16" t="inlineStr">
        <is>
          <t>7896014669028</t>
        </is>
      </c>
      <c r="D472" s="17" t="inlineStr">
        <is>
          <t>METREXATO 2,5MG CX 24 COMP</t>
        </is>
      </c>
      <c r="E472" s="17" t="inlineStr">
        <is>
          <t>BLAU FARMACEUTICA</t>
        </is>
      </c>
      <c r="F472" s="15" t="n">
        <v>2</v>
      </c>
      <c r="G472" s="12" t="n"/>
      <c r="H472" s="13" t="n"/>
      <c r="I472" s="4" t="n"/>
      <c r="J472" s="18">
        <f>IF(G472="","",F472*G472)</f>
        <v/>
      </c>
    </row>
    <row r="473">
      <c r="A473" s="9" t="n">
        <v>459</v>
      </c>
      <c r="B473" s="9" t="n">
        <v>599161</v>
      </c>
      <c r="C473" s="10" t="inlineStr">
        <is>
          <t>7896006201618</t>
        </is>
      </c>
      <c r="D473" s="11" t="inlineStr">
        <is>
          <t>MICROVLAR 0,15+0,03MG CX 21 DRG</t>
        </is>
      </c>
      <c r="E473" s="11" t="inlineStr">
        <is>
          <t>UNIAO QUIMICA</t>
        </is>
      </c>
      <c r="F473" s="9" t="n">
        <v>1</v>
      </c>
      <c r="G473" s="12" t="n"/>
      <c r="H473" s="13" t="n"/>
      <c r="I473" s="4" t="n"/>
      <c r="J473" s="14">
        <f>IF(G473="","",F473*G473)</f>
        <v/>
      </c>
    </row>
    <row r="474">
      <c r="A474" s="15" t="n">
        <v>460</v>
      </c>
      <c r="B474" s="15" t="n">
        <v>225321</v>
      </c>
      <c r="C474" s="16" t="inlineStr">
        <is>
          <t>7896004760995</t>
        </is>
      </c>
      <c r="D474" s="17" t="inlineStr">
        <is>
          <t>MIGRALIV CX 12 COMP</t>
        </is>
      </c>
      <c r="E474" s="17" t="inlineStr">
        <is>
          <t>SIGMA PHARMA</t>
        </is>
      </c>
      <c r="F474" s="15" t="n">
        <v>1</v>
      </c>
      <c r="G474" s="12" t="n"/>
      <c r="H474" s="13" t="n"/>
      <c r="I474" s="4" t="n"/>
      <c r="J474" s="18">
        <f>IF(G474="","",F474*G474)</f>
        <v/>
      </c>
    </row>
    <row r="475">
      <c r="A475" s="9" t="n">
        <v>461</v>
      </c>
      <c r="B475" s="9" t="n">
        <v>621241</v>
      </c>
      <c r="C475" s="10" t="inlineStr">
        <is>
          <t>7896920304334</t>
        </is>
      </c>
      <c r="D475" s="11" t="inlineStr">
        <is>
          <t>MILMUNE CONCENTRADO 120ML</t>
        </is>
      </c>
      <c r="E475" s="11" t="inlineStr">
        <is>
          <t>ECOFITUS</t>
        </is>
      </c>
      <c r="F475" s="9" t="n">
        <v>5</v>
      </c>
      <c r="G475" s="12" t="n"/>
      <c r="H475" s="13" t="n"/>
      <c r="I475" s="4" t="n"/>
      <c r="J475" s="14">
        <f>IF(G475="","",F475*G475)</f>
        <v/>
      </c>
    </row>
    <row r="476">
      <c r="A476" s="15" t="n">
        <v>462</v>
      </c>
      <c r="B476" s="15" t="n">
        <v>557961</v>
      </c>
      <c r="C476" s="16" t="inlineStr">
        <is>
          <t>7896920304037</t>
        </is>
      </c>
      <c r="D476" s="17" t="inlineStr">
        <is>
          <t>MILMUNE CONCENTRADO 30CP</t>
        </is>
      </c>
      <c r="E476" s="17" t="inlineStr">
        <is>
          <t>ECOFITUS</t>
        </is>
      </c>
      <c r="F476" s="15" t="n">
        <v>7</v>
      </c>
      <c r="G476" s="12" t="n"/>
      <c r="H476" s="13" t="n"/>
      <c r="I476" s="4" t="n"/>
      <c r="J476" s="18">
        <f>IF(G476="","",F476*G476)</f>
        <v/>
      </c>
    </row>
    <row r="477">
      <c r="A477" s="9" t="n">
        <v>463</v>
      </c>
      <c r="B477" s="9" t="n">
        <v>582261</v>
      </c>
      <c r="C477" s="10" t="inlineStr">
        <is>
          <t>7891317015176</t>
        </is>
      </c>
      <c r="D477" s="11" t="inlineStr">
        <is>
          <t>MINILAX 714,0+7,70MG/G SOL RET CAIXA C/ 7</t>
        </is>
      </c>
      <c r="E477" s="11" t="inlineStr">
        <is>
          <t>MOMENTA</t>
        </is>
      </c>
      <c r="F477" s="9" t="n">
        <v>2</v>
      </c>
      <c r="G477" s="12" t="n"/>
      <c r="H477" s="13" t="n"/>
      <c r="I477" s="4" t="n"/>
      <c r="J477" s="14">
        <f>IF(G477="","",F477*G477)</f>
        <v/>
      </c>
    </row>
    <row r="478">
      <c r="A478" s="15" t="n">
        <v>464</v>
      </c>
      <c r="B478" s="15" t="n">
        <v>622791</v>
      </c>
      <c r="C478" s="16" t="inlineStr">
        <is>
          <t>7891317022174</t>
        </is>
      </c>
      <c r="D478" s="17" t="inlineStr">
        <is>
          <t>MINILAX PEDIATRICO 714,0+7,70MG/G SOL RET 7 BG X 6,5G</t>
        </is>
      </c>
      <c r="E478" s="17" t="inlineStr">
        <is>
          <t>MOMENTA</t>
        </is>
      </c>
      <c r="F478" s="15" t="n">
        <v>1</v>
      </c>
      <c r="G478" s="12" t="n"/>
      <c r="H478" s="13" t="n"/>
      <c r="I478" s="4" t="n"/>
      <c r="J478" s="18">
        <f>IF(G478="","",F478*G478)</f>
        <v/>
      </c>
    </row>
    <row r="479">
      <c r="A479" s="9" t="n">
        <v>465</v>
      </c>
      <c r="B479" s="9" t="n">
        <v>82321</v>
      </c>
      <c r="C479" s="10" t="inlineStr">
        <is>
          <t>7897322714462</t>
        </is>
      </c>
      <c r="D479" s="11" t="inlineStr">
        <is>
          <t>MIOFLEX A 500+300+125+30MG CX 12 COMP</t>
        </is>
      </c>
      <c r="E479" s="11" t="inlineStr">
        <is>
          <t>MANTECORP/FARMASA</t>
        </is>
      </c>
      <c r="F479" s="9" t="n">
        <v>2</v>
      </c>
      <c r="G479" s="12" t="n"/>
      <c r="H479" s="13" t="n"/>
      <c r="I479" s="4" t="n"/>
      <c r="J479" s="14">
        <f>IF(G479="","",F479*G479)</f>
        <v/>
      </c>
    </row>
    <row r="480">
      <c r="A480" s="15" t="n">
        <v>466</v>
      </c>
      <c r="B480" s="15" t="n">
        <v>133581</v>
      </c>
      <c r="C480" s="16" t="inlineStr">
        <is>
          <t>7896637023665</t>
        </is>
      </c>
      <c r="D480" s="17" t="inlineStr">
        <is>
          <t>MIOSAN 10MG CX 10 COMP REV</t>
        </is>
      </c>
      <c r="E480" s="17" t="inlineStr">
        <is>
          <t>APSEN</t>
        </is>
      </c>
      <c r="F480" s="15" t="n">
        <v>9</v>
      </c>
      <c r="G480" s="12" t="n"/>
      <c r="H480" s="13" t="n"/>
      <c r="I480" s="4" t="n"/>
      <c r="J480" s="18">
        <f>IF(G480="","",F480*G480)</f>
        <v/>
      </c>
    </row>
    <row r="481">
      <c r="A481" s="9" t="n">
        <v>467</v>
      </c>
      <c r="B481" s="9" t="n">
        <v>133601</v>
      </c>
      <c r="C481" s="10" t="inlineStr">
        <is>
          <t>7896637023658</t>
        </is>
      </c>
      <c r="D481" s="11" t="inlineStr">
        <is>
          <t>MIOSAN 5MG CX 10 COMP REV</t>
        </is>
      </c>
      <c r="E481" s="11" t="inlineStr">
        <is>
          <t>APSEN</t>
        </is>
      </c>
      <c r="F481" s="9" t="n">
        <v>1</v>
      </c>
      <c r="G481" s="12" t="n"/>
      <c r="H481" s="13" t="n"/>
      <c r="I481" s="4" t="n"/>
      <c r="J481" s="14">
        <f>IF(G481="","",F481*G481)</f>
        <v/>
      </c>
    </row>
    <row r="482">
      <c r="A482" s="15" t="n">
        <v>468</v>
      </c>
      <c r="B482" s="15" t="n">
        <v>134741</v>
      </c>
      <c r="C482" s="16" t="inlineStr">
        <is>
          <t>7896637025102</t>
        </is>
      </c>
      <c r="D482" s="17" t="inlineStr">
        <is>
          <t>MIOSAN CAF 10+60MG CX 15 COMP REV</t>
        </is>
      </c>
      <c r="E482" s="17" t="inlineStr">
        <is>
          <t>APSEN</t>
        </is>
      </c>
      <c r="F482" s="15" t="n">
        <v>4</v>
      </c>
      <c r="G482" s="12" t="n"/>
      <c r="H482" s="13" t="n"/>
      <c r="I482" s="4" t="n"/>
      <c r="J482" s="18">
        <f>IF(G482="","",F482*G482)</f>
        <v/>
      </c>
    </row>
    <row r="483">
      <c r="A483" s="9" t="n">
        <v>469</v>
      </c>
      <c r="B483" s="9" t="n">
        <v>351341</v>
      </c>
      <c r="C483" s="10" t="inlineStr">
        <is>
          <t>7897851250561</t>
        </is>
      </c>
      <c r="D483" s="11" t="inlineStr">
        <is>
          <t>MONOCORDIL 20MG CX 30 COMP</t>
        </is>
      </c>
      <c r="E483" s="11" t="inlineStr">
        <is>
          <t>BALDACCI</t>
        </is>
      </c>
      <c r="F483" s="9" t="n">
        <v>1</v>
      </c>
      <c r="G483" s="12" t="n"/>
      <c r="H483" s="13" t="n"/>
      <c r="I483" s="4" t="n"/>
      <c r="J483" s="14">
        <f>IF(G483="","",F483*G483)</f>
        <v/>
      </c>
    </row>
    <row r="484">
      <c r="A484" s="15" t="n">
        <v>470</v>
      </c>
      <c r="B484" s="15" t="n">
        <v>351361</v>
      </c>
      <c r="C484" s="16" t="inlineStr">
        <is>
          <t>7897851250585</t>
        </is>
      </c>
      <c r="D484" s="17" t="inlineStr">
        <is>
          <t>MONOCORDIL 40MG CX 30 COMP</t>
        </is>
      </c>
      <c r="E484" s="17" t="inlineStr">
        <is>
          <t>BALDACCI</t>
        </is>
      </c>
      <c r="F484" s="15" t="n">
        <v>1</v>
      </c>
      <c r="G484" s="12" t="n"/>
      <c r="H484" s="13" t="n"/>
      <c r="I484" s="4" t="n"/>
      <c r="J484" s="18">
        <f>IF(G484="","",F484*G484)</f>
        <v/>
      </c>
    </row>
    <row r="485">
      <c r="A485" s="9" t="n">
        <v>471</v>
      </c>
      <c r="B485" s="9" t="n">
        <v>229001</v>
      </c>
      <c r="C485" s="10" t="inlineStr">
        <is>
          <t>7896212429738</t>
        </is>
      </c>
      <c r="D485" s="11" t="inlineStr">
        <is>
          <t>MOTILIUM 10MG CX 30 COMP</t>
        </is>
      </c>
      <c r="E485" s="11" t="inlineStr">
        <is>
          <t>JOHNSON &amp; JOHNSON</t>
        </is>
      </c>
      <c r="F485" s="9" t="n">
        <v>2</v>
      </c>
      <c r="G485" s="12" t="n"/>
      <c r="H485" s="13" t="n"/>
      <c r="I485" s="4" t="n"/>
      <c r="J485" s="14">
        <f>IF(G485="","",F485*G485)</f>
        <v/>
      </c>
    </row>
    <row r="486">
      <c r="A486" s="9" t="n">
        <v>472</v>
      </c>
      <c r="B486" s="9" t="n">
        <v>229001</v>
      </c>
      <c r="C486" s="10" t="inlineStr">
        <is>
          <t>7891010256388</t>
        </is>
      </c>
      <c r="D486" s="11" t="inlineStr">
        <is>
          <t>MOTILIUM 10MG CX 30 COMP</t>
        </is>
      </c>
      <c r="E486" s="11" t="inlineStr">
        <is>
          <t>JOHNSON &amp; JOHNSON</t>
        </is>
      </c>
      <c r="F486" s="9" t="n">
        <v>2</v>
      </c>
      <c r="G486" s="12" t="n"/>
      <c r="H486" s="13" t="n"/>
      <c r="I486" s="4" t="n"/>
      <c r="J486" s="14">
        <f>IF(G486="","",F486*G486)</f>
        <v/>
      </c>
    </row>
    <row r="487">
      <c r="A487" s="15" t="n">
        <v>473</v>
      </c>
      <c r="B487" s="15" t="n">
        <v>133441</v>
      </c>
      <c r="C487" s="16" t="inlineStr">
        <is>
          <t>7891317432362</t>
        </is>
      </c>
      <c r="D487" s="17" t="inlineStr">
        <is>
          <t>MUSCULARE 10MG CX 15 COMP REV</t>
        </is>
      </c>
      <c r="E487" s="17" t="inlineStr">
        <is>
          <t>EUROFARMA</t>
        </is>
      </c>
      <c r="F487" s="15" t="n">
        <v>6</v>
      </c>
      <c r="G487" s="12" t="n"/>
      <c r="H487" s="13" t="n"/>
      <c r="I487" s="4" t="n"/>
      <c r="J487" s="18">
        <f>IF(G487="","",F487*G487)</f>
        <v/>
      </c>
    </row>
    <row r="488">
      <c r="A488" s="9" t="n">
        <v>474</v>
      </c>
      <c r="B488" s="9" t="n">
        <v>328301</v>
      </c>
      <c r="C488" s="10" t="inlineStr">
        <is>
          <t>7896094201637</t>
        </is>
      </c>
      <c r="D488" s="11" t="inlineStr">
        <is>
          <t>MUVINLAX CX 20 SACH X 14G</t>
        </is>
      </c>
      <c r="E488" s="11" t="inlineStr">
        <is>
          <t>LIBBS</t>
        </is>
      </c>
      <c r="F488" s="9" t="n">
        <v>3</v>
      </c>
      <c r="G488" s="12" t="n"/>
      <c r="H488" s="13" t="n"/>
      <c r="I488" s="4" t="n"/>
      <c r="J488" s="14">
        <f>IF(G488="","",F488*G488)</f>
        <v/>
      </c>
    </row>
    <row r="489">
      <c r="A489" s="15" t="n">
        <v>475</v>
      </c>
      <c r="B489" s="15" t="n">
        <v>434881</v>
      </c>
      <c r="C489" s="16" t="inlineStr">
        <is>
          <t>7891010256432</t>
        </is>
      </c>
      <c r="D489" s="17" t="inlineStr">
        <is>
          <t>MYLANTA PLUS 80+80+6MG SUS OR FR 240ML SB MORANGO</t>
        </is>
      </c>
      <c r="E489" s="17" t="inlineStr">
        <is>
          <t>JANSSEN-CILAG</t>
        </is>
      </c>
      <c r="F489" s="15" t="n">
        <v>2</v>
      </c>
      <c r="G489" s="12" t="n"/>
      <c r="H489" s="13" t="n"/>
      <c r="I489" s="4" t="n"/>
      <c r="J489" s="18">
        <f>IF(G489="","",F489*G489)</f>
        <v/>
      </c>
    </row>
    <row r="490">
      <c r="A490" s="9" t="n">
        <v>476</v>
      </c>
      <c r="B490" s="9" t="n">
        <v>634361</v>
      </c>
      <c r="C490" s="10" t="inlineStr">
        <is>
          <t>7891010256425</t>
        </is>
      </c>
      <c r="D490" s="11" t="inlineStr">
        <is>
          <t>MYLANTA PLUS 80+80+6MG/ML SUS OR FR 240ML SB MENTA</t>
        </is>
      </c>
      <c r="E490" s="11" t="inlineStr">
        <is>
          <t>JOHNSON &amp; JOHNSON</t>
        </is>
      </c>
      <c r="F490" s="9" t="n">
        <v>4</v>
      </c>
      <c r="G490" s="12" t="n"/>
      <c r="H490" s="13" t="n"/>
      <c r="I490" s="4" t="n"/>
      <c r="J490" s="14">
        <f>IF(G490="","",F490*G490)</f>
        <v/>
      </c>
    </row>
    <row r="491">
      <c r="A491" s="15" t="n">
        <v>477</v>
      </c>
      <c r="B491" s="15" t="n">
        <v>611031</v>
      </c>
      <c r="C491" s="16" t="inlineStr">
        <is>
          <t>4015630064205</t>
        </is>
      </c>
      <c r="D491" s="17" t="inlineStr">
        <is>
          <t>N ACCU-CHEK ACTIVE 10TIRAS   ROCH %DN:0.00</t>
        </is>
      </c>
      <c r="E491" s="17" t="inlineStr">
        <is>
          <t>ACCORD FARMACEUTICA</t>
        </is>
      </c>
      <c r="F491" s="15" t="n">
        <v>1</v>
      </c>
      <c r="G491" s="12" t="n"/>
      <c r="H491" s="13" t="n"/>
      <c r="I491" s="4" t="n"/>
      <c r="J491" s="18">
        <f>IF(G491="","",F491*G491)</f>
        <v/>
      </c>
    </row>
    <row r="492">
      <c r="A492" s="9" t="n">
        <v>478</v>
      </c>
      <c r="B492" s="9" t="n">
        <v>579461</v>
      </c>
      <c r="C492" s="10" t="inlineStr"/>
      <c r="D492" s="11" t="inlineStr">
        <is>
          <t>NALDECON MULTI 800+20MG CARTELA C/ 4 CP</t>
        </is>
      </c>
      <c r="E492" s="11" t="inlineStr">
        <is>
          <t>RECKITT BENCKISER</t>
        </is>
      </c>
      <c r="F492" s="9" t="n">
        <v>1</v>
      </c>
      <c r="G492" s="12" t="n"/>
      <c r="H492" s="13" t="n"/>
      <c r="I492" s="4" t="n"/>
      <c r="J492" s="14">
        <f>IF(G492="","",F492*G492)</f>
        <v/>
      </c>
    </row>
    <row r="493">
      <c r="A493" s="15" t="n">
        <v>479</v>
      </c>
      <c r="B493" s="15" t="n">
        <v>624201</v>
      </c>
      <c r="C493" s="16" t="inlineStr">
        <is>
          <t>7899706185844</t>
        </is>
      </c>
      <c r="D493" s="17" t="inlineStr">
        <is>
          <t>NANTHELIOS LRP ULTRA COVER FPS60 COR3.0 30G</t>
        </is>
      </c>
      <c r="E493" s="17" t="inlineStr">
        <is>
          <t>LOREAL</t>
        </is>
      </c>
      <c r="F493" s="15" t="n">
        <v>1</v>
      </c>
      <c r="G493" s="12" t="n"/>
      <c r="H493" s="13" t="n"/>
      <c r="I493" s="4" t="n"/>
      <c r="J493" s="18">
        <f>IF(G493="","",F493*G493)</f>
        <v/>
      </c>
    </row>
    <row r="494">
      <c r="A494" s="9" t="n">
        <v>480</v>
      </c>
      <c r="B494" s="9" t="n">
        <v>417161</v>
      </c>
      <c r="C494" s="10" t="inlineStr">
        <is>
          <t>7896094201392</t>
        </is>
      </c>
      <c r="D494" s="11" t="inlineStr">
        <is>
          <t>NAPRIX A 5+5MG FR 30 CAP</t>
        </is>
      </c>
      <c r="E494" s="11" t="inlineStr">
        <is>
          <t>LIBBS</t>
        </is>
      </c>
      <c r="F494" s="9" t="n">
        <v>3</v>
      </c>
      <c r="G494" s="12" t="n"/>
      <c r="H494" s="13" t="n"/>
      <c r="I494" s="4" t="n"/>
      <c r="J494" s="14">
        <f>IF(G494="","",F494*G494)</f>
        <v/>
      </c>
    </row>
    <row r="495">
      <c r="A495" s="15" t="n">
        <v>481</v>
      </c>
      <c r="B495" s="15" t="n">
        <v>161341</v>
      </c>
      <c r="C495" s="16" t="inlineStr">
        <is>
          <t>7896004803456</t>
        </is>
      </c>
      <c r="D495" s="17" t="inlineStr">
        <is>
          <t>NARIDRIN SOL FR 15ML ADU</t>
        </is>
      </c>
      <c r="E495" s="17" t="inlineStr">
        <is>
          <t>EMS MARCAS</t>
        </is>
      </c>
      <c r="F495" s="15" t="n">
        <v>1</v>
      </c>
      <c r="G495" s="12" t="n"/>
      <c r="H495" s="13" t="n"/>
      <c r="I495" s="4" t="n"/>
      <c r="J495" s="18">
        <f>IF(G495="","",F495*G495)</f>
        <v/>
      </c>
    </row>
    <row r="496">
      <c r="A496" s="9" t="n">
        <v>482</v>
      </c>
      <c r="B496" s="9" t="n">
        <v>638901</v>
      </c>
      <c r="C496" s="10" t="inlineStr">
        <is>
          <t>7898430192586</t>
        </is>
      </c>
      <c r="D496" s="11" t="inlineStr">
        <is>
          <t>NASOAR 0,9% FR C/15 ENV</t>
        </is>
      </c>
      <c r="E496" s="11" t="inlineStr">
        <is>
          <t>MYRALIS INDUSTRIA FARMACEUTICA</t>
        </is>
      </c>
      <c r="F496" s="9" t="n">
        <v>1</v>
      </c>
      <c r="G496" s="12" t="n"/>
      <c r="H496" s="13" t="n"/>
      <c r="I496" s="4" t="n"/>
      <c r="J496" s="14">
        <f>IF(G496="","",F496*G496)</f>
        <v/>
      </c>
    </row>
    <row r="497">
      <c r="A497" s="15" t="n">
        <v>483</v>
      </c>
      <c r="B497" s="15" t="n">
        <v>582301</v>
      </c>
      <c r="C497" s="16" t="inlineStr">
        <is>
          <t>7897337716550</t>
        </is>
      </c>
      <c r="D497" s="17" t="inlineStr">
        <is>
          <t>NASONEX 0,5MG/G SUS NAS FR SPR 60 ATOMIZ</t>
        </is>
      </c>
      <c r="E497" s="17" t="inlineStr">
        <is>
          <t>ORGANON</t>
        </is>
      </c>
      <c r="F497" s="15" t="n">
        <v>4</v>
      </c>
      <c r="G497" s="12" t="n"/>
      <c r="H497" s="13" t="n"/>
      <c r="I497" s="4" t="n"/>
      <c r="J497" s="18">
        <f>IF(G497="","",F497*G497)</f>
        <v/>
      </c>
    </row>
    <row r="498">
      <c r="A498" s="9" t="n">
        <v>484</v>
      </c>
      <c r="B498" s="9" t="n">
        <v>237701</v>
      </c>
      <c r="C498" s="10" t="inlineStr">
        <is>
          <t>7896094201477</t>
        </is>
      </c>
      <c r="D498" s="11" t="inlineStr">
        <is>
          <t>NATIFA PRO 1+0,5MG CX 28 COMP REV</t>
        </is>
      </c>
      <c r="E498" s="11" t="inlineStr">
        <is>
          <t>LIBBS</t>
        </is>
      </c>
      <c r="F498" s="9" t="n">
        <v>5</v>
      </c>
      <c r="G498" s="12" t="n"/>
      <c r="H498" s="13" t="n"/>
      <c r="I498" s="4" t="n"/>
      <c r="J498" s="14">
        <f>IF(G498="","",F498*G498)</f>
        <v/>
      </c>
    </row>
    <row r="499">
      <c r="A499" s="15" t="n">
        <v>485</v>
      </c>
      <c r="B499" s="15" t="n">
        <v>556221</v>
      </c>
      <c r="C499" s="16" t="inlineStr">
        <is>
          <t>7896094922105</t>
        </is>
      </c>
      <c r="D499" s="17" t="inlineStr">
        <is>
          <t>NEBACETIN POMADA BG 15G</t>
        </is>
      </c>
      <c r="E499" s="17" t="inlineStr">
        <is>
          <t>COSMED</t>
        </is>
      </c>
      <c r="F499" s="15" t="n">
        <v>3</v>
      </c>
      <c r="G499" s="12" t="n"/>
      <c r="H499" s="13" t="n"/>
      <c r="I499" s="4" t="n"/>
      <c r="J499" s="18">
        <f>IF(G499="","",F499*G499)</f>
        <v/>
      </c>
    </row>
    <row r="500">
      <c r="A500" s="9" t="n">
        <v>486</v>
      </c>
      <c r="B500" s="9" t="n">
        <v>644711</v>
      </c>
      <c r="C500" s="10" t="inlineStr">
        <is>
          <t>7891010254025</t>
        </is>
      </c>
      <c r="D500" s="11" t="inlineStr">
        <is>
          <t>NEOS MINESOL COR/ROS FPS70 120ML</t>
        </is>
      </c>
      <c r="E500" s="11" t="inlineStr">
        <is>
          <t>KENVER</t>
        </is>
      </c>
      <c r="F500" s="9" t="n">
        <v>1</v>
      </c>
      <c r="G500" s="12" t="n"/>
      <c r="H500" s="13" t="n"/>
      <c r="I500" s="4" t="n"/>
      <c r="J500" s="14">
        <f>IF(G500="","",F500*G500)</f>
        <v/>
      </c>
    </row>
    <row r="501">
      <c r="A501" s="15" t="n">
        <v>487</v>
      </c>
      <c r="B501" s="15" t="n">
        <v>644791</v>
      </c>
      <c r="C501" s="16" t="inlineStr">
        <is>
          <t>7891010248130</t>
        </is>
      </c>
      <c r="D501" s="17" t="inlineStr">
        <is>
          <t>NEOS MINESOL COR/ROS FPS99 200ML</t>
        </is>
      </c>
      <c r="E501" s="17" t="inlineStr">
        <is>
          <t>KENVER</t>
        </is>
      </c>
      <c r="F501" s="15" t="n">
        <v>2</v>
      </c>
      <c r="G501" s="12" t="n"/>
      <c r="H501" s="13" t="n"/>
      <c r="I501" s="4" t="n"/>
      <c r="J501" s="18">
        <f>IF(G501="","",F501*G501)</f>
        <v/>
      </c>
    </row>
    <row r="502">
      <c r="A502" s="9" t="n">
        <v>488</v>
      </c>
      <c r="B502" s="9" t="n">
        <v>72461</v>
      </c>
      <c r="C502" s="10" t="inlineStr">
        <is>
          <t>7896094922396</t>
        </is>
      </c>
      <c r="D502" s="11" t="inlineStr">
        <is>
          <t>NEOSALDINA 10 COMP</t>
        </is>
      </c>
      <c r="E502" s="11" t="inlineStr">
        <is>
          <t>COSMED</t>
        </is>
      </c>
      <c r="F502" s="9" t="n">
        <v>1</v>
      </c>
      <c r="G502" s="12" t="n"/>
      <c r="H502" s="13" t="n"/>
      <c r="I502" s="4" t="n"/>
      <c r="J502" s="14">
        <f>IF(G502="","",F502*G502)</f>
        <v/>
      </c>
    </row>
    <row r="503">
      <c r="A503" s="9" t="n">
        <v>489</v>
      </c>
      <c r="B503" s="9" t="n">
        <v>72461</v>
      </c>
      <c r="C503" s="10" t="inlineStr">
        <is>
          <t>7896094921993</t>
        </is>
      </c>
      <c r="D503" s="11" t="inlineStr">
        <is>
          <t>NEOSALDINA 10 COMP</t>
        </is>
      </c>
      <c r="E503" s="11" t="inlineStr">
        <is>
          <t>COSMED</t>
        </is>
      </c>
      <c r="F503" s="9" t="n">
        <v>1</v>
      </c>
      <c r="G503" s="12" t="n"/>
      <c r="H503" s="13" t="n"/>
      <c r="I503" s="4" t="n"/>
      <c r="J503" s="14">
        <f>IF(G503="","",F503*G503)</f>
        <v/>
      </c>
    </row>
    <row r="504">
      <c r="A504" s="15" t="n">
        <v>490</v>
      </c>
      <c r="B504" s="15" t="n">
        <v>669601</v>
      </c>
      <c r="C504" s="16" t="inlineStr">
        <is>
          <t>7896046304126</t>
        </is>
      </c>
      <c r="D504" s="17" t="inlineStr">
        <is>
          <t>NEOVITE MAX 30CAP BLPA</t>
        </is>
      </c>
      <c r="E504" s="17" t="inlineStr"/>
      <c r="F504" s="15" t="n">
        <v>1</v>
      </c>
      <c r="G504" s="12" t="n"/>
      <c r="H504" s="13" t="n"/>
      <c r="I504" s="4" t="n"/>
      <c r="J504" s="18">
        <f>IF(G504="","",F504*G504)</f>
        <v/>
      </c>
    </row>
    <row r="505">
      <c r="A505" s="9" t="n">
        <v>491</v>
      </c>
      <c r="B505" s="9" t="n">
        <v>539781</v>
      </c>
      <c r="C505" s="10" t="inlineStr">
        <is>
          <t>7891106914024</t>
        </is>
      </c>
      <c r="D505" s="11" t="inlineStr">
        <is>
          <t>NEOVLAR 0,25+0,05MG CX 21 COMP REV</t>
        </is>
      </c>
      <c r="E505" s="11" t="inlineStr">
        <is>
          <t>UNIAO QUIMICA FARMACEUTICA</t>
        </is>
      </c>
      <c r="F505" s="9" t="n">
        <v>2</v>
      </c>
      <c r="G505" s="12" t="n"/>
      <c r="H505" s="13" t="n"/>
      <c r="I505" s="4" t="n"/>
      <c r="J505" s="14">
        <f>IF(G505="","",F505*G505)</f>
        <v/>
      </c>
    </row>
    <row r="506">
      <c r="A506" s="9" t="n">
        <v>492</v>
      </c>
      <c r="B506" s="9" t="n">
        <v>539781</v>
      </c>
      <c r="C506" s="10" t="inlineStr">
        <is>
          <t>7896006201687</t>
        </is>
      </c>
      <c r="D506" s="11" t="inlineStr">
        <is>
          <t>NEOVLAR 0,25+0,05MG CX 21 COMP REV</t>
        </is>
      </c>
      <c r="E506" s="11" t="inlineStr">
        <is>
          <t>UNIAO QUIMICA FARMACEUTICA</t>
        </is>
      </c>
      <c r="F506" s="9" t="n">
        <v>2</v>
      </c>
      <c r="G506" s="12" t="n"/>
      <c r="H506" s="13" t="n"/>
      <c r="I506" s="4" t="n"/>
      <c r="J506" s="14">
        <f>IF(G506="","",F506*G506)</f>
        <v/>
      </c>
    </row>
    <row r="507">
      <c r="A507" s="15" t="n">
        <v>493</v>
      </c>
      <c r="B507" s="15" t="n">
        <v>622591</v>
      </c>
      <c r="C507" s="16" t="inlineStr">
        <is>
          <t>7896094999527</t>
        </is>
      </c>
      <c r="D507" s="17" t="inlineStr">
        <is>
          <t>NESINA MET 12,5+850MG CX 60 COMP REV</t>
        </is>
      </c>
      <c r="E507" s="17" t="inlineStr">
        <is>
          <t>COSMED</t>
        </is>
      </c>
      <c r="F507" s="15" t="n">
        <v>5</v>
      </c>
      <c r="G507" s="12" t="n"/>
      <c r="H507" s="13" t="n"/>
      <c r="I507" s="4" t="n"/>
      <c r="J507" s="18">
        <f>IF(G507="","",F507*G507)</f>
        <v/>
      </c>
    </row>
    <row r="508">
      <c r="A508" s="9" t="n">
        <v>494</v>
      </c>
      <c r="B508" s="9" t="n">
        <v>674111</v>
      </c>
      <c r="C508" s="10" t="inlineStr">
        <is>
          <t>7896094999510</t>
        </is>
      </c>
      <c r="D508" s="11" t="inlineStr">
        <is>
          <t>NESINA PIO 25MG+30 30CPR REV</t>
        </is>
      </c>
      <c r="E508" s="11" t="inlineStr">
        <is>
          <t>HYPERA FARMA</t>
        </is>
      </c>
      <c r="F508" s="9" t="n">
        <v>1</v>
      </c>
      <c r="G508" s="12" t="n"/>
      <c r="H508" s="13" t="n"/>
      <c r="I508" s="4" t="n"/>
      <c r="J508" s="14">
        <f>IF(G508="","",F508*G508)</f>
        <v/>
      </c>
    </row>
    <row r="509">
      <c r="A509" s="15" t="n">
        <v>495</v>
      </c>
      <c r="B509" s="15" t="n">
        <v>588721</v>
      </c>
      <c r="C509" s="16" t="inlineStr">
        <is>
          <t>7891045031257</t>
        </is>
      </c>
      <c r="D509" s="17" t="inlineStr">
        <is>
          <t>NESTLE MATERNA FR 30 COMP</t>
        </is>
      </c>
      <c r="E509" s="17" t="inlineStr">
        <is>
          <t>NESTLE</t>
        </is>
      </c>
      <c r="F509" s="15" t="n">
        <v>9</v>
      </c>
      <c r="G509" s="12" t="n"/>
      <c r="H509" s="13" t="n"/>
      <c r="I509" s="4" t="n"/>
      <c r="J509" s="18">
        <f>IF(G509="","",F509*G509)</f>
        <v/>
      </c>
    </row>
    <row r="510">
      <c r="A510" s="9" t="n">
        <v>496</v>
      </c>
      <c r="B510" s="9" t="n">
        <v>613781</v>
      </c>
      <c r="C510" s="10" t="inlineStr">
        <is>
          <t>7891010249106</t>
        </is>
      </c>
      <c r="D510" s="11" t="inlineStr">
        <is>
          <t>NEUT SUN FRESH FPS90 200ML</t>
        </is>
      </c>
      <c r="E510" s="11" t="inlineStr">
        <is>
          <t>KENVER</t>
        </is>
      </c>
      <c r="F510" s="9" t="n">
        <v>1</v>
      </c>
      <c r="G510" s="12" t="n"/>
      <c r="H510" s="13" t="n"/>
      <c r="I510" s="4" t="n"/>
      <c r="J510" s="14">
        <f>IF(G510="","",F510*G510)</f>
        <v/>
      </c>
    </row>
    <row r="511">
      <c r="A511" s="15" t="n">
        <v>497</v>
      </c>
      <c r="B511" s="15" t="n">
        <v>358281</v>
      </c>
      <c r="C511" s="16" t="inlineStr">
        <is>
          <t>7894916500548</t>
        </is>
      </c>
      <c r="D511" s="17" t="inlineStr">
        <is>
          <t>NEUTROFER 150MG FR 30 COMP</t>
        </is>
      </c>
      <c r="E511" s="17" t="inlineStr">
        <is>
          <t>SIGMA PHARMA</t>
        </is>
      </c>
      <c r="F511" s="15" t="n">
        <v>6</v>
      </c>
      <c r="G511" s="12" t="n"/>
      <c r="H511" s="13" t="n"/>
      <c r="I511" s="4" t="n"/>
      <c r="J511" s="18">
        <f>IF(G511="","",F511*G511)</f>
        <v/>
      </c>
    </row>
    <row r="512">
      <c r="A512" s="9" t="n">
        <v>498</v>
      </c>
      <c r="B512" s="9" t="n">
        <v>358321</v>
      </c>
      <c r="C512" s="10" t="inlineStr">
        <is>
          <t>7894916500333</t>
        </is>
      </c>
      <c r="D512" s="11" t="inlineStr">
        <is>
          <t>NEUTROFER 300MG FR 30 COMP</t>
        </is>
      </c>
      <c r="E512" s="11" t="inlineStr">
        <is>
          <t>SIGMA PHARMA</t>
        </is>
      </c>
      <c r="F512" s="9" t="n">
        <v>4</v>
      </c>
      <c r="G512" s="12" t="n"/>
      <c r="H512" s="13" t="n"/>
      <c r="I512" s="4" t="n"/>
      <c r="J512" s="14">
        <f>IF(G512="","",F512*G512)</f>
        <v/>
      </c>
    </row>
    <row r="513">
      <c r="A513" s="15" t="n">
        <v>499</v>
      </c>
      <c r="B513" s="15" t="n">
        <v>358301</v>
      </c>
      <c r="C513" s="16" t="inlineStr">
        <is>
          <t>7894916500272</t>
        </is>
      </c>
      <c r="D513" s="17" t="inlineStr">
        <is>
          <t>NEUTROFER 500MG FR 30 COMP</t>
        </is>
      </c>
      <c r="E513" s="17" t="inlineStr">
        <is>
          <t>SIGMA PHARMA</t>
        </is>
      </c>
      <c r="F513" s="15" t="n">
        <v>6</v>
      </c>
      <c r="G513" s="12" t="n"/>
      <c r="H513" s="13" t="n"/>
      <c r="I513" s="4" t="n"/>
      <c r="J513" s="18">
        <f>IF(G513="","",F513*G513)</f>
        <v/>
      </c>
    </row>
    <row r="514">
      <c r="A514" s="9" t="n">
        <v>500</v>
      </c>
      <c r="B514" s="9" t="n">
        <v>16441</v>
      </c>
      <c r="C514" s="10" t="inlineStr">
        <is>
          <t>7894916500425</t>
        </is>
      </c>
      <c r="D514" s="11" t="inlineStr">
        <is>
          <t>NEUTROFER FOLICO 150MG FR 30 COMP</t>
        </is>
      </c>
      <c r="E514" s="11" t="inlineStr">
        <is>
          <t>SIGMA PHARMA</t>
        </is>
      </c>
      <c r="F514" s="9" t="n">
        <v>3</v>
      </c>
      <c r="G514" s="12" t="n"/>
      <c r="H514" s="13" t="n"/>
      <c r="I514" s="4" t="n"/>
      <c r="J514" s="14">
        <f>IF(G514="","",F514*G514)</f>
        <v/>
      </c>
    </row>
    <row r="515">
      <c r="A515" s="15" t="n">
        <v>501</v>
      </c>
      <c r="B515" s="15" t="n">
        <v>473</v>
      </c>
      <c r="C515" s="16" t="inlineStr">
        <is>
          <t>7891010253899</t>
        </is>
      </c>
      <c r="D515" s="17" t="inlineStr">
        <is>
          <t>NEUTROG HIDRATA &amp; REPARA 200ML</t>
        </is>
      </c>
      <c r="E515" s="17" t="inlineStr">
        <is>
          <t>JOHNSON    JOHNSON</t>
        </is>
      </c>
      <c r="F515" s="15" t="n">
        <v>4</v>
      </c>
      <c r="G515" s="12" t="n"/>
      <c r="H515" s="13" t="n"/>
      <c r="I515" s="4" t="n"/>
      <c r="J515" s="18">
        <f>IF(G515="","",F515*G515)</f>
        <v/>
      </c>
    </row>
    <row r="516">
      <c r="A516" s="9" t="n">
        <v>502</v>
      </c>
      <c r="B516" s="9" t="n">
        <v>652651</v>
      </c>
      <c r="C516" s="10" t="inlineStr">
        <is>
          <t>4005900929679</t>
        </is>
      </c>
      <c r="D516" s="11" t="inlineStr">
        <is>
          <t>NIVEA VISAGE CELLULLAR LIFT EXPERT DIA SPF 30 50GRS</t>
        </is>
      </c>
      <c r="E516" s="11" t="inlineStr">
        <is>
          <t>NIVEA</t>
        </is>
      </c>
      <c r="F516" s="9" t="n">
        <v>1</v>
      </c>
      <c r="G516" s="12" t="n"/>
      <c r="H516" s="13" t="n"/>
      <c r="I516" s="4" t="n"/>
      <c r="J516" s="14">
        <f>IF(G516="","",F516*G516)</f>
        <v/>
      </c>
    </row>
    <row r="517">
      <c r="A517" s="15" t="n">
        <v>503</v>
      </c>
      <c r="B517" s="15" t="n">
        <v>652661</v>
      </c>
      <c r="C517" s="16" t="inlineStr">
        <is>
          <t>4005900929686</t>
        </is>
      </c>
      <c r="D517" s="17" t="inlineStr">
        <is>
          <t>NIVEA VISAGE CELLULLAR LIFT EXPERT NOITE 48GRS</t>
        </is>
      </c>
      <c r="E517" s="17" t="inlineStr">
        <is>
          <t>NIVEA</t>
        </is>
      </c>
      <c r="F517" s="15" t="n">
        <v>1</v>
      </c>
      <c r="G517" s="12" t="n"/>
      <c r="H517" s="13" t="n"/>
      <c r="I517" s="4" t="n"/>
      <c r="J517" s="18">
        <f>IF(G517="","",F517*G517)</f>
        <v/>
      </c>
    </row>
    <row r="518">
      <c r="A518" s="9" t="n">
        <v>504</v>
      </c>
      <c r="B518" s="9" t="n">
        <v>393401</v>
      </c>
      <c r="C518" s="10" t="inlineStr">
        <is>
          <t>7894916513661</t>
        </is>
      </c>
      <c r="D518" s="11" t="inlineStr">
        <is>
          <t>NIVUX 100+20MG CX 12 COMP</t>
        </is>
      </c>
      <c r="E518" s="11" t="inlineStr">
        <is>
          <t>SIGMA PHARMA</t>
        </is>
      </c>
      <c r="F518" s="9" t="n">
        <v>3</v>
      </c>
      <c r="G518" s="12" t="n"/>
      <c r="H518" s="13" t="n"/>
      <c r="I518" s="4" t="n"/>
      <c r="J518" s="14">
        <f>IF(G518="","",F518*G518)</f>
        <v/>
      </c>
    </row>
    <row r="519">
      <c r="A519" s="15" t="n">
        <v>505</v>
      </c>
      <c r="B519" s="15" t="n">
        <v>69161</v>
      </c>
      <c r="C519" s="16" t="inlineStr">
        <is>
          <t>7891317460532</t>
        </is>
      </c>
      <c r="D519" s="17" t="inlineStr">
        <is>
          <t>NOEX 32MCG SUS NAS FR 120 DOS</t>
        </is>
      </c>
      <c r="E519" s="17" t="inlineStr">
        <is>
          <t>EUROFARMA</t>
        </is>
      </c>
      <c r="F519" s="15" t="n">
        <v>2</v>
      </c>
      <c r="G519" s="12" t="n"/>
      <c r="H519" s="13" t="n"/>
      <c r="I519" s="4" t="n"/>
      <c r="J519" s="18">
        <f>IF(G519="","",F519*G519)</f>
        <v/>
      </c>
    </row>
    <row r="520">
      <c r="A520" s="9" t="n">
        <v>506</v>
      </c>
      <c r="B520" s="9" t="n">
        <v>652411</v>
      </c>
      <c r="C520" s="10" t="inlineStr">
        <is>
          <t>7896026100229</t>
        </is>
      </c>
      <c r="D520" s="11" t="inlineStr">
        <is>
          <t>NOPLAK SEM ALCOOL SOLUCAO 250ML</t>
        </is>
      </c>
      <c r="E520" s="11" t="inlineStr">
        <is>
          <t>MEGALABS</t>
        </is>
      </c>
      <c r="F520" s="9" t="n">
        <v>5</v>
      </c>
      <c r="G520" s="12" t="n"/>
      <c r="H520" s="13" t="n"/>
      <c r="I520" s="4" t="n"/>
      <c r="J520" s="14">
        <f>IF(G520="","",F520*G520)</f>
        <v/>
      </c>
    </row>
    <row r="521">
      <c r="A521" s="15" t="n">
        <v>507</v>
      </c>
      <c r="B521" s="15" t="n">
        <v>579481</v>
      </c>
      <c r="C521" s="16" t="inlineStr">
        <is>
          <t>7898581710608</t>
        </is>
      </c>
      <c r="D521" s="17" t="inlineStr">
        <is>
          <t>NORIPURUM 100+0,35MG CX 30 COMP MAST</t>
        </is>
      </c>
      <c r="E521" s="17" t="inlineStr">
        <is>
          <t>BLANVER</t>
        </is>
      </c>
      <c r="F521" s="15" t="n">
        <v>1</v>
      </c>
      <c r="G521" s="12" t="n"/>
      <c r="H521" s="13" t="n"/>
      <c r="I521" s="4" t="n"/>
      <c r="J521" s="18">
        <f>IF(G521="","",F521*G521)</f>
        <v/>
      </c>
    </row>
    <row r="522">
      <c r="A522" s="9" t="n">
        <v>508</v>
      </c>
      <c r="B522" s="9" t="n">
        <v>588811</v>
      </c>
      <c r="C522" s="10" t="inlineStr">
        <is>
          <t>7898581710547</t>
        </is>
      </c>
      <c r="D522" s="11" t="inlineStr">
        <is>
          <t>NORIPURUM 100MG CX 30 COMP MAST</t>
        </is>
      </c>
      <c r="E522" s="11" t="inlineStr">
        <is>
          <t>BLANVER</t>
        </is>
      </c>
      <c r="F522" s="9" t="n">
        <v>7</v>
      </c>
      <c r="G522" s="12" t="n"/>
      <c r="H522" s="13" t="n"/>
      <c r="I522" s="4" t="n"/>
      <c r="J522" s="14">
        <f>IF(G522="","",F522*G522)</f>
        <v/>
      </c>
    </row>
    <row r="523">
      <c r="A523" s="15" t="n">
        <v>509</v>
      </c>
      <c r="B523" s="15" t="n">
        <v>588801</v>
      </c>
      <c r="C523" s="16" t="inlineStr">
        <is>
          <t>7898581710578</t>
        </is>
      </c>
      <c r="D523" s="17" t="inlineStr">
        <is>
          <t>NORIPURUM 10MG/ML XPE FR 120ML</t>
        </is>
      </c>
      <c r="E523" s="17" t="inlineStr">
        <is>
          <t>BLANVER</t>
        </is>
      </c>
      <c r="F523" s="15" t="n">
        <v>2</v>
      </c>
      <c r="G523" s="12" t="n"/>
      <c r="H523" s="13" t="n"/>
      <c r="I523" s="4" t="n"/>
      <c r="J523" s="18">
        <f>IF(G523="","",F523*G523)</f>
        <v/>
      </c>
    </row>
    <row r="524">
      <c r="A524" s="9" t="n">
        <v>510</v>
      </c>
      <c r="B524" s="9" t="n">
        <v>247481</v>
      </c>
      <c r="C524" s="10" t="inlineStr">
        <is>
          <t>7896641805479</t>
        </is>
      </c>
      <c r="D524" s="11" t="inlineStr">
        <is>
          <t>NORIPURUM 50MG/ML SOL OR FR GOT 30ML</t>
        </is>
      </c>
      <c r="E524" s="11" t="inlineStr">
        <is>
          <t>BLANVER</t>
        </is>
      </c>
      <c r="F524" s="9" t="n">
        <v>4</v>
      </c>
      <c r="G524" s="12" t="n"/>
      <c r="H524" s="13" t="n"/>
      <c r="I524" s="4" t="n"/>
      <c r="J524" s="14">
        <f>IF(G524="","",F524*G524)</f>
        <v/>
      </c>
    </row>
    <row r="525">
      <c r="A525" s="9" t="n">
        <v>511</v>
      </c>
      <c r="B525" s="9" t="n">
        <v>247481</v>
      </c>
      <c r="C525" s="10" t="inlineStr">
        <is>
          <t>7898581710523</t>
        </is>
      </c>
      <c r="D525" s="11" t="inlineStr">
        <is>
          <t>NORIPURUM 50MG/ML SOL OR FR GOT 30ML</t>
        </is>
      </c>
      <c r="E525" s="11" t="inlineStr">
        <is>
          <t>BLANVER</t>
        </is>
      </c>
      <c r="F525" s="9" t="n">
        <v>4</v>
      </c>
      <c r="G525" s="12" t="n"/>
      <c r="H525" s="13" t="n"/>
      <c r="I525" s="4" t="n"/>
      <c r="J525" s="14">
        <f>IF(G525="","",F525*G525)</f>
        <v/>
      </c>
    </row>
    <row r="526">
      <c r="A526" s="15" t="n">
        <v>512</v>
      </c>
      <c r="B526" s="15" t="n">
        <v>601521</v>
      </c>
      <c r="C526" s="16" t="inlineStr">
        <is>
          <t>7898581710615</t>
        </is>
      </c>
      <c r="D526" s="17" t="inlineStr">
        <is>
          <t>NORIPURUM ENDOV INJ 5 AMP X 5ML</t>
        </is>
      </c>
      <c r="E526" s="17" t="inlineStr">
        <is>
          <t>BLANVER</t>
        </is>
      </c>
      <c r="F526" s="15" t="n">
        <v>4</v>
      </c>
      <c r="G526" s="12" t="n"/>
      <c r="H526" s="13" t="n"/>
      <c r="I526" s="4" t="n"/>
      <c r="J526" s="18">
        <f>IF(G526="","",F526*G526)</f>
        <v/>
      </c>
    </row>
    <row r="527">
      <c r="A527" s="15" t="n">
        <v>513</v>
      </c>
      <c r="B527" s="15" t="n">
        <v>601521</v>
      </c>
      <c r="C527" s="16" t="inlineStr">
        <is>
          <t>7896641817502</t>
        </is>
      </c>
      <c r="D527" s="17" t="inlineStr">
        <is>
          <t>NORIPURUM ENDOV INJ 5 AMP X 5ML</t>
        </is>
      </c>
      <c r="E527" s="17" t="inlineStr">
        <is>
          <t>BLANVER</t>
        </is>
      </c>
      <c r="F527" s="15" t="n">
        <v>4</v>
      </c>
      <c r="G527" s="12" t="n"/>
      <c r="H527" s="13" t="n"/>
      <c r="I527" s="4" t="n"/>
      <c r="J527" s="18">
        <f>IF(G527="","",F527*G527)</f>
        <v/>
      </c>
    </row>
    <row r="528">
      <c r="A528" s="9" t="n">
        <v>514</v>
      </c>
      <c r="B528" s="9" t="n">
        <v>224101</v>
      </c>
      <c r="C528" s="10" t="inlineStr">
        <is>
          <t>7891058001155</t>
        </is>
      </c>
      <c r="D528" s="11" t="inlineStr">
        <is>
          <t>NOVALGINA 1G CX 10 COMP</t>
        </is>
      </c>
      <c r="E528" s="11" t="inlineStr">
        <is>
          <t>SANOFI CONSUMER HEALTHCARE</t>
        </is>
      </c>
      <c r="F528" s="9" t="n">
        <v>1</v>
      </c>
      <c r="G528" s="12" t="n"/>
      <c r="H528" s="13" t="n"/>
      <c r="I528" s="4" t="n"/>
      <c r="J528" s="14">
        <f>IF(G528="","",F528*G528)</f>
        <v/>
      </c>
    </row>
    <row r="529">
      <c r="A529" s="15" t="n">
        <v>515</v>
      </c>
      <c r="B529" s="15" t="n">
        <v>507581</v>
      </c>
      <c r="C529" s="16" t="inlineStr">
        <is>
          <t>7891058000172</t>
        </is>
      </c>
      <c r="D529" s="17" t="inlineStr">
        <is>
          <t>NOVALGINA 500MG/ML SOL OR FR GOT 10ML</t>
        </is>
      </c>
      <c r="E529" s="17" t="inlineStr">
        <is>
          <t>SANOFI CONSUMER HEALTHCARE</t>
        </is>
      </c>
      <c r="F529" s="15" t="n">
        <v>9</v>
      </c>
      <c r="G529" s="12" t="n"/>
      <c r="H529" s="13" t="n"/>
      <c r="I529" s="4" t="n"/>
      <c r="J529" s="18">
        <f>IF(G529="","",F529*G529)</f>
        <v/>
      </c>
    </row>
    <row r="530">
      <c r="A530" s="9" t="n">
        <v>516</v>
      </c>
      <c r="B530" s="9" t="n">
        <v>507561</v>
      </c>
      <c r="C530" s="10" t="inlineStr">
        <is>
          <t>7891058000165</t>
        </is>
      </c>
      <c r="D530" s="11" t="inlineStr">
        <is>
          <t>NOVALGINA 500MG/ML SOL OR FR GOT 20ML</t>
        </is>
      </c>
      <c r="E530" s="11" t="inlineStr">
        <is>
          <t>SANOFI CONSUMER HEALTHCARE</t>
        </is>
      </c>
      <c r="F530" s="9" t="n">
        <v>3</v>
      </c>
      <c r="G530" s="12" t="n"/>
      <c r="H530" s="13" t="n"/>
      <c r="I530" s="4" t="n"/>
      <c r="J530" s="14">
        <f>IF(G530="","",F530*G530)</f>
        <v/>
      </c>
    </row>
    <row r="531">
      <c r="A531" s="15" t="n">
        <v>517</v>
      </c>
      <c r="B531" s="15" t="n">
        <v>593</v>
      </c>
      <c r="C531" s="16" t="inlineStr">
        <is>
          <t>7891058005566</t>
        </is>
      </c>
      <c r="D531" s="17" t="inlineStr">
        <is>
          <t>NOVALGINA 50MG/ML SOL OR FR 100ML+MED</t>
        </is>
      </c>
      <c r="E531" s="17" t="inlineStr">
        <is>
          <t>SANOFI CONSUMER HEALTHCARE</t>
        </is>
      </c>
      <c r="F531" s="15" t="n">
        <v>1</v>
      </c>
      <c r="G531" s="12" t="n"/>
      <c r="H531" s="13" t="n"/>
      <c r="I531" s="4" t="n"/>
      <c r="J531" s="18">
        <f>IF(G531="","",F531*G531)</f>
        <v/>
      </c>
    </row>
    <row r="532">
      <c r="A532" s="9" t="n">
        <v>518</v>
      </c>
      <c r="B532" s="9" t="n">
        <v>33081</v>
      </c>
      <c r="C532" s="10" t="inlineStr">
        <is>
          <t>7896658004148</t>
        </is>
      </c>
      <c r="D532" s="11" t="inlineStr">
        <is>
          <t>NOVOCILIN 875MG CX 14 COMP</t>
        </is>
      </c>
      <c r="E532" s="11" t="inlineStr">
        <is>
          <t>ACHE</t>
        </is>
      </c>
      <c r="F532" s="9" t="n">
        <v>1</v>
      </c>
      <c r="G532" s="12" t="n"/>
      <c r="H532" s="13" t="n"/>
      <c r="I532" s="4" t="n"/>
      <c r="J532" s="14">
        <f>IF(G532="","",F532*G532)</f>
        <v/>
      </c>
    </row>
    <row r="533">
      <c r="A533" s="15" t="n">
        <v>519</v>
      </c>
      <c r="B533" s="15" t="n">
        <v>669611</v>
      </c>
      <c r="C533" s="16" t="inlineStr">
        <is>
          <t>7891000417584</t>
        </is>
      </c>
      <c r="D533" s="17" t="inlineStr">
        <is>
          <t>NUTREN MULTI A-Z 30CAPS SOFTGEL</t>
        </is>
      </c>
      <c r="E533" s="17" t="inlineStr">
        <is>
          <t>NESTLE</t>
        </is>
      </c>
      <c r="F533" s="15" t="n">
        <v>1</v>
      </c>
      <c r="G533" s="12" t="n"/>
      <c r="H533" s="13" t="n"/>
      <c r="I533" s="4" t="n"/>
      <c r="J533" s="18">
        <f>IF(G533="","",F533*G533)</f>
        <v/>
      </c>
    </row>
    <row r="534">
      <c r="A534" s="9" t="n">
        <v>520</v>
      </c>
      <c r="B534" s="9" t="n">
        <v>142781</v>
      </c>
      <c r="C534" s="10" t="inlineStr">
        <is>
          <t>7896006290209</t>
        </is>
      </c>
      <c r="D534" s="11" t="inlineStr">
        <is>
          <t>OCUPRESS 20MG/ML SOL FR X 5ML</t>
        </is>
      </c>
      <c r="E534" s="11" t="inlineStr">
        <is>
          <t>UNIAO QUIMICA FARMACEUTICA</t>
        </is>
      </c>
      <c r="F534" s="9" t="n">
        <v>4</v>
      </c>
      <c r="G534" s="12" t="n"/>
      <c r="H534" s="13" t="n"/>
      <c r="I534" s="4" t="n"/>
      <c r="J534" s="14">
        <f>IF(G534="","",F534*G534)</f>
        <v/>
      </c>
    </row>
    <row r="535">
      <c r="A535" s="15" t="n">
        <v>521</v>
      </c>
      <c r="B535" s="15" t="n">
        <v>652341</v>
      </c>
      <c r="C535" s="16" t="inlineStr">
        <is>
          <t>7897460401378</t>
        </is>
      </c>
      <c r="D535" s="17" t="inlineStr">
        <is>
          <t>OLIGOVIT UP C/ 60 CAPS-DEMAIS PROD</t>
        </is>
      </c>
      <c r="E535" s="17" t="inlineStr"/>
      <c r="F535" s="15" t="n">
        <v>1</v>
      </c>
      <c r="G535" s="12" t="n"/>
      <c r="H535" s="13" t="n"/>
      <c r="I535" s="4" t="n"/>
      <c r="J535" s="18">
        <f>IF(G535="","",F535*G535)</f>
        <v/>
      </c>
    </row>
    <row r="536">
      <c r="A536" s="9" t="n">
        <v>522</v>
      </c>
      <c r="B536" s="9" t="n">
        <v>644201</v>
      </c>
      <c r="C536" s="10" t="inlineStr">
        <is>
          <t>7896004775364</t>
        </is>
      </c>
      <c r="D536" s="11" t="inlineStr">
        <is>
          <t>OLMY ANLO 20+5MG CX 30 COMP REV</t>
        </is>
      </c>
      <c r="E536" s="11" t="inlineStr">
        <is>
          <t>GERMED PRESCRIÇÃO</t>
        </is>
      </c>
      <c r="F536" s="9" t="n">
        <v>2</v>
      </c>
      <c r="G536" s="12" t="n"/>
      <c r="H536" s="13" t="n"/>
      <c r="I536" s="4" t="n"/>
      <c r="J536" s="14">
        <f>IF(G536="","",F536*G536)</f>
        <v/>
      </c>
    </row>
    <row r="537">
      <c r="A537" s="15" t="n">
        <v>523</v>
      </c>
      <c r="B537" s="15" t="n">
        <v>290201</v>
      </c>
      <c r="C537" s="16" t="inlineStr">
        <is>
          <t>7894916510431</t>
        </is>
      </c>
      <c r="D537" s="17" t="inlineStr">
        <is>
          <t>OLMY HCT 40+25MG CX 10 COMP REV</t>
        </is>
      </c>
      <c r="E537" s="17" t="inlineStr">
        <is>
          <t>GERMED PRESCRIÇÃO</t>
        </is>
      </c>
      <c r="F537" s="15" t="n">
        <v>1</v>
      </c>
      <c r="G537" s="12" t="n"/>
      <c r="H537" s="13" t="n"/>
      <c r="I537" s="4" t="n"/>
      <c r="J537" s="18">
        <f>IF(G537="","",F537*G537)</f>
        <v/>
      </c>
    </row>
    <row r="538">
      <c r="A538" s="9" t="n">
        <v>524</v>
      </c>
      <c r="B538" s="9" t="n">
        <v>468981</v>
      </c>
      <c r="C538" s="10" t="inlineStr">
        <is>
          <t>7895858015824</t>
        </is>
      </c>
      <c r="D538" s="11" t="inlineStr">
        <is>
          <t>OMCILON A 1,0MG/G PAS BG 10G</t>
        </is>
      </c>
      <c r="E538" s="11" t="inlineStr">
        <is>
          <t>ASPEN PHARMA</t>
        </is>
      </c>
      <c r="F538" s="9" t="n">
        <v>15</v>
      </c>
      <c r="G538" s="12" t="n"/>
      <c r="H538" s="13" t="n"/>
      <c r="I538" s="4" t="n"/>
      <c r="J538" s="14">
        <f>IF(G538="","",F538*G538)</f>
        <v/>
      </c>
    </row>
    <row r="539">
      <c r="A539" s="15" t="n">
        <v>525</v>
      </c>
      <c r="B539" s="15" t="n">
        <v>627711</v>
      </c>
      <c r="C539" s="16" t="inlineStr">
        <is>
          <t>7896023799983</t>
        </is>
      </c>
      <c r="D539" s="17" t="inlineStr">
        <is>
          <t>OMEGA 3 1000MG 60CAP</t>
        </is>
      </c>
      <c r="E539" s="17" t="inlineStr">
        <is>
          <t>CATARINENSE PHARMA</t>
        </is>
      </c>
      <c r="F539" s="15" t="n">
        <v>3</v>
      </c>
      <c r="G539" s="12" t="n"/>
      <c r="H539" s="13" t="n"/>
      <c r="I539" s="4" t="n"/>
      <c r="J539" s="18">
        <f>IF(G539="","",F539*G539)</f>
        <v/>
      </c>
    </row>
    <row r="540">
      <c r="A540" s="9" t="n">
        <v>526</v>
      </c>
      <c r="B540" s="9" t="n">
        <v>378761</v>
      </c>
      <c r="C540" s="10" t="inlineStr">
        <is>
          <t>7896658004360</t>
        </is>
      </c>
      <c r="D540" s="11" t="inlineStr">
        <is>
          <t>OMEPRAMIX 20+500+500MG CX 35 COMP</t>
        </is>
      </c>
      <c r="E540" s="11" t="inlineStr">
        <is>
          <t>ACHE</t>
        </is>
      </c>
      <c r="F540" s="9" t="n">
        <v>1</v>
      </c>
      <c r="G540" s="12" t="n"/>
      <c r="H540" s="13" t="n"/>
      <c r="I540" s="4" t="n"/>
      <c r="J540" s="14">
        <f>IF(G540="","",F540*G540)</f>
        <v/>
      </c>
    </row>
    <row r="541">
      <c r="A541" s="15" t="n">
        <v>527</v>
      </c>
      <c r="B541" s="15" t="n">
        <v>625711</v>
      </c>
      <c r="C541" s="16" t="inlineStr">
        <is>
          <t>7896094921870</t>
        </is>
      </c>
      <c r="D541" s="17" t="inlineStr">
        <is>
          <t>ONDIF 4MG CX 10 ENV FILMES</t>
        </is>
      </c>
      <c r="E541" s="17" t="inlineStr">
        <is>
          <t>MANTECORP/FARMASA</t>
        </is>
      </c>
      <c r="F541" s="15" t="n">
        <v>2</v>
      </c>
      <c r="G541" s="12" t="n"/>
      <c r="H541" s="13" t="n"/>
      <c r="I541" s="4" t="n"/>
      <c r="J541" s="18">
        <f>IF(G541="","",F541*G541)</f>
        <v/>
      </c>
    </row>
    <row r="542">
      <c r="A542" s="9" t="n">
        <v>528</v>
      </c>
      <c r="B542" s="9" t="n">
        <v>561001</v>
      </c>
      <c r="C542" s="10" t="inlineStr">
        <is>
          <t>7892828000620</t>
        </is>
      </c>
      <c r="D542" s="11" t="inlineStr">
        <is>
          <t>ORGANO NEUROCEREBRAL DRG FR VD X 25</t>
        </is>
      </c>
      <c r="E542" s="11" t="inlineStr">
        <is>
          <t>GROSS</t>
        </is>
      </c>
      <c r="F542" s="9" t="n">
        <v>3</v>
      </c>
      <c r="G542" s="12" t="n"/>
      <c r="H542" s="13" t="n"/>
      <c r="I542" s="4" t="n"/>
      <c r="J542" s="14">
        <f>IF(G542="","",F542*G542)</f>
        <v/>
      </c>
    </row>
    <row r="543">
      <c r="A543" s="15" t="n">
        <v>529</v>
      </c>
      <c r="B543" s="15" t="n">
        <v>321581</v>
      </c>
      <c r="C543" s="16" t="inlineStr">
        <is>
          <t>7896637022439</t>
        </is>
      </c>
      <c r="D543" s="17" t="inlineStr">
        <is>
          <t>OTO-XILODASE SOL OTO FR 8ML+AMP</t>
        </is>
      </c>
      <c r="E543" s="17" t="inlineStr">
        <is>
          <t>APSEN</t>
        </is>
      </c>
      <c r="F543" s="15" t="n">
        <v>33</v>
      </c>
      <c r="G543" s="12" t="n"/>
      <c r="H543" s="13" t="n"/>
      <c r="I543" s="4" t="n"/>
      <c r="J543" s="18">
        <f>IF(G543="","",F543*G543)</f>
        <v/>
      </c>
    </row>
    <row r="544">
      <c r="A544" s="9" t="n">
        <v>530</v>
      </c>
      <c r="B544" s="9" t="n">
        <v>137841</v>
      </c>
      <c r="C544" s="10" t="inlineStr">
        <is>
          <t>7898040324223</t>
        </is>
      </c>
      <c r="D544" s="11" t="inlineStr">
        <is>
          <t>OTOCIRIAX 2,0MG+10MG/ML CX 5ML</t>
        </is>
      </c>
      <c r="E544" s="11" t="inlineStr">
        <is>
          <t>FQM/FARMA</t>
        </is>
      </c>
      <c r="F544" s="9" t="n">
        <v>9</v>
      </c>
      <c r="G544" s="12" t="n"/>
      <c r="H544" s="13" t="n"/>
      <c r="I544" s="4" t="n"/>
      <c r="J544" s="14">
        <f>IF(G544="","",F544*G544)</f>
        <v/>
      </c>
    </row>
    <row r="545">
      <c r="A545" s="15" t="n">
        <v>531</v>
      </c>
      <c r="B545" s="15" t="n">
        <v>452561</v>
      </c>
      <c r="C545" s="16" t="inlineStr">
        <is>
          <t>7898040320942</t>
        </is>
      </c>
      <c r="D545" s="17" t="inlineStr">
        <is>
          <t>OTOSPORIN SOL OTO FR GTS 10ML</t>
        </is>
      </c>
      <c r="E545" s="17" t="inlineStr">
        <is>
          <t>FQM/FARMA</t>
        </is>
      </c>
      <c r="F545" s="15" t="n">
        <v>2</v>
      </c>
      <c r="G545" s="12" t="n"/>
      <c r="H545" s="13" t="n"/>
      <c r="I545" s="4" t="n"/>
      <c r="J545" s="18">
        <f>IF(G545="","",F545*G545)</f>
        <v/>
      </c>
    </row>
    <row r="546">
      <c r="A546" s="9" t="n">
        <v>532</v>
      </c>
      <c r="B546" s="9" t="n">
        <v>653701</v>
      </c>
      <c r="C546" s="10" t="inlineStr">
        <is>
          <t>7898639690999</t>
        </is>
      </c>
      <c r="D546" s="11" t="inlineStr">
        <is>
          <t>OXIMETRO DE DEDO LED OXILED1</t>
        </is>
      </c>
      <c r="E546" s="11" t="inlineStr">
        <is>
          <t>G-TECH</t>
        </is>
      </c>
      <c r="F546" s="9" t="n">
        <v>2</v>
      </c>
      <c r="G546" s="12" t="n"/>
      <c r="H546" s="13" t="n"/>
      <c r="I546" s="4" t="n"/>
      <c r="J546" s="14">
        <f>IF(G546="","",F546*G546)</f>
        <v/>
      </c>
    </row>
    <row r="547">
      <c r="A547" s="15" t="n">
        <v>533</v>
      </c>
      <c r="B547" s="15" t="n">
        <v>398941</v>
      </c>
      <c r="C547" s="16" t="inlineStr">
        <is>
          <t>7891317000035</t>
        </is>
      </c>
      <c r="D547" s="17" t="inlineStr">
        <is>
          <t>PACO 500MG+30MG CX 12 COMP</t>
        </is>
      </c>
      <c r="E547" s="17" t="inlineStr">
        <is>
          <t>EUROFARMA</t>
        </is>
      </c>
      <c r="F547" s="15" t="n">
        <v>5</v>
      </c>
      <c r="G547" s="12" t="n"/>
      <c r="H547" s="13" t="n"/>
      <c r="I547" s="4" t="n"/>
      <c r="J547" s="18">
        <f>IF(G547="","",F547*G547)</f>
        <v/>
      </c>
    </row>
    <row r="548">
      <c r="A548" s="9" t="n">
        <v>534</v>
      </c>
      <c r="B548" s="9" t="n">
        <v>398921</v>
      </c>
      <c r="C548" s="10" t="inlineStr">
        <is>
          <t>7891317000042</t>
        </is>
      </c>
      <c r="D548" s="11" t="inlineStr">
        <is>
          <t>PACO 500MG+30MG CX 24 COMP</t>
        </is>
      </c>
      <c r="E548" s="11" t="inlineStr">
        <is>
          <t>EUROFARMA</t>
        </is>
      </c>
      <c r="F548" s="9" t="n">
        <v>5</v>
      </c>
      <c r="G548" s="12" t="n"/>
      <c r="H548" s="13" t="n"/>
      <c r="I548" s="4" t="n"/>
      <c r="J548" s="14">
        <f>IF(G548="","",F548*G548)</f>
        <v/>
      </c>
    </row>
    <row r="549">
      <c r="A549" s="15" t="n">
        <v>535</v>
      </c>
      <c r="B549" s="15" t="n">
        <v>565041</v>
      </c>
      <c r="C549" s="16" t="inlineStr">
        <is>
          <t>78900813</t>
        </is>
      </c>
      <c r="D549" s="17" t="inlineStr">
        <is>
          <t>PASTILHAS VALDA CLASSIC 24G</t>
        </is>
      </c>
      <c r="E549" s="17" t="inlineStr">
        <is>
          <t>CANONNE</t>
        </is>
      </c>
      <c r="F549" s="15" t="n">
        <v>1</v>
      </c>
      <c r="G549" s="12" t="n"/>
      <c r="H549" s="13" t="n"/>
      <c r="I549" s="4" t="n"/>
      <c r="J549" s="18">
        <f>IF(G549="","",F549*G549)</f>
        <v/>
      </c>
    </row>
    <row r="550">
      <c r="A550" s="9" t="n">
        <v>536</v>
      </c>
      <c r="B550" s="9" t="n">
        <v>163881</v>
      </c>
      <c r="C550" s="10" t="inlineStr">
        <is>
          <t>7896548140581</t>
        </is>
      </c>
      <c r="D550" s="11" t="inlineStr">
        <is>
          <t>PATANOL S 2MG/ML SOL OFT FR GTS 2,5ML</t>
        </is>
      </c>
      <c r="E550" s="11" t="inlineStr">
        <is>
          <t>NOVARTIS</t>
        </is>
      </c>
      <c r="F550" s="9" t="n">
        <v>3</v>
      </c>
      <c r="G550" s="12" t="n"/>
      <c r="H550" s="13" t="n"/>
      <c r="I550" s="4" t="n"/>
      <c r="J550" s="14">
        <f>IF(G550="","",F550*G550)</f>
        <v/>
      </c>
    </row>
    <row r="551">
      <c r="A551" s="15" t="n">
        <v>537</v>
      </c>
      <c r="B551" s="15" t="n">
        <v>652011</v>
      </c>
      <c r="C551" s="16" t="inlineStr">
        <is>
          <t>7891158106460</t>
        </is>
      </c>
      <c r="D551" s="17" t="inlineStr">
        <is>
          <t>PEDIALYTE MAX COCO 500ML</t>
        </is>
      </c>
      <c r="E551" s="17" t="inlineStr"/>
      <c r="F551" s="15" t="n">
        <v>2</v>
      </c>
      <c r="G551" s="12" t="n"/>
      <c r="H551" s="13" t="n"/>
      <c r="I551" s="4" t="n"/>
      <c r="J551" s="18">
        <f>IF(G551="","",F551*G551)</f>
        <v/>
      </c>
    </row>
    <row r="552">
      <c r="A552" s="9" t="n">
        <v>538</v>
      </c>
      <c r="B552" s="9" t="n">
        <v>626361</v>
      </c>
      <c r="C552" s="10" t="inlineStr">
        <is>
          <t>7891158106477</t>
        </is>
      </c>
      <c r="D552" s="11" t="inlineStr">
        <is>
          <t>PEDIALYTE MAX SOL OR FR 500ML SB MACA</t>
        </is>
      </c>
      <c r="E552" s="11" t="inlineStr">
        <is>
          <t>ABBOTT</t>
        </is>
      </c>
      <c r="F552" s="9" t="n">
        <v>2</v>
      </c>
      <c r="G552" s="12" t="n"/>
      <c r="H552" s="13" t="n"/>
      <c r="I552" s="4" t="n"/>
      <c r="J552" s="14">
        <f>IF(G552="","",F552*G552)</f>
        <v/>
      </c>
    </row>
    <row r="553">
      <c r="A553" s="15" t="n">
        <v>539</v>
      </c>
      <c r="B553" s="15" t="n">
        <v>626351</v>
      </c>
      <c r="C553" s="16" t="inlineStr">
        <is>
          <t>7891158106453</t>
        </is>
      </c>
      <c r="D553" s="17" t="inlineStr">
        <is>
          <t>PEDIALYTE MAX SOL OR FR 500ML SB MORANGO</t>
        </is>
      </c>
      <c r="E553" s="17" t="inlineStr">
        <is>
          <t>ABBOTT</t>
        </is>
      </c>
      <c r="F553" s="15" t="n">
        <v>9</v>
      </c>
      <c r="G553" s="12" t="n"/>
      <c r="H553" s="13" t="n"/>
      <c r="I553" s="4" t="n"/>
      <c r="J553" s="18">
        <f>IF(G553="","",F553*G553)</f>
        <v/>
      </c>
    </row>
    <row r="554">
      <c r="A554" s="9" t="n">
        <v>540</v>
      </c>
      <c r="B554" s="9" t="n">
        <v>626341</v>
      </c>
      <c r="C554" s="10" t="inlineStr">
        <is>
          <t>7891158106446</t>
        </is>
      </c>
      <c r="D554" s="11" t="inlineStr">
        <is>
          <t>PEDIALYTE MAX SOL OR FR 500ML SB UVA</t>
        </is>
      </c>
      <c r="E554" s="11" t="inlineStr">
        <is>
          <t>ABBOTT</t>
        </is>
      </c>
      <c r="F554" s="9" t="n">
        <v>2</v>
      </c>
      <c r="G554" s="12" t="n"/>
      <c r="H554" s="13" t="n"/>
      <c r="I554" s="4" t="n"/>
      <c r="J554" s="14">
        <f>IF(G554="","",F554*G554)</f>
        <v/>
      </c>
    </row>
    <row r="555">
      <c r="A555" s="15" t="n">
        <v>541</v>
      </c>
      <c r="B555" s="15" t="n">
        <v>17603</v>
      </c>
      <c r="C555" s="16" t="inlineStr">
        <is>
          <t>7896026172356</t>
        </is>
      </c>
      <c r="D555" s="17" t="inlineStr">
        <is>
          <t>PENETRO SPRAY 50ML</t>
        </is>
      </c>
      <c r="E555" s="17" t="inlineStr"/>
      <c r="F555" s="15" t="n">
        <v>1</v>
      </c>
      <c r="G555" s="12" t="n"/>
      <c r="H555" s="13" t="n"/>
      <c r="I555" s="4" t="n"/>
      <c r="J555" s="18">
        <f>IF(G555="","",F555*G555)</f>
        <v/>
      </c>
    </row>
    <row r="556">
      <c r="A556" s="9" t="n">
        <v>542</v>
      </c>
      <c r="B556" s="9" t="n">
        <v>316121</v>
      </c>
      <c r="C556" s="10" t="inlineStr">
        <is>
          <t>7891317411909</t>
        </is>
      </c>
      <c r="D556" s="11" t="inlineStr">
        <is>
          <t>PERCOF 6 MG/ML XPE FR 120ML+COPO MED</t>
        </is>
      </c>
      <c r="E556" s="11" t="inlineStr">
        <is>
          <t>SUPERA</t>
        </is>
      </c>
      <c r="F556" s="9" t="n">
        <v>3</v>
      </c>
      <c r="G556" s="12" t="n"/>
      <c r="H556" s="13" t="n"/>
      <c r="I556" s="4" t="n"/>
      <c r="J556" s="14">
        <f>IF(G556="","",F556*G556)</f>
        <v/>
      </c>
    </row>
    <row r="557">
      <c r="A557" s="15" t="n">
        <v>543</v>
      </c>
      <c r="B557" s="15" t="n">
        <v>594751</v>
      </c>
      <c r="C557" s="16" t="inlineStr">
        <is>
          <t>7891024179925</t>
        </is>
      </c>
      <c r="D557" s="17" t="inlineStr">
        <is>
          <t>PERIOGARD S/ALCOOL 250ML</t>
        </is>
      </c>
      <c r="E557" s="17" t="inlineStr">
        <is>
          <t>COLGATE PALMOLIVE</t>
        </is>
      </c>
      <c r="F557" s="15" t="n">
        <v>8</v>
      </c>
      <c r="G557" s="12" t="n"/>
      <c r="H557" s="13" t="n"/>
      <c r="I557" s="4" t="n"/>
      <c r="J557" s="18">
        <f>IF(G557="","",F557*G557)</f>
        <v/>
      </c>
    </row>
    <row r="558">
      <c r="A558" s="9" t="n">
        <v>544</v>
      </c>
      <c r="B558" s="9" t="n">
        <v>578161</v>
      </c>
      <c r="C558" s="10" t="inlineStr">
        <is>
          <t>7891317015343</t>
        </is>
      </c>
      <c r="D558" s="11" t="inlineStr">
        <is>
          <t>PERMESE 5MG/ML+2MG/ML SUS INJ AMP 1ML+SER SIST SEG</t>
        </is>
      </c>
      <c r="E558" s="11" t="inlineStr">
        <is>
          <t>MOMENTA</t>
        </is>
      </c>
      <c r="F558" s="9" t="n">
        <v>2</v>
      </c>
      <c r="G558" s="12" t="n"/>
      <c r="H558" s="13" t="n"/>
      <c r="I558" s="4" t="n"/>
      <c r="J558" s="14">
        <f>IF(G558="","",F558*G558)</f>
        <v/>
      </c>
    </row>
    <row r="559">
      <c r="A559" s="15" t="n">
        <v>545</v>
      </c>
      <c r="B559" s="15" t="n">
        <v>553021</v>
      </c>
      <c r="C559" s="16" t="inlineStr">
        <is>
          <t>7896676434323</t>
        </is>
      </c>
      <c r="D559" s="17" t="inlineStr">
        <is>
          <t>PHOSFOENEMA 160+60MG/ML ENEMA FR 130ML</t>
        </is>
      </c>
      <c r="E559" s="17" t="inlineStr">
        <is>
          <t>SUPERA</t>
        </is>
      </c>
      <c r="F559" s="15" t="n">
        <v>4</v>
      </c>
      <c r="G559" s="12" t="n"/>
      <c r="H559" s="13" t="n"/>
      <c r="I559" s="4" t="n"/>
      <c r="J559" s="18">
        <f>IF(G559="","",F559*G559)</f>
        <v/>
      </c>
    </row>
    <row r="560">
      <c r="A560" s="9" t="n">
        <v>546</v>
      </c>
      <c r="B560" s="9" t="n">
        <v>159781</v>
      </c>
      <c r="C560" s="10" t="inlineStr">
        <is>
          <t>7891058059149</t>
        </is>
      </c>
      <c r="D560" s="11" t="inlineStr">
        <is>
          <t>PLASIL 10MG CX 20 COMP</t>
        </is>
      </c>
      <c r="E560" s="11" t="inlineStr">
        <is>
          <t>SANOFI/MEDLEY</t>
        </is>
      </c>
      <c r="F560" s="9" t="n">
        <v>8</v>
      </c>
      <c r="G560" s="12" t="n"/>
      <c r="H560" s="13" t="n"/>
      <c r="I560" s="4" t="n"/>
      <c r="J560" s="14">
        <f>IF(G560="","",F560*G560)</f>
        <v/>
      </c>
    </row>
    <row r="561">
      <c r="A561" s="15" t="n">
        <v>547</v>
      </c>
      <c r="B561" s="15" t="n">
        <v>331181</v>
      </c>
      <c r="C561" s="16" t="inlineStr">
        <is>
          <t>7891142171757</t>
        </is>
      </c>
      <c r="D561" s="17" t="inlineStr">
        <is>
          <t>POLARAMINE 0,4MG LIQ FR 120ML</t>
        </is>
      </c>
      <c r="E561" s="17" t="inlineStr">
        <is>
          <t>MANTECORP/FARMASA</t>
        </is>
      </c>
      <c r="F561" s="15" t="n">
        <v>3</v>
      </c>
      <c r="G561" s="12" t="n"/>
      <c r="H561" s="13" t="n"/>
      <c r="I561" s="4" t="n"/>
      <c r="J561" s="18">
        <f>IF(G561="","",F561*G561)</f>
        <v/>
      </c>
    </row>
    <row r="562">
      <c r="A562" s="9" t="n">
        <v>548</v>
      </c>
      <c r="B562" s="9" t="n">
        <v>331141</v>
      </c>
      <c r="C562" s="10" t="inlineStr">
        <is>
          <t>7891142171719</t>
        </is>
      </c>
      <c r="D562" s="11" t="inlineStr">
        <is>
          <t>POLARAMINE 2MG CX 20 COMP</t>
        </is>
      </c>
      <c r="E562" s="11" t="inlineStr">
        <is>
          <t>MANTECORP/FARMASA</t>
        </is>
      </c>
      <c r="F562" s="9" t="n">
        <v>2</v>
      </c>
      <c r="G562" s="12" t="n"/>
      <c r="H562" s="13" t="n"/>
      <c r="I562" s="4" t="n"/>
      <c r="J562" s="14">
        <f>IF(G562="","",F562*G562)</f>
        <v/>
      </c>
    </row>
    <row r="563">
      <c r="A563" s="15" t="n">
        <v>549</v>
      </c>
      <c r="B563" s="15" t="n">
        <v>115101</v>
      </c>
      <c r="C563" s="16" t="inlineStr">
        <is>
          <t>0000078905108</t>
        </is>
      </c>
      <c r="D563" s="17" t="inlineStr">
        <is>
          <t>POMADA MINANCORA 20%+0,5%+5% POM DERM BG 30G</t>
        </is>
      </c>
      <c r="E563" s="17" t="inlineStr">
        <is>
          <t>MINANCORA</t>
        </is>
      </c>
      <c r="F563" s="15" t="n">
        <v>3</v>
      </c>
      <c r="G563" s="12" t="n"/>
      <c r="H563" s="13" t="n"/>
      <c r="I563" s="4" t="n"/>
      <c r="J563" s="18">
        <f>IF(G563="","",F563*G563)</f>
        <v/>
      </c>
    </row>
    <row r="564">
      <c r="A564" s="9" t="n">
        <v>550</v>
      </c>
      <c r="B564" s="9" t="n">
        <v>17041</v>
      </c>
      <c r="C564" s="10" t="inlineStr">
        <is>
          <t>7891268118001</t>
        </is>
      </c>
      <c r="D564" s="11" t="inlineStr">
        <is>
          <t>PONSTAN 500MG CX 24 COMP</t>
        </is>
      </c>
      <c r="E564" s="11" t="inlineStr">
        <is>
          <t>PFIZER</t>
        </is>
      </c>
      <c r="F564" s="9" t="n">
        <v>2</v>
      </c>
      <c r="G564" s="12" t="n"/>
      <c r="H564" s="13" t="n"/>
      <c r="I564" s="4" t="n"/>
      <c r="J564" s="14">
        <f>IF(G564="","",F564*G564)</f>
        <v/>
      </c>
    </row>
    <row r="565">
      <c r="A565" s="15" t="n">
        <v>551</v>
      </c>
      <c r="B565" s="15" t="n">
        <v>625651</v>
      </c>
      <c r="C565" s="16" t="inlineStr">
        <is>
          <t>7891142982889</t>
        </is>
      </c>
      <c r="D565" s="17" t="inlineStr">
        <is>
          <t>PREDSIM 10MG CPRV CT BL 10</t>
        </is>
      </c>
      <c r="E565" s="17" t="inlineStr">
        <is>
          <t>MANTECORP/FARMASA</t>
        </is>
      </c>
      <c r="F565" s="15" t="n">
        <v>2</v>
      </c>
      <c r="G565" s="12" t="n"/>
      <c r="H565" s="13" t="n"/>
      <c r="I565" s="4" t="n"/>
      <c r="J565" s="18">
        <f>IF(G565="","",F565*G565)</f>
        <v/>
      </c>
    </row>
    <row r="566">
      <c r="A566" s="9" t="n">
        <v>552</v>
      </c>
      <c r="B566" s="9" t="n">
        <v>255201</v>
      </c>
      <c r="C566" s="10" t="inlineStr">
        <is>
          <t>7891142177124</t>
        </is>
      </c>
      <c r="D566" s="11" t="inlineStr">
        <is>
          <t>PREDSIM 11MG FR GOTAS 20ML</t>
        </is>
      </c>
      <c r="E566" s="11" t="inlineStr">
        <is>
          <t>MANTECORP/FARMASA</t>
        </is>
      </c>
      <c r="F566" s="9" t="n">
        <v>2</v>
      </c>
      <c r="G566" s="12" t="n"/>
      <c r="H566" s="13" t="n"/>
      <c r="I566" s="4" t="n"/>
      <c r="J566" s="14">
        <f>IF(G566="","",F566*G566)</f>
        <v/>
      </c>
    </row>
    <row r="567">
      <c r="A567" s="15" t="n">
        <v>553</v>
      </c>
      <c r="B567" s="15" t="n">
        <v>631101</v>
      </c>
      <c r="C567" s="16" t="inlineStr">
        <is>
          <t>7891142981363</t>
        </is>
      </c>
      <c r="D567" s="17" t="inlineStr">
        <is>
          <t>PREDSIM 20MG CX 10 COMP</t>
        </is>
      </c>
      <c r="E567" s="17" t="inlineStr">
        <is>
          <t>MANTECORP/FARMASA</t>
        </is>
      </c>
      <c r="F567" s="15" t="n">
        <v>4</v>
      </c>
      <c r="G567" s="12" t="n"/>
      <c r="H567" s="13" t="n"/>
      <c r="I567" s="4" t="n"/>
      <c r="J567" s="18">
        <f>IF(G567="","",F567*G567)</f>
        <v/>
      </c>
    </row>
    <row r="568">
      <c r="A568" s="9" t="n">
        <v>554</v>
      </c>
      <c r="B568" s="9" t="n">
        <v>255321</v>
      </c>
      <c r="C568" s="10" t="inlineStr">
        <is>
          <t>7891142177155</t>
        </is>
      </c>
      <c r="D568" s="11" t="inlineStr">
        <is>
          <t>PREDSIM 3MG SOL ORAL FR 100ML+DOS</t>
        </is>
      </c>
      <c r="E568" s="11" t="inlineStr">
        <is>
          <t>MANTECORP/FARMASA</t>
        </is>
      </c>
      <c r="F568" s="9" t="n">
        <v>1</v>
      </c>
      <c r="G568" s="12" t="n"/>
      <c r="H568" s="13" t="n"/>
      <c r="I568" s="4" t="n"/>
      <c r="J568" s="14">
        <f>IF(G568="","",F568*G568)</f>
        <v/>
      </c>
    </row>
    <row r="569">
      <c r="A569" s="15" t="n">
        <v>555</v>
      </c>
      <c r="B569" s="15" t="n">
        <v>255221</v>
      </c>
      <c r="C569" s="16" t="inlineStr">
        <is>
          <t>7891142177162</t>
        </is>
      </c>
      <c r="D569" s="17" t="inlineStr">
        <is>
          <t>PREDSIM 3MG SOL ORAL FR 60ML+DOS</t>
        </is>
      </c>
      <c r="E569" s="17" t="inlineStr">
        <is>
          <t>MANTECORP/FARMASA</t>
        </is>
      </c>
      <c r="F569" s="15" t="n">
        <v>4</v>
      </c>
      <c r="G569" s="12" t="n"/>
      <c r="H569" s="13" t="n"/>
      <c r="I569" s="4" t="n"/>
      <c r="J569" s="18">
        <f>IF(G569="","",F569*G569)</f>
        <v/>
      </c>
    </row>
    <row r="570">
      <c r="A570" s="9" t="n">
        <v>556</v>
      </c>
      <c r="B570" s="9" t="n">
        <v>622941</v>
      </c>
      <c r="C570" s="10" t="inlineStr">
        <is>
          <t>7891142981318</t>
        </is>
      </c>
      <c r="D570" s="11" t="inlineStr">
        <is>
          <t>PREDSIM 5MG CX 10 COMP</t>
        </is>
      </c>
      <c r="E570" s="11" t="inlineStr">
        <is>
          <t>MANTECORP/FARMASA</t>
        </is>
      </c>
      <c r="F570" s="9" t="n">
        <v>8</v>
      </c>
      <c r="G570" s="12" t="n"/>
      <c r="H570" s="13" t="n"/>
      <c r="I570" s="4" t="n"/>
      <c r="J570" s="14">
        <f>IF(G570="","",F570*G570)</f>
        <v/>
      </c>
    </row>
    <row r="571">
      <c r="A571" s="15" t="n">
        <v>557</v>
      </c>
      <c r="B571" s="15" t="n">
        <v>255821</v>
      </c>
      <c r="C571" s="16" t="inlineStr">
        <is>
          <t>7891317004163</t>
        </is>
      </c>
      <c r="D571" s="17" t="inlineStr">
        <is>
          <t>PRENI 11MG/ML SOL OR FR GOT 20ML</t>
        </is>
      </c>
      <c r="E571" s="17" t="inlineStr">
        <is>
          <t>EUROFARMA</t>
        </is>
      </c>
      <c r="F571" s="15" t="n">
        <v>1</v>
      </c>
      <c r="G571" s="12" t="n"/>
      <c r="H571" s="13" t="n"/>
      <c r="I571" s="4" t="n"/>
      <c r="J571" s="18">
        <f>IF(G571="","",F571*G571)</f>
        <v/>
      </c>
    </row>
    <row r="572">
      <c r="A572" s="9" t="n">
        <v>558</v>
      </c>
      <c r="B572" s="9" t="n">
        <v>408261</v>
      </c>
      <c r="C572" s="10" t="inlineStr">
        <is>
          <t>7891317004095</t>
        </is>
      </c>
      <c r="D572" s="11" t="inlineStr">
        <is>
          <t>PRENI 20MG CX 10 COMP</t>
        </is>
      </c>
      <c r="E572" s="11" t="inlineStr">
        <is>
          <t>EUROFARMA</t>
        </is>
      </c>
      <c r="F572" s="9" t="n">
        <v>1</v>
      </c>
      <c r="G572" s="12" t="n"/>
      <c r="H572" s="13" t="n"/>
      <c r="I572" s="4" t="n"/>
      <c r="J572" s="14">
        <f>IF(G572="","",F572*G572)</f>
        <v/>
      </c>
    </row>
    <row r="573">
      <c r="A573" s="15" t="n">
        <v>559</v>
      </c>
      <c r="B573" s="15" t="n">
        <v>613011</v>
      </c>
      <c r="C573" s="16" t="inlineStr">
        <is>
          <t>7891317476410</t>
        </is>
      </c>
      <c r="D573" s="17" t="inlineStr">
        <is>
          <t>PRENI 3MG/ML SOL OR FR 120ML+SER DOS</t>
        </is>
      </c>
      <c r="E573" s="17" t="inlineStr">
        <is>
          <t>EUROFARMA</t>
        </is>
      </c>
      <c r="F573" s="15" t="n">
        <v>1</v>
      </c>
      <c r="G573" s="12" t="n"/>
      <c r="H573" s="13" t="n"/>
      <c r="I573" s="4" t="n"/>
      <c r="J573" s="18">
        <f>IF(G573="","",F573*G573)</f>
        <v/>
      </c>
    </row>
    <row r="574">
      <c r="A574" s="9" t="n">
        <v>560</v>
      </c>
      <c r="B574" s="9" t="n">
        <v>256001</v>
      </c>
      <c r="C574" s="10" t="inlineStr">
        <is>
          <t>7891317004217</t>
        </is>
      </c>
      <c r="D574" s="11" t="inlineStr">
        <is>
          <t>PRENI 3MG/ML SOL OR FR 60ML+SER DOS</t>
        </is>
      </c>
      <c r="E574" s="11" t="inlineStr">
        <is>
          <t>EUROFARMA</t>
        </is>
      </c>
      <c r="F574" s="9" t="n">
        <v>1</v>
      </c>
      <c r="G574" s="12" t="n"/>
      <c r="H574" s="13" t="n"/>
      <c r="I574" s="4" t="n"/>
      <c r="J574" s="14">
        <f>IF(G574="","",F574*G574)</f>
        <v/>
      </c>
    </row>
    <row r="575">
      <c r="A575" s="15" t="n">
        <v>561</v>
      </c>
      <c r="B575" s="15" t="n">
        <v>563381</v>
      </c>
      <c r="C575" s="16" t="inlineStr">
        <is>
          <t>7891106914048</t>
        </is>
      </c>
      <c r="D575" s="17" t="inlineStr">
        <is>
          <t>PRIMOGYNA 2MG CX 28 DRG</t>
        </is>
      </c>
      <c r="E575" s="17" t="inlineStr">
        <is>
          <t>BAYER</t>
        </is>
      </c>
      <c r="F575" s="15" t="n">
        <v>1</v>
      </c>
      <c r="G575" s="12" t="n"/>
      <c r="H575" s="13" t="n"/>
      <c r="I575" s="4" t="n"/>
      <c r="J575" s="18">
        <f>IF(G575="","",F575*G575)</f>
        <v/>
      </c>
    </row>
    <row r="576">
      <c r="A576" s="9" t="n">
        <v>562</v>
      </c>
      <c r="B576" s="9" t="n">
        <v>558501</v>
      </c>
      <c r="C576" s="10" t="inlineStr">
        <is>
          <t>7896006201717</t>
        </is>
      </c>
      <c r="D576" s="11" t="inlineStr">
        <is>
          <t>PRIMOLUT-NOR 10MG CX 30 COMP</t>
        </is>
      </c>
      <c r="E576" s="11" t="inlineStr">
        <is>
          <t>UNIAO QUIMICA</t>
        </is>
      </c>
      <c r="F576" s="9" t="n">
        <v>3</v>
      </c>
      <c r="G576" s="12" t="n"/>
      <c r="H576" s="13" t="n"/>
      <c r="I576" s="4" t="n"/>
      <c r="J576" s="14">
        <f>IF(G576="","",F576*G576)</f>
        <v/>
      </c>
    </row>
    <row r="577">
      <c r="A577" s="15" t="n">
        <v>563</v>
      </c>
      <c r="B577" s="15" t="n">
        <v>644221</v>
      </c>
      <c r="C577" s="16" t="inlineStr">
        <is>
          <t>7898636193622</t>
        </is>
      </c>
      <c r="D577" s="17" t="inlineStr">
        <is>
          <t>PROCTAN 25G C/ 10 LUVAS-OUTROS</t>
        </is>
      </c>
      <c r="E577" s="17" t="inlineStr">
        <is>
          <t>GENOMA</t>
        </is>
      </c>
      <c r="F577" s="15" t="n">
        <v>4</v>
      </c>
      <c r="G577" s="12" t="n"/>
      <c r="H577" s="13" t="n"/>
      <c r="I577" s="4" t="n"/>
      <c r="J577" s="18">
        <f>IF(G577="","",F577*G577)</f>
        <v/>
      </c>
    </row>
    <row r="578">
      <c r="A578" s="9" t="n">
        <v>564</v>
      </c>
      <c r="B578" s="9" t="n">
        <v>543021</v>
      </c>
      <c r="C578" s="10" t="inlineStr">
        <is>
          <t>7898949409465</t>
        </is>
      </c>
      <c r="D578" s="11" t="inlineStr">
        <is>
          <t>PROCTAN 25G POMADA GENO %DN:0.00</t>
        </is>
      </c>
      <c r="E578" s="11" t="inlineStr">
        <is>
          <t>GENOMA</t>
        </is>
      </c>
      <c r="F578" s="9" t="n">
        <v>5</v>
      </c>
      <c r="G578" s="12" t="n"/>
      <c r="H578" s="13" t="n"/>
      <c r="I578" s="4" t="n"/>
      <c r="J578" s="14">
        <f>IF(G578="","",F578*G578)</f>
        <v/>
      </c>
    </row>
    <row r="579">
      <c r="A579" s="15" t="n">
        <v>565</v>
      </c>
      <c r="B579" s="15" t="n">
        <v>96361</v>
      </c>
      <c r="C579" s="16" t="inlineStr">
        <is>
          <t>7896070601871</t>
        </is>
      </c>
      <c r="D579" s="17" t="inlineStr">
        <is>
          <t>PROFENID 50MG SOL INJ CX 6 AMP X 2ML</t>
        </is>
      </c>
      <c r="E579" s="17" t="inlineStr">
        <is>
          <t>SANOFI/MEDLEY</t>
        </is>
      </c>
      <c r="F579" s="15" t="n">
        <v>3</v>
      </c>
      <c r="G579" s="12" t="n"/>
      <c r="H579" s="13" t="n"/>
      <c r="I579" s="4" t="n"/>
      <c r="J579" s="18">
        <f>IF(G579="","",F579*G579)</f>
        <v/>
      </c>
    </row>
    <row r="580">
      <c r="A580" s="9" t="n">
        <v>566</v>
      </c>
      <c r="B580" s="9" t="n">
        <v>642571</v>
      </c>
      <c r="C580" s="10" t="inlineStr">
        <is>
          <t>7896658036392</t>
        </is>
      </c>
      <c r="D580" s="11" t="inlineStr">
        <is>
          <t>PROHN BL 30 COMP</t>
        </is>
      </c>
      <c r="E580" s="11" t="inlineStr">
        <is>
          <t>ACHE</t>
        </is>
      </c>
      <c r="F580" s="9" t="n">
        <v>5</v>
      </c>
      <c r="G580" s="12" t="n"/>
      <c r="H580" s="13" t="n"/>
      <c r="I580" s="4" t="n"/>
      <c r="J580" s="14">
        <f>IF(G580="","",F580*G580)</f>
        <v/>
      </c>
    </row>
    <row r="581">
      <c r="A581" s="15" t="n">
        <v>567</v>
      </c>
      <c r="B581" s="15" t="n">
        <v>641821</v>
      </c>
      <c r="C581" s="16" t="inlineStr">
        <is>
          <t>7897732609464</t>
        </is>
      </c>
      <c r="D581" s="17" t="inlineStr">
        <is>
          <t>PROPZINCO SPR MENTA 30ML</t>
        </is>
      </c>
      <c r="E581" s="17" t="inlineStr">
        <is>
          <t>THEODORO F SOBRAL   CIA</t>
        </is>
      </c>
      <c r="F581" s="15" t="n">
        <v>2</v>
      </c>
      <c r="G581" s="12" t="n"/>
      <c r="H581" s="13" t="n"/>
      <c r="I581" s="4" t="n"/>
      <c r="J581" s="18">
        <f>IF(G581="","",F581*G581)</f>
        <v/>
      </c>
    </row>
    <row r="582">
      <c r="A582" s="9" t="n">
        <v>568</v>
      </c>
      <c r="B582" s="9" t="n">
        <v>623561</v>
      </c>
      <c r="C582" s="10" t="inlineStr">
        <is>
          <t>4005900921574</t>
        </is>
      </c>
      <c r="D582" s="11" t="inlineStr">
        <is>
          <t>PROT LABIAL COLOR VERMELHO 4,8G-DEMAIS PROD</t>
        </is>
      </c>
      <c r="E582" s="11" t="inlineStr">
        <is>
          <t>NIVEA</t>
        </is>
      </c>
      <c r="F582" s="9" t="n">
        <v>1</v>
      </c>
      <c r="G582" s="12" t="n"/>
      <c r="H582" s="13" t="n"/>
      <c r="I582" s="4" t="n"/>
      <c r="J582" s="14">
        <f>IF(G582="","",F582*G582)</f>
        <v/>
      </c>
    </row>
    <row r="583">
      <c r="A583" s="15" t="n">
        <v>569</v>
      </c>
      <c r="B583" s="15" t="n">
        <v>566961</v>
      </c>
      <c r="C583" s="16" t="inlineStr">
        <is>
          <t>4005808555345</t>
        </is>
      </c>
      <c r="D583" s="17" t="inlineStr">
        <is>
          <t>PROT NIVEA SOLAR SUN PROT  HIDRAT FPS50 200ML</t>
        </is>
      </c>
      <c r="E583" s="17" t="inlineStr">
        <is>
          <t>NIVEA</t>
        </is>
      </c>
      <c r="F583" s="15" t="n">
        <v>4</v>
      </c>
      <c r="G583" s="12" t="n"/>
      <c r="H583" s="13" t="n"/>
      <c r="I583" s="4" t="n"/>
      <c r="J583" s="18">
        <f>IF(G583="","",F583*G583)</f>
        <v/>
      </c>
    </row>
    <row r="584">
      <c r="A584" s="15" t="n">
        <v>570</v>
      </c>
      <c r="B584" s="15" t="n">
        <v>566961</v>
      </c>
      <c r="C584" s="16" t="inlineStr">
        <is>
          <t>4005900695536</t>
        </is>
      </c>
      <c r="D584" s="17" t="inlineStr">
        <is>
          <t>PROT NIVEA SOLAR SUN PROT  HIDRAT FPS50 200ML</t>
        </is>
      </c>
      <c r="E584" s="17" t="inlineStr">
        <is>
          <t>NIVEA</t>
        </is>
      </c>
      <c r="F584" s="15" t="n">
        <v>4</v>
      </c>
      <c r="G584" s="12" t="n"/>
      <c r="H584" s="13" t="n"/>
      <c r="I584" s="4" t="n"/>
      <c r="J584" s="18">
        <f>IF(G584="","",F584*G584)</f>
        <v/>
      </c>
    </row>
    <row r="585">
      <c r="A585" s="15" t="n">
        <v>571</v>
      </c>
      <c r="B585" s="15" t="n">
        <v>566961</v>
      </c>
      <c r="C585" s="16" t="inlineStr">
        <is>
          <t>4005900709752</t>
        </is>
      </c>
      <c r="D585" s="17" t="inlineStr">
        <is>
          <t>PROT NIVEA SOLAR SUN PROT  HIDRAT FPS50 200ML</t>
        </is>
      </c>
      <c r="E585" s="17" t="inlineStr">
        <is>
          <t>NIVEA</t>
        </is>
      </c>
      <c r="F585" s="15" t="n">
        <v>4</v>
      </c>
      <c r="G585" s="12" t="n"/>
      <c r="H585" s="13" t="n"/>
      <c r="I585" s="4" t="n"/>
      <c r="J585" s="18">
        <f>IF(G585="","",F585*G585)</f>
        <v/>
      </c>
    </row>
    <row r="586">
      <c r="A586" s="9" t="n">
        <v>572</v>
      </c>
      <c r="B586" s="9" t="n">
        <v>637681</v>
      </c>
      <c r="C586" s="10" t="inlineStr">
        <is>
          <t>4005900980380</t>
        </is>
      </c>
      <c r="D586" s="11" t="inlineStr">
        <is>
          <t>PROT NIVEA SUN FACIAL TOQUE SECO FPS30 40ML</t>
        </is>
      </c>
      <c r="E586" s="11" t="inlineStr">
        <is>
          <t>NIVEA</t>
        </is>
      </c>
      <c r="F586" s="9" t="n">
        <v>1</v>
      </c>
      <c r="G586" s="12" t="n"/>
      <c r="H586" s="13" t="n"/>
      <c r="I586" s="4" t="n"/>
      <c r="J586" s="14">
        <f>IF(G586="","",F586*G586)</f>
        <v/>
      </c>
    </row>
    <row r="587">
      <c r="A587" s="15" t="n">
        <v>573</v>
      </c>
      <c r="B587" s="15" t="n">
        <v>615391</v>
      </c>
      <c r="C587" s="16" t="inlineStr">
        <is>
          <t>4005900980397</t>
        </is>
      </c>
      <c r="D587" s="17" t="inlineStr">
        <is>
          <t>PROT NIVEA SUN FACIAL TOQUE SECO FPS70 40ML</t>
        </is>
      </c>
      <c r="E587" s="17" t="inlineStr">
        <is>
          <t>NIVEA</t>
        </is>
      </c>
      <c r="F587" s="15" t="n">
        <v>6</v>
      </c>
      <c r="G587" s="12" t="n"/>
      <c r="H587" s="13" t="n"/>
      <c r="I587" s="4" t="n"/>
      <c r="J587" s="18">
        <f>IF(G587="","",F587*G587)</f>
        <v/>
      </c>
    </row>
    <row r="588">
      <c r="A588" s="9" t="n">
        <v>574</v>
      </c>
      <c r="B588" s="9" t="n">
        <v>609991</v>
      </c>
      <c r="C588" s="10" t="inlineStr">
        <is>
          <t>7891010591007</t>
        </is>
      </c>
      <c r="D588" s="11" t="inlineStr">
        <is>
          <t>PROTETOR SOLAR NEUTROGENA SUN FRESH FPS70 200ML</t>
        </is>
      </c>
      <c r="E588" s="11" t="inlineStr">
        <is>
          <t>KENVER</t>
        </is>
      </c>
      <c r="F588" s="9" t="n">
        <v>2</v>
      </c>
      <c r="G588" s="12" t="n"/>
      <c r="H588" s="13" t="n"/>
      <c r="I588" s="4" t="n"/>
      <c r="J588" s="14">
        <f>IF(G588="","",F588*G588)</f>
        <v/>
      </c>
    </row>
    <row r="589">
      <c r="A589" s="15" t="n">
        <v>575</v>
      </c>
      <c r="B589" s="15" t="n">
        <v>500261</v>
      </c>
      <c r="C589" s="16" t="inlineStr">
        <is>
          <t>7897595901033</t>
        </is>
      </c>
      <c r="D589" s="17" t="inlineStr">
        <is>
          <t>PURAN T4 100MCG CX 30 COMP</t>
        </is>
      </c>
      <c r="E589" s="17" t="inlineStr">
        <is>
          <t>SANOFI/MEDLEY</t>
        </is>
      </c>
      <c r="F589" s="15" t="n">
        <v>11</v>
      </c>
      <c r="G589" s="12" t="n"/>
      <c r="H589" s="13" t="n"/>
      <c r="I589" s="4" t="n"/>
      <c r="J589" s="18">
        <f>IF(G589="","",F589*G589)</f>
        <v/>
      </c>
    </row>
    <row r="590">
      <c r="A590" s="9" t="n">
        <v>576</v>
      </c>
      <c r="B590" s="9" t="n">
        <v>500281</v>
      </c>
      <c r="C590" s="10" t="inlineStr">
        <is>
          <t>7897595901446</t>
        </is>
      </c>
      <c r="D590" s="11" t="inlineStr">
        <is>
          <t>PURAN T4 125MCG CX 30 COMP</t>
        </is>
      </c>
      <c r="E590" s="11" t="inlineStr">
        <is>
          <t>SANOFI/MEDLEY</t>
        </is>
      </c>
      <c r="F590" s="9" t="n">
        <v>1</v>
      </c>
      <c r="G590" s="12" t="n"/>
      <c r="H590" s="13" t="n"/>
      <c r="I590" s="4" t="n"/>
      <c r="J590" s="14">
        <f>IF(G590="","",F590*G590)</f>
        <v/>
      </c>
    </row>
    <row r="591">
      <c r="A591" s="15" t="n">
        <v>577</v>
      </c>
      <c r="B591" s="15" t="n">
        <v>500201</v>
      </c>
      <c r="C591" s="16" t="inlineStr">
        <is>
          <t>7897595901309</t>
        </is>
      </c>
      <c r="D591" s="17" t="inlineStr">
        <is>
          <t>PURAN T4 25MCG CX 30 COMP</t>
        </is>
      </c>
      <c r="E591" s="17" t="inlineStr">
        <is>
          <t>SANOFI/MEDLEY</t>
        </is>
      </c>
      <c r="F591" s="15" t="n">
        <v>12</v>
      </c>
      <c r="G591" s="12" t="n"/>
      <c r="H591" s="13" t="n"/>
      <c r="I591" s="4" t="n"/>
      <c r="J591" s="18">
        <f>IF(G591="","",F591*G591)</f>
        <v/>
      </c>
    </row>
    <row r="592">
      <c r="A592" s="9" t="n">
        <v>578</v>
      </c>
      <c r="B592" s="9" t="n">
        <v>320861</v>
      </c>
      <c r="C592" s="10" t="inlineStr">
        <is>
          <t>7897595901316</t>
        </is>
      </c>
      <c r="D592" s="11" t="inlineStr">
        <is>
          <t>PURAN T4 50MCG CX 30 COMP</t>
        </is>
      </c>
      <c r="E592" s="11" t="inlineStr">
        <is>
          <t>SANOFI/MEDLEY</t>
        </is>
      </c>
      <c r="F592" s="9" t="n">
        <v>5</v>
      </c>
      <c r="G592" s="12" t="n"/>
      <c r="H592" s="13" t="n"/>
      <c r="I592" s="4" t="n"/>
      <c r="J592" s="14">
        <f>IF(G592="","",F592*G592)</f>
        <v/>
      </c>
    </row>
    <row r="593">
      <c r="A593" s="15" t="n">
        <v>579</v>
      </c>
      <c r="B593" s="15" t="n">
        <v>500621</v>
      </c>
      <c r="C593" s="16" t="inlineStr">
        <is>
          <t>7891058003579</t>
        </is>
      </c>
      <c r="D593" s="17" t="inlineStr">
        <is>
          <t>PURAN T4 62,5MCG CX 30 COMP</t>
        </is>
      </c>
      <c r="E593" s="17" t="inlineStr">
        <is>
          <t>SANOFI/MEDLEY</t>
        </is>
      </c>
      <c r="F593" s="15" t="n">
        <v>2</v>
      </c>
      <c r="G593" s="12" t="n"/>
      <c r="H593" s="13" t="n"/>
      <c r="I593" s="4" t="n"/>
      <c r="J593" s="18">
        <f>IF(G593="","",F593*G593)</f>
        <v/>
      </c>
    </row>
    <row r="594">
      <c r="A594" s="9" t="n">
        <v>580</v>
      </c>
      <c r="B594" s="9" t="n">
        <v>320881</v>
      </c>
      <c r="C594" s="10" t="inlineStr">
        <is>
          <t>7897595901323</t>
        </is>
      </c>
      <c r="D594" s="11" t="inlineStr">
        <is>
          <t>PURAN T4 75MCG CX 30 COMP</t>
        </is>
      </c>
      <c r="E594" s="11" t="inlineStr">
        <is>
          <t>SANOFI/MEDLEY</t>
        </is>
      </c>
      <c r="F594" s="9" t="n">
        <v>10</v>
      </c>
      <c r="G594" s="12" t="n"/>
      <c r="H594" s="13" t="n"/>
      <c r="I594" s="4" t="n"/>
      <c r="J594" s="14">
        <f>IF(G594="","",F594*G594)</f>
        <v/>
      </c>
    </row>
    <row r="595">
      <c r="A595" s="15" t="n">
        <v>581</v>
      </c>
      <c r="B595" s="15" t="n">
        <v>320961</v>
      </c>
      <c r="C595" s="16" t="inlineStr">
        <is>
          <t>7897595903365</t>
        </is>
      </c>
      <c r="D595" s="17" t="inlineStr">
        <is>
          <t>PURAN T4 88MCG CX 30 COMP</t>
        </is>
      </c>
      <c r="E595" s="17" t="inlineStr">
        <is>
          <t>SANOFI/MEDLEY</t>
        </is>
      </c>
      <c r="F595" s="15" t="n">
        <v>6</v>
      </c>
      <c r="G595" s="12" t="n"/>
      <c r="H595" s="13" t="n"/>
      <c r="I595" s="4" t="n"/>
      <c r="J595" s="18">
        <f>IF(G595="","",F595*G595)</f>
        <v/>
      </c>
    </row>
    <row r="596">
      <c r="A596" s="9" t="n">
        <v>582</v>
      </c>
      <c r="B596" s="9" t="n">
        <v>619681</v>
      </c>
      <c r="C596" s="10" t="inlineStr">
        <is>
          <t>7898430194979</t>
        </is>
      </c>
      <c r="D596" s="11" t="inlineStr">
        <is>
          <t>PURAVIT ADZ GOTAS 10ML</t>
        </is>
      </c>
      <c r="E596" s="11" t="inlineStr">
        <is>
          <t>MYRALIS PHARMA</t>
        </is>
      </c>
      <c r="F596" s="9" t="n">
        <v>11</v>
      </c>
      <c r="G596" s="12" t="n"/>
      <c r="H596" s="13" t="n"/>
      <c r="I596" s="4" t="n"/>
      <c r="J596" s="14">
        <f>IF(G596="","",F596*G596)</f>
        <v/>
      </c>
    </row>
    <row r="597">
      <c r="A597" s="15" t="n">
        <v>583</v>
      </c>
      <c r="B597" s="15" t="n">
        <v>539481</v>
      </c>
      <c r="C597" s="16" t="inlineStr">
        <is>
          <t>7898430194849</t>
        </is>
      </c>
      <c r="D597" s="17" t="inlineStr">
        <is>
          <t>PURAVIT IMUNE FR 75ML</t>
        </is>
      </c>
      <c r="E597" s="17" t="inlineStr">
        <is>
          <t>MYRALIS PHARMA</t>
        </is>
      </c>
      <c r="F597" s="15" t="n">
        <v>4</v>
      </c>
      <c r="G597" s="12" t="n"/>
      <c r="H597" s="13" t="n"/>
      <c r="I597" s="4" t="n"/>
      <c r="J597" s="18">
        <f>IF(G597="","",F597*G597)</f>
        <v/>
      </c>
    </row>
    <row r="598">
      <c r="A598" s="9" t="n">
        <v>584</v>
      </c>
      <c r="B598" s="9" t="n">
        <v>594241</v>
      </c>
      <c r="C598" s="10" t="inlineStr">
        <is>
          <t>7898636191079</t>
        </is>
      </c>
      <c r="D598" s="11" t="inlineStr">
        <is>
          <t>PV - ASEPXIA SAB LIQ ESFOLIANTE 100ML</t>
        </is>
      </c>
      <c r="E598" s="11" t="inlineStr">
        <is>
          <t>GENOMA</t>
        </is>
      </c>
      <c r="F598" s="9" t="n">
        <v>1</v>
      </c>
      <c r="G598" s="12" t="n"/>
      <c r="H598" s="13" t="n"/>
      <c r="I598" s="4" t="n"/>
      <c r="J598" s="14">
        <f>IF(G598="","",F598*G598)</f>
        <v/>
      </c>
    </row>
    <row r="599">
      <c r="A599" s="15" t="n">
        <v>585</v>
      </c>
      <c r="B599" s="15" t="n">
        <v>223621</v>
      </c>
      <c r="C599" s="16" t="inlineStr">
        <is>
          <t>7896094916609</t>
        </is>
      </c>
      <c r="D599" s="17" t="inlineStr">
        <is>
          <t>PV - ATROVERAN DIP 1G DISP 200 COMP</t>
        </is>
      </c>
      <c r="E599" s="17" t="inlineStr">
        <is>
          <t>COSMED</t>
        </is>
      </c>
      <c r="F599" s="15" t="n">
        <v>1</v>
      </c>
      <c r="G599" s="12" t="n"/>
      <c r="H599" s="13" t="n"/>
      <c r="I599" s="4" t="n"/>
      <c r="J599" s="18">
        <f>IF(G599="","",F599*G599)</f>
        <v/>
      </c>
    </row>
    <row r="600">
      <c r="A600" s="15" t="n">
        <v>586</v>
      </c>
      <c r="B600" s="15" t="n">
        <v>223621</v>
      </c>
      <c r="C600" s="16" t="inlineStr">
        <is>
          <t>7896094915404</t>
        </is>
      </c>
      <c r="D600" s="17" t="inlineStr">
        <is>
          <t>PV - ATROVERAN DIP 1G DISP 200 COMP</t>
        </is>
      </c>
      <c r="E600" s="17" t="inlineStr">
        <is>
          <t>COSMED</t>
        </is>
      </c>
      <c r="F600" s="15" t="n">
        <v>1</v>
      </c>
      <c r="G600" s="12" t="n"/>
      <c r="H600" s="13" t="n"/>
      <c r="I600" s="4" t="n"/>
      <c r="J600" s="18">
        <f>IF(G600="","",F600*G600)</f>
        <v/>
      </c>
    </row>
    <row r="601">
      <c r="A601" s="9" t="n">
        <v>587</v>
      </c>
      <c r="B601" s="9" t="n">
        <v>509861</v>
      </c>
      <c r="C601" s="10" t="inlineStr">
        <is>
          <t>7896672203909</t>
        </is>
      </c>
      <c r="D601" s="11" t="inlineStr">
        <is>
          <t>PV - BRONCHO-VAXOM 3,5MG PO LIOF CX 10 CAP</t>
        </is>
      </c>
      <c r="E601" s="11" t="inlineStr">
        <is>
          <t>CHIESI</t>
        </is>
      </c>
      <c r="F601" s="9" t="n">
        <v>1</v>
      </c>
      <c r="G601" s="12" t="n"/>
      <c r="H601" s="13" t="n"/>
      <c r="I601" s="4" t="n"/>
      <c r="J601" s="14">
        <f>IF(G601="","",F601*G601)</f>
        <v/>
      </c>
    </row>
    <row r="602">
      <c r="A602" s="15" t="n">
        <v>588</v>
      </c>
      <c r="B602" s="15" t="n">
        <v>556261</v>
      </c>
      <c r="C602" s="16" t="inlineStr">
        <is>
          <t>7896094999411</t>
        </is>
      </c>
      <c r="D602" s="17" t="inlineStr">
        <is>
          <t>PV - DRAMIN CAPSGEL 50MG X 10</t>
        </is>
      </c>
      <c r="E602" s="17" t="inlineStr">
        <is>
          <t>COSMED</t>
        </is>
      </c>
      <c r="F602" s="15" t="n">
        <v>23</v>
      </c>
      <c r="G602" s="12" t="n"/>
      <c r="H602" s="13" t="n"/>
      <c r="I602" s="4" t="n"/>
      <c r="J602" s="18">
        <f>IF(G602="","",F602*G602)</f>
        <v/>
      </c>
    </row>
    <row r="603">
      <c r="A603" s="9" t="n">
        <v>589</v>
      </c>
      <c r="B603" s="9" t="n">
        <v>619551</v>
      </c>
      <c r="C603" s="10" t="inlineStr">
        <is>
          <t>3282779340274</t>
        </is>
      </c>
      <c r="D603" s="11" t="inlineStr">
        <is>
          <t>PV - KIT AVENE MAT PERFECT COR FPS60+CLEANANCE 40G</t>
        </is>
      </c>
      <c r="E603" s="11" t="inlineStr">
        <is>
          <t>LABORATORIOS PIERRE</t>
        </is>
      </c>
      <c r="F603" s="9" t="n">
        <v>1</v>
      </c>
      <c r="G603" s="12" t="n"/>
      <c r="H603" s="13" t="n"/>
      <c r="I603" s="4" t="n"/>
      <c r="J603" s="14">
        <f>IF(G603="","",F603*G603)</f>
        <v/>
      </c>
    </row>
    <row r="604">
      <c r="A604" s="15" t="n">
        <v>590</v>
      </c>
      <c r="B604" s="15" t="n">
        <v>624261</v>
      </c>
      <c r="C604" s="16" t="inlineStr">
        <is>
          <t>7899706141062</t>
        </is>
      </c>
      <c r="D604" s="17" t="inlineStr">
        <is>
          <t>PV - LIPIKAR LRP AOX FPS60 200ML</t>
        </is>
      </c>
      <c r="E604" s="17" t="inlineStr">
        <is>
          <t>LOREAL</t>
        </is>
      </c>
      <c r="F604" s="15" t="n">
        <v>1</v>
      </c>
      <c r="G604" s="12" t="n"/>
      <c r="H604" s="13" t="n"/>
      <c r="I604" s="4" t="n"/>
      <c r="J604" s="18">
        <f>IF(G604="","",F604*G604)</f>
        <v/>
      </c>
    </row>
    <row r="605">
      <c r="A605" s="9" t="n">
        <v>591</v>
      </c>
      <c r="B605" s="9" t="n">
        <v>530881</v>
      </c>
      <c r="C605" s="10" t="inlineStr">
        <is>
          <t>7896094922129</t>
        </is>
      </c>
      <c r="D605" s="11" t="inlineStr">
        <is>
          <t>PV - NENE-DENT GEL BG 10G</t>
        </is>
      </c>
      <c r="E605" s="11" t="inlineStr">
        <is>
          <t>COSMED</t>
        </is>
      </c>
      <c r="F605" s="9" t="n">
        <v>5</v>
      </c>
      <c r="G605" s="12" t="n"/>
      <c r="H605" s="13" t="n"/>
      <c r="I605" s="4" t="n"/>
      <c r="J605" s="14">
        <f>IF(G605="","",F605*G605)</f>
        <v/>
      </c>
    </row>
    <row r="606">
      <c r="A606" s="15" t="n">
        <v>592</v>
      </c>
      <c r="B606" s="15" t="n">
        <v>290261</v>
      </c>
      <c r="C606" s="16" t="inlineStr">
        <is>
          <t>7894916510417</t>
        </is>
      </c>
      <c r="D606" s="17" t="inlineStr">
        <is>
          <t>PV - OLMY HCT 20+12,5MG CX 10 COMP REV</t>
        </is>
      </c>
      <c r="E606" s="17" t="inlineStr">
        <is>
          <t>GERMED PRESCRIÇÃO</t>
        </is>
      </c>
      <c r="F606" s="15" t="n">
        <v>1</v>
      </c>
      <c r="G606" s="12" t="n"/>
      <c r="H606" s="13" t="n"/>
      <c r="I606" s="4" t="n"/>
      <c r="J606" s="18">
        <f>IF(G606="","",F606*G606)</f>
        <v/>
      </c>
    </row>
    <row r="607">
      <c r="A607" s="9" t="n">
        <v>593</v>
      </c>
      <c r="B607" s="9" t="n">
        <v>204261</v>
      </c>
      <c r="C607" s="10" t="inlineStr">
        <is>
          <t>7897337713382</t>
        </is>
      </c>
      <c r="D607" s="11" t="inlineStr">
        <is>
          <t>PV - PEROLA 0,075MG CX 28 COMP REV</t>
        </is>
      </c>
      <c r="E607" s="11" t="inlineStr">
        <is>
          <t>ORGANON</t>
        </is>
      </c>
      <c r="F607" s="9" t="n">
        <v>1</v>
      </c>
      <c r="G607" s="12" t="n"/>
      <c r="H607" s="13" t="n"/>
      <c r="I607" s="4" t="n"/>
      <c r="J607" s="14">
        <f>IF(G607="","",F607*G607)</f>
        <v/>
      </c>
    </row>
    <row r="608">
      <c r="A608" s="15" t="n">
        <v>594</v>
      </c>
      <c r="B608" s="15" t="n">
        <v>594491</v>
      </c>
      <c r="C608" s="16" t="inlineStr">
        <is>
          <t>7891106914031</t>
        </is>
      </c>
      <c r="D608" s="17" t="inlineStr">
        <is>
          <t>PV - PRIMOGYNA 1MG CX 28 DRG</t>
        </is>
      </c>
      <c r="E608" s="17" t="inlineStr">
        <is>
          <t>BAYER</t>
        </is>
      </c>
      <c r="F608" s="15" t="n">
        <v>1</v>
      </c>
      <c r="G608" s="12" t="n"/>
      <c r="H608" s="13" t="n"/>
      <c r="I608" s="4" t="n"/>
      <c r="J608" s="18">
        <f>IF(G608="","",F608*G608)</f>
        <v/>
      </c>
    </row>
    <row r="609">
      <c r="A609" s="9" t="n">
        <v>595</v>
      </c>
      <c r="B609" s="9" t="n">
        <v>623721</v>
      </c>
      <c r="C609" s="10" t="inlineStr">
        <is>
          <t>7899706251068</t>
        </is>
      </c>
      <c r="D609" s="11" t="inlineStr">
        <is>
          <t>PV - SERUM FAC GARNIER ANTIAC 15ML</t>
        </is>
      </c>
      <c r="E609" s="11" t="inlineStr">
        <is>
          <t>LOREAL</t>
        </is>
      </c>
      <c r="F609" s="9" t="n">
        <v>1</v>
      </c>
      <c r="G609" s="12" t="n"/>
      <c r="H609" s="13" t="n"/>
      <c r="I609" s="4" t="n"/>
      <c r="J609" s="14">
        <f>IF(G609="","",F609*G609)</f>
        <v/>
      </c>
    </row>
    <row r="610">
      <c r="A610" s="15" t="n">
        <v>596</v>
      </c>
      <c r="B610" s="15" t="n">
        <v>623231</v>
      </c>
      <c r="C610" s="16" t="inlineStr">
        <is>
          <t>7899706197106</t>
        </is>
      </c>
      <c r="D610" s="17" t="inlineStr">
        <is>
          <t>PV DERMO REVITALIFT HIALU GEL PREENCH 50ML</t>
        </is>
      </c>
      <c r="E610" s="17" t="inlineStr">
        <is>
          <t>GARNIER</t>
        </is>
      </c>
      <c r="F610" s="15" t="n">
        <v>1</v>
      </c>
      <c r="G610" s="12" t="n"/>
      <c r="H610" s="13" t="n"/>
      <c r="I610" s="4" t="n"/>
      <c r="J610" s="18">
        <f>IF(G610="","",F610*G610)</f>
        <v/>
      </c>
    </row>
    <row r="611">
      <c r="A611" s="9" t="n">
        <v>597</v>
      </c>
      <c r="B611" s="9" t="n">
        <v>169721</v>
      </c>
      <c r="C611" s="10" t="inlineStr">
        <is>
          <t>7897322702209</t>
        </is>
      </c>
      <c r="D611" s="11" t="inlineStr">
        <is>
          <t>PV LISADOR 500+5+10MG CX 16 COMP</t>
        </is>
      </c>
      <c r="E611" s="11" t="inlineStr">
        <is>
          <t>MANTECORP/FARMASA</t>
        </is>
      </c>
      <c r="F611" s="9" t="n">
        <v>2</v>
      </c>
      <c r="G611" s="12" t="n"/>
      <c r="H611" s="13" t="n"/>
      <c r="I611" s="4" t="n"/>
      <c r="J611" s="14">
        <f>IF(G611="","",F611*G611)</f>
        <v/>
      </c>
    </row>
    <row r="612">
      <c r="A612" s="15" t="n">
        <v>598</v>
      </c>
      <c r="B612" s="15" t="n">
        <v>652031</v>
      </c>
      <c r="C612" s="16" t="inlineStr">
        <is>
          <t>7896094211438</t>
        </is>
      </c>
      <c r="D612" s="17" t="inlineStr">
        <is>
          <t>PV UMIDITA CALM CR 45G</t>
        </is>
      </c>
      <c r="E612" s="17" t="inlineStr"/>
      <c r="F612" s="15" t="n">
        <v>1</v>
      </c>
      <c r="G612" s="12" t="n"/>
      <c r="H612" s="13" t="n"/>
      <c r="I612" s="4" t="n"/>
      <c r="J612" s="18">
        <f>IF(G612="","",F612*G612)</f>
        <v/>
      </c>
    </row>
    <row r="613">
      <c r="A613" s="9" t="n">
        <v>599</v>
      </c>
      <c r="B613" s="9" t="n">
        <v>366041</v>
      </c>
      <c r="C613" s="10" t="inlineStr">
        <is>
          <t>7896006205913</t>
        </is>
      </c>
      <c r="D613" s="11" t="inlineStr">
        <is>
          <t>PV VODOL 20MG/G AER TB 75G</t>
        </is>
      </c>
      <c r="E613" s="11" t="inlineStr">
        <is>
          <t>UNIAO QUIMICA</t>
        </is>
      </c>
      <c r="F613" s="9" t="n">
        <v>2</v>
      </c>
      <c r="G613" s="12" t="n"/>
      <c r="H613" s="13" t="n"/>
      <c r="I613" s="4" t="n"/>
      <c r="J613" s="14">
        <f>IF(G613="","",F613*G613)</f>
        <v/>
      </c>
    </row>
    <row r="614">
      <c r="A614" s="15" t="n">
        <v>600</v>
      </c>
      <c r="B614" s="15" t="n">
        <v>374221</v>
      </c>
      <c r="C614" s="16" t="inlineStr">
        <is>
          <t>8902220114784</t>
        </is>
      </c>
      <c r="D614" s="17" t="inlineStr">
        <is>
          <t>PV- OLMECOR 40MG CX 30 COMP REV</t>
        </is>
      </c>
      <c r="E614" s="17" t="inlineStr">
        <is>
          <t>TORRENT DO BRASIL</t>
        </is>
      </c>
      <c r="F614" s="15" t="n">
        <v>1</v>
      </c>
      <c r="G614" s="12" t="n"/>
      <c r="H614" s="13" t="n"/>
      <c r="I614" s="4" t="n"/>
      <c r="J614" s="18">
        <f>IF(G614="","",F614*G614)</f>
        <v/>
      </c>
    </row>
    <row r="615">
      <c r="A615" s="9" t="n">
        <v>601</v>
      </c>
      <c r="B615" s="9" t="n">
        <v>204241</v>
      </c>
      <c r="C615" s="10" t="inlineStr">
        <is>
          <t>7897337713399</t>
        </is>
      </c>
      <c r="D615" s="11" t="inlineStr">
        <is>
          <t>PV- PEROLA 0,075MG (CARTELA) C/28CP</t>
        </is>
      </c>
      <c r="E615" s="11" t="inlineStr">
        <is>
          <t>ORGANON</t>
        </is>
      </c>
      <c r="F615" s="9" t="n">
        <v>1</v>
      </c>
      <c r="G615" s="12" t="n"/>
      <c r="H615" s="13" t="n"/>
      <c r="I615" s="4" t="n"/>
      <c r="J615" s="14">
        <f>IF(G615="","",F615*G615)</f>
        <v/>
      </c>
    </row>
    <row r="616">
      <c r="A616" s="15" t="n">
        <v>602</v>
      </c>
      <c r="B616" s="15" t="n">
        <v>649771</v>
      </c>
      <c r="C616" s="16" t="inlineStr">
        <is>
          <t>7896676440492</t>
        </is>
      </c>
      <c r="D616" s="17" t="inlineStr">
        <is>
          <t>PVV - CUTISANOL BABY CREME 120G-DEMAIS PROD</t>
        </is>
      </c>
      <c r="E616" s="17" t="inlineStr"/>
      <c r="F616" s="15" t="n">
        <v>1</v>
      </c>
      <c r="G616" s="12" t="n"/>
      <c r="H616" s="13" t="n"/>
      <c r="I616" s="4" t="n"/>
      <c r="J616" s="18">
        <f>IF(G616="","",F616*G616)</f>
        <v/>
      </c>
    </row>
    <row r="617">
      <c r="A617" s="9" t="n">
        <v>603</v>
      </c>
      <c r="B617" s="9" t="n">
        <v>514881</v>
      </c>
      <c r="C617" s="10" t="inlineStr">
        <is>
          <t>7891317010478</t>
        </is>
      </c>
      <c r="D617" s="11" t="inlineStr">
        <is>
          <t>PVV - EBASTEL 10MG CX 30 COMP REV</t>
        </is>
      </c>
      <c r="E617" s="11" t="inlineStr">
        <is>
          <t>EUROFARMA</t>
        </is>
      </c>
      <c r="F617" s="9" t="n">
        <v>1</v>
      </c>
      <c r="G617" s="12" t="n"/>
      <c r="H617" s="13" t="n"/>
      <c r="I617" s="4" t="n"/>
      <c r="J617" s="14">
        <f>IF(G617="","",F617*G617)</f>
        <v/>
      </c>
    </row>
    <row r="618">
      <c r="A618" s="15" t="n">
        <v>604</v>
      </c>
      <c r="B618" s="15" t="n">
        <v>609561</v>
      </c>
      <c r="C618" s="16" t="inlineStr">
        <is>
          <t>7896685301678</t>
        </is>
      </c>
      <c r="D618" s="17" t="inlineStr">
        <is>
          <t>PVV - HIZOFITO CX 30 CAP</t>
        </is>
      </c>
      <c r="E618" s="17" t="inlineStr">
        <is>
          <t>HEBRON</t>
        </is>
      </c>
      <c r="F618" s="15" t="n">
        <v>1</v>
      </c>
      <c r="G618" s="12" t="n"/>
      <c r="H618" s="13" t="n"/>
      <c r="I618" s="4" t="n"/>
      <c r="J618" s="18">
        <f>IF(G618="","",F618*G618)</f>
        <v/>
      </c>
    </row>
    <row r="619">
      <c r="A619" s="9" t="n">
        <v>605</v>
      </c>
      <c r="B619" s="9" t="n">
        <v>223901</v>
      </c>
      <c r="C619" s="10" t="inlineStr">
        <is>
          <t>7891058015787</t>
        </is>
      </c>
      <c r="D619" s="11" t="inlineStr">
        <is>
          <t>PVV - NOVALGINA EFERVESCENTE C/2</t>
        </is>
      </c>
      <c r="E619" s="11" t="inlineStr">
        <is>
          <t>SANOFI CONSUMER HEALTHCARE</t>
        </is>
      </c>
      <c r="F619" s="9" t="n">
        <v>1</v>
      </c>
      <c r="G619" s="12" t="n"/>
      <c r="H619" s="13" t="n"/>
      <c r="I619" s="4" t="n"/>
      <c r="J619" s="14">
        <f>IF(G619="","",F619*G619)</f>
        <v/>
      </c>
    </row>
    <row r="620">
      <c r="A620" s="15" t="n">
        <v>606</v>
      </c>
      <c r="B620" s="15" t="n">
        <v>433541</v>
      </c>
      <c r="C620" s="16" t="inlineStr">
        <is>
          <t>7896179850040</t>
        </is>
      </c>
      <c r="D620" s="17" t="inlineStr">
        <is>
          <t>PVV - TAMARINE CX 20 CAP</t>
        </is>
      </c>
      <c r="E620" s="17" t="inlineStr">
        <is>
          <t>COSMED</t>
        </is>
      </c>
      <c r="F620" s="15" t="n">
        <v>1</v>
      </c>
      <c r="G620" s="12" t="n"/>
      <c r="H620" s="13" t="n"/>
      <c r="I620" s="4" t="n"/>
      <c r="J620" s="18">
        <f>IF(G620="","",F620*G620)</f>
        <v/>
      </c>
    </row>
    <row r="621">
      <c r="A621" s="9" t="n">
        <v>607</v>
      </c>
      <c r="B621" s="9" t="n">
        <v>262641</v>
      </c>
      <c r="C621" s="10" t="inlineStr">
        <is>
          <t>7896112423294</t>
        </is>
      </c>
      <c r="D621" s="11" t="inlineStr">
        <is>
          <t>PVV - TANTIN 60+15MCG CX 3BL X 28 COMP REV</t>
        </is>
      </c>
      <c r="E621" s="11" t="inlineStr">
        <is>
          <t>BIOLAB</t>
        </is>
      </c>
      <c r="F621" s="9" t="n">
        <v>4</v>
      </c>
      <c r="G621" s="12" t="n"/>
      <c r="H621" s="13" t="n"/>
      <c r="I621" s="4" t="n"/>
      <c r="J621" s="14">
        <f>IF(G621="","",F621*G621)</f>
        <v/>
      </c>
    </row>
    <row r="622">
      <c r="A622" s="15" t="n">
        <v>608</v>
      </c>
      <c r="B622" s="15" t="n">
        <v>578761</v>
      </c>
      <c r="C622" s="16" t="inlineStr">
        <is>
          <t>7898639690418</t>
        </is>
      </c>
      <c r="D622" s="17" t="inlineStr">
        <is>
          <t>PVV - TERMOMETRO DIGITAL CLINICO TH1027</t>
        </is>
      </c>
      <c r="E622" s="17" t="inlineStr">
        <is>
          <t>G-TECH</t>
        </is>
      </c>
      <c r="F622" s="15" t="n">
        <v>31</v>
      </c>
      <c r="G622" s="12" t="n"/>
      <c r="H622" s="13" t="n"/>
      <c r="I622" s="4" t="n"/>
      <c r="J622" s="18">
        <f>IF(G622="","",F622*G622)</f>
        <v/>
      </c>
    </row>
    <row r="623">
      <c r="A623" s="9" t="n">
        <v>609</v>
      </c>
      <c r="B623" s="9" t="n">
        <v>146041</v>
      </c>
      <c r="C623" s="10" t="inlineStr">
        <is>
          <t>7892953001370</t>
        </is>
      </c>
      <c r="D623" s="11" t="inlineStr">
        <is>
          <t>PYRIDIUM 100MG CX 25 COMP REV</t>
        </is>
      </c>
      <c r="E623" s="11" t="inlineStr">
        <is>
          <t>ADIUM</t>
        </is>
      </c>
      <c r="F623" s="9" t="n">
        <v>13</v>
      </c>
      <c r="G623" s="12" t="n"/>
      <c r="H623" s="13" t="n"/>
      <c r="I623" s="4" t="n"/>
      <c r="J623" s="14">
        <f>IF(G623="","",F623*G623)</f>
        <v/>
      </c>
    </row>
    <row r="624">
      <c r="A624" s="15" t="n">
        <v>610</v>
      </c>
      <c r="B624" s="15" t="n">
        <v>146061</v>
      </c>
      <c r="C624" s="16" t="inlineStr">
        <is>
          <t>7892953001387</t>
        </is>
      </c>
      <c r="D624" s="17" t="inlineStr">
        <is>
          <t>PYRIDIUM 200MG CX 18 COMP REV</t>
        </is>
      </c>
      <c r="E624" s="17" t="inlineStr">
        <is>
          <t>ADIUM</t>
        </is>
      </c>
      <c r="F624" s="15" t="n">
        <v>18</v>
      </c>
      <c r="G624" s="12" t="n"/>
      <c r="H624" s="13" t="n"/>
      <c r="I624" s="4" t="n"/>
      <c r="J624" s="18">
        <f>IF(G624="","",F624*G624)</f>
        <v/>
      </c>
    </row>
    <row r="625">
      <c r="A625" s="9" t="n">
        <v>611</v>
      </c>
      <c r="B625" s="9" t="n">
        <v>485721</v>
      </c>
      <c r="C625" s="10" t="inlineStr">
        <is>
          <t>7908020502722</t>
        </is>
      </c>
      <c r="D625" s="11" t="inlineStr">
        <is>
          <t>PYVERM 100MG CX 6 COMP REV</t>
        </is>
      </c>
      <c r="E625" s="11" t="inlineStr">
        <is>
          <t>CIFARMA</t>
        </is>
      </c>
      <c r="F625" s="9" t="n">
        <v>1</v>
      </c>
      <c r="G625" s="12" t="n"/>
      <c r="H625" s="13" t="n"/>
      <c r="I625" s="4" t="n"/>
      <c r="J625" s="14">
        <f>IF(G625="","",F625*G625)</f>
        <v/>
      </c>
    </row>
    <row r="626">
      <c r="A626" s="15" t="n">
        <v>612</v>
      </c>
      <c r="B626" s="15" t="n">
        <v>658161</v>
      </c>
      <c r="C626" s="16" t="inlineStr">
        <is>
          <t>7898638348730</t>
        </is>
      </c>
      <c r="D626" s="17" t="inlineStr">
        <is>
          <t>Q+VITTA AZ 500MG 60CP</t>
        </is>
      </c>
      <c r="E626" s="17" t="inlineStr">
        <is>
          <t>QVITTA</t>
        </is>
      </c>
      <c r="F626" s="15" t="n">
        <v>1</v>
      </c>
      <c r="G626" s="12" t="n"/>
      <c r="H626" s="13" t="n"/>
      <c r="I626" s="4" t="n"/>
      <c r="J626" s="18">
        <f>IF(G626="","",F626*G626)</f>
        <v/>
      </c>
    </row>
    <row r="627">
      <c r="A627" s="9" t="n">
        <v>613</v>
      </c>
      <c r="B627" s="9" t="n">
        <v>657991</v>
      </c>
      <c r="C627" s="10" t="inlineStr">
        <is>
          <t>7898638348747</t>
        </is>
      </c>
      <c r="D627" s="11" t="inlineStr">
        <is>
          <t>Q+VITTA AZ HOMEM 500MG 60CPS</t>
        </is>
      </c>
      <c r="E627" s="11" t="inlineStr">
        <is>
          <t>QVITTA</t>
        </is>
      </c>
      <c r="F627" s="9" t="n">
        <v>2</v>
      </c>
      <c r="G627" s="12" t="n"/>
      <c r="H627" s="13" t="n"/>
      <c r="I627" s="4" t="n"/>
      <c r="J627" s="14">
        <f>IF(G627="","",F627*G627)</f>
        <v/>
      </c>
    </row>
    <row r="628">
      <c r="A628" s="15" t="n">
        <v>614</v>
      </c>
      <c r="B628" s="15" t="n">
        <v>650281</v>
      </c>
      <c r="C628" s="16" t="inlineStr">
        <is>
          <t>7898638348754</t>
        </is>
      </c>
      <c r="D628" s="17" t="inlineStr">
        <is>
          <t>Q+VITTA AZ MULHER 500MG 60CPS</t>
        </is>
      </c>
      <c r="E628" s="17" t="inlineStr">
        <is>
          <t>QVITTA</t>
        </is>
      </c>
      <c r="F628" s="15" t="n">
        <v>2</v>
      </c>
      <c r="G628" s="12" t="n"/>
      <c r="H628" s="13" t="n"/>
      <c r="I628" s="4" t="n"/>
      <c r="J628" s="18">
        <f>IF(G628="","",F628*G628)</f>
        <v/>
      </c>
    </row>
    <row r="629">
      <c r="A629" s="9" t="n">
        <v>615</v>
      </c>
      <c r="B629" s="9" t="n">
        <v>657981</v>
      </c>
      <c r="C629" s="10" t="inlineStr">
        <is>
          <t>7898638348785</t>
        </is>
      </c>
      <c r="D629" s="11" t="inlineStr">
        <is>
          <t>Q+VITTA CALCIO MDK 500MG 60CAPS</t>
        </is>
      </c>
      <c r="E629" s="11" t="inlineStr">
        <is>
          <t>QVITTA</t>
        </is>
      </c>
      <c r="F629" s="9" t="n">
        <v>2</v>
      </c>
      <c r="G629" s="12" t="n"/>
      <c r="H629" s="13" t="n"/>
      <c r="I629" s="4" t="n"/>
      <c r="J629" s="14">
        <f>IF(G629="","",F629*G629)</f>
        <v/>
      </c>
    </row>
    <row r="630">
      <c r="A630" s="15" t="n">
        <v>616</v>
      </c>
      <c r="B630" s="15" t="n">
        <v>111281</v>
      </c>
      <c r="C630" s="16" t="inlineStr">
        <is>
          <t>7891142180773</t>
        </is>
      </c>
      <c r="D630" s="17" t="inlineStr">
        <is>
          <t>QUADRIDERM 0,50+1+10+10MG POM BG 20G</t>
        </is>
      </c>
      <c r="E630" s="17" t="inlineStr">
        <is>
          <t>MANTECORP/FARMASA</t>
        </is>
      </c>
      <c r="F630" s="15" t="n">
        <v>4</v>
      </c>
      <c r="G630" s="12" t="n"/>
      <c r="H630" s="13" t="n"/>
      <c r="I630" s="4" t="n"/>
      <c r="J630" s="18">
        <f>IF(G630="","",F630*G630)</f>
        <v/>
      </c>
    </row>
    <row r="631">
      <c r="A631" s="9" t="n">
        <v>617</v>
      </c>
      <c r="B631" s="9" t="n">
        <v>556381</v>
      </c>
      <c r="C631" s="10" t="inlineStr">
        <is>
          <t>7896685302095</t>
        </is>
      </c>
      <c r="D631" s="11" t="inlineStr">
        <is>
          <t>QUITLIS SOL OR FR 150ML</t>
        </is>
      </c>
      <c r="E631" s="11" t="inlineStr">
        <is>
          <t>HEBRON</t>
        </is>
      </c>
      <c r="F631" s="9" t="n">
        <v>4</v>
      </c>
      <c r="G631" s="12" t="n"/>
      <c r="H631" s="13" t="n"/>
      <c r="I631" s="4" t="n"/>
      <c r="J631" s="14">
        <f>IF(G631="","",F631*G631)</f>
        <v/>
      </c>
    </row>
    <row r="632">
      <c r="A632" s="15" t="n">
        <v>618</v>
      </c>
      <c r="B632" s="15" t="n">
        <v>622891</v>
      </c>
      <c r="C632" s="16" t="inlineStr">
        <is>
          <t>7891106908535</t>
        </is>
      </c>
      <c r="D632" s="17" t="inlineStr">
        <is>
          <t>REDOXITOS LARANJA 25 UNIDADES-DEMAIS PROD</t>
        </is>
      </c>
      <c r="E632" s="17" t="inlineStr">
        <is>
          <t>SANOFI</t>
        </is>
      </c>
      <c r="F632" s="15" t="n">
        <v>3</v>
      </c>
      <c r="G632" s="12" t="n"/>
      <c r="H632" s="13" t="n"/>
      <c r="I632" s="4" t="n"/>
      <c r="J632" s="18">
        <f>IF(G632="","",F632*G632)</f>
        <v/>
      </c>
    </row>
    <row r="633">
      <c r="A633" s="9" t="n">
        <v>619</v>
      </c>
      <c r="B633" s="9" t="n">
        <v>14581</v>
      </c>
      <c r="C633" s="10" t="inlineStr">
        <is>
          <t>7891106006279</t>
        </is>
      </c>
      <c r="D633" s="11" t="inlineStr">
        <is>
          <t>REDOXON 1G TB 10 COMP EFEV SB LARANJA</t>
        </is>
      </c>
      <c r="E633" s="11" t="inlineStr">
        <is>
          <t>BAYER</t>
        </is>
      </c>
      <c r="F633" s="9" t="n">
        <v>5</v>
      </c>
      <c r="G633" s="12" t="n"/>
      <c r="H633" s="13" t="n"/>
      <c r="I633" s="4" t="n"/>
      <c r="J633" s="14">
        <f>IF(G633="","",F633*G633)</f>
        <v/>
      </c>
    </row>
    <row r="634">
      <c r="A634" s="15" t="n">
        <v>620</v>
      </c>
      <c r="B634" s="15" t="n">
        <v>14601</v>
      </c>
      <c r="C634" s="16" t="inlineStr">
        <is>
          <t>7891106006286</t>
        </is>
      </c>
      <c r="D634" s="17" t="inlineStr">
        <is>
          <t>REDOXON 200MG/ML SOL ORAL FR GTS 20ML</t>
        </is>
      </c>
      <c r="E634" s="17" t="inlineStr">
        <is>
          <t>BAYER</t>
        </is>
      </c>
      <c r="F634" s="15" t="n">
        <v>78</v>
      </c>
      <c r="G634" s="12" t="n"/>
      <c r="H634" s="13" t="n"/>
      <c r="I634" s="4" t="n"/>
      <c r="J634" s="18">
        <f>IF(G634="","",F634*G634)</f>
        <v/>
      </c>
    </row>
    <row r="635">
      <c r="A635" s="9" t="n">
        <v>621</v>
      </c>
      <c r="B635" s="9" t="n">
        <v>565941</v>
      </c>
      <c r="C635" s="10" t="inlineStr">
        <is>
          <t>7891106912655</t>
        </is>
      </c>
      <c r="D635" s="11" t="inlineStr">
        <is>
          <t>REDOXON TRIPLA ACAO 10CP EFERV</t>
        </is>
      </c>
      <c r="E635" s="11" t="inlineStr">
        <is>
          <t>BAYER</t>
        </is>
      </c>
      <c r="F635" s="9" t="n">
        <v>8</v>
      </c>
      <c r="G635" s="12" t="n"/>
      <c r="H635" s="13" t="n"/>
      <c r="I635" s="4" t="n"/>
      <c r="J635" s="14">
        <f>IF(G635="","",F635*G635)</f>
        <v/>
      </c>
    </row>
    <row r="636">
      <c r="A636" s="15" t="n">
        <v>622</v>
      </c>
      <c r="B636" s="15" t="n">
        <v>114041</v>
      </c>
      <c r="C636" s="16" t="inlineStr">
        <is>
          <t>7896676432886</t>
        </is>
      </c>
      <c r="D636" s="17" t="inlineStr">
        <is>
          <t>REGENCEL 10000UI+25/5/5MG POM OFT 3,5G</t>
        </is>
      </c>
      <c r="E636" s="17" t="inlineStr">
        <is>
          <t>CRISTALIA</t>
        </is>
      </c>
      <c r="F636" s="15" t="n">
        <v>9</v>
      </c>
      <c r="G636" s="12" t="n"/>
      <c r="H636" s="13" t="n"/>
      <c r="I636" s="4" t="n"/>
      <c r="J636" s="18">
        <f>IF(G636="","",F636*G636)</f>
        <v/>
      </c>
    </row>
    <row r="637">
      <c r="A637" s="9" t="n">
        <v>623</v>
      </c>
      <c r="B637" s="9" t="n">
        <v>1553</v>
      </c>
      <c r="C637" s="10" t="inlineStr">
        <is>
          <t>7898956544111</t>
        </is>
      </c>
      <c r="D637" s="11" t="inlineStr">
        <is>
          <t>REGENESIS CX 30 CAP</t>
        </is>
      </c>
      <c r="E637" s="11" t="inlineStr">
        <is>
          <t>EXELTIS</t>
        </is>
      </c>
      <c r="F637" s="9" t="n">
        <v>8</v>
      </c>
      <c r="G637" s="12" t="n"/>
      <c r="H637" s="13" t="n"/>
      <c r="I637" s="4" t="n"/>
      <c r="J637" s="14">
        <f>IF(G637="","",F637*G637)</f>
        <v/>
      </c>
    </row>
    <row r="638">
      <c r="A638" s="15" t="n">
        <v>624</v>
      </c>
      <c r="B638" s="15" t="n">
        <v>664401</v>
      </c>
      <c r="C638" s="16" t="inlineStr">
        <is>
          <t>7899420508370</t>
        </is>
      </c>
      <c r="D638" s="17" t="inlineStr">
        <is>
          <t>RENOVI B PLUS 5+100+100+4,3MG SOL INJ 3 DOSES AMP</t>
        </is>
      </c>
      <c r="E638" s="17" t="inlineStr">
        <is>
          <t>SUPERA</t>
        </is>
      </c>
      <c r="F638" s="15" t="n">
        <v>1</v>
      </c>
      <c r="G638" s="12" t="n"/>
      <c r="H638" s="13" t="n"/>
      <c r="I638" s="4" t="n"/>
      <c r="J638" s="18">
        <f>IF(G638="","",F638*G638)</f>
        <v/>
      </c>
    </row>
    <row r="639">
      <c r="A639" s="9" t="n">
        <v>625</v>
      </c>
      <c r="B639" s="9" t="n">
        <v>563</v>
      </c>
      <c r="C639" s="10" t="inlineStr">
        <is>
          <t>7896046381004</t>
        </is>
      </c>
      <c r="D639" s="11" t="inlineStr">
        <is>
          <t>RENU FRESH SOL MULTI PACKON FR 120ML+355ML+EST LENTES</t>
        </is>
      </c>
      <c r="E639" s="11" t="inlineStr">
        <is>
          <t>BAUSCH &amp; LOMB</t>
        </is>
      </c>
      <c r="F639" s="9" t="n">
        <v>6</v>
      </c>
      <c r="G639" s="12" t="n"/>
      <c r="H639" s="13" t="n"/>
      <c r="I639" s="4" t="n"/>
      <c r="J639" s="14">
        <f>IF(G639="","",F639*G639)</f>
        <v/>
      </c>
    </row>
    <row r="640">
      <c r="A640" s="15" t="n">
        <v>626</v>
      </c>
      <c r="B640" s="15" t="n">
        <v>647811</v>
      </c>
      <c r="C640" s="16" t="inlineStr">
        <is>
          <t>7896046390020</t>
        </is>
      </c>
      <c r="D640" s="17" t="inlineStr">
        <is>
          <t>RENU FRESH SOLUCAO 60ML-DEMAIS PROD</t>
        </is>
      </c>
      <c r="E640" s="17" t="inlineStr"/>
      <c r="F640" s="15" t="n">
        <v>1</v>
      </c>
      <c r="G640" s="12" t="n"/>
      <c r="H640" s="13" t="n"/>
      <c r="I640" s="4" t="n"/>
      <c r="J640" s="18">
        <f>IF(G640="","",F640*G640)</f>
        <v/>
      </c>
    </row>
    <row r="641">
      <c r="A641" s="9" t="n">
        <v>627</v>
      </c>
      <c r="B641" s="9" t="n">
        <v>431061</v>
      </c>
      <c r="C641" s="10" t="inlineStr">
        <is>
          <t>7898560661563</t>
        </is>
      </c>
      <c r="D641" s="11" t="inlineStr">
        <is>
          <t>REPARIL 10+50MG/G GEL BG 30G</t>
        </is>
      </c>
      <c r="E641" s="11" t="inlineStr">
        <is>
          <t>VIATRIS</t>
        </is>
      </c>
      <c r="F641" s="9" t="n">
        <v>2</v>
      </c>
      <c r="G641" s="12" t="n"/>
      <c r="H641" s="13" t="n"/>
      <c r="I641" s="4" t="n"/>
      <c r="J641" s="14">
        <f>IF(G641="","",F641*G641)</f>
        <v/>
      </c>
    </row>
    <row r="642">
      <c r="A642" s="15" t="n">
        <v>628</v>
      </c>
      <c r="B642" s="15" t="n">
        <v>567621</v>
      </c>
      <c r="C642" s="16" t="inlineStr">
        <is>
          <t>7896331707014</t>
        </is>
      </c>
      <c r="D642" s="17" t="inlineStr">
        <is>
          <t>RINOSOFT BABY 0,9% 100ML UN</t>
        </is>
      </c>
      <c r="E642" s="17" t="inlineStr">
        <is>
          <t>KLEY HERTZ</t>
        </is>
      </c>
      <c r="F642" s="15" t="n">
        <v>1</v>
      </c>
      <c r="G642" s="12" t="n"/>
      <c r="H642" s="13" t="n"/>
      <c r="I642" s="4" t="n"/>
      <c r="J642" s="18">
        <f>IF(G642="","",F642*G642)</f>
        <v/>
      </c>
    </row>
    <row r="643">
      <c r="A643" s="9" t="n">
        <v>629</v>
      </c>
      <c r="B643" s="9" t="n">
        <v>555161</v>
      </c>
      <c r="C643" s="10" t="inlineStr">
        <is>
          <t>7897322704593</t>
        </is>
      </c>
      <c r="D643" s="11" t="inlineStr">
        <is>
          <t>RINOSORO (N.S.) 9MG SOL NAS SPRAY 50ML</t>
        </is>
      </c>
      <c r="E643" s="11" t="inlineStr">
        <is>
          <t>MANTECORP/FARMASA</t>
        </is>
      </c>
      <c r="F643" s="9" t="n">
        <v>1</v>
      </c>
      <c r="G643" s="12" t="n"/>
      <c r="H643" s="13" t="n"/>
      <c r="I643" s="4" t="n"/>
      <c r="J643" s="14">
        <f>IF(G643="","",F643*G643)</f>
        <v/>
      </c>
    </row>
    <row r="644">
      <c r="A644" s="15" t="n">
        <v>630</v>
      </c>
      <c r="B644" s="15" t="n">
        <v>644391</v>
      </c>
      <c r="C644" s="16" t="inlineStr">
        <is>
          <t>7896094930780</t>
        </is>
      </c>
      <c r="D644" s="17" t="inlineStr">
        <is>
          <t>RINOSORO AV BABY 15 SCH+FR 60ML+SER 20ML</t>
        </is>
      </c>
      <c r="E644" s="17" t="inlineStr">
        <is>
          <t>MANTECORP/FARMASA</t>
        </is>
      </c>
      <c r="F644" s="15" t="n">
        <v>1</v>
      </c>
      <c r="G644" s="12" t="n"/>
      <c r="H644" s="13" t="n"/>
      <c r="I644" s="4" t="n"/>
      <c r="J644" s="18">
        <f>IF(G644="","",F644*G644)</f>
        <v/>
      </c>
    </row>
    <row r="645">
      <c r="A645" s="9" t="n">
        <v>631</v>
      </c>
      <c r="B645" s="9" t="n">
        <v>565161</v>
      </c>
      <c r="C645" s="10" t="inlineStr">
        <is>
          <t>7897322709376</t>
        </is>
      </c>
      <c r="D645" s="11" t="inlineStr">
        <is>
          <t>RINOSORO JET (N.S.) 0,9% SPRAY NASAL FR 100ML</t>
        </is>
      </c>
      <c r="E645" s="11" t="inlineStr">
        <is>
          <t>MANTECORP/FARMASA</t>
        </is>
      </c>
      <c r="F645" s="9" t="n">
        <v>4</v>
      </c>
      <c r="G645" s="12" t="n"/>
      <c r="H645" s="13" t="n"/>
      <c r="I645" s="4" t="n"/>
      <c r="J645" s="14">
        <f>IF(G645="","",F645*G645)</f>
        <v/>
      </c>
    </row>
    <row r="646">
      <c r="A646" s="15" t="n">
        <v>632</v>
      </c>
      <c r="B646" s="15" t="n">
        <v>427821</v>
      </c>
      <c r="C646" s="16" t="inlineStr">
        <is>
          <t>8902220109506</t>
        </is>
      </c>
      <c r="D646" s="17" t="inlineStr">
        <is>
          <t>ROSUCOR 10MG CX 30 COMP REV</t>
        </is>
      </c>
      <c r="E646" s="17" t="inlineStr">
        <is>
          <t>TORRENT DO BRASIL</t>
        </is>
      </c>
      <c r="F646" s="15" t="n">
        <v>1</v>
      </c>
      <c r="G646" s="12" t="n"/>
      <c r="H646" s="13" t="n"/>
      <c r="I646" s="4" t="n"/>
      <c r="J646" s="18">
        <f>IF(G646="","",F646*G646)</f>
        <v/>
      </c>
    </row>
    <row r="647">
      <c r="A647" s="9" t="n">
        <v>633</v>
      </c>
      <c r="B647" s="9" t="n">
        <v>427841</v>
      </c>
      <c r="C647" s="10" t="inlineStr">
        <is>
          <t>8902220109520</t>
        </is>
      </c>
      <c r="D647" s="11" t="inlineStr">
        <is>
          <t>ROSUCOR 20MG CX 30 COMP REV</t>
        </is>
      </c>
      <c r="E647" s="11" t="inlineStr">
        <is>
          <t>TORRENT DO BRASIL</t>
        </is>
      </c>
      <c r="F647" s="9" t="n">
        <v>1</v>
      </c>
      <c r="G647" s="12" t="n"/>
      <c r="H647" s="13" t="n"/>
      <c r="I647" s="4" t="n"/>
      <c r="J647" s="14">
        <f>IF(G647="","",F647*G647)</f>
        <v/>
      </c>
    </row>
    <row r="648">
      <c r="A648" s="15" t="n">
        <v>634</v>
      </c>
      <c r="B648" s="15" t="n">
        <v>611001</v>
      </c>
      <c r="C648" s="16" t="inlineStr">
        <is>
          <t>4005900945709</t>
        </is>
      </c>
      <c r="D648" s="17" t="inlineStr">
        <is>
          <t>SAB NIVEA GEL ACNE CONTROL 150G</t>
        </is>
      </c>
      <c r="E648" s="17" t="inlineStr">
        <is>
          <t>NIVEA</t>
        </is>
      </c>
      <c r="F648" s="15" t="n">
        <v>1</v>
      </c>
      <c r="G648" s="12" t="n"/>
      <c r="H648" s="13" t="n"/>
      <c r="I648" s="4" t="n"/>
      <c r="J648" s="18">
        <f>IF(G648="","",F648*G648)</f>
        <v/>
      </c>
    </row>
    <row r="649">
      <c r="A649" s="9" t="n">
        <v>635</v>
      </c>
      <c r="B649" s="9" t="n">
        <v>594311</v>
      </c>
      <c r="C649" s="10" t="inlineStr">
        <is>
          <t>4005808189625</t>
        </is>
      </c>
      <c r="D649" s="11" t="inlineStr">
        <is>
          <t>SAB NIVEA GEL CONTR BRILHO 145G</t>
        </is>
      </c>
      <c r="E649" s="11" t="inlineStr">
        <is>
          <t>NIVEA</t>
        </is>
      </c>
      <c r="F649" s="9" t="n">
        <v>2</v>
      </c>
      <c r="G649" s="12" t="n"/>
      <c r="H649" s="13" t="n"/>
      <c r="I649" s="4" t="n"/>
      <c r="J649" s="14">
        <f>IF(G649="","",F649*G649)</f>
        <v/>
      </c>
    </row>
    <row r="650">
      <c r="A650" s="15" t="n">
        <v>636</v>
      </c>
      <c r="B650" s="15" t="n">
        <v>104</v>
      </c>
      <c r="C650" s="16" t="inlineStr">
        <is>
          <t>4005808189342</t>
        </is>
      </c>
      <c r="D650" s="17" t="inlineStr">
        <is>
          <t>SABONETE FACIAL GEL NIVEA EQUI NUT 150G</t>
        </is>
      </c>
      <c r="E650" s="17" t="inlineStr">
        <is>
          <t>NIVEA</t>
        </is>
      </c>
      <c r="F650" s="15" t="n">
        <v>1</v>
      </c>
      <c r="G650" s="12" t="n"/>
      <c r="H650" s="13" t="n"/>
      <c r="I650" s="4" t="n"/>
      <c r="J650" s="18">
        <f>IF(G650="","",F650*G650)</f>
        <v/>
      </c>
    </row>
    <row r="651">
      <c r="A651" s="9" t="n">
        <v>637</v>
      </c>
      <c r="B651" s="9" t="n">
        <v>521301</v>
      </c>
      <c r="C651" s="10" t="inlineStr">
        <is>
          <t>7896015521684</t>
        </is>
      </c>
      <c r="D651" s="11" t="inlineStr">
        <is>
          <t>SAL DE FRUTA ENO 2 SACHES ENV SB ABACAXI</t>
        </is>
      </c>
      <c r="E651" s="11" t="inlineStr">
        <is>
          <t>HALEON</t>
        </is>
      </c>
      <c r="F651" s="9" t="n">
        <v>1</v>
      </c>
      <c r="G651" s="12" t="n"/>
      <c r="H651" s="13" t="n"/>
      <c r="I651" s="4" t="n"/>
      <c r="J651" s="14">
        <f>IF(G651="","",F651*G651)</f>
        <v/>
      </c>
    </row>
    <row r="652">
      <c r="A652" s="9" t="n">
        <v>638</v>
      </c>
      <c r="B652" s="9" t="n">
        <v>521301</v>
      </c>
      <c r="C652" s="10" t="inlineStr">
        <is>
          <t>7896015521646</t>
        </is>
      </c>
      <c r="D652" s="11" t="inlineStr">
        <is>
          <t>SAL DE FRUTA ENO 2 SACHES ENV SB ABACAXI</t>
        </is>
      </c>
      <c r="E652" s="11" t="inlineStr">
        <is>
          <t>HALEON</t>
        </is>
      </c>
      <c r="F652" s="9" t="n">
        <v>1</v>
      </c>
      <c r="G652" s="12" t="n"/>
      <c r="H652" s="13" t="n"/>
      <c r="I652" s="4" t="n"/>
      <c r="J652" s="14">
        <f>IF(G652="","",F652*G652)</f>
        <v/>
      </c>
    </row>
    <row r="653">
      <c r="A653" s="15" t="n">
        <v>639</v>
      </c>
      <c r="B653" s="15" t="n">
        <v>521321</v>
      </c>
      <c r="C653" s="16" t="inlineStr">
        <is>
          <t>7896015521622</t>
        </is>
      </c>
      <c r="D653" s="17" t="inlineStr">
        <is>
          <t>SAL DE FRUTA ENO FR 100G SB ABACAXI</t>
        </is>
      </c>
      <c r="E653" s="17" t="inlineStr">
        <is>
          <t>HALEON</t>
        </is>
      </c>
      <c r="F653" s="15" t="n">
        <v>1</v>
      </c>
      <c r="G653" s="12" t="n"/>
      <c r="H653" s="13" t="n"/>
      <c r="I653" s="4" t="n"/>
      <c r="J653" s="18">
        <f>IF(G653="","",F653*G653)</f>
        <v/>
      </c>
    </row>
    <row r="654">
      <c r="A654" s="9" t="n">
        <v>640</v>
      </c>
      <c r="B654" s="9" t="n">
        <v>431301</v>
      </c>
      <c r="C654" s="10" t="inlineStr">
        <is>
          <t>7896227800089</t>
        </is>
      </c>
      <c r="D654" s="11" t="inlineStr">
        <is>
          <t>SALONPAS 0,15+0,07G/G GEL BG 20G</t>
        </is>
      </c>
      <c r="E654" s="11" t="inlineStr">
        <is>
          <t>HISAMITSU</t>
        </is>
      </c>
      <c r="F654" s="9" t="n">
        <v>2</v>
      </c>
      <c r="G654" s="12" t="n"/>
      <c r="H654" s="13" t="n"/>
      <c r="I654" s="4" t="n"/>
      <c r="J654" s="14">
        <f>IF(G654="","",F654*G654)</f>
        <v/>
      </c>
    </row>
    <row r="655">
      <c r="A655" s="15" t="n">
        <v>641</v>
      </c>
      <c r="B655" s="15" t="n">
        <v>318441</v>
      </c>
      <c r="C655" s="16" t="inlineStr">
        <is>
          <t>7896227800829</t>
        </is>
      </c>
      <c r="D655" s="17" t="inlineStr">
        <is>
          <t>SALONPAS 144,0+131,0+28,4MG CX 4 UNID. ADES TAM GDE</t>
        </is>
      </c>
      <c r="E655" s="17" t="inlineStr">
        <is>
          <t>HISAMITSU</t>
        </is>
      </c>
      <c r="F655" s="15" t="n">
        <v>61</v>
      </c>
      <c r="G655" s="12" t="n"/>
      <c r="H655" s="13" t="n"/>
      <c r="I655" s="4" t="n"/>
      <c r="J655" s="18">
        <f>IF(G655="","",F655*G655)</f>
        <v/>
      </c>
    </row>
    <row r="656">
      <c r="A656" s="15" t="n">
        <v>642</v>
      </c>
      <c r="B656" s="15" t="n">
        <v>318441</v>
      </c>
      <c r="C656" s="16" t="inlineStr">
        <is>
          <t>7896227800867</t>
        </is>
      </c>
      <c r="D656" s="17" t="inlineStr">
        <is>
          <t>SALONPAS 144,0+131,0+28,4MG CX 4 UNID. ADES TAM GDE</t>
        </is>
      </c>
      <c r="E656" s="17" t="inlineStr">
        <is>
          <t>HISAMITSU</t>
        </is>
      </c>
      <c r="F656" s="15" t="n">
        <v>61</v>
      </c>
      <c r="G656" s="12" t="n"/>
      <c r="H656" s="13" t="n"/>
      <c r="I656" s="4" t="n"/>
      <c r="J656" s="18">
        <f>IF(G656="","",F656*G656)</f>
        <v/>
      </c>
    </row>
    <row r="657">
      <c r="A657" s="9" t="n">
        <v>643</v>
      </c>
      <c r="B657" s="9" t="n">
        <v>318461</v>
      </c>
      <c r="C657" s="10" t="inlineStr">
        <is>
          <t>7896227800799</t>
        </is>
      </c>
      <c r="D657" s="11" t="inlineStr">
        <is>
          <t>SALONPAS 36,0MG+33,0MG+7,1MG CX 4 UNID. ADES TAM PEQ</t>
        </is>
      </c>
      <c r="E657" s="11" t="inlineStr">
        <is>
          <t>HISAMITSU</t>
        </is>
      </c>
      <c r="F657" s="9" t="n">
        <v>70</v>
      </c>
      <c r="G657" s="12" t="n"/>
      <c r="H657" s="13" t="n"/>
      <c r="I657" s="4" t="n"/>
      <c r="J657" s="14">
        <f>IF(G657="","",F657*G657)</f>
        <v/>
      </c>
    </row>
    <row r="658">
      <c r="A658" s="9" t="n">
        <v>644</v>
      </c>
      <c r="B658" s="9" t="n">
        <v>318461</v>
      </c>
      <c r="C658" s="10" t="inlineStr">
        <is>
          <t>7896227800881</t>
        </is>
      </c>
      <c r="D658" s="11" t="inlineStr">
        <is>
          <t>SALONPAS 36,0MG+33,0MG+7,1MG CX 4 UNID. ADES TAM PEQ</t>
        </is>
      </c>
      <c r="E658" s="11" t="inlineStr">
        <is>
          <t>HISAMITSU</t>
        </is>
      </c>
      <c r="F658" s="9" t="n">
        <v>70</v>
      </c>
      <c r="G658" s="12" t="n"/>
      <c r="H658" s="13" t="n"/>
      <c r="I658" s="4" t="n"/>
      <c r="J658" s="14">
        <f>IF(G658="","",F658*G658)</f>
        <v/>
      </c>
    </row>
    <row r="659">
      <c r="A659" s="15" t="n">
        <v>645</v>
      </c>
      <c r="B659" s="15" t="n">
        <v>623011</v>
      </c>
      <c r="C659" s="16" t="inlineStr">
        <is>
          <t>4987188501115</t>
        </is>
      </c>
      <c r="D659" s="17" t="inlineStr">
        <is>
          <t>SALONPAS GEL-PATCH 12,5MG/G+10MG/G+3MG/G+10MG/G 3 ADES</t>
        </is>
      </c>
      <c r="E659" s="17" t="inlineStr">
        <is>
          <t>HISAMITSU</t>
        </is>
      </c>
      <c r="F659" s="15" t="n">
        <v>5</v>
      </c>
      <c r="G659" s="12" t="n"/>
      <c r="H659" s="13" t="n"/>
      <c r="I659" s="4" t="n"/>
      <c r="J659" s="18">
        <f>IF(G659="","",F659*G659)</f>
        <v/>
      </c>
    </row>
    <row r="660">
      <c r="A660" s="9" t="n">
        <v>646</v>
      </c>
      <c r="B660" s="9" t="n">
        <v>191821</v>
      </c>
      <c r="C660" s="10" t="inlineStr">
        <is>
          <t>7896658028328</t>
        </is>
      </c>
      <c r="D660" s="11" t="inlineStr">
        <is>
          <t>SANY D 2.000UI CX 30 COMP REV</t>
        </is>
      </c>
      <c r="E660" s="11" t="inlineStr">
        <is>
          <t>ACHE</t>
        </is>
      </c>
      <c r="F660" s="9" t="n">
        <v>1</v>
      </c>
      <c r="G660" s="12" t="n"/>
      <c r="H660" s="13" t="n"/>
      <c r="I660" s="4" t="n"/>
      <c r="J660" s="14">
        <f>IF(G660="","",F660*G660)</f>
        <v/>
      </c>
    </row>
    <row r="661">
      <c r="A661" s="15" t="n">
        <v>647</v>
      </c>
      <c r="B661" s="15" t="n">
        <v>612511</v>
      </c>
      <c r="C661" s="16" t="inlineStr">
        <is>
          <t>7896658038723</t>
        </is>
      </c>
      <c r="D661" s="17" t="inlineStr">
        <is>
          <t>SANY D FR GTS 20ML</t>
        </is>
      </c>
      <c r="E661" s="17" t="inlineStr">
        <is>
          <t>ACHE</t>
        </is>
      </c>
      <c r="F661" s="15" t="n">
        <v>1</v>
      </c>
      <c r="G661" s="12" t="n"/>
      <c r="H661" s="13" t="n"/>
      <c r="I661" s="4" t="n"/>
      <c r="J661" s="18">
        <f>IF(G661="","",F661*G661)</f>
        <v/>
      </c>
    </row>
    <row r="662">
      <c r="A662" s="9" t="n">
        <v>648</v>
      </c>
      <c r="B662" s="9" t="n">
        <v>244781</v>
      </c>
      <c r="C662" s="10" t="inlineStr">
        <is>
          <t>7898074618183</t>
        </is>
      </c>
      <c r="D662" s="11" t="inlineStr">
        <is>
          <t>SEKI 3,54MG/ML XPE FR 120ML+CM</t>
        </is>
      </c>
      <c r="E662" s="11" t="inlineStr">
        <is>
          <t>ZAMBON</t>
        </is>
      </c>
      <c r="F662" s="9" t="n">
        <v>19</v>
      </c>
      <c r="G662" s="12" t="n"/>
      <c r="H662" s="13" t="n"/>
      <c r="I662" s="4" t="n"/>
      <c r="J662" s="14">
        <f>IF(G662="","",F662*G662)</f>
        <v/>
      </c>
    </row>
    <row r="663">
      <c r="A663" s="15" t="n">
        <v>649</v>
      </c>
      <c r="B663" s="15" t="n">
        <v>4281</v>
      </c>
      <c r="C663" s="16" t="inlineStr">
        <is>
          <t>7891317465650</t>
        </is>
      </c>
      <c r="D663" s="17" t="inlineStr">
        <is>
          <t>SELENE 0,035+2MG (CAIXA C/ 3 CARTELAS) C/21</t>
        </is>
      </c>
      <c r="E663" s="17" t="inlineStr">
        <is>
          <t>EUROFARMA</t>
        </is>
      </c>
      <c r="F663" s="15" t="n">
        <v>9</v>
      </c>
      <c r="G663" s="12" t="n"/>
      <c r="H663" s="13" t="n"/>
      <c r="I663" s="4" t="n"/>
      <c r="J663" s="18">
        <f>IF(G663="","",F663*G663)</f>
        <v/>
      </c>
    </row>
    <row r="664">
      <c r="A664" s="9" t="n">
        <v>650</v>
      </c>
      <c r="B664" s="9" t="n">
        <v>444281</v>
      </c>
      <c r="C664" s="10" t="inlineStr">
        <is>
          <t>7896206402853</t>
        </is>
      </c>
      <c r="D664" s="11" t="inlineStr">
        <is>
          <t>SELOZOK 25MG CX 30 COMP</t>
        </is>
      </c>
      <c r="E664" s="11" t="inlineStr">
        <is>
          <t>ASTRAZENECA</t>
        </is>
      </c>
      <c r="F664" s="9" t="n">
        <v>3</v>
      </c>
      <c r="G664" s="12" t="n"/>
      <c r="H664" s="13" t="n"/>
      <c r="I664" s="4" t="n"/>
      <c r="J664" s="14">
        <f>IF(G664="","",F664*G664)</f>
        <v/>
      </c>
    </row>
    <row r="665">
      <c r="A665" s="15" t="n">
        <v>651</v>
      </c>
      <c r="B665" s="15" t="n">
        <v>444341</v>
      </c>
      <c r="C665" s="16" t="inlineStr">
        <is>
          <t>7896206402860</t>
        </is>
      </c>
      <c r="D665" s="17" t="inlineStr">
        <is>
          <t>SELOZOK 50MG CX 30 COMP</t>
        </is>
      </c>
      <c r="E665" s="17" t="inlineStr">
        <is>
          <t>ASTRAZENECA</t>
        </is>
      </c>
      <c r="F665" s="15" t="n">
        <v>1</v>
      </c>
      <c r="G665" s="12" t="n"/>
      <c r="H665" s="13" t="n"/>
      <c r="I665" s="4" t="n"/>
      <c r="J665" s="18">
        <f>IF(G665="","",F665*G665)</f>
        <v/>
      </c>
    </row>
    <row r="666">
      <c r="A666" s="9" t="n">
        <v>652</v>
      </c>
      <c r="B666" s="9" t="n">
        <v>655751</v>
      </c>
      <c r="C666" s="10" t="inlineStr">
        <is>
          <t>7896015528300</t>
        </is>
      </c>
      <c r="D666" s="11" t="inlineStr">
        <is>
          <t>SENSODYNE ALIV RAPIDO 90G</t>
        </is>
      </c>
      <c r="E666" s="11" t="inlineStr">
        <is>
          <t>SENSODYNE</t>
        </is>
      </c>
      <c r="F666" s="9" t="n">
        <v>2</v>
      </c>
      <c r="G666" s="12" t="n"/>
      <c r="H666" s="13" t="n"/>
      <c r="I666" s="4" t="n"/>
      <c r="J666" s="14">
        <f>IF(G666="","",F666*G666)</f>
        <v/>
      </c>
    </row>
    <row r="667">
      <c r="A667" s="15" t="n">
        <v>653</v>
      </c>
      <c r="B667" s="15" t="n">
        <v>657711</v>
      </c>
      <c r="C667" s="16" t="inlineStr">
        <is>
          <t>7896009499166</t>
        </is>
      </c>
      <c r="D667" s="17" t="inlineStr">
        <is>
          <t>SENSODYNE CLINICAL REPAIR 100G</t>
        </is>
      </c>
      <c r="E667" s="17" t="inlineStr">
        <is>
          <t>HALEON</t>
        </is>
      </c>
      <c r="F667" s="15" t="n">
        <v>1</v>
      </c>
      <c r="G667" s="12" t="n"/>
      <c r="H667" s="13" t="n"/>
      <c r="I667" s="4" t="n"/>
      <c r="J667" s="18">
        <f>IF(G667="","",F667*G667)</f>
        <v/>
      </c>
    </row>
    <row r="668">
      <c r="A668" s="9" t="n">
        <v>654</v>
      </c>
      <c r="B668" s="9" t="n">
        <v>655381</v>
      </c>
      <c r="C668" s="10" t="inlineStr">
        <is>
          <t>7896090611973</t>
        </is>
      </c>
      <c r="D668" s="11" t="inlineStr">
        <is>
          <t>SENSODYNE PROT COMP+ULT PROT 20G</t>
        </is>
      </c>
      <c r="E668" s="11" t="inlineStr">
        <is>
          <t>COLBRAS INDUSTRIA E COMERCIO</t>
        </is>
      </c>
      <c r="F668" s="9" t="n">
        <v>1</v>
      </c>
      <c r="G668" s="12" t="n"/>
      <c r="H668" s="13" t="n"/>
      <c r="I668" s="4" t="n"/>
      <c r="J668" s="14">
        <f>IF(G668="","",F668*G668)</f>
        <v/>
      </c>
    </row>
    <row r="669">
      <c r="A669" s="9" t="n">
        <v>655</v>
      </c>
      <c r="B669" s="9" t="n">
        <v>655381</v>
      </c>
      <c r="C669" s="10" t="inlineStr">
        <is>
          <t>7896090611966</t>
        </is>
      </c>
      <c r="D669" s="11" t="inlineStr">
        <is>
          <t>SENSODYNE PROT COMP+ULT PROT 20G</t>
        </is>
      </c>
      <c r="E669" s="11" t="inlineStr">
        <is>
          <t>COLBRAS INDUSTRIA E COMERCIO</t>
        </is>
      </c>
      <c r="F669" s="9" t="n">
        <v>1</v>
      </c>
      <c r="G669" s="12" t="n"/>
      <c r="H669" s="13" t="n"/>
      <c r="I669" s="4" t="n"/>
      <c r="J669" s="14">
        <f>IF(G669="","",F669*G669)</f>
        <v/>
      </c>
    </row>
    <row r="670">
      <c r="A670" s="15" t="n">
        <v>656</v>
      </c>
      <c r="B670" s="15" t="n">
        <v>542281</v>
      </c>
      <c r="C670" s="16" t="inlineStr">
        <is>
          <t>7892828001405</t>
        </is>
      </c>
      <c r="D670" s="17" t="inlineStr">
        <is>
          <t>SEPURIN 120MG+20ML CX 20 DRG</t>
        </is>
      </c>
      <c r="E670" s="17" t="inlineStr">
        <is>
          <t>GROSS</t>
        </is>
      </c>
      <c r="F670" s="15" t="n">
        <v>3</v>
      </c>
      <c r="G670" s="12" t="n"/>
      <c r="H670" s="13" t="n"/>
      <c r="I670" s="4" t="n"/>
      <c r="J670" s="18">
        <f>IF(G670="","",F670*G670)</f>
        <v/>
      </c>
    </row>
    <row r="671">
      <c r="A671" s="9" t="n">
        <v>657</v>
      </c>
      <c r="B671" s="9" t="n">
        <v>656201</v>
      </c>
      <c r="C671" s="10" t="inlineStr">
        <is>
          <t>7891150095878</t>
        </is>
      </c>
      <c r="D671" s="11" t="inlineStr">
        <is>
          <t>SERUM DOVE CORPO PRO CERAM 380ML</t>
        </is>
      </c>
      <c r="E671" s="11" t="inlineStr">
        <is>
          <t>DOVE</t>
        </is>
      </c>
      <c r="F671" s="9" t="n">
        <v>1</v>
      </c>
      <c r="G671" s="12" t="n"/>
      <c r="H671" s="13" t="n"/>
      <c r="I671" s="4" t="n"/>
      <c r="J671" s="14">
        <f>IF(G671="","",F671*G671)</f>
        <v/>
      </c>
    </row>
    <row r="672">
      <c r="A672" s="15" t="n">
        <v>658</v>
      </c>
      <c r="B672" s="15" t="n">
        <v>844</v>
      </c>
      <c r="C672" s="16" t="inlineStr">
        <is>
          <t>7898949409922</t>
        </is>
      </c>
      <c r="D672" s="17" t="inlineStr">
        <is>
          <t>SHP TIO NACHO ENGROSSADOR 415ML</t>
        </is>
      </c>
      <c r="E672" s="17" t="inlineStr">
        <is>
          <t>GENOMA</t>
        </is>
      </c>
      <c r="F672" s="15" t="n">
        <v>2</v>
      </c>
      <c r="G672" s="12" t="n"/>
      <c r="H672" s="13" t="n"/>
      <c r="I672" s="4" t="n"/>
      <c r="J672" s="18">
        <f>IF(G672="","",F672*G672)</f>
        <v/>
      </c>
    </row>
    <row r="673">
      <c r="A673" s="9" t="n">
        <v>659</v>
      </c>
      <c r="B673" s="9" t="n">
        <v>109721</v>
      </c>
      <c r="C673" s="10" t="inlineStr">
        <is>
          <t>7894916501477</t>
        </is>
      </c>
      <c r="D673" s="11" t="inlineStr">
        <is>
          <t>SIGMA-CLAV BD 400+57MG/5ML SUS ORAL FR 70ML</t>
        </is>
      </c>
      <c r="E673" s="11" t="inlineStr">
        <is>
          <t>SIGMA PHARMA</t>
        </is>
      </c>
      <c r="F673" s="9" t="n">
        <v>2</v>
      </c>
      <c r="G673" s="12" t="n"/>
      <c r="H673" s="13" t="n"/>
      <c r="I673" s="4" t="n"/>
      <c r="J673" s="14">
        <f>IF(G673="","",F673*G673)</f>
        <v/>
      </c>
    </row>
    <row r="674">
      <c r="A674" s="15" t="n">
        <v>660</v>
      </c>
      <c r="B674" s="15" t="n">
        <v>605291</v>
      </c>
      <c r="C674" s="16" t="inlineStr">
        <is>
          <t>7897460401934</t>
        </is>
      </c>
      <c r="D674" s="17" t="inlineStr">
        <is>
          <t>SILIMALON 100+70MG CX 10 COMP REV</t>
        </is>
      </c>
      <c r="E674" s="17" t="inlineStr">
        <is>
          <t>ZYDUS NIKKHO</t>
        </is>
      </c>
      <c r="F674" s="15" t="n">
        <v>4</v>
      </c>
      <c r="G674" s="12" t="n"/>
      <c r="H674" s="13" t="n"/>
      <c r="I674" s="4" t="n"/>
      <c r="J674" s="18">
        <f>IF(G674="","",F674*G674)</f>
        <v/>
      </c>
    </row>
    <row r="675">
      <c r="A675" s="9" t="n">
        <v>661</v>
      </c>
      <c r="B675" s="9" t="n">
        <v>433941</v>
      </c>
      <c r="C675" s="10" t="inlineStr">
        <is>
          <t>7897460401422</t>
        </is>
      </c>
      <c r="D675" s="11" t="inlineStr">
        <is>
          <t>SILIMALON 100+70MG CX 30 DRG</t>
        </is>
      </c>
      <c r="E675" s="11" t="inlineStr">
        <is>
          <t>ZYDUS NIKKHO</t>
        </is>
      </c>
      <c r="F675" s="9" t="n">
        <v>2</v>
      </c>
      <c r="G675" s="12" t="n"/>
      <c r="H675" s="13" t="n"/>
      <c r="I675" s="4" t="n"/>
      <c r="J675" s="14">
        <f>IF(G675="","",F675*G675)</f>
        <v/>
      </c>
    </row>
    <row r="676">
      <c r="A676" s="15" t="n">
        <v>662</v>
      </c>
      <c r="B676" s="15" t="n">
        <v>433961</v>
      </c>
      <c r="C676" s="16" t="inlineStr">
        <is>
          <t>7897460401750</t>
        </is>
      </c>
      <c r="D676" s="17" t="inlineStr">
        <is>
          <t>SILIMALON 140 140+100MG CX 60 COMP REV</t>
        </is>
      </c>
      <c r="E676" s="17" t="inlineStr">
        <is>
          <t>ZYDUS NIKKHO</t>
        </is>
      </c>
      <c r="F676" s="15" t="n">
        <v>1</v>
      </c>
      <c r="G676" s="12" t="n"/>
      <c r="H676" s="13" t="n"/>
      <c r="I676" s="4" t="n"/>
      <c r="J676" s="18">
        <f>IF(G676="","",F676*G676)</f>
        <v/>
      </c>
    </row>
    <row r="677">
      <c r="A677" s="9" t="n">
        <v>663</v>
      </c>
      <c r="B677" s="9" t="n">
        <v>458401</v>
      </c>
      <c r="C677" s="10" t="inlineStr">
        <is>
          <t>7896548199565</t>
        </is>
      </c>
      <c r="D677" s="11" t="inlineStr">
        <is>
          <t>SIMBRINZA 10,0+2,0MG/ML SUS OFT FR GOT X 5ML</t>
        </is>
      </c>
      <c r="E677" s="11" t="inlineStr">
        <is>
          <t>NOVARTIS</t>
        </is>
      </c>
      <c r="F677" s="9" t="n">
        <v>1</v>
      </c>
      <c r="G677" s="12" t="n"/>
      <c r="H677" s="13" t="n"/>
      <c r="I677" s="4" t="n"/>
      <c r="J677" s="14">
        <f>IF(G677="","",F677*G677)</f>
        <v/>
      </c>
    </row>
    <row r="678">
      <c r="A678" s="15" t="n">
        <v>664</v>
      </c>
      <c r="B678" s="15" t="n">
        <v>110341</v>
      </c>
      <c r="C678" s="16" t="inlineStr">
        <is>
          <t>7891317421748</t>
        </is>
      </c>
      <c r="D678" s="17" t="inlineStr">
        <is>
          <t>SINOT CLAV 875+125MG FR 14 COMP</t>
        </is>
      </c>
      <c r="E678" s="17" t="inlineStr">
        <is>
          <t>EUROFARMA</t>
        </is>
      </c>
      <c r="F678" s="15" t="n">
        <v>7</v>
      </c>
      <c r="G678" s="12" t="n"/>
      <c r="H678" s="13" t="n"/>
      <c r="I678" s="4" t="n"/>
      <c r="J678" s="18">
        <f>IF(G678="","",F678*G678)</f>
        <v/>
      </c>
    </row>
    <row r="679">
      <c r="A679" s="9" t="n">
        <v>665</v>
      </c>
      <c r="B679" s="9" t="n">
        <v>114821</v>
      </c>
      <c r="C679" s="10" t="inlineStr">
        <is>
          <t>7896082900337</t>
        </is>
      </c>
      <c r="D679" s="11" t="inlineStr">
        <is>
          <t>SINUSTRAT FR 10ML</t>
        </is>
      </c>
      <c r="E679" s="11" t="inlineStr">
        <is>
          <t>BIOLAB</t>
        </is>
      </c>
      <c r="F679" s="9" t="n">
        <v>1</v>
      </c>
      <c r="G679" s="12" t="n"/>
      <c r="H679" s="13" t="n"/>
      <c r="I679" s="4" t="n"/>
      <c r="J679" s="14">
        <f>IF(G679="","",F679*G679)</f>
        <v/>
      </c>
    </row>
    <row r="680">
      <c r="A680" s="15" t="n">
        <v>666</v>
      </c>
      <c r="B680" s="15" t="n">
        <v>437341</v>
      </c>
      <c r="C680" s="16" t="inlineStr">
        <is>
          <t>7897595604163</t>
        </is>
      </c>
      <c r="D680" s="17" t="inlineStr">
        <is>
          <t>SINVASTACOR 40MG CX 30 COMP REV</t>
        </is>
      </c>
      <c r="E680" s="17" t="inlineStr">
        <is>
          <t>SANDOZ</t>
        </is>
      </c>
      <c r="F680" s="15" t="n">
        <v>5</v>
      </c>
      <c r="G680" s="12" t="n"/>
      <c r="H680" s="13" t="n"/>
      <c r="I680" s="4" t="n"/>
      <c r="J680" s="18">
        <f>IF(G680="","",F680*G680)</f>
        <v/>
      </c>
    </row>
    <row r="681">
      <c r="A681" s="9" t="n">
        <v>667</v>
      </c>
      <c r="B681" s="9" t="n">
        <v>529921</v>
      </c>
      <c r="C681" s="10" t="inlineStr">
        <is>
          <t>7908134200453</t>
        </is>
      </c>
      <c r="D681" s="11" t="inlineStr">
        <is>
          <t>SLINDA 4MG CX 24 COMP REV+4 PLACEBOS</t>
        </is>
      </c>
      <c r="E681" s="11" t="inlineStr">
        <is>
          <t>EXELTIS</t>
        </is>
      </c>
      <c r="F681" s="9" t="n">
        <v>4</v>
      </c>
      <c r="G681" s="12" t="n"/>
      <c r="H681" s="13" t="n"/>
      <c r="I681" s="4" t="n"/>
      <c r="J681" s="14">
        <f>IF(G681="","",F681*G681)</f>
        <v/>
      </c>
    </row>
    <row r="682">
      <c r="A682" s="15" t="n">
        <v>668</v>
      </c>
      <c r="B682" s="15" t="n">
        <v>622811</v>
      </c>
      <c r="C682" s="16" t="inlineStr">
        <is>
          <t>7896006219545</t>
        </is>
      </c>
      <c r="D682" s="17" t="inlineStr">
        <is>
          <t>SLOW-K 600MG CX 20 COMP REV LIB PROL</t>
        </is>
      </c>
      <c r="E682" s="17" t="inlineStr">
        <is>
          <t>UNIAO QUIMICA</t>
        </is>
      </c>
      <c r="F682" s="15" t="n">
        <v>1</v>
      </c>
      <c r="G682" s="12" t="n"/>
      <c r="H682" s="13" t="n"/>
      <c r="I682" s="4" t="n"/>
      <c r="J682" s="18">
        <f>IF(G682="","",F682*G682)</f>
        <v/>
      </c>
    </row>
    <row r="683">
      <c r="A683" s="9" t="n">
        <v>669</v>
      </c>
      <c r="B683" s="9" t="n">
        <v>645561</v>
      </c>
      <c r="C683" s="10" t="inlineStr">
        <is>
          <t>7897930761209</t>
        </is>
      </c>
      <c r="D683" s="11" t="inlineStr">
        <is>
          <t>SOAPEX 1% SAB 80G-DEMAIS PROD</t>
        </is>
      </c>
      <c r="E683" s="11" t="inlineStr"/>
      <c r="F683" s="9" t="n">
        <v>1</v>
      </c>
      <c r="G683" s="12" t="n"/>
      <c r="H683" s="13" t="n"/>
      <c r="I683" s="4" t="n"/>
      <c r="J683" s="14">
        <f>IF(G683="","",F683*G683)</f>
        <v/>
      </c>
    </row>
    <row r="684">
      <c r="A684" s="15" t="n">
        <v>670</v>
      </c>
      <c r="B684" s="15" t="n">
        <v>609031</v>
      </c>
      <c r="C684" s="16" t="inlineStr">
        <is>
          <t>7897930750043</t>
        </is>
      </c>
      <c r="D684" s="17" t="inlineStr">
        <is>
          <t>SOAPEX SAB 80GR</t>
        </is>
      </c>
      <c r="E684" s="17" t="inlineStr">
        <is>
          <t>GALDERMA BRASIL</t>
        </is>
      </c>
      <c r="F684" s="15" t="n">
        <v>3</v>
      </c>
      <c r="G684" s="12" t="n"/>
      <c r="H684" s="13" t="n"/>
      <c r="I684" s="4" t="n"/>
      <c r="J684" s="18">
        <f>IF(G684="","",F684*G684)</f>
        <v/>
      </c>
    </row>
    <row r="685">
      <c r="A685" s="9" t="n">
        <v>671</v>
      </c>
      <c r="B685" s="9" t="n">
        <v>609041</v>
      </c>
      <c r="C685" s="10" t="inlineStr">
        <is>
          <t>7897930750050</t>
        </is>
      </c>
      <c r="D685" s="11" t="inlineStr">
        <is>
          <t>SOAPEX SAB CREMO 120ML</t>
        </is>
      </c>
      <c r="E685" s="11" t="inlineStr">
        <is>
          <t>GALDERMA BRASIL</t>
        </is>
      </c>
      <c r="F685" s="9" t="n">
        <v>1</v>
      </c>
      <c r="G685" s="12" t="n"/>
      <c r="H685" s="13" t="n"/>
      <c r="I685" s="4" t="n"/>
      <c r="J685" s="14">
        <f>IF(G685="","",F685*G685)</f>
        <v/>
      </c>
    </row>
    <row r="686">
      <c r="A686" s="15" t="n">
        <v>672</v>
      </c>
      <c r="B686" s="15" t="n">
        <v>613581</v>
      </c>
      <c r="C686" s="16" t="inlineStr">
        <is>
          <t>7896006200932</t>
        </is>
      </c>
      <c r="D686" s="17" t="inlineStr">
        <is>
          <t>SOLARDRIL LOCAO FR X 120 ML</t>
        </is>
      </c>
      <c r="E686" s="17" t="inlineStr">
        <is>
          <t>UNIAO QUIMICA</t>
        </is>
      </c>
      <c r="F686" s="15" t="n">
        <v>1</v>
      </c>
      <c r="G686" s="12" t="n"/>
      <c r="H686" s="13" t="n"/>
      <c r="I686" s="4" t="n"/>
      <c r="J686" s="18">
        <f>IF(G686="","",F686*G686)</f>
        <v/>
      </c>
    </row>
    <row r="687">
      <c r="A687" s="9" t="n">
        <v>673</v>
      </c>
      <c r="B687" s="9" t="n">
        <v>264541</v>
      </c>
      <c r="C687" s="10" t="inlineStr">
        <is>
          <t>7894916512107</t>
        </is>
      </c>
      <c r="D687" s="11" t="inlineStr">
        <is>
          <t>SOMALGIN CARDIO 81MG 6 BLT 10 COMP REV-S</t>
        </is>
      </c>
      <c r="E687" s="11" t="inlineStr">
        <is>
          <t>SIGMA PHARMA</t>
        </is>
      </c>
      <c r="F687" s="9" t="n">
        <v>3</v>
      </c>
      <c r="G687" s="12" t="n"/>
      <c r="H687" s="13" t="n"/>
      <c r="I687" s="4" t="n"/>
      <c r="J687" s="14">
        <f>IF(G687="","",F687*G687)</f>
        <v/>
      </c>
    </row>
    <row r="688">
      <c r="A688" s="15" t="n">
        <v>674</v>
      </c>
      <c r="B688" s="15" t="n">
        <v>397761</v>
      </c>
      <c r="C688" s="16" t="inlineStr">
        <is>
          <t>7896015517069</t>
        </is>
      </c>
      <c r="D688" s="17" t="inlineStr">
        <is>
          <t>SONRIDOR CAF CARTELA C/ 2CP EFE</t>
        </is>
      </c>
      <c r="E688" s="17" t="inlineStr">
        <is>
          <t>HALEON</t>
        </is>
      </c>
      <c r="F688" s="15" t="n">
        <v>5</v>
      </c>
      <c r="G688" s="12" t="n"/>
      <c r="H688" s="13" t="n"/>
      <c r="I688" s="4" t="n"/>
      <c r="J688" s="18">
        <f>IF(G688="","",F688*G688)</f>
        <v/>
      </c>
    </row>
    <row r="689">
      <c r="A689" s="9" t="n">
        <v>675</v>
      </c>
      <c r="B689" s="9" t="n">
        <v>397721</v>
      </c>
      <c r="C689" s="10" t="inlineStr">
        <is>
          <t>7896015517083</t>
        </is>
      </c>
      <c r="D689" s="11" t="inlineStr">
        <is>
          <t>SONRIDOR CAF FRACAO BL 4 COMP</t>
        </is>
      </c>
      <c r="E689" s="11" t="inlineStr">
        <is>
          <t>HALEON</t>
        </is>
      </c>
      <c r="F689" s="9" t="n">
        <v>2</v>
      </c>
      <c r="G689" s="12" t="n"/>
      <c r="H689" s="13" t="n"/>
      <c r="I689" s="4" t="n"/>
      <c r="J689" s="14">
        <f>IF(G689="","",F689*G689)</f>
        <v/>
      </c>
    </row>
    <row r="690">
      <c r="A690" s="9" t="n">
        <v>676</v>
      </c>
      <c r="B690" s="9" t="n">
        <v>397721</v>
      </c>
      <c r="C690" s="10" t="inlineStr">
        <is>
          <t>7896015517106</t>
        </is>
      </c>
      <c r="D690" s="11" t="inlineStr">
        <is>
          <t>SONRIDOR CAF FRACAO BL 4 COMP</t>
        </is>
      </c>
      <c r="E690" s="11" t="inlineStr">
        <is>
          <t>HALEON</t>
        </is>
      </c>
      <c r="F690" s="9" t="n">
        <v>2</v>
      </c>
      <c r="G690" s="12" t="n"/>
      <c r="H690" s="13" t="n"/>
      <c r="I690" s="4" t="n"/>
      <c r="J690" s="14">
        <f>IF(G690="","",F690*G690)</f>
        <v/>
      </c>
    </row>
    <row r="691">
      <c r="A691" s="15" t="n">
        <v>677</v>
      </c>
      <c r="B691" s="15" t="n">
        <v>657891</v>
      </c>
      <c r="C691" s="16" t="inlineStr">
        <is>
          <t>7896090611867</t>
        </is>
      </c>
      <c r="D691" s="17" t="inlineStr">
        <is>
          <t>SONRIDOR DOR E FEBRE 20CPR</t>
        </is>
      </c>
      <c r="E691" s="17" t="inlineStr">
        <is>
          <t>HALEON</t>
        </is>
      </c>
      <c r="F691" s="15" t="n">
        <v>1</v>
      </c>
      <c r="G691" s="12" t="n"/>
      <c r="H691" s="13" t="n"/>
      <c r="I691" s="4" t="n"/>
      <c r="J691" s="18">
        <f>IF(G691="","",F691*G691)</f>
        <v/>
      </c>
    </row>
    <row r="692">
      <c r="A692" s="9" t="n">
        <v>678</v>
      </c>
      <c r="B692" s="9" t="n">
        <v>670411</v>
      </c>
      <c r="C692" s="10" t="inlineStr">
        <is>
          <t>7896090611928</t>
        </is>
      </c>
      <c r="D692" s="11" t="inlineStr">
        <is>
          <t>SONRIDOR RAPID FORTE BLIS 10X4-OUTROS</t>
        </is>
      </c>
      <c r="E692" s="11" t="inlineStr">
        <is>
          <t>HALEON</t>
        </is>
      </c>
      <c r="F692" s="9" t="n">
        <v>1</v>
      </c>
      <c r="G692" s="12" t="n"/>
      <c r="H692" s="13" t="n"/>
      <c r="I692" s="4" t="n"/>
      <c r="J692" s="14">
        <f>IF(G692="","",F692*G692)</f>
        <v/>
      </c>
    </row>
    <row r="693">
      <c r="A693" s="15" t="n">
        <v>679</v>
      </c>
      <c r="B693" s="15" t="n">
        <v>304901</v>
      </c>
      <c r="C693" s="16" t="inlineStr">
        <is>
          <t>7896090611607</t>
        </is>
      </c>
      <c r="D693" s="17" t="inlineStr">
        <is>
          <t>SONRISAL CARTELA COM 2 COMP EFERV SB TRADICIONAL</t>
        </is>
      </c>
      <c r="E693" s="17" t="inlineStr">
        <is>
          <t>HALEON</t>
        </is>
      </c>
      <c r="F693" s="15" t="n">
        <v>7</v>
      </c>
      <c r="G693" s="12" t="n"/>
      <c r="H693" s="13" t="n"/>
      <c r="I693" s="4" t="n"/>
      <c r="J693" s="18">
        <f>IF(G693="","",F693*G693)</f>
        <v/>
      </c>
    </row>
    <row r="694">
      <c r="A694" s="15" t="n">
        <v>680</v>
      </c>
      <c r="B694" s="15" t="n">
        <v>304901</v>
      </c>
      <c r="C694" s="16" t="inlineStr">
        <is>
          <t>7896015520533</t>
        </is>
      </c>
      <c r="D694" s="17" t="inlineStr">
        <is>
          <t>SONRISAL CARTELA COM 2 COMP EFERV SB TRADICIONAL</t>
        </is>
      </c>
      <c r="E694" s="17" t="inlineStr">
        <is>
          <t>HALEON</t>
        </is>
      </c>
      <c r="F694" s="15" t="n">
        <v>7</v>
      </c>
      <c r="G694" s="12" t="n"/>
      <c r="H694" s="13" t="n"/>
      <c r="I694" s="4" t="n"/>
      <c r="J694" s="18">
        <f>IF(G694="","",F694*G694)</f>
        <v/>
      </c>
    </row>
    <row r="695">
      <c r="A695" s="9" t="n">
        <v>681</v>
      </c>
      <c r="B695" s="9" t="n">
        <v>304961</v>
      </c>
      <c r="C695" s="10" t="inlineStr">
        <is>
          <t>7896090604517</t>
        </is>
      </c>
      <c r="D695" s="11" t="inlineStr">
        <is>
          <t>SONRISAL FRACAO BL 2 COMP EFERV SB LIMAO</t>
        </is>
      </c>
      <c r="E695" s="11" t="inlineStr">
        <is>
          <t>HALEON</t>
        </is>
      </c>
      <c r="F695" s="9" t="n">
        <v>1</v>
      </c>
      <c r="G695" s="12" t="n"/>
      <c r="H695" s="13" t="n"/>
      <c r="I695" s="4" t="n"/>
      <c r="J695" s="14">
        <f>IF(G695="","",F695*G695)</f>
        <v/>
      </c>
    </row>
    <row r="696">
      <c r="A696" s="9" t="n">
        <v>682</v>
      </c>
      <c r="B696" s="9" t="n">
        <v>304961</v>
      </c>
      <c r="C696" s="10" t="inlineStr">
        <is>
          <t>7896015525231</t>
        </is>
      </c>
      <c r="D696" s="11" t="inlineStr">
        <is>
          <t>SONRISAL FRACAO BL 2 COMP EFERV SB LIMAO</t>
        </is>
      </c>
      <c r="E696" s="11" t="inlineStr">
        <is>
          <t>HALEON</t>
        </is>
      </c>
      <c r="F696" s="9" t="n">
        <v>1</v>
      </c>
      <c r="G696" s="12" t="n"/>
      <c r="H696" s="13" t="n"/>
      <c r="I696" s="4" t="n"/>
      <c r="J696" s="14">
        <f>IF(G696="","",F696*G696)</f>
        <v/>
      </c>
    </row>
    <row r="697">
      <c r="A697" s="15" t="n">
        <v>683</v>
      </c>
      <c r="B697" s="15" t="n">
        <v>539641</v>
      </c>
      <c r="C697" s="16" t="inlineStr">
        <is>
          <t>7896658012303</t>
        </is>
      </c>
      <c r="D697" s="17" t="inlineStr">
        <is>
          <t>SORINE (N.S.) 0,1+9,0MG SOL NAS FR 30ML+CGT INF</t>
        </is>
      </c>
      <c r="E697" s="17" t="inlineStr">
        <is>
          <t>ACHE</t>
        </is>
      </c>
      <c r="F697" s="15" t="n">
        <v>4</v>
      </c>
      <c r="G697" s="12" t="n"/>
      <c r="H697" s="13" t="n"/>
      <c r="I697" s="4" t="n"/>
      <c r="J697" s="18">
        <f>IF(G697="","",F697*G697)</f>
        <v/>
      </c>
    </row>
    <row r="698">
      <c r="A698" s="9" t="n">
        <v>684</v>
      </c>
      <c r="B698" s="9" t="n">
        <v>161161</v>
      </c>
      <c r="C698" s="10" t="inlineStr">
        <is>
          <t>7896658000652</t>
        </is>
      </c>
      <c r="D698" s="11" t="inlineStr">
        <is>
          <t>SORINE 0,5+0,1+9MG SOL NAS FR 30ML ADU</t>
        </is>
      </c>
      <c r="E698" s="11" t="inlineStr">
        <is>
          <t>ACHE</t>
        </is>
      </c>
      <c r="F698" s="9" t="n">
        <v>5</v>
      </c>
      <c r="G698" s="12" t="n"/>
      <c r="H698" s="13" t="n"/>
      <c r="I698" s="4" t="n"/>
      <c r="J698" s="14">
        <f>IF(G698="","",F698*G698)</f>
        <v/>
      </c>
    </row>
    <row r="699">
      <c r="A699" s="15" t="n">
        <v>685</v>
      </c>
      <c r="B699" s="15" t="n">
        <v>6303</v>
      </c>
      <c r="C699" s="16" t="inlineStr">
        <is>
          <t>7896658049811</t>
        </is>
      </c>
      <c r="D699" s="17" t="inlineStr">
        <is>
          <t>SORINE 0,9% JET BABY SOL FR 100ML</t>
        </is>
      </c>
      <c r="E699" s="17" t="inlineStr">
        <is>
          <t>ACHE</t>
        </is>
      </c>
      <c r="F699" s="15" t="n">
        <v>2</v>
      </c>
      <c r="G699" s="12" t="n"/>
      <c r="H699" s="13" t="n"/>
      <c r="I699" s="4" t="n"/>
      <c r="J699" s="18">
        <f>IF(G699="","",F699*G699)</f>
        <v/>
      </c>
    </row>
    <row r="700">
      <c r="A700" s="9" t="n">
        <v>686</v>
      </c>
      <c r="B700" s="9" t="n">
        <v>543041</v>
      </c>
      <c r="C700" s="10" t="inlineStr">
        <is>
          <t>7896658035944</t>
        </is>
      </c>
      <c r="D700" s="11" t="inlineStr">
        <is>
          <t>SORINE JET BABY 0,9% SOL NAS SPR FR 100ML</t>
        </is>
      </c>
      <c r="E700" s="11" t="inlineStr">
        <is>
          <t>ACHE</t>
        </is>
      </c>
      <c r="F700" s="9" t="n">
        <v>4</v>
      </c>
      <c r="G700" s="12" t="n"/>
      <c r="H700" s="13" t="n"/>
      <c r="I700" s="4" t="n"/>
      <c r="J700" s="14">
        <f>IF(G700="","",F700*G700)</f>
        <v/>
      </c>
    </row>
    <row r="701">
      <c r="A701" s="15" t="n">
        <v>687</v>
      </c>
      <c r="B701" s="15" t="n">
        <v>658381</v>
      </c>
      <c r="C701" s="16" t="inlineStr">
        <is>
          <t>7896658020315</t>
        </is>
      </c>
      <c r="D701" s="17" t="inlineStr">
        <is>
          <t>SORINE SSC SOL NAS SPRAY 50ML-OUTROS</t>
        </is>
      </c>
      <c r="E701" s="17" t="inlineStr">
        <is>
          <t>HYPERA FARMA</t>
        </is>
      </c>
      <c r="F701" s="15" t="n">
        <v>5</v>
      </c>
      <c r="G701" s="12" t="n"/>
      <c r="H701" s="13" t="n"/>
      <c r="I701" s="4" t="n"/>
      <c r="J701" s="18">
        <f>IF(G701="","",F701*G701)</f>
        <v/>
      </c>
    </row>
    <row r="702">
      <c r="A702" s="9" t="n">
        <v>688</v>
      </c>
      <c r="B702" s="9" t="n">
        <v>297921</v>
      </c>
      <c r="C702" s="10" t="inlineStr">
        <is>
          <t>7898074617803</t>
        </is>
      </c>
      <c r="D702" s="11" t="inlineStr">
        <is>
          <t>SPIDUFEN 1155MG GRAN SOL CX 10 ENV 3G SB DAMASCO</t>
        </is>
      </c>
      <c r="E702" s="11" t="inlineStr">
        <is>
          <t>ZAMBON</t>
        </is>
      </c>
      <c r="F702" s="9" t="n">
        <v>1</v>
      </c>
      <c r="G702" s="12" t="n"/>
      <c r="H702" s="13" t="n"/>
      <c r="I702" s="4" t="n"/>
      <c r="J702" s="14">
        <f>IF(G702="","",F702*G702)</f>
        <v/>
      </c>
    </row>
    <row r="703">
      <c r="A703" s="15" t="n">
        <v>689</v>
      </c>
      <c r="B703" s="15" t="n">
        <v>238021</v>
      </c>
      <c r="C703" s="16" t="inlineStr">
        <is>
          <t>7896112400608</t>
        </is>
      </c>
      <c r="D703" s="17" t="inlineStr">
        <is>
          <t>STELE 1MG CREME VAG BG 50G+5APLIC</t>
        </is>
      </c>
      <c r="E703" s="17" t="inlineStr">
        <is>
          <t>BIOLAB</t>
        </is>
      </c>
      <c r="F703" s="15" t="n">
        <v>5</v>
      </c>
      <c r="G703" s="12" t="n"/>
      <c r="H703" s="13" t="n"/>
      <c r="I703" s="4" t="n"/>
      <c r="J703" s="18">
        <f>IF(G703="","",F703*G703)</f>
        <v/>
      </c>
    </row>
    <row r="704">
      <c r="A704" s="9" t="n">
        <v>690</v>
      </c>
      <c r="B704" s="9" t="n">
        <v>7201</v>
      </c>
      <c r="C704" s="10" t="inlineStr">
        <is>
          <t>7896006290988</t>
        </is>
      </c>
      <c r="D704" s="11" t="inlineStr">
        <is>
          <t>STER 10MG SUS OFT COL FR 5ML</t>
        </is>
      </c>
      <c r="E704" s="11" t="inlineStr">
        <is>
          <t>UNIAO QUIMICA</t>
        </is>
      </c>
      <c r="F704" s="9" t="n">
        <v>2</v>
      </c>
      <c r="G704" s="12" t="n"/>
      <c r="H704" s="13" t="n"/>
      <c r="I704" s="4" t="n"/>
      <c r="J704" s="14">
        <f>IF(G704="","",F704*G704)</f>
        <v/>
      </c>
    </row>
    <row r="705">
      <c r="A705" s="15" t="n">
        <v>691</v>
      </c>
      <c r="B705" s="15" t="n">
        <v>526121</v>
      </c>
      <c r="C705" s="16" t="inlineStr">
        <is>
          <t>5060632508768</t>
        </is>
      </c>
      <c r="D705" s="17" t="inlineStr">
        <is>
          <t>STEZZA 2,5+1,5MG CX 24 COMP REV+CALEND+4 PLACEBO</t>
        </is>
      </c>
      <c r="E705" s="17" t="inlineStr">
        <is>
          <t>THERAMEX</t>
        </is>
      </c>
      <c r="F705" s="15" t="n">
        <v>2</v>
      </c>
      <c r="G705" s="12" t="n"/>
      <c r="H705" s="13" t="n"/>
      <c r="I705" s="4" t="n"/>
      <c r="J705" s="18">
        <f>IF(G705="","",F705*G705)</f>
        <v/>
      </c>
    </row>
    <row r="706">
      <c r="A706" s="9" t="n">
        <v>692</v>
      </c>
      <c r="B706" s="9" t="n">
        <v>211981</v>
      </c>
      <c r="C706" s="10" t="inlineStr">
        <is>
          <t>7897316802335</t>
        </is>
      </c>
      <c r="D706" s="11" t="inlineStr">
        <is>
          <t>STILL 1MG/ML SOL OFT FR 5ML</t>
        </is>
      </c>
      <c r="E706" s="11" t="inlineStr">
        <is>
          <t>ALLERGAN</t>
        </is>
      </c>
      <c r="F706" s="9" t="n">
        <v>5</v>
      </c>
      <c r="G706" s="12" t="n"/>
      <c r="H706" s="13" t="n"/>
      <c r="I706" s="4" t="n"/>
      <c r="J706" s="14">
        <f>IF(G706="","",F706*G706)</f>
        <v/>
      </c>
    </row>
    <row r="707">
      <c r="A707" s="15" t="n">
        <v>693</v>
      </c>
      <c r="B707" s="15" t="n">
        <v>252081</v>
      </c>
      <c r="C707" s="16" t="inlineStr">
        <is>
          <t>7891035010866</t>
        </is>
      </c>
      <c r="D707" s="17" t="inlineStr">
        <is>
          <t>STREPSILS 8,75MG CX 16 PAST SB MEL/LIMAO</t>
        </is>
      </c>
      <c r="E707" s="17" t="inlineStr">
        <is>
          <t>RECKITT BENCKISER</t>
        </is>
      </c>
      <c r="F707" s="15" t="n">
        <v>7</v>
      </c>
      <c r="G707" s="12" t="n"/>
      <c r="H707" s="13" t="n"/>
      <c r="I707" s="4" t="n"/>
      <c r="J707" s="18">
        <f>IF(G707="","",F707*G707)</f>
        <v/>
      </c>
    </row>
    <row r="708">
      <c r="A708" s="9" t="n">
        <v>694</v>
      </c>
      <c r="B708" s="9" t="n">
        <v>252101</v>
      </c>
      <c r="C708" s="10" t="inlineStr">
        <is>
          <t>7896222720863</t>
        </is>
      </c>
      <c r="D708" s="11" t="inlineStr">
        <is>
          <t>STREPSILS 8,75MG CX 24 PAST SB MEL E LIMAO</t>
        </is>
      </c>
      <c r="E708" s="11" t="inlineStr">
        <is>
          <t>RECKITT BENCKISER</t>
        </is>
      </c>
      <c r="F708" s="9" t="n">
        <v>4</v>
      </c>
      <c r="G708" s="12" t="n"/>
      <c r="H708" s="13" t="n"/>
      <c r="I708" s="4" t="n"/>
      <c r="J708" s="14">
        <f>IF(G708="","",F708*G708)</f>
        <v/>
      </c>
    </row>
    <row r="709">
      <c r="A709" s="15" t="n">
        <v>695</v>
      </c>
      <c r="B709" s="15" t="n">
        <v>252061</v>
      </c>
      <c r="C709" s="16" t="inlineStr">
        <is>
          <t>7891035010842</t>
        </is>
      </c>
      <c r="D709" s="17" t="inlineStr">
        <is>
          <t>STREPSILS 8,75MG CX 8 PAST SB MEL/LIMAO</t>
        </is>
      </c>
      <c r="E709" s="17" t="inlineStr">
        <is>
          <t>RECKITT BENCKISER</t>
        </is>
      </c>
      <c r="F709" s="15" t="n">
        <v>20</v>
      </c>
      <c r="G709" s="12" t="n"/>
      <c r="H709" s="13" t="n"/>
      <c r="I709" s="4" t="n"/>
      <c r="J709" s="18">
        <f>IF(G709="","",F709*G709)</f>
        <v/>
      </c>
    </row>
    <row r="710">
      <c r="A710" s="9" t="n">
        <v>696</v>
      </c>
      <c r="B710" s="9" t="n">
        <v>252021</v>
      </c>
      <c r="C710" s="10" t="inlineStr">
        <is>
          <t>7891035010972</t>
        </is>
      </c>
      <c r="D710" s="11" t="inlineStr">
        <is>
          <t>STREPSILS 8.75MG CX 16 PAST SB LARANJA</t>
        </is>
      </c>
      <c r="E710" s="11" t="inlineStr">
        <is>
          <t>RECKITT BENCKISER</t>
        </is>
      </c>
      <c r="F710" s="9" t="n">
        <v>1</v>
      </c>
      <c r="G710" s="12" t="n"/>
      <c r="H710" s="13" t="n"/>
      <c r="I710" s="4" t="n"/>
      <c r="J710" s="14">
        <f>IF(G710="","",F710*G710)</f>
        <v/>
      </c>
    </row>
    <row r="711">
      <c r="A711" s="15" t="n">
        <v>697</v>
      </c>
      <c r="B711" s="15" t="n">
        <v>252001</v>
      </c>
      <c r="C711" s="16" t="inlineStr">
        <is>
          <t>7891035010958</t>
        </is>
      </c>
      <c r="D711" s="17" t="inlineStr">
        <is>
          <t>STREPSILS 8.75MG CX 8 PAST SB LARANJA</t>
        </is>
      </c>
      <c r="E711" s="17" t="inlineStr">
        <is>
          <t>RECKITT BENCKISER</t>
        </is>
      </c>
      <c r="F711" s="15" t="n">
        <v>4</v>
      </c>
      <c r="G711" s="12" t="n"/>
      <c r="H711" s="13" t="n"/>
      <c r="I711" s="4" t="n"/>
      <c r="J711" s="18">
        <f>IF(G711="","",F711*G711)</f>
        <v/>
      </c>
    </row>
    <row r="712">
      <c r="A712" s="9" t="n">
        <v>698</v>
      </c>
      <c r="B712" s="9" t="n">
        <v>665971</v>
      </c>
      <c r="C712" s="10" t="inlineStr">
        <is>
          <t>7896026172202</t>
        </is>
      </c>
      <c r="D712" s="11" t="inlineStr">
        <is>
          <t>SUNMAX INTENSE FPS60 - 60G-DEMAIS PROD</t>
        </is>
      </c>
      <c r="E712" s="11" t="inlineStr">
        <is>
          <t>SUN PHARMA</t>
        </is>
      </c>
      <c r="F712" s="9" t="n">
        <v>6</v>
      </c>
      <c r="G712" s="12" t="n"/>
      <c r="H712" s="13" t="n"/>
      <c r="I712" s="4" t="n"/>
      <c r="J712" s="14">
        <f>IF(G712="","",F712*G712)</f>
        <v/>
      </c>
    </row>
    <row r="713">
      <c r="A713" s="15" t="n">
        <v>699</v>
      </c>
      <c r="B713" s="15" t="n">
        <v>413961</v>
      </c>
      <c r="C713" s="16" t="inlineStr">
        <is>
          <t>7898040323141</t>
        </is>
      </c>
      <c r="D713" s="17" t="inlineStr">
        <is>
          <t>SUSTRATE 10MG CX 50 COMP</t>
        </is>
      </c>
      <c r="E713" s="17" t="inlineStr">
        <is>
          <t>FQM/FARMA</t>
        </is>
      </c>
      <c r="F713" s="15" t="n">
        <v>3</v>
      </c>
      <c r="G713" s="12" t="n"/>
      <c r="H713" s="13" t="n"/>
      <c r="I713" s="4" t="n"/>
      <c r="J713" s="18">
        <f>IF(G713="","",F713*G713)</f>
        <v/>
      </c>
    </row>
    <row r="714">
      <c r="A714" s="9" t="n">
        <v>700</v>
      </c>
      <c r="B714" s="9" t="n">
        <v>539601</v>
      </c>
      <c r="C714" s="10" t="inlineStr">
        <is>
          <t>300652439259</t>
        </is>
      </c>
      <c r="D714" s="11" t="inlineStr">
        <is>
          <t>SYSTANE ULTRA FCO X10ML</t>
        </is>
      </c>
      <c r="E714" s="11" t="inlineStr">
        <is>
          <t>ALCON</t>
        </is>
      </c>
      <c r="F714" s="9" t="n">
        <v>2</v>
      </c>
      <c r="G714" s="12" t="n"/>
      <c r="H714" s="13" t="n"/>
      <c r="I714" s="4" t="n"/>
      <c r="J714" s="14">
        <f>IF(G714="","",F714*G714)</f>
        <v/>
      </c>
    </row>
    <row r="715">
      <c r="A715" s="9" t="n">
        <v>701</v>
      </c>
      <c r="B715" s="9" t="n">
        <v>539601</v>
      </c>
      <c r="C715" s="10" t="inlineStr">
        <is>
          <t>7896548197738</t>
        </is>
      </c>
      <c r="D715" s="11" t="inlineStr">
        <is>
          <t>SYSTANE ULTRA FCO X10ML</t>
        </is>
      </c>
      <c r="E715" s="11" t="inlineStr">
        <is>
          <t>ALCON</t>
        </is>
      </c>
      <c r="F715" s="9" t="n">
        <v>2</v>
      </c>
      <c r="G715" s="12" t="n"/>
      <c r="H715" s="13" t="n"/>
      <c r="I715" s="4" t="n"/>
      <c r="J715" s="14">
        <f>IF(G715="","",F715*G715)</f>
        <v/>
      </c>
    </row>
    <row r="716">
      <c r="A716" s="15" t="n">
        <v>702</v>
      </c>
      <c r="B716" s="15" t="n">
        <v>455761</v>
      </c>
      <c r="C716" s="16" t="inlineStr">
        <is>
          <t>7897473206427</t>
        </is>
      </c>
      <c r="D716" s="17" t="inlineStr">
        <is>
          <t>TACROZ 1,0MG/G POM DERM BG AL PLAS 10G</t>
        </is>
      </c>
      <c r="E716" s="17" t="inlineStr">
        <is>
          <t>GLENMARK</t>
        </is>
      </c>
      <c r="F716" s="15" t="n">
        <v>1</v>
      </c>
      <c r="G716" s="12" t="n"/>
      <c r="H716" s="13" t="n"/>
      <c r="I716" s="4" t="n"/>
      <c r="J716" s="18">
        <f>IF(G716="","",F716*G716)</f>
        <v/>
      </c>
    </row>
    <row r="717">
      <c r="A717" s="9" t="n">
        <v>703</v>
      </c>
      <c r="B717" s="9" t="n">
        <v>433461</v>
      </c>
      <c r="C717" s="10" t="inlineStr">
        <is>
          <t>7897322709789</t>
        </is>
      </c>
      <c r="D717" s="11" t="inlineStr">
        <is>
          <t>TAMARINE FR 48 150G+COL ZERO ACUC</t>
        </is>
      </c>
      <c r="E717" s="11" t="inlineStr">
        <is>
          <t>COSMED</t>
        </is>
      </c>
      <c r="F717" s="9" t="n">
        <v>4</v>
      </c>
      <c r="G717" s="12" t="n"/>
      <c r="H717" s="13" t="n"/>
      <c r="I717" s="4" t="n"/>
      <c r="J717" s="14">
        <f>IF(G717="","",F717*G717)</f>
        <v/>
      </c>
    </row>
    <row r="718">
      <c r="A718" s="15" t="n">
        <v>704</v>
      </c>
      <c r="B718" s="15" t="n">
        <v>262121</v>
      </c>
      <c r="C718" s="16" t="inlineStr">
        <is>
          <t>7891317465049</t>
        </is>
      </c>
      <c r="D718" s="17" t="inlineStr">
        <is>
          <t>TAMISA 0,075+0,020MG CX 21 DRG</t>
        </is>
      </c>
      <c r="E718" s="17" t="inlineStr">
        <is>
          <t>EUROFARMA</t>
        </is>
      </c>
      <c r="F718" s="15" t="n">
        <v>7</v>
      </c>
      <c r="G718" s="12" t="n"/>
      <c r="H718" s="13" t="n"/>
      <c r="I718" s="4" t="n"/>
      <c r="J718" s="18">
        <f>IF(G718="","",F718*G718)</f>
        <v/>
      </c>
    </row>
    <row r="719">
      <c r="A719" s="9" t="n">
        <v>705</v>
      </c>
      <c r="B719" s="9" t="n">
        <v>561041</v>
      </c>
      <c r="C719" s="10" t="inlineStr">
        <is>
          <t>7891317009724</t>
        </is>
      </c>
      <c r="D719" s="11" t="inlineStr">
        <is>
          <t>TAMISA NF 0,075+0,030MG CAIXA C/ 3 CARTELAS COMP REV</t>
        </is>
      </c>
      <c r="E719" s="11" t="inlineStr">
        <is>
          <t>EUROFARMA</t>
        </is>
      </c>
      <c r="F719" s="9" t="n">
        <v>2</v>
      </c>
      <c r="G719" s="12" t="n"/>
      <c r="H719" s="13" t="n"/>
      <c r="I719" s="4" t="n"/>
      <c r="J719" s="14">
        <f>IF(G719="","",F719*G719)</f>
        <v/>
      </c>
    </row>
    <row r="720">
      <c r="A720" s="15" t="n">
        <v>706</v>
      </c>
      <c r="B720" s="15" t="n">
        <v>645201</v>
      </c>
      <c r="C720" s="16" t="inlineStr">
        <is>
          <t>7891317009717</t>
        </is>
      </c>
      <c r="D720" s="17" t="inlineStr">
        <is>
          <t>TAMISA NF 0,075+0,030MG CX 21 COMP REV</t>
        </is>
      </c>
      <c r="E720" s="17" t="inlineStr">
        <is>
          <t>EUROFARMA</t>
        </is>
      </c>
      <c r="F720" s="15" t="n">
        <v>2</v>
      </c>
      <c r="G720" s="12" t="n"/>
      <c r="H720" s="13" t="n"/>
      <c r="I720" s="4" t="n"/>
      <c r="J720" s="18">
        <f>IF(G720="","",F720*G720)</f>
        <v/>
      </c>
    </row>
    <row r="721">
      <c r="A721" s="9" t="n">
        <v>707</v>
      </c>
      <c r="B721" s="9" t="n">
        <v>572301</v>
      </c>
      <c r="C721" s="10" t="inlineStr">
        <is>
          <t>7891317009755</t>
        </is>
      </c>
      <c r="D721" s="11" t="inlineStr">
        <is>
          <t>TAMISA NF 0,075+0,030MG SEM PARAR (CAIXA C/ 3 CARTELAS)</t>
        </is>
      </c>
      <c r="E721" s="11" t="inlineStr">
        <is>
          <t>EUROFARMA</t>
        </is>
      </c>
      <c r="F721" s="9" t="n">
        <v>2</v>
      </c>
      <c r="G721" s="12" t="n"/>
      <c r="H721" s="13" t="n"/>
      <c r="I721" s="4" t="n"/>
      <c r="J721" s="14">
        <f>IF(G721="","",F721*G721)</f>
        <v/>
      </c>
    </row>
    <row r="722">
      <c r="A722" s="9" t="n">
        <v>708</v>
      </c>
      <c r="B722" s="9" t="n">
        <v>572301</v>
      </c>
      <c r="C722" s="10" t="inlineStr">
        <is>
          <t>7891317009748</t>
        </is>
      </c>
      <c r="D722" s="11" t="inlineStr">
        <is>
          <t>TAMISA NF 0,075+0,030MG SEM PARAR (CAIXA C/ 3 CARTELAS)</t>
        </is>
      </c>
      <c r="E722" s="11" t="inlineStr">
        <is>
          <t>EUROFARMA</t>
        </is>
      </c>
      <c r="F722" s="9" t="n">
        <v>2</v>
      </c>
      <c r="G722" s="12" t="n"/>
      <c r="H722" s="13" t="n"/>
      <c r="I722" s="4" t="n"/>
      <c r="J722" s="14">
        <f>IF(G722="","",F722*G722)</f>
        <v/>
      </c>
    </row>
    <row r="723">
      <c r="A723" s="15" t="n">
        <v>709</v>
      </c>
      <c r="B723" s="15" t="n">
        <v>82761</v>
      </c>
      <c r="C723" s="16" t="inlineStr">
        <is>
          <t>7896658004704</t>
        </is>
      </c>
      <c r="D723" s="17" t="inlineStr">
        <is>
          <t>TANDRILAX 300+125+50MG CX 15 COMP</t>
        </is>
      </c>
      <c r="E723" s="17" t="inlineStr">
        <is>
          <t>ACHE</t>
        </is>
      </c>
      <c r="F723" s="15" t="n">
        <v>10</v>
      </c>
      <c r="G723" s="12" t="n"/>
      <c r="H723" s="13" t="n"/>
      <c r="I723" s="4" t="n"/>
      <c r="J723" s="18">
        <f>IF(G723="","",F723*G723)</f>
        <v/>
      </c>
    </row>
    <row r="724">
      <c r="A724" s="9" t="n">
        <v>710</v>
      </c>
      <c r="B724" s="9" t="n">
        <v>455901</v>
      </c>
      <c r="C724" s="10" t="inlineStr">
        <is>
          <t>7896094206014</t>
        </is>
      </c>
      <c r="D724" s="11" t="inlineStr">
        <is>
          <t>TARFIC 0,3MG POM BG 10G</t>
        </is>
      </c>
      <c r="E724" s="11" t="inlineStr">
        <is>
          <t>LIBBS</t>
        </is>
      </c>
      <c r="F724" s="9" t="n">
        <v>1</v>
      </c>
      <c r="G724" s="12" t="n"/>
      <c r="H724" s="13" t="n"/>
      <c r="I724" s="4" t="n"/>
      <c r="J724" s="14">
        <f>IF(G724="","",F724*G724)</f>
        <v/>
      </c>
    </row>
    <row r="725">
      <c r="A725" s="15" t="n">
        <v>711</v>
      </c>
      <c r="B725" s="15" t="n">
        <v>345721</v>
      </c>
      <c r="C725" s="16" t="inlineStr">
        <is>
          <t>7892953101865</t>
        </is>
      </c>
      <c r="D725" s="17" t="inlineStr">
        <is>
          <t>TECNOMET 2,5MG CX 20 COMP</t>
        </is>
      </c>
      <c r="E725" s="17" t="inlineStr">
        <is>
          <t>ADIUM</t>
        </is>
      </c>
      <c r="F725" s="15" t="n">
        <v>1</v>
      </c>
      <c r="G725" s="12" t="n"/>
      <c r="H725" s="13" t="n"/>
      <c r="I725" s="4" t="n"/>
      <c r="J725" s="18">
        <f>IF(G725="","",F725*G725)</f>
        <v/>
      </c>
    </row>
    <row r="726">
      <c r="A726" s="9" t="n">
        <v>712</v>
      </c>
      <c r="B726" s="9" t="n">
        <v>180421</v>
      </c>
      <c r="C726" s="10" t="inlineStr">
        <is>
          <t>7899824400911</t>
        </is>
      </c>
      <c r="D726" s="11" t="inlineStr">
        <is>
          <t>TERICIN AT 25+12,5MG CREM VAG BG 45G+10APLIC</t>
        </is>
      </c>
      <c r="E726" s="11" t="inlineStr">
        <is>
          <t>ARESE PHARMA</t>
        </is>
      </c>
      <c r="F726" s="9" t="n">
        <v>4</v>
      </c>
      <c r="G726" s="12" t="n"/>
      <c r="H726" s="13" t="n"/>
      <c r="I726" s="4" t="n"/>
      <c r="J726" s="14">
        <f>IF(G726="","",F726*G726)</f>
        <v/>
      </c>
    </row>
    <row r="727">
      <c r="A727" s="15" t="n">
        <v>713</v>
      </c>
      <c r="B727" s="15" t="n">
        <v>516661</v>
      </c>
      <c r="C727" s="16" t="inlineStr">
        <is>
          <t>7896006221043</t>
        </is>
      </c>
      <c r="D727" s="17" t="inlineStr">
        <is>
          <t>TESS 2+0,035MG CX 21 COMP REV</t>
        </is>
      </c>
      <c r="E727" s="17" t="inlineStr">
        <is>
          <t>UNIAO QUIMICA</t>
        </is>
      </c>
      <c r="F727" s="15" t="n">
        <v>1</v>
      </c>
      <c r="G727" s="12" t="n"/>
      <c r="H727" s="13" t="n"/>
      <c r="I727" s="4" t="n"/>
      <c r="J727" s="18">
        <f>IF(G727="","",F727*G727)</f>
        <v/>
      </c>
    </row>
    <row r="728">
      <c r="A728" s="9" t="n">
        <v>714</v>
      </c>
      <c r="B728" s="9" t="n">
        <v>572341</v>
      </c>
      <c r="C728" s="10" t="inlineStr">
        <is>
          <t>7500435171090</t>
        </is>
      </c>
      <c r="D728" s="11" t="inlineStr">
        <is>
          <t>TESTE DE GRAVIDEZ CLEARBLUE DIGIT 1UN</t>
        </is>
      </c>
      <c r="E728" s="11" t="inlineStr">
        <is>
          <t>PROCTER   GAMBLE DO BRASIL</t>
        </is>
      </c>
      <c r="F728" s="9" t="n">
        <v>2</v>
      </c>
      <c r="G728" s="12" t="n"/>
      <c r="H728" s="13" t="n"/>
      <c r="I728" s="4" t="n"/>
      <c r="J728" s="14">
        <f>IF(G728="","",F728*G728)</f>
        <v/>
      </c>
    </row>
    <row r="729">
      <c r="A729" s="15" t="n">
        <v>715</v>
      </c>
      <c r="B729" s="15" t="n">
        <v>632761</v>
      </c>
      <c r="C729" s="16" t="inlineStr">
        <is>
          <t>7500435171106</t>
        </is>
      </c>
      <c r="D729" s="17" t="inlineStr">
        <is>
          <t>TESTE DE GRAVIDEZ CLEARBLUE PLUS-DEMAIS PROD</t>
        </is>
      </c>
      <c r="E729" s="17" t="inlineStr">
        <is>
          <t>PROCTER   GAMBLE DO BRASIL</t>
        </is>
      </c>
      <c r="F729" s="15" t="n">
        <v>7</v>
      </c>
      <c r="G729" s="12" t="n"/>
      <c r="H729" s="13" t="n"/>
      <c r="I729" s="4" t="n"/>
      <c r="J729" s="18">
        <f>IF(G729="","",F729*G729)</f>
        <v/>
      </c>
    </row>
    <row r="730">
      <c r="A730" s="9" t="n">
        <v>716</v>
      </c>
      <c r="B730" s="9" t="n">
        <v>416441</v>
      </c>
      <c r="C730" s="10" t="inlineStr">
        <is>
          <t>7898906376410</t>
        </is>
      </c>
      <c r="D730" s="11" t="inlineStr">
        <is>
          <t>TIORFAN 100MG CX 9 CAP</t>
        </is>
      </c>
      <c r="E730" s="11" t="inlineStr">
        <is>
          <t>BAGO</t>
        </is>
      </c>
      <c r="F730" s="9" t="n">
        <v>8</v>
      </c>
      <c r="G730" s="12" t="n"/>
      <c r="H730" s="13" t="n"/>
      <c r="I730" s="4" t="n"/>
      <c r="J730" s="14">
        <f>IF(G730="","",F730*G730)</f>
        <v/>
      </c>
    </row>
    <row r="731">
      <c r="A731" s="15" t="n">
        <v>717</v>
      </c>
      <c r="B731" s="15" t="n">
        <v>3153</v>
      </c>
      <c r="C731" s="16" t="inlineStr">
        <is>
          <t>7898301056757</t>
        </is>
      </c>
      <c r="D731" s="17" t="inlineStr">
        <is>
          <t>TIRA DE TESTE DE GLICOSE C/25 UND FREE 1</t>
        </is>
      </c>
      <c r="E731" s="17" t="inlineStr">
        <is>
          <t>G-TECH</t>
        </is>
      </c>
      <c r="F731" s="15" t="n">
        <v>7</v>
      </c>
      <c r="G731" s="12" t="n"/>
      <c r="H731" s="13" t="n"/>
      <c r="I731" s="4" t="n"/>
      <c r="J731" s="18">
        <f>IF(G731="","",F731*G731)</f>
        <v/>
      </c>
    </row>
    <row r="732">
      <c r="A732" s="9" t="n">
        <v>718</v>
      </c>
      <c r="B732" s="9" t="n">
        <v>3163</v>
      </c>
      <c r="C732" s="10" t="inlineStr">
        <is>
          <t>7898301056740</t>
        </is>
      </c>
      <c r="D732" s="11" t="inlineStr">
        <is>
          <t>TIRA DE TESTE DE GLICOSE C/50 UND FREE 1</t>
        </is>
      </c>
      <c r="E732" s="11" t="inlineStr">
        <is>
          <t>G-TECH</t>
        </is>
      </c>
      <c r="F732" s="9" t="n">
        <v>17</v>
      </c>
      <c r="G732" s="12" t="n"/>
      <c r="H732" s="13" t="n"/>
      <c r="I732" s="4" t="n"/>
      <c r="J732" s="14">
        <f>IF(G732="","",F732*G732)</f>
        <v/>
      </c>
    </row>
    <row r="733">
      <c r="A733" s="15" t="n">
        <v>719</v>
      </c>
      <c r="B733" s="15" t="n">
        <v>616151</v>
      </c>
      <c r="C733" s="16" t="inlineStr">
        <is>
          <t>7898301059635</t>
        </is>
      </c>
      <c r="D733" s="17" t="inlineStr">
        <is>
          <t>TIRA DE TESTE DE GLICOSE LITE C/50 UND</t>
        </is>
      </c>
      <c r="E733" s="17" t="inlineStr">
        <is>
          <t>G-TECH</t>
        </is>
      </c>
      <c r="F733" s="15" t="n">
        <v>5</v>
      </c>
      <c r="G733" s="12" t="n"/>
      <c r="H733" s="13" t="n"/>
      <c r="I733" s="4" t="n"/>
      <c r="J733" s="18">
        <f>IF(G733="","",F733*G733)</f>
        <v/>
      </c>
    </row>
    <row r="734">
      <c r="A734" s="9" t="n">
        <v>720</v>
      </c>
      <c r="B734" s="9" t="n">
        <v>600561</v>
      </c>
      <c r="C734" s="10" t="inlineStr">
        <is>
          <t>7898653620033</t>
        </is>
      </c>
      <c r="D734" s="11" t="inlineStr">
        <is>
          <t>TIRAS ACCU-CHEK CAIXA C/ 3 CX C/ 50UN</t>
        </is>
      </c>
      <c r="E734" s="11" t="inlineStr">
        <is>
          <t>PRODUTOS ROCHE QUIMICOS E FARMACEUTICOS</t>
        </is>
      </c>
      <c r="F734" s="9" t="n">
        <v>1</v>
      </c>
      <c r="G734" s="12" t="n"/>
      <c r="H734" s="13" t="n"/>
      <c r="I734" s="4" t="n"/>
      <c r="J734" s="14">
        <f>IF(G734="","",F734*G734)</f>
        <v/>
      </c>
    </row>
    <row r="735">
      <c r="A735" s="15" t="n">
        <v>721</v>
      </c>
      <c r="B735" s="15" t="n">
        <v>619341</v>
      </c>
      <c r="C735" s="16" t="inlineStr">
        <is>
          <t>7898301059642</t>
        </is>
      </c>
      <c r="D735" s="17" t="inlineStr">
        <is>
          <t>TIRAS P/ MEDIR GLICOSE C/25 LITE</t>
        </is>
      </c>
      <c r="E735" s="17" t="inlineStr">
        <is>
          <t>G-TECH</t>
        </is>
      </c>
      <c r="F735" s="15" t="n">
        <v>3</v>
      </c>
      <c r="G735" s="12" t="n"/>
      <c r="H735" s="13" t="n"/>
      <c r="I735" s="4" t="n"/>
      <c r="J735" s="18">
        <f>IF(G735="","",F735*G735)</f>
        <v/>
      </c>
    </row>
    <row r="736">
      <c r="A736" s="9" t="n">
        <v>722</v>
      </c>
      <c r="B736" s="9" t="n">
        <v>464721</v>
      </c>
      <c r="C736" s="10" t="inlineStr">
        <is>
          <t>7896676433425</t>
        </is>
      </c>
      <c r="D736" s="11" t="inlineStr">
        <is>
          <t>TOBRACIN 3MG/G POM OFT BG 3,5G</t>
        </is>
      </c>
      <c r="E736" s="11" t="inlineStr">
        <is>
          <t>CRISTALIA</t>
        </is>
      </c>
      <c r="F736" s="9" t="n">
        <v>1</v>
      </c>
      <c r="G736" s="12" t="n"/>
      <c r="H736" s="13" t="n"/>
      <c r="I736" s="4" t="n"/>
      <c r="J736" s="14">
        <f>IF(G736="","",F736*G736)</f>
        <v/>
      </c>
    </row>
    <row r="737">
      <c r="A737" s="15" t="n">
        <v>723</v>
      </c>
      <c r="B737" s="15" t="n">
        <v>207601</v>
      </c>
      <c r="C737" s="16" t="inlineStr">
        <is>
          <t>7896548112908</t>
        </is>
      </c>
      <c r="D737" s="17" t="inlineStr">
        <is>
          <t>TOBRADEX 3+1MG SUS OFT FR GTS 5ML</t>
        </is>
      </c>
      <c r="E737" s="17" t="inlineStr">
        <is>
          <t>NOVARTIS</t>
        </is>
      </c>
      <c r="F737" s="15" t="n">
        <v>1</v>
      </c>
      <c r="G737" s="12" t="n"/>
      <c r="H737" s="13" t="n"/>
      <c r="I737" s="4" t="n"/>
      <c r="J737" s="18">
        <f>IF(G737="","",F737*G737)</f>
        <v/>
      </c>
    </row>
    <row r="738">
      <c r="A738" s="9" t="n">
        <v>724</v>
      </c>
      <c r="B738" s="9" t="n">
        <v>615421</v>
      </c>
      <c r="C738" s="10" t="inlineStr">
        <is>
          <t>4005900889737</t>
        </is>
      </c>
      <c r="D738" s="11" t="inlineStr">
        <is>
          <t>TONICO NIVEA AQUA ROSE 200ML</t>
        </is>
      </c>
      <c r="E738" s="11" t="inlineStr">
        <is>
          <t>NIVEA</t>
        </is>
      </c>
      <c r="F738" s="9" t="n">
        <v>1</v>
      </c>
      <c r="G738" s="12" t="n"/>
      <c r="H738" s="13" t="n"/>
      <c r="I738" s="4" t="n"/>
      <c r="J738" s="14">
        <f>IF(G738="","",F738*G738)</f>
        <v/>
      </c>
    </row>
    <row r="739">
      <c r="A739" s="15" t="n">
        <v>725</v>
      </c>
      <c r="B739" s="15" t="n">
        <v>596521</v>
      </c>
      <c r="C739" s="16" t="inlineStr">
        <is>
          <t>7894916516006</t>
        </is>
      </c>
      <c r="D739" s="17" t="inlineStr">
        <is>
          <t>TORAGESIC 10MG PEEL OFF CX 10 COMP</t>
        </is>
      </c>
      <c r="E739" s="17" t="inlineStr">
        <is>
          <t>SIGMA PHARMA</t>
        </is>
      </c>
      <c r="F739" s="15" t="n">
        <v>8</v>
      </c>
      <c r="G739" s="12" t="n"/>
      <c r="H739" s="13" t="n"/>
      <c r="I739" s="4" t="n"/>
      <c r="J739" s="18">
        <f>IF(G739="","",F739*G739)</f>
        <v/>
      </c>
    </row>
    <row r="740">
      <c r="A740" s="9" t="n">
        <v>726</v>
      </c>
      <c r="B740" s="9" t="n">
        <v>632821</v>
      </c>
      <c r="C740" s="10" t="inlineStr">
        <is>
          <t>7894916516013</t>
        </is>
      </c>
      <c r="D740" s="11" t="inlineStr">
        <is>
          <t>TORAGESIC 10MG PEEL OFF CX 20 COMP</t>
        </is>
      </c>
      <c r="E740" s="11" t="inlineStr">
        <is>
          <t>SIGMA PHARMA</t>
        </is>
      </c>
      <c r="F740" s="9" t="n">
        <v>9</v>
      </c>
      <c r="G740" s="12" t="n"/>
      <c r="H740" s="13" t="n"/>
      <c r="I740" s="4" t="n"/>
      <c r="J740" s="14">
        <f>IF(G740="","",F740*G740)</f>
        <v/>
      </c>
    </row>
    <row r="741">
      <c r="A741" s="15" t="n">
        <v>727</v>
      </c>
      <c r="B741" s="15" t="n">
        <v>273321</v>
      </c>
      <c r="C741" s="16" t="inlineStr">
        <is>
          <t>7896658005930</t>
        </is>
      </c>
      <c r="D741" s="17" t="inlineStr">
        <is>
          <t>TRANSPULMIN 13,33MG XPE FR 150ML ADU</t>
        </is>
      </c>
      <c r="E741" s="17" t="inlineStr">
        <is>
          <t>ACHE</t>
        </is>
      </c>
      <c r="F741" s="15" t="n">
        <v>1</v>
      </c>
      <c r="G741" s="12" t="n"/>
      <c r="H741" s="13" t="n"/>
      <c r="I741" s="4" t="n"/>
      <c r="J741" s="18">
        <f>IF(G741="","",F741*G741)</f>
        <v/>
      </c>
    </row>
    <row r="742">
      <c r="A742" s="9" t="n">
        <v>728</v>
      </c>
      <c r="B742" s="9" t="n">
        <v>609051</v>
      </c>
      <c r="C742" s="10" t="inlineStr">
        <is>
          <t>7891317025564</t>
        </is>
      </c>
      <c r="D742" s="11" t="inlineStr">
        <is>
          <t>TROK 20+0,5MG/G CREM DERM BG 10G</t>
        </is>
      </c>
      <c r="E742" s="11" t="inlineStr">
        <is>
          <t>EUROFARMA</t>
        </is>
      </c>
      <c r="F742" s="9" t="n">
        <v>2</v>
      </c>
      <c r="G742" s="12" t="n"/>
      <c r="H742" s="13" t="n"/>
      <c r="I742" s="4" t="n"/>
      <c r="J742" s="14">
        <f>IF(G742="","",F742*G742)</f>
        <v/>
      </c>
    </row>
    <row r="743">
      <c r="A743" s="15" t="n">
        <v>729</v>
      </c>
      <c r="B743" s="15" t="n">
        <v>640321</v>
      </c>
      <c r="C743" s="16" t="inlineStr">
        <is>
          <t>7891317025533</t>
        </is>
      </c>
      <c r="D743" s="17" t="inlineStr">
        <is>
          <t>TROK 20+0,5MG/G POM DERM BG 10G</t>
        </is>
      </c>
      <c r="E743" s="17" t="inlineStr">
        <is>
          <t>EUROFARMA</t>
        </is>
      </c>
      <c r="F743" s="15" t="n">
        <v>2</v>
      </c>
      <c r="G743" s="12" t="n"/>
      <c r="H743" s="13" t="n"/>
      <c r="I743" s="4" t="n"/>
      <c r="J743" s="18">
        <f>IF(G743="","",F743*G743)</f>
        <v/>
      </c>
    </row>
    <row r="744">
      <c r="A744" s="9" t="n">
        <v>730</v>
      </c>
      <c r="B744" s="9" t="n">
        <v>451921</v>
      </c>
      <c r="C744" s="10" t="inlineStr">
        <is>
          <t>7891317412531</t>
        </is>
      </c>
      <c r="D744" s="11" t="inlineStr">
        <is>
          <t>TROK-N CREME BG 10G</t>
        </is>
      </c>
      <c r="E744" s="11" t="inlineStr">
        <is>
          <t>EUROFARMA</t>
        </is>
      </c>
      <c r="F744" s="9" t="n">
        <v>5</v>
      </c>
      <c r="G744" s="12" t="n"/>
      <c r="H744" s="13" t="n"/>
      <c r="I744" s="4" t="n"/>
      <c r="J744" s="14">
        <f>IF(G744="","",F744*G744)</f>
        <v/>
      </c>
    </row>
    <row r="745">
      <c r="A745" s="15" t="n">
        <v>731</v>
      </c>
      <c r="B745" s="15" t="n">
        <v>451961</v>
      </c>
      <c r="C745" s="16" t="inlineStr">
        <is>
          <t>7891317412555</t>
        </is>
      </c>
      <c r="D745" s="17" t="inlineStr">
        <is>
          <t>TROK-N POM TB 10G</t>
        </is>
      </c>
      <c r="E745" s="17" t="inlineStr">
        <is>
          <t>EUROFARMA</t>
        </is>
      </c>
      <c r="F745" s="15" t="n">
        <v>5</v>
      </c>
      <c r="G745" s="12" t="n"/>
      <c r="H745" s="13" t="n"/>
      <c r="I745" s="4" t="n"/>
      <c r="J745" s="18">
        <f>IF(G745="","",F745*G745)</f>
        <v/>
      </c>
    </row>
    <row r="746">
      <c r="A746" s="9" t="n">
        <v>732</v>
      </c>
      <c r="B746" s="9" t="n">
        <v>70821</v>
      </c>
      <c r="C746" s="10" t="inlineStr">
        <is>
          <t>7894916208154</t>
        </is>
      </c>
      <c r="D746" s="11" t="inlineStr">
        <is>
          <t>TROPINAL CX 20 COMP</t>
        </is>
      </c>
      <c r="E746" s="11" t="inlineStr">
        <is>
          <t>SIGMA PHARMA</t>
        </is>
      </c>
      <c r="F746" s="9" t="n">
        <v>14</v>
      </c>
      <c r="G746" s="12" t="n"/>
      <c r="H746" s="13" t="n"/>
      <c r="I746" s="4" t="n"/>
      <c r="J746" s="14">
        <f>IF(G746="","",F746*G746)</f>
        <v/>
      </c>
    </row>
    <row r="747">
      <c r="A747" s="15" t="n">
        <v>733</v>
      </c>
      <c r="B747" s="15" t="n">
        <v>395721</v>
      </c>
      <c r="C747" s="16" t="inlineStr">
        <is>
          <t>7891010255947</t>
        </is>
      </c>
      <c r="D747" s="17" t="inlineStr">
        <is>
          <t>TYLENOL 200MG SOL OR FR GTS 15ML</t>
        </is>
      </c>
      <c r="E747" s="17" t="inlineStr">
        <is>
          <t>JANSSEN-CILAG</t>
        </is>
      </c>
      <c r="F747" s="15" t="n">
        <v>1</v>
      </c>
      <c r="G747" s="12" t="n"/>
      <c r="H747" s="13" t="n"/>
      <c r="I747" s="4" t="n"/>
      <c r="J747" s="18">
        <f>IF(G747="","",F747*G747)</f>
        <v/>
      </c>
    </row>
    <row r="748">
      <c r="A748" s="9" t="n">
        <v>734</v>
      </c>
      <c r="B748" s="9" t="n">
        <v>672601</v>
      </c>
      <c r="C748" s="10" t="inlineStr">
        <is>
          <t>7891010256616</t>
        </is>
      </c>
      <c r="D748" s="11" t="inlineStr">
        <is>
          <t>TYLENOL 500MG 4CP CARTELA</t>
        </is>
      </c>
      <c r="E748" s="11" t="inlineStr">
        <is>
          <t>JANSSEN-CILAG</t>
        </is>
      </c>
      <c r="F748" s="9" t="n">
        <v>1</v>
      </c>
      <c r="G748" s="12" t="n"/>
      <c r="H748" s="13" t="n"/>
      <c r="I748" s="4" t="n"/>
      <c r="J748" s="14">
        <f>IF(G748="","",F748*G748)</f>
        <v/>
      </c>
    </row>
    <row r="749">
      <c r="A749" s="9" t="n">
        <v>735</v>
      </c>
      <c r="B749" s="9" t="n">
        <v>672601</v>
      </c>
      <c r="C749" s="10" t="inlineStr">
        <is>
          <t>7891010256661</t>
        </is>
      </c>
      <c r="D749" s="11" t="inlineStr">
        <is>
          <t>TYLENOL 500MG 4CP CARTELA</t>
        </is>
      </c>
      <c r="E749" s="11" t="inlineStr">
        <is>
          <t>JANSSEN-CILAG</t>
        </is>
      </c>
      <c r="F749" s="9" t="n">
        <v>1</v>
      </c>
      <c r="G749" s="12" t="n"/>
      <c r="H749" s="13" t="n"/>
      <c r="I749" s="4" t="n"/>
      <c r="J749" s="14">
        <f>IF(G749="","",F749*G749)</f>
        <v/>
      </c>
    </row>
    <row r="750">
      <c r="A750" s="15" t="n">
        <v>736</v>
      </c>
      <c r="B750" s="15" t="n">
        <v>395741</v>
      </c>
      <c r="C750" s="16" t="inlineStr">
        <is>
          <t>7891010255909</t>
        </is>
      </c>
      <c r="D750" s="17" t="inlineStr">
        <is>
          <t>TYLENOL BEBE 100MG SUS OR FR GTS 15ML+SER DOS</t>
        </is>
      </c>
      <c r="E750" s="17" t="inlineStr">
        <is>
          <t>JANSSEN-CILAG</t>
        </is>
      </c>
      <c r="F750" s="15" t="n">
        <v>1</v>
      </c>
      <c r="G750" s="12" t="n"/>
      <c r="H750" s="13" t="n"/>
      <c r="I750" s="4" t="n"/>
      <c r="J750" s="18">
        <f>IF(G750="","",F750*G750)</f>
        <v/>
      </c>
    </row>
    <row r="751">
      <c r="A751" s="9" t="n">
        <v>737</v>
      </c>
      <c r="B751" s="9" t="n">
        <v>398541</v>
      </c>
      <c r="C751" s="10" t="inlineStr">
        <is>
          <t>7891010256968</t>
        </is>
      </c>
      <c r="D751" s="11" t="inlineStr">
        <is>
          <t>TYLENOL SINUS 500+30MG CX 24 COMP REV</t>
        </is>
      </c>
      <c r="E751" s="11" t="inlineStr">
        <is>
          <t>JOHNSON &amp; JOHNSON</t>
        </is>
      </c>
      <c r="F751" s="9" t="n">
        <v>8</v>
      </c>
      <c r="G751" s="12" t="n"/>
      <c r="H751" s="13" t="n"/>
      <c r="I751" s="4" t="n"/>
      <c r="J751" s="14">
        <f>IF(G751="","",F751*G751)</f>
        <v/>
      </c>
    </row>
    <row r="752">
      <c r="A752" s="15" t="n">
        <v>738</v>
      </c>
      <c r="B752" s="15" t="n">
        <v>398581</v>
      </c>
      <c r="C752" s="16" t="inlineStr">
        <is>
          <t>7891010246952</t>
        </is>
      </c>
      <c r="D752" s="17" t="inlineStr">
        <is>
          <t>TYLENOL SINUS 500+30MG CX 36 COMP REV</t>
        </is>
      </c>
      <c r="E752" s="17" t="inlineStr">
        <is>
          <t>JANSSEN-CILAG</t>
        </is>
      </c>
      <c r="F752" s="15" t="n">
        <v>1</v>
      </c>
      <c r="G752" s="12" t="n"/>
      <c r="H752" s="13" t="n"/>
      <c r="I752" s="4" t="n"/>
      <c r="J752" s="18">
        <f>IF(G752="","",F752*G752)</f>
        <v/>
      </c>
    </row>
    <row r="753">
      <c r="A753" s="9" t="n">
        <v>739</v>
      </c>
      <c r="B753" s="9" t="n">
        <v>454501</v>
      </c>
      <c r="C753" s="10" t="inlineStr">
        <is>
          <t>7898430192067</t>
        </is>
      </c>
      <c r="D753" s="11" t="inlineStr">
        <is>
          <t>UNIZINCO 17,60MG/ML SOL FR 100ML+COP</t>
        </is>
      </c>
      <c r="E753" s="11" t="inlineStr">
        <is>
          <t>MYRALIS PHARMA</t>
        </is>
      </c>
      <c r="F753" s="9" t="n">
        <v>3</v>
      </c>
      <c r="G753" s="12" t="n"/>
      <c r="H753" s="13" t="n"/>
      <c r="I753" s="4" t="n"/>
      <c r="J753" s="14">
        <f>IF(G753="","",F753*G753)</f>
        <v/>
      </c>
    </row>
    <row r="754">
      <c r="A754" s="15" t="n">
        <v>740</v>
      </c>
      <c r="B754" s="15" t="n">
        <v>413281</v>
      </c>
      <c r="C754" s="16" t="inlineStr">
        <is>
          <t>7898948648131</t>
        </is>
      </c>
      <c r="D754" s="17" t="inlineStr">
        <is>
          <t>UTROGESTAN 100MG CX 30 CAP</t>
        </is>
      </c>
      <c r="E754" s="17" t="inlineStr">
        <is>
          <t>BESINS HEALTHCARE BRASIL</t>
        </is>
      </c>
      <c r="F754" s="15" t="n">
        <v>1</v>
      </c>
      <c r="G754" s="12" t="n"/>
      <c r="H754" s="13" t="n"/>
      <c r="I754" s="4" t="n"/>
      <c r="J754" s="18">
        <f>IF(G754="","",F754*G754)</f>
        <v/>
      </c>
    </row>
    <row r="755">
      <c r="A755" s="9" t="n">
        <v>741</v>
      </c>
      <c r="B755" s="9" t="n">
        <v>413241</v>
      </c>
      <c r="C755" s="10" t="inlineStr">
        <is>
          <t>7898948648148</t>
        </is>
      </c>
      <c r="D755" s="11" t="inlineStr">
        <is>
          <t>UTROGESTAN 200MG CX 14 CAP</t>
        </is>
      </c>
      <c r="E755" s="11" t="inlineStr">
        <is>
          <t>BESINS HEALTHCARE BRASIL</t>
        </is>
      </c>
      <c r="F755" s="9" t="n">
        <v>2</v>
      </c>
      <c r="G755" s="12" t="n"/>
      <c r="H755" s="13" t="n"/>
      <c r="I755" s="4" t="n"/>
      <c r="J755" s="14">
        <f>IF(G755="","",F755*G755)</f>
        <v/>
      </c>
    </row>
    <row r="756">
      <c r="A756" s="15" t="n">
        <v>742</v>
      </c>
      <c r="B756" s="15" t="n">
        <v>319341</v>
      </c>
      <c r="C756" s="16" t="inlineStr">
        <is>
          <t>7891045008433</t>
        </is>
      </c>
      <c r="D756" s="17" t="inlineStr">
        <is>
          <t>V - NORDETTE 0,15+0,03MG CX 21 DRG</t>
        </is>
      </c>
      <c r="E756" s="17" t="inlineStr">
        <is>
          <t>PFIZER</t>
        </is>
      </c>
      <c r="F756" s="15" t="n">
        <v>1</v>
      </c>
      <c r="G756" s="12" t="n"/>
      <c r="H756" s="13" t="n"/>
      <c r="I756" s="4" t="n"/>
      <c r="J756" s="18">
        <f>IF(G756="","",F756*G756)</f>
        <v/>
      </c>
    </row>
    <row r="757">
      <c r="A757" s="9" t="n">
        <v>743</v>
      </c>
      <c r="B757" s="9" t="n">
        <v>654341</v>
      </c>
      <c r="C757" s="10" t="inlineStr">
        <is>
          <t>7891653014277</t>
        </is>
      </c>
      <c r="D757" s="11" t="inlineStr">
        <is>
          <t>VAGISIL DEO INTIMO FLOR DE PESSEGUEIRO 75ML</t>
        </is>
      </c>
      <c r="E757" s="11" t="inlineStr"/>
      <c r="F757" s="9" t="n">
        <v>1</v>
      </c>
      <c r="G757" s="12" t="n"/>
      <c r="H757" s="13" t="n"/>
      <c r="I757" s="4" t="n"/>
      <c r="J757" s="14">
        <f>IF(G757="","",F757*G757)</f>
        <v/>
      </c>
    </row>
    <row r="758">
      <c r="A758" s="15" t="n">
        <v>744</v>
      </c>
      <c r="B758" s="15" t="n">
        <v>662301</v>
      </c>
      <c r="C758" s="16" t="inlineStr">
        <is>
          <t>7891653014031</t>
        </is>
      </c>
      <c r="D758" s="17" t="inlineStr">
        <is>
          <t>VAGISIL DEO INTIMO ODOR BLOCK 60ML</t>
        </is>
      </c>
      <c r="E758" s="17" t="inlineStr"/>
      <c r="F758" s="15" t="n">
        <v>1</v>
      </c>
      <c r="G758" s="12" t="n"/>
      <c r="H758" s="13" t="n"/>
      <c r="I758" s="4" t="n"/>
      <c r="J758" s="18">
        <f>IF(G758="","",F758*G758)</f>
        <v/>
      </c>
    </row>
    <row r="759">
      <c r="A759" s="9" t="n">
        <v>745</v>
      </c>
      <c r="B759" s="9" t="n">
        <v>572581</v>
      </c>
      <c r="C759" s="10" t="inlineStr">
        <is>
          <t>7896331706086</t>
        </is>
      </c>
      <c r="D759" s="11" t="inlineStr">
        <is>
          <t>VAGISOFT GEL IDRATANTE VAGINAL C 10 APLICADORES</t>
        </is>
      </c>
      <c r="E759" s="11" t="inlineStr">
        <is>
          <t>KLEY HERTZ</t>
        </is>
      </c>
      <c r="F759" s="9" t="n">
        <v>2</v>
      </c>
      <c r="G759" s="12" t="n"/>
      <c r="H759" s="13" t="n"/>
      <c r="I759" s="4" t="n"/>
      <c r="J759" s="14">
        <f>IF(G759="","",F759*G759)</f>
        <v/>
      </c>
    </row>
    <row r="760">
      <c r="A760" s="15" t="n">
        <v>746</v>
      </c>
      <c r="B760" s="15" t="n">
        <v>547861</v>
      </c>
      <c r="C760" s="16" t="inlineStr">
        <is>
          <t>78900776</t>
        </is>
      </c>
      <c r="D760" s="17" t="inlineStr">
        <is>
          <t>VALDA CLASSIC LATA PASTILHAS 50G</t>
        </is>
      </c>
      <c r="E760" s="17" t="inlineStr">
        <is>
          <t>CANONNE</t>
        </is>
      </c>
      <c r="F760" s="15" t="n">
        <v>1</v>
      </c>
      <c r="G760" s="12" t="n"/>
      <c r="H760" s="13" t="n"/>
      <c r="I760" s="4" t="n"/>
      <c r="J760" s="18">
        <f>IF(G760="","",F760*G760)</f>
        <v/>
      </c>
    </row>
    <row r="761">
      <c r="A761" s="15" t="n">
        <v>747</v>
      </c>
      <c r="B761" s="15" t="n">
        <v>547861</v>
      </c>
      <c r="C761" s="16" t="inlineStr">
        <is>
          <t>7891137003698</t>
        </is>
      </c>
      <c r="D761" s="17" t="inlineStr">
        <is>
          <t>VALDA CLASSIC LATA PASTILHAS 50G</t>
        </is>
      </c>
      <c r="E761" s="17" t="inlineStr">
        <is>
          <t>CANONNE</t>
        </is>
      </c>
      <c r="F761" s="15" t="n">
        <v>1</v>
      </c>
      <c r="G761" s="12" t="n"/>
      <c r="H761" s="13" t="n"/>
      <c r="I761" s="4" t="n"/>
      <c r="J761" s="18">
        <f>IF(G761="","",F761*G761)</f>
        <v/>
      </c>
    </row>
    <row r="762">
      <c r="A762" s="9" t="n">
        <v>748</v>
      </c>
      <c r="B762" s="9" t="n">
        <v>33303</v>
      </c>
      <c r="C762" s="10" t="inlineStr">
        <is>
          <t>7891137003421</t>
        </is>
      </c>
      <c r="D762" s="11" t="inlineStr">
        <is>
          <t>VALDA FRIENDS MENTA SAC 25G</t>
        </is>
      </c>
      <c r="E762" s="11" t="inlineStr">
        <is>
          <t>CANONNE</t>
        </is>
      </c>
      <c r="F762" s="9" t="n">
        <v>5</v>
      </c>
      <c r="G762" s="12" t="n"/>
      <c r="H762" s="13" t="n"/>
      <c r="I762" s="4" t="n"/>
      <c r="J762" s="14">
        <f>IF(G762="","",F762*G762)</f>
        <v/>
      </c>
    </row>
    <row r="763">
      <c r="A763" s="9" t="n">
        <v>749</v>
      </c>
      <c r="B763" s="9" t="n">
        <v>33303</v>
      </c>
      <c r="C763" s="10" t="inlineStr">
        <is>
          <t>78915398</t>
        </is>
      </c>
      <c r="D763" s="11" t="inlineStr">
        <is>
          <t>VALDA FRIENDS MENTA SAC 25G</t>
        </is>
      </c>
      <c r="E763" s="11" t="inlineStr">
        <is>
          <t>CANONNE</t>
        </is>
      </c>
      <c r="F763" s="9" t="n">
        <v>5</v>
      </c>
      <c r="G763" s="12" t="n"/>
      <c r="H763" s="13" t="n"/>
      <c r="I763" s="4" t="n"/>
      <c r="J763" s="14">
        <f>IF(G763="","",F763*G763)</f>
        <v/>
      </c>
    </row>
    <row r="764">
      <c r="A764" s="15" t="n">
        <v>750</v>
      </c>
      <c r="B764" s="15" t="n">
        <v>20901</v>
      </c>
      <c r="C764" s="16" t="inlineStr">
        <is>
          <t>7898040328535</t>
        </is>
      </c>
      <c r="D764" s="17" t="inlineStr">
        <is>
          <t>VARICELL PHYTO CX 30 CAP</t>
        </is>
      </c>
      <c r="E764" s="17" t="inlineStr">
        <is>
          <t>FQM/DIVCOM</t>
        </is>
      </c>
      <c r="F764" s="15" t="n">
        <v>1</v>
      </c>
      <c r="G764" s="12" t="n"/>
      <c r="H764" s="13" t="n"/>
      <c r="I764" s="4" t="n"/>
      <c r="J764" s="18">
        <f>IF(G764="","",F764*G764)</f>
        <v/>
      </c>
    </row>
    <row r="765">
      <c r="A765" s="9" t="n">
        <v>751</v>
      </c>
      <c r="B765" s="9" t="n">
        <v>262901</v>
      </c>
      <c r="C765" s="10" t="inlineStr">
        <is>
          <t>7896658036965</t>
        </is>
      </c>
      <c r="D765" s="11" t="inlineStr">
        <is>
          <t>VENCIDO -  ALLESTRA 30/75MCG CX 63 COMP</t>
        </is>
      </c>
      <c r="E765" s="11" t="inlineStr">
        <is>
          <t>ACHE</t>
        </is>
      </c>
      <c r="F765" s="9" t="n">
        <v>1</v>
      </c>
      <c r="G765" s="12" t="n"/>
      <c r="H765" s="13" t="n"/>
      <c r="I765" s="4" t="n"/>
      <c r="J765" s="14">
        <f>IF(G765="","",F765*G765)</f>
        <v/>
      </c>
    </row>
    <row r="766">
      <c r="A766" s="15" t="n">
        <v>752</v>
      </c>
      <c r="B766" s="15" t="n">
        <v>476781</v>
      </c>
      <c r="C766" s="16" t="inlineStr">
        <is>
          <t>7896658024993</t>
        </is>
      </c>
      <c r="D766" s="17" t="inlineStr">
        <is>
          <t>VENCIDO - BRAVAN DUO 320,0+5,0MG CX 30 COMP REV</t>
        </is>
      </c>
      <c r="E766" s="17" t="inlineStr">
        <is>
          <t>ACHE</t>
        </is>
      </c>
      <c r="F766" s="15" t="n">
        <v>1</v>
      </c>
      <c r="G766" s="12" t="n"/>
      <c r="H766" s="13" t="n"/>
      <c r="I766" s="4" t="n"/>
      <c r="J766" s="18">
        <f>IF(G766="","",F766*G766)</f>
        <v/>
      </c>
    </row>
    <row r="767">
      <c r="A767" s="9" t="n">
        <v>753</v>
      </c>
      <c r="B767" s="9" t="n">
        <v>615331</v>
      </c>
      <c r="C767" s="10" t="inlineStr">
        <is>
          <t>4005808881512</t>
        </is>
      </c>
      <c r="D767" s="11" t="inlineStr">
        <is>
          <t>VENCIDO - GEL NIVEA ANTI-CELULIT BYEBYE CEL 201ML</t>
        </is>
      </c>
      <c r="E767" s="11" t="inlineStr">
        <is>
          <t>NIVEA</t>
        </is>
      </c>
      <c r="F767" s="9" t="n">
        <v>1</v>
      </c>
      <c r="G767" s="12" t="n"/>
      <c r="H767" s="13" t="n"/>
      <c r="I767" s="4" t="n"/>
      <c r="J767" s="14">
        <f>IF(G767="","",F767*G767)</f>
        <v/>
      </c>
    </row>
    <row r="768">
      <c r="A768" s="15" t="n">
        <v>754</v>
      </c>
      <c r="B768" s="15" t="n">
        <v>621491</v>
      </c>
      <c r="C768" s="16" t="inlineStr">
        <is>
          <t>7896004789545</t>
        </is>
      </c>
      <c r="D768" s="17" t="inlineStr">
        <is>
          <t>VENCIDO - LEFOR 2,5MG CX 30 COMP</t>
        </is>
      </c>
      <c r="E768" s="17" t="inlineStr">
        <is>
          <t>SIGMA PHARMA</t>
        </is>
      </c>
      <c r="F768" s="15" t="n">
        <v>1</v>
      </c>
      <c r="G768" s="12" t="n"/>
      <c r="H768" s="13" t="n"/>
      <c r="I768" s="4" t="n"/>
      <c r="J768" s="18">
        <f>IF(G768="","",F768*G768)</f>
        <v/>
      </c>
    </row>
    <row r="769">
      <c r="A769" s="9" t="n">
        <v>755</v>
      </c>
      <c r="B769" s="9" t="n">
        <v>133401</v>
      </c>
      <c r="C769" s="10" t="inlineStr">
        <is>
          <t>7891317432386</t>
        </is>
      </c>
      <c r="D769" s="11" t="inlineStr">
        <is>
          <t>VENCIDO - MUSCULARE 10MG CX 30 COMP REV</t>
        </is>
      </c>
      <c r="E769" s="11" t="inlineStr">
        <is>
          <t>EUROFARMA</t>
        </is>
      </c>
      <c r="F769" s="9" t="n">
        <v>1</v>
      </c>
      <c r="G769" s="12" t="n"/>
      <c r="H769" s="13" t="n"/>
      <c r="I769" s="4" t="n"/>
      <c r="J769" s="14">
        <f>IF(G769="","",F769*G769)</f>
        <v/>
      </c>
    </row>
    <row r="770">
      <c r="A770" s="15" t="n">
        <v>756</v>
      </c>
      <c r="B770" s="15" t="n">
        <v>612521</v>
      </c>
      <c r="C770" s="16" t="inlineStr">
        <is>
          <t>7891317011390</t>
        </is>
      </c>
      <c r="D770" s="17" t="inlineStr">
        <is>
          <t>VENCIDO - NAIRE 20MG CX 15 COMP</t>
        </is>
      </c>
      <c r="E770" s="17" t="inlineStr">
        <is>
          <t>EUROFARMA</t>
        </is>
      </c>
      <c r="F770" s="15" t="n">
        <v>1</v>
      </c>
      <c r="G770" s="12" t="n"/>
      <c r="H770" s="13" t="n"/>
      <c r="I770" s="4" t="n"/>
      <c r="J770" s="18">
        <f>IF(G770="","",F770*G770)</f>
        <v/>
      </c>
    </row>
    <row r="771">
      <c r="A771" s="9" t="n">
        <v>757</v>
      </c>
      <c r="B771" s="9" t="n">
        <v>319361</v>
      </c>
      <c r="C771" s="10" t="inlineStr">
        <is>
          <t>7891045008440</t>
        </is>
      </c>
      <c r="D771" s="11" t="inlineStr">
        <is>
          <t>VENCIDO - NORDETTE 0,15+0,03MG CARTELA C/21</t>
        </is>
      </c>
      <c r="E771" s="11" t="inlineStr">
        <is>
          <t>PFIZER</t>
        </is>
      </c>
      <c r="F771" s="9" t="n">
        <v>1</v>
      </c>
      <c r="G771" s="12" t="n"/>
      <c r="H771" s="13" t="n"/>
      <c r="I771" s="4" t="n"/>
      <c r="J771" s="14">
        <f>IF(G771="","",F771*G771)</f>
        <v/>
      </c>
    </row>
    <row r="772">
      <c r="A772" s="15" t="n">
        <v>758</v>
      </c>
      <c r="B772" s="15" t="n">
        <v>344301</v>
      </c>
      <c r="C772" s="16" t="inlineStr">
        <is>
          <t>7896641808777</t>
        </is>
      </c>
      <c r="D772" s="17" t="inlineStr">
        <is>
          <t>VENCIDO - PV MESACOL 250 MG SUP RET CT BERCO X 15</t>
        </is>
      </c>
      <c r="E772" s="17" t="inlineStr">
        <is>
          <t>TAKEDA PHARMA</t>
        </is>
      </c>
      <c r="F772" s="15" t="n">
        <v>1</v>
      </c>
      <c r="G772" s="12" t="n"/>
      <c r="H772" s="13" t="n"/>
      <c r="I772" s="4" t="n"/>
      <c r="J772" s="18">
        <f>IF(G772="","",F772*G772)</f>
        <v/>
      </c>
    </row>
    <row r="773">
      <c r="A773" s="9" t="n">
        <v>759</v>
      </c>
      <c r="B773" s="9" t="n">
        <v>608981</v>
      </c>
      <c r="C773" s="10" t="inlineStr">
        <is>
          <t>7891317010386</t>
        </is>
      </c>
      <c r="D773" s="11" t="inlineStr">
        <is>
          <t>VENTUS 50MCG SUS SPR NAS FR 120 ACIONAMENTOS</t>
        </is>
      </c>
      <c r="E773" s="11" t="inlineStr">
        <is>
          <t>EUROFARMA</t>
        </is>
      </c>
      <c r="F773" s="9" t="n">
        <v>1</v>
      </c>
      <c r="G773" s="12" t="n"/>
      <c r="H773" s="13" t="n"/>
      <c r="I773" s="4" t="n"/>
      <c r="J773" s="14">
        <f>IF(G773="","",F773*G773)</f>
        <v/>
      </c>
    </row>
    <row r="774">
      <c r="A774" s="15" t="n">
        <v>760</v>
      </c>
      <c r="B774" s="15" t="n">
        <v>612541</v>
      </c>
      <c r="C774" s="16" t="inlineStr">
        <is>
          <t>7891317010379</t>
        </is>
      </c>
      <c r="D774" s="17" t="inlineStr">
        <is>
          <t>VENTUS 50MCG SUS SPR NAS FR 60 ACIONAMENTOS</t>
        </is>
      </c>
      <c r="E774" s="17" t="inlineStr">
        <is>
          <t>EUROFARMA</t>
        </is>
      </c>
      <c r="F774" s="15" t="n">
        <v>1</v>
      </c>
      <c r="G774" s="12" t="n"/>
      <c r="H774" s="13" t="n"/>
      <c r="I774" s="4" t="n"/>
      <c r="J774" s="18">
        <f>IF(G774="","",F774*G774)</f>
        <v/>
      </c>
    </row>
    <row r="775">
      <c r="A775" s="9" t="n">
        <v>761</v>
      </c>
      <c r="B775" s="9" t="n">
        <v>285761</v>
      </c>
      <c r="C775" s="10" t="inlineStr">
        <is>
          <t>7896094206403</t>
        </is>
      </c>
      <c r="D775" s="11" t="inlineStr">
        <is>
          <t>VENZER HCT 8+12,5MG CX 30 COMP</t>
        </is>
      </c>
      <c r="E775" s="11" t="inlineStr">
        <is>
          <t>LIBBS</t>
        </is>
      </c>
      <c r="F775" s="9" t="n">
        <v>1</v>
      </c>
      <c r="G775" s="12" t="n"/>
      <c r="H775" s="13" t="n"/>
      <c r="I775" s="4" t="n"/>
      <c r="J775" s="14">
        <f>IF(G775="","",F775*G775)</f>
        <v/>
      </c>
    </row>
    <row r="776">
      <c r="A776" s="15" t="n">
        <v>762</v>
      </c>
      <c r="B776" s="15" t="n">
        <v>16781</v>
      </c>
      <c r="C776" s="16" t="inlineStr">
        <is>
          <t>5702191007985</t>
        </is>
      </c>
      <c r="D776" s="17" t="inlineStr">
        <is>
          <t>VERUTEX 20MG CREME DERM BG 15G</t>
        </is>
      </c>
      <c r="E776" s="17" t="inlineStr">
        <is>
          <t>LEO PHARMA</t>
        </is>
      </c>
      <c r="F776" s="15" t="n">
        <v>1</v>
      </c>
      <c r="G776" s="12" t="n"/>
      <c r="H776" s="13" t="n"/>
      <c r="I776" s="4" t="n"/>
      <c r="J776" s="18">
        <f>IF(G776="","",F776*G776)</f>
        <v/>
      </c>
    </row>
    <row r="777">
      <c r="A777" s="9" t="n">
        <v>763</v>
      </c>
      <c r="B777" s="9" t="n">
        <v>16701</v>
      </c>
      <c r="C777" s="10" t="inlineStr">
        <is>
          <t>7898109240273</t>
        </is>
      </c>
      <c r="D777" s="11" t="inlineStr">
        <is>
          <t>VI-FERRIN 20+0,333+1,0MCG ELIXIR FR 150ML</t>
        </is>
      </c>
      <c r="E777" s="11" t="inlineStr">
        <is>
          <t>ELOFAR</t>
        </is>
      </c>
      <c r="F777" s="9" t="n">
        <v>4</v>
      </c>
      <c r="G777" s="12" t="n"/>
      <c r="H777" s="13" t="n"/>
      <c r="I777" s="4" t="n"/>
      <c r="J777" s="14">
        <f>IF(G777="","",F777*G777)</f>
        <v/>
      </c>
    </row>
    <row r="778">
      <c r="A778" s="15" t="n">
        <v>764</v>
      </c>
      <c r="B778" s="15" t="n">
        <v>16721</v>
      </c>
      <c r="C778" s="16" t="inlineStr">
        <is>
          <t>7898109240532</t>
        </is>
      </c>
      <c r="D778" s="17" t="inlineStr">
        <is>
          <t>VI-FERRIN 300+5+15MCG FR 60 COMP REV</t>
        </is>
      </c>
      <c r="E778" s="17" t="inlineStr">
        <is>
          <t>ELOFAR</t>
        </is>
      </c>
      <c r="F778" s="15" t="n">
        <v>14</v>
      </c>
      <c r="G778" s="12" t="n"/>
      <c r="H778" s="13" t="n"/>
      <c r="I778" s="4" t="n"/>
      <c r="J778" s="18">
        <f>IF(G778="","",F778*G778)</f>
        <v/>
      </c>
    </row>
    <row r="779">
      <c r="A779" s="9" t="n">
        <v>765</v>
      </c>
      <c r="B779" s="9" t="n">
        <v>993</v>
      </c>
      <c r="C779" s="10" t="inlineStr">
        <is>
          <t>75075644</t>
        </is>
      </c>
      <c r="D779" s="11" t="inlineStr">
        <is>
          <t>VICK BABY RUB 12G LATA</t>
        </is>
      </c>
      <c r="E779" s="11" t="inlineStr">
        <is>
          <t>PROCTER   GAMBLE DO BRASIL</t>
        </is>
      </c>
      <c r="F779" s="9" t="n">
        <v>9</v>
      </c>
      <c r="G779" s="12" t="n"/>
      <c r="H779" s="13" t="n"/>
      <c r="I779" s="4" t="n"/>
      <c r="J779" s="14">
        <f>IF(G779="","",F779*G779)</f>
        <v/>
      </c>
    </row>
    <row r="780">
      <c r="A780" s="9" t="n">
        <v>766</v>
      </c>
      <c r="B780" s="9" t="n">
        <v>993</v>
      </c>
      <c r="C780" s="10" t="inlineStr">
        <is>
          <t>7500435199087</t>
        </is>
      </c>
      <c r="D780" s="11" t="inlineStr">
        <is>
          <t>VICK BABY RUB 12G LATA</t>
        </is>
      </c>
      <c r="E780" s="11" t="inlineStr">
        <is>
          <t>PROCTER   GAMBLE DO BRASIL</t>
        </is>
      </c>
      <c r="F780" s="9" t="n">
        <v>9</v>
      </c>
      <c r="G780" s="12" t="n"/>
      <c r="H780" s="13" t="n"/>
      <c r="I780" s="4" t="n"/>
      <c r="J780" s="14">
        <f>IF(G780="","",F780*G780)</f>
        <v/>
      </c>
    </row>
    <row r="781">
      <c r="A781" s="15" t="n">
        <v>767</v>
      </c>
      <c r="B781" s="15" t="n">
        <v>651281</v>
      </c>
      <c r="C781" s="16" t="inlineStr">
        <is>
          <t>7500435245340</t>
        </is>
      </c>
      <c r="D781" s="17" t="inlineStr">
        <is>
          <t>VICK DROPS MEL C/20 PAST-DEMAIS PROD</t>
        </is>
      </c>
      <c r="E781" s="17" t="inlineStr">
        <is>
          <t>P&amp;G</t>
        </is>
      </c>
      <c r="F781" s="15" t="n">
        <v>1</v>
      </c>
      <c r="G781" s="12" t="n"/>
      <c r="H781" s="13" t="n"/>
      <c r="I781" s="4" t="n"/>
      <c r="J781" s="18">
        <f>IF(G781="","",F781*G781)</f>
        <v/>
      </c>
    </row>
    <row r="782">
      <c r="A782" s="15" t="n">
        <v>768</v>
      </c>
      <c r="B782" s="15" t="n">
        <v>651281</v>
      </c>
      <c r="C782" s="16" t="inlineStr">
        <is>
          <t>7500435247757</t>
        </is>
      </c>
      <c r="D782" s="17" t="inlineStr">
        <is>
          <t>VICK DROPS MEL C/20 PAST-DEMAIS PROD</t>
        </is>
      </c>
      <c r="E782" s="17" t="inlineStr">
        <is>
          <t>P&amp;G</t>
        </is>
      </c>
      <c r="F782" s="15" t="n">
        <v>1</v>
      </c>
      <c r="G782" s="12" t="n"/>
      <c r="H782" s="13" t="n"/>
      <c r="I782" s="4" t="n"/>
      <c r="J782" s="18">
        <f>IF(G782="","",F782*G782)</f>
        <v/>
      </c>
    </row>
    <row r="783">
      <c r="A783" s="9" t="n">
        <v>769</v>
      </c>
      <c r="B783" s="9" t="n">
        <v>318341</v>
      </c>
      <c r="C783" s="10" t="inlineStr">
        <is>
          <t>78911239</t>
        </is>
      </c>
      <c r="D783" s="11" t="inlineStr">
        <is>
          <t>VICK INALADOR 0.5G DESC NASAL UNID</t>
        </is>
      </c>
      <c r="E783" s="11" t="inlineStr">
        <is>
          <t>P&amp;G</t>
        </is>
      </c>
      <c r="F783" s="9" t="n">
        <v>8</v>
      </c>
      <c r="G783" s="12" t="n"/>
      <c r="H783" s="13" t="n"/>
      <c r="I783" s="4" t="n"/>
      <c r="J783" s="14">
        <f>IF(G783="","",F783*G783)</f>
        <v/>
      </c>
    </row>
    <row r="784">
      <c r="A784" s="9" t="n">
        <v>770</v>
      </c>
      <c r="B784" s="9" t="n">
        <v>318341</v>
      </c>
      <c r="C784" s="10" t="inlineStr">
        <is>
          <t>7896093000217</t>
        </is>
      </c>
      <c r="D784" s="11" t="inlineStr">
        <is>
          <t>VICK INALADOR 0.5G DESC NASAL UNID</t>
        </is>
      </c>
      <c r="E784" s="11" t="inlineStr">
        <is>
          <t>P&amp;G</t>
        </is>
      </c>
      <c r="F784" s="9" t="n">
        <v>8</v>
      </c>
      <c r="G784" s="12" t="n"/>
      <c r="H784" s="13" t="n"/>
      <c r="I784" s="4" t="n"/>
      <c r="J784" s="14">
        <f>IF(G784="","",F784*G784)</f>
        <v/>
      </c>
    </row>
    <row r="785">
      <c r="A785" s="15" t="n">
        <v>771</v>
      </c>
      <c r="B785" s="15" t="n">
        <v>600581</v>
      </c>
      <c r="C785" s="16" t="inlineStr">
        <is>
          <t>7501001246730</t>
        </is>
      </c>
      <c r="D785" s="17" t="inlineStr">
        <is>
          <t>VICK LATINHA 12G</t>
        </is>
      </c>
      <c r="E785" s="17" t="inlineStr">
        <is>
          <t>PROCTER   GAMBLE</t>
        </is>
      </c>
      <c r="F785" s="15" t="n">
        <v>14</v>
      </c>
      <c r="G785" s="12" t="n"/>
      <c r="H785" s="13" t="n"/>
      <c r="I785" s="4" t="n"/>
      <c r="J785" s="18">
        <f>IF(G785="","",F785*G785)</f>
        <v/>
      </c>
    </row>
    <row r="786">
      <c r="A786" s="15" t="n">
        <v>772</v>
      </c>
      <c r="B786" s="15" t="n">
        <v>600581</v>
      </c>
      <c r="C786" s="16" t="inlineStr">
        <is>
          <t>7500435140157</t>
        </is>
      </c>
      <c r="D786" s="17" t="inlineStr">
        <is>
          <t>VICK LATINHA 12G</t>
        </is>
      </c>
      <c r="E786" s="17" t="inlineStr">
        <is>
          <t>PROCTER   GAMBLE</t>
        </is>
      </c>
      <c r="F786" s="15" t="n">
        <v>14</v>
      </c>
      <c r="G786" s="12" t="n"/>
      <c r="H786" s="13" t="n"/>
      <c r="I786" s="4" t="n"/>
      <c r="J786" s="18">
        <f>IF(G786="","",F786*G786)</f>
        <v/>
      </c>
    </row>
    <row r="787">
      <c r="A787" s="15" t="n">
        <v>773</v>
      </c>
      <c r="B787" s="15" t="n">
        <v>600581</v>
      </c>
      <c r="C787" s="16" t="inlineStr">
        <is>
          <t>78911222</t>
        </is>
      </c>
      <c r="D787" s="17" t="inlineStr">
        <is>
          <t>VICK LATINHA 12G</t>
        </is>
      </c>
      <c r="E787" s="17" t="inlineStr">
        <is>
          <t>PROCTER   GAMBLE</t>
        </is>
      </c>
      <c r="F787" s="15" t="n">
        <v>14</v>
      </c>
      <c r="G787" s="12" t="n"/>
      <c r="H787" s="13" t="n"/>
      <c r="I787" s="4" t="n"/>
      <c r="J787" s="18">
        <f>IF(G787="","",F787*G787)</f>
        <v/>
      </c>
    </row>
    <row r="788">
      <c r="A788" s="15" t="n">
        <v>774</v>
      </c>
      <c r="B788" s="15" t="n">
        <v>600581</v>
      </c>
      <c r="C788" s="16" t="inlineStr">
        <is>
          <t>7896093001030</t>
        </is>
      </c>
      <c r="D788" s="17" t="inlineStr">
        <is>
          <t>VICK LATINHA 12G</t>
        </is>
      </c>
      <c r="E788" s="17" t="inlineStr">
        <is>
          <t>PROCTER   GAMBLE</t>
        </is>
      </c>
      <c r="F788" s="15" t="n">
        <v>14</v>
      </c>
      <c r="G788" s="12" t="n"/>
      <c r="H788" s="13" t="n"/>
      <c r="I788" s="4" t="n"/>
      <c r="J788" s="18">
        <f>IF(G788="","",F788*G788)</f>
        <v/>
      </c>
    </row>
    <row r="789">
      <c r="A789" s="9" t="n">
        <v>775</v>
      </c>
      <c r="B789" s="9" t="n">
        <v>395921</v>
      </c>
      <c r="C789" s="10" t="inlineStr">
        <is>
          <t>78911246</t>
        </is>
      </c>
      <c r="D789" s="11" t="inlineStr">
        <is>
          <t>VICK PYRENA 500MG CHA MEL E LIMAO 5G - CAIXA</t>
        </is>
      </c>
      <c r="E789" s="11" t="inlineStr">
        <is>
          <t>P&amp;G</t>
        </is>
      </c>
      <c r="F789" s="9" t="n">
        <v>5</v>
      </c>
      <c r="G789" s="12" t="n"/>
      <c r="H789" s="13" t="n"/>
      <c r="I789" s="4" t="n"/>
      <c r="J789" s="14">
        <f>IF(G789="","",F789*G789)</f>
        <v/>
      </c>
    </row>
    <row r="790">
      <c r="A790" s="15" t="n">
        <v>776</v>
      </c>
      <c r="B790" s="15" t="n">
        <v>542821</v>
      </c>
      <c r="C790" s="16" t="inlineStr">
        <is>
          <t>789112444</t>
        </is>
      </c>
      <c r="D790" s="17" t="inlineStr">
        <is>
          <t>VICK VAPORUB 30G POTE</t>
        </is>
      </c>
      <c r="E790" s="17" t="inlineStr">
        <is>
          <t>P&amp;G</t>
        </is>
      </c>
      <c r="F790" s="15" t="n">
        <v>4</v>
      </c>
      <c r="G790" s="12" t="n"/>
      <c r="H790" s="13" t="n"/>
      <c r="I790" s="4" t="n"/>
      <c r="J790" s="18">
        <f>IF(G790="","",F790*G790)</f>
        <v/>
      </c>
    </row>
    <row r="791">
      <c r="A791" s="15" t="n">
        <v>777</v>
      </c>
      <c r="B791" s="15" t="n">
        <v>542821</v>
      </c>
      <c r="C791" s="16" t="inlineStr">
        <is>
          <t>7590002032817</t>
        </is>
      </c>
      <c r="D791" s="17" t="inlineStr">
        <is>
          <t>VICK VAPORUB 30G POTE</t>
        </is>
      </c>
      <c r="E791" s="17" t="inlineStr">
        <is>
          <t>P&amp;G</t>
        </is>
      </c>
      <c r="F791" s="15" t="n">
        <v>4</v>
      </c>
      <c r="G791" s="12" t="n"/>
      <c r="H791" s="13" t="n"/>
      <c r="I791" s="4" t="n"/>
      <c r="J791" s="18">
        <f>IF(G791="","",F791*G791)</f>
        <v/>
      </c>
    </row>
    <row r="792">
      <c r="A792" s="9" t="n">
        <v>778</v>
      </c>
      <c r="B792" s="9" t="n">
        <v>610801</v>
      </c>
      <c r="C792" s="10" t="inlineStr">
        <is>
          <t>7500435209786</t>
        </is>
      </c>
      <c r="D792" s="11" t="inlineStr">
        <is>
          <t>VICK XAROPE XAROPE MIEL 100ML</t>
        </is>
      </c>
      <c r="E792" s="11" t="inlineStr">
        <is>
          <t>P&amp;G</t>
        </is>
      </c>
      <c r="F792" s="9" t="n">
        <v>5</v>
      </c>
      <c r="G792" s="12" t="n"/>
      <c r="H792" s="13" t="n"/>
      <c r="I792" s="4" t="n"/>
      <c r="J792" s="14">
        <f>IF(G792="","",F792*G792)</f>
        <v/>
      </c>
    </row>
    <row r="793">
      <c r="A793" s="15" t="n">
        <v>779</v>
      </c>
      <c r="B793" s="15" t="n">
        <v>254901</v>
      </c>
      <c r="C793" s="16" t="inlineStr">
        <is>
          <t>7896548197554</t>
        </is>
      </c>
      <c r="D793" s="17" t="inlineStr">
        <is>
          <t>VIGADEXA 5+1MG/ML SOL OFT FR GOT 5ML</t>
        </is>
      </c>
      <c r="E793" s="17" t="inlineStr">
        <is>
          <t>NOVARTIS</t>
        </is>
      </c>
      <c r="F793" s="15" t="n">
        <v>1</v>
      </c>
      <c r="G793" s="12" t="n"/>
      <c r="H793" s="13" t="n"/>
      <c r="I793" s="4" t="n"/>
      <c r="J793" s="18">
        <f>IF(G793="","",F793*G793)</f>
        <v/>
      </c>
    </row>
    <row r="794">
      <c r="A794" s="9" t="n">
        <v>780</v>
      </c>
      <c r="B794" s="9" t="n">
        <v>160821</v>
      </c>
      <c r="C794" s="10" t="inlineStr">
        <is>
          <t>7896548139585</t>
        </is>
      </c>
      <c r="D794" s="11" t="inlineStr">
        <is>
          <t>VIGAMOX 5MG SUS OFT FR GTS 5ML</t>
        </is>
      </c>
      <c r="E794" s="11" t="inlineStr">
        <is>
          <t>NOVARTIS</t>
        </is>
      </c>
      <c r="F794" s="9" t="n">
        <v>4</v>
      </c>
      <c r="G794" s="12" t="n"/>
      <c r="H794" s="13" t="n"/>
      <c r="I794" s="4" t="n"/>
      <c r="J794" s="14">
        <f>IF(G794="","",F794*G794)</f>
        <v/>
      </c>
    </row>
    <row r="795">
      <c r="A795" s="15" t="n">
        <v>781</v>
      </c>
      <c r="B795" s="15" t="n">
        <v>671271</v>
      </c>
      <c r="C795" s="16" t="inlineStr">
        <is>
          <t>7896004773759</t>
        </is>
      </c>
      <c r="D795" s="17" t="inlineStr">
        <is>
          <t>VIOFTA 0,15% SOL OFT 10ML-DEMAIS PROD</t>
        </is>
      </c>
      <c r="E795" s="17" t="inlineStr">
        <is>
          <t>LEGRAND</t>
        </is>
      </c>
      <c r="F795" s="15" t="n">
        <v>1</v>
      </c>
      <c r="G795" s="12" t="n"/>
      <c r="H795" s="13" t="n"/>
      <c r="I795" s="4" t="n"/>
      <c r="J795" s="18">
        <f>IF(G795="","",F795*G795)</f>
        <v/>
      </c>
    </row>
    <row r="796">
      <c r="A796" s="9" t="n">
        <v>782</v>
      </c>
      <c r="B796" s="9" t="n">
        <v>671911</v>
      </c>
      <c r="C796" s="10" t="inlineStr">
        <is>
          <t>7896004780818</t>
        </is>
      </c>
      <c r="D796" s="11" t="inlineStr">
        <is>
          <t>VIOFTA 0,40% SOL OFT 10ML-DEMAIS PROD</t>
        </is>
      </c>
      <c r="E796" s="11" t="inlineStr">
        <is>
          <t>LEGRAND</t>
        </is>
      </c>
      <c r="F796" s="9" t="n">
        <v>2</v>
      </c>
      <c r="G796" s="12" t="n"/>
      <c r="H796" s="13" t="n"/>
      <c r="I796" s="4" t="n"/>
      <c r="J796" s="14">
        <f>IF(G796="","",F796*G796)</f>
        <v/>
      </c>
    </row>
    <row r="797">
      <c r="A797" s="15" t="n">
        <v>783</v>
      </c>
      <c r="B797" s="15" t="n">
        <v>468521</v>
      </c>
      <c r="C797" s="16" t="inlineStr">
        <is>
          <t>7897129300509</t>
        </is>
      </c>
      <c r="D797" s="17" t="inlineStr">
        <is>
          <t>VITACID 0,5MG/G CREME DERM BG 25G</t>
        </is>
      </c>
      <c r="E797" s="17" t="inlineStr">
        <is>
          <t>THERASKIN</t>
        </is>
      </c>
      <c r="F797" s="15" t="n">
        <v>2</v>
      </c>
      <c r="G797" s="12" t="n"/>
      <c r="H797" s="13" t="n"/>
      <c r="I797" s="4" t="n"/>
      <c r="J797" s="18">
        <f>IF(G797="","",F797*G797)</f>
        <v/>
      </c>
    </row>
    <row r="798">
      <c r="A798" s="9" t="n">
        <v>784</v>
      </c>
      <c r="B798" s="9" t="n">
        <v>468541</v>
      </c>
      <c r="C798" s="10" t="inlineStr">
        <is>
          <t>7897129303579</t>
        </is>
      </c>
      <c r="D798" s="11" t="inlineStr">
        <is>
          <t>VITACID XT 1,00MG/G CREME DERM BG 25G</t>
        </is>
      </c>
      <c r="E798" s="11" t="inlineStr">
        <is>
          <t>THERASKIN</t>
        </is>
      </c>
      <c r="F798" s="9" t="n">
        <v>1</v>
      </c>
      <c r="G798" s="12" t="n"/>
      <c r="H798" s="13" t="n"/>
      <c r="I798" s="4" t="n"/>
      <c r="J798" s="14">
        <f>IF(G798="","",F798*G798)</f>
        <v/>
      </c>
    </row>
    <row r="799">
      <c r="A799" s="15" t="n">
        <v>785</v>
      </c>
      <c r="B799" s="15" t="n">
        <v>651961</v>
      </c>
      <c r="C799" s="16" t="inlineStr">
        <is>
          <t>7896006298526</t>
        </is>
      </c>
      <c r="D799" s="17" t="inlineStr">
        <is>
          <t>VODOL 20MG/G CREME X 28G</t>
        </is>
      </c>
      <c r="E799" s="17" t="inlineStr">
        <is>
          <t>UNIAO QUIMICA</t>
        </is>
      </c>
      <c r="F799" s="15" t="n">
        <v>1</v>
      </c>
      <c r="G799" s="12" t="n"/>
      <c r="H799" s="13" t="n"/>
      <c r="I799" s="4" t="n"/>
      <c r="J799" s="18">
        <f>IF(G799="","",F799*G799)</f>
        <v/>
      </c>
    </row>
    <row r="800">
      <c r="A800" s="9" t="n">
        <v>786</v>
      </c>
      <c r="B800" s="9" t="n">
        <v>211861</v>
      </c>
      <c r="C800" s="10" t="inlineStr">
        <is>
          <t>7896261000797</t>
        </is>
      </c>
      <c r="D800" s="11" t="inlineStr">
        <is>
          <t>VOLTAREN 25MG INJ CX 5AMP X 3ML</t>
        </is>
      </c>
      <c r="E800" s="11" t="inlineStr">
        <is>
          <t>NOVARTIS</t>
        </is>
      </c>
      <c r="F800" s="9" t="n">
        <v>1</v>
      </c>
      <c r="G800" s="12" t="n"/>
      <c r="H800" s="13" t="n"/>
      <c r="I800" s="4" t="n"/>
      <c r="J800" s="14">
        <f>IF(G800="","",F800*G800)</f>
        <v/>
      </c>
    </row>
    <row r="801">
      <c r="A801" s="15" t="n">
        <v>787</v>
      </c>
      <c r="B801" s="15" t="n">
        <v>645041</v>
      </c>
      <c r="C801" s="16" t="inlineStr">
        <is>
          <t>7896006216254</t>
        </is>
      </c>
      <c r="D801" s="17" t="inlineStr">
        <is>
          <t>XANTINON 100+20MG CARTELA C/ 10CP</t>
        </is>
      </c>
      <c r="E801" s="17" t="inlineStr">
        <is>
          <t>UNIAO QUIMICA</t>
        </is>
      </c>
      <c r="F801" s="15" t="n">
        <v>10</v>
      </c>
      <c r="G801" s="12" t="n"/>
      <c r="H801" s="13" t="n"/>
      <c r="I801" s="4" t="n"/>
      <c r="J801" s="18">
        <f>IF(G801="","",F801*G801)</f>
        <v/>
      </c>
    </row>
    <row r="802">
      <c r="A802" s="15" t="n">
        <v>788</v>
      </c>
      <c r="B802" s="15" t="n">
        <v>645041</v>
      </c>
      <c r="C802" s="16" t="inlineStr">
        <is>
          <t>7896006219897</t>
        </is>
      </c>
      <c r="D802" s="17" t="inlineStr">
        <is>
          <t>XANTINON 100+20MG CARTELA C/ 10CP</t>
        </is>
      </c>
      <c r="E802" s="17" t="inlineStr">
        <is>
          <t>UNIAO QUIMICA</t>
        </is>
      </c>
      <c r="F802" s="15" t="n">
        <v>10</v>
      </c>
      <c r="G802" s="12" t="n"/>
      <c r="H802" s="13" t="n"/>
      <c r="I802" s="4" t="n"/>
      <c r="J802" s="18">
        <f>IF(G802="","",F802*G802)</f>
        <v/>
      </c>
    </row>
    <row r="803">
      <c r="A803" s="9" t="n">
        <v>789</v>
      </c>
      <c r="B803" s="9" t="n">
        <v>10461</v>
      </c>
      <c r="C803" s="10" t="inlineStr">
        <is>
          <t>7896006216797</t>
        </is>
      </c>
      <c r="D803" s="11" t="inlineStr">
        <is>
          <t>XANTINON COMPLEX FLACONETE</t>
        </is>
      </c>
      <c r="E803" s="11" t="inlineStr">
        <is>
          <t>UNIAO QUIMICA FARMACEUTICA</t>
        </is>
      </c>
      <c r="F803" s="9" t="n">
        <v>1</v>
      </c>
      <c r="G803" s="12" t="n"/>
      <c r="H803" s="13" t="n"/>
      <c r="I803" s="4" t="n"/>
      <c r="J803" s="14">
        <f>IF(G803="","",F803*G803)</f>
        <v/>
      </c>
    </row>
    <row r="804">
      <c r="A804" s="9" t="n">
        <v>790</v>
      </c>
      <c r="B804" s="9" t="n">
        <v>10461</v>
      </c>
      <c r="C804" s="10" t="inlineStr">
        <is>
          <t>7896006216629</t>
        </is>
      </c>
      <c r="D804" s="11" t="inlineStr">
        <is>
          <t>XANTINON COMPLEX FLACONETE</t>
        </is>
      </c>
      <c r="E804" s="11" t="inlineStr">
        <is>
          <t>UNIAO QUIMICA FARMACEUTICA</t>
        </is>
      </c>
      <c r="F804" s="9" t="n">
        <v>1</v>
      </c>
      <c r="G804" s="12" t="n"/>
      <c r="H804" s="13" t="n"/>
      <c r="I804" s="4" t="n"/>
      <c r="J804" s="14">
        <f>IF(G804="","",F804*G804)</f>
        <v/>
      </c>
    </row>
    <row r="805">
      <c r="A805" s="9" t="n">
        <v>791</v>
      </c>
      <c r="B805" s="9" t="n">
        <v>10461</v>
      </c>
      <c r="C805" s="10" t="inlineStr">
        <is>
          <t>7896006216636</t>
        </is>
      </c>
      <c r="D805" s="11" t="inlineStr">
        <is>
          <t>XANTINON COMPLEX FLACONETE</t>
        </is>
      </c>
      <c r="E805" s="11" t="inlineStr">
        <is>
          <t>UNIAO QUIMICA FARMACEUTICA</t>
        </is>
      </c>
      <c r="F805" s="9" t="n">
        <v>1</v>
      </c>
      <c r="G805" s="12" t="n"/>
      <c r="H805" s="13" t="n"/>
      <c r="I805" s="4" t="n"/>
      <c r="J805" s="14">
        <f>IF(G805="","",F805*G805)</f>
        <v/>
      </c>
    </row>
    <row r="806">
      <c r="A806" s="9" t="n">
        <v>792</v>
      </c>
      <c r="B806" s="9" t="n">
        <v>10461</v>
      </c>
      <c r="C806" s="10" t="inlineStr">
        <is>
          <t>7896006297710</t>
        </is>
      </c>
      <c r="D806" s="11" t="inlineStr">
        <is>
          <t>XANTINON COMPLEX FLACONETE</t>
        </is>
      </c>
      <c r="E806" s="11" t="inlineStr">
        <is>
          <t>UNIAO QUIMICA FARMACEUTICA</t>
        </is>
      </c>
      <c r="F806" s="9" t="n">
        <v>1</v>
      </c>
      <c r="G806" s="12" t="n"/>
      <c r="H806" s="13" t="n"/>
      <c r="I806" s="4" t="n"/>
      <c r="J806" s="14">
        <f>IF(G806="","",F806*G806)</f>
        <v/>
      </c>
    </row>
    <row r="807">
      <c r="A807" s="15" t="n">
        <v>793</v>
      </c>
      <c r="B807" s="15" t="n">
        <v>547961</v>
      </c>
      <c r="C807" s="16" t="inlineStr">
        <is>
          <t>7896006216605</t>
        </is>
      </c>
      <c r="D807" s="17" t="inlineStr">
        <is>
          <t>XANTINON COMPLEX SOL OR FR 100ML</t>
        </is>
      </c>
      <c r="E807" s="17" t="inlineStr">
        <is>
          <t>UNIAO QUIMICA</t>
        </is>
      </c>
      <c r="F807" s="15" t="n">
        <v>4</v>
      </c>
      <c r="G807" s="12" t="n"/>
      <c r="H807" s="13" t="n"/>
      <c r="I807" s="4" t="n"/>
      <c r="J807" s="18">
        <f>IF(G807="","",F807*G807)</f>
        <v/>
      </c>
    </row>
    <row r="808">
      <c r="A808" s="9" t="n">
        <v>794</v>
      </c>
      <c r="B808" s="9" t="n">
        <v>65101</v>
      </c>
      <c r="C808" s="10" t="inlineStr">
        <is>
          <t>7590002023228</t>
        </is>
      </c>
      <c r="D808" s="11" t="inlineStr">
        <is>
          <t>XAROPE 44 E 1,30+13,30MG/ML XPE FR 120ML</t>
        </is>
      </c>
      <c r="E808" s="11" t="inlineStr">
        <is>
          <t>P&amp;G</t>
        </is>
      </c>
      <c r="F808" s="9" t="n">
        <v>20</v>
      </c>
      <c r="G808" s="12" t="n"/>
      <c r="H808" s="13" t="n"/>
      <c r="I808" s="4" t="n"/>
      <c r="J808" s="14">
        <f>IF(G808="","",F808*G808)</f>
        <v/>
      </c>
    </row>
    <row r="809">
      <c r="A809" s="15" t="n">
        <v>795</v>
      </c>
      <c r="B809" s="15" t="n">
        <v>65081</v>
      </c>
      <c r="C809" s="16" t="inlineStr">
        <is>
          <t>7500435144384</t>
        </is>
      </c>
      <c r="D809" s="17" t="inlineStr">
        <is>
          <t>XAROPE 44 E 1,30+13,30MG/ML XPE FR 240ML</t>
        </is>
      </c>
      <c r="E809" s="17" t="inlineStr">
        <is>
          <t>P&amp;G</t>
        </is>
      </c>
      <c r="F809" s="15" t="n">
        <v>2</v>
      </c>
      <c r="G809" s="12" t="n"/>
      <c r="H809" s="13" t="n"/>
      <c r="I809" s="4" t="n"/>
      <c r="J809" s="18">
        <f>IF(G809="","",F809*G809)</f>
        <v/>
      </c>
    </row>
    <row r="810">
      <c r="A810" s="9" t="n">
        <v>796</v>
      </c>
      <c r="B810" s="9" t="n">
        <v>273361</v>
      </c>
      <c r="C810" s="10" t="inlineStr">
        <is>
          <t>7500435153072</t>
        </is>
      </c>
      <c r="D810" s="11" t="inlineStr">
        <is>
          <t>XAROPE VICK 13,3MG/ML XPE FR 120ML</t>
        </is>
      </c>
      <c r="E810" s="11" t="inlineStr">
        <is>
          <t>P&amp;G</t>
        </is>
      </c>
      <c r="F810" s="9" t="n">
        <v>9</v>
      </c>
      <c r="G810" s="12" t="n"/>
      <c r="H810" s="13" t="n"/>
      <c r="I810" s="4" t="n"/>
      <c r="J810" s="14">
        <f>IF(G810="","",F810*G810)</f>
        <v/>
      </c>
    </row>
    <row r="811">
      <c r="A811" s="15" t="n">
        <v>797</v>
      </c>
      <c r="B811" s="15" t="n">
        <v>326621</v>
      </c>
      <c r="C811" s="16" t="inlineStr">
        <is>
          <t>7891317425869</t>
        </is>
      </c>
      <c r="D811" s="17" t="inlineStr">
        <is>
          <t>ZART 50MG CX 30 COMP REV</t>
        </is>
      </c>
      <c r="E811" s="17" t="inlineStr">
        <is>
          <t>EUROFARMA</t>
        </is>
      </c>
      <c r="F811" s="15" t="n">
        <v>20</v>
      </c>
      <c r="G811" s="12" t="n"/>
      <c r="H811" s="13" t="n"/>
      <c r="I811" s="4" t="n"/>
      <c r="J811" s="18">
        <f>IF(G811="","",F811*G811)</f>
        <v/>
      </c>
    </row>
    <row r="812">
      <c r="A812" s="9" t="n">
        <v>798</v>
      </c>
      <c r="B812" s="9" t="n">
        <v>670521</v>
      </c>
      <c r="C812" s="10" t="inlineStr">
        <is>
          <t>7896658047008</t>
        </is>
      </c>
      <c r="D812" s="11" t="inlineStr">
        <is>
          <t>ZASTAT 5MG C/20 COMP-SIMILAR</t>
        </is>
      </c>
      <c r="E812" s="11" t="inlineStr">
        <is>
          <t>BIOSINTETICA</t>
        </is>
      </c>
      <c r="F812" s="9" t="n">
        <v>1</v>
      </c>
      <c r="G812" s="12" t="n"/>
      <c r="H812" s="13" t="n"/>
      <c r="I812" s="4" t="n"/>
      <c r="J812" s="14">
        <f>IF(G812="","",F812*G812)</f>
        <v/>
      </c>
    </row>
    <row r="813">
      <c r="A813" s="15" t="n">
        <v>799</v>
      </c>
      <c r="B813" s="15" t="n">
        <v>261481</v>
      </c>
      <c r="C813" s="16" t="inlineStr">
        <is>
          <t>7897316805442</t>
        </is>
      </c>
      <c r="D813" s="17" t="inlineStr">
        <is>
          <t>ZYPRED 3+10MG/ML SUS OFT FR GOT 6ML</t>
        </is>
      </c>
      <c r="E813" s="17" t="inlineStr">
        <is>
          <t>ALLERGAN</t>
        </is>
      </c>
      <c r="F813" s="15" t="n">
        <v>1</v>
      </c>
      <c r="G813" s="12" t="n"/>
      <c r="H813" s="13" t="n"/>
      <c r="I813" s="4" t="n"/>
      <c r="J813" s="18">
        <f>IF(G813="","",F813*G813)</f>
        <v/>
      </c>
    </row>
    <row r="815">
      <c r="I815" s="3" t="inlineStr">
        <is>
          <t>Itens cotados:</t>
        </is>
      </c>
      <c r="J815" s="19">
        <f>COUNT(G15:G813)</f>
        <v/>
      </c>
    </row>
    <row r="816">
      <c r="I816" s="3" t="inlineStr">
        <is>
          <t>Total cotado (R$):</t>
        </is>
      </c>
      <c r="J816" s="20">
        <f>SUM(J15:J813)</f>
        <v/>
      </c>
    </row>
  </sheetData>
  <autoFilter ref="A14:J813"/>
  <mergeCells count="8">
    <mergeCell ref="B5:D5"/>
    <mergeCell ref="G6:I6"/>
    <mergeCell ref="G5:I5"/>
    <mergeCell ref="B4:D4"/>
    <mergeCell ref="G4:I4"/>
    <mergeCell ref="B7:D7"/>
    <mergeCell ref="G7:I7"/>
    <mergeCell ref="B6:D6"/>
  </mergeCells>
  <conditionalFormatting sqref="H15:H813">
    <cfRule type="expression" priority="1" dxfId="0">
      <formula>AND(H15&lt;&gt;"",H15&lt;F15)</formula>
    </cfRule>
  </conditionalFormatting>
  <dataValidations count="2">
    <dataValidation sqref="G15:G813" showDropDown="0" showInputMessage="0" showErrorMessage="0" allowBlank="0" errorTitle="Valor inválido" error="Informe apenas o preço em número (ex.: 12,34)." type="decimal" operator="greaterThanOrEqual">
      <formula1>0</formula1>
    </dataValidation>
    <dataValidation sqref="H15:H813" showDropDown="0" showInputMessage="0" showErrorMessage="0" allowBlank="0" errorTitle="Valor inválido" error="Informe a quantidade em número inteiro de embalagens." type="whole" operator="greaterThanOrEqual">
      <formula1>0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2026-09-25T14:41:40Z</dcterms:created>
  <dcterms:modified xsi:type="dcterms:W3CDTF">2026-09-25T14:41:41Z</dcterms:modified>
</cp:coreProperties>
</file>