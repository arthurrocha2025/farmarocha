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COUNTIF(Controle!K2:K4687,"&lt;&gt;SEM COTAÇÃO")</f>
        <v/>
      </c>
    </row>
    <row r="7">
      <c r="A7" s="4" t="inlineStr">
        <is>
          <t>Itens ainda sem cotação</t>
        </is>
      </c>
      <c r="B7" s="5">
        <f>COUNTIF(Controle!K2:K4687,"SEM COTAÇÃO")</f>
        <v/>
      </c>
    </row>
    <row r="8">
      <c r="A8" s="4" t="inlineStr">
        <is>
          <t>Itens OK (≤ menor hist. ou últ. compra)</t>
        </is>
      </c>
      <c r="B8" s="5">
        <f>COUNTIF(Controle!N2:N4687,"OK*")</f>
        <v/>
      </c>
    </row>
    <row r="9">
      <c r="A9" s="4" t="inlineStr">
        <is>
          <t>Itens acima do histórico</t>
        </is>
      </c>
      <c r="B9" s="5">
        <f>COUNTIF(Controle!N2:N4687,"ACIMA*")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COUNT(Controle!J2:J4687)</f>
        <v/>
      </c>
      <c r="E14" s="7">
        <f>COUNTIF(Controle!K2:K4687,"DIMEC")</f>
        <v/>
      </c>
      <c r="F14" s="8">
        <f>Ped_DIMEC!I362</f>
        <v/>
      </c>
    </row>
    <row r="16">
      <c r="A16" s="3" t="inlineStr">
        <is>
          <t>Aguardando cotação</t>
        </is>
      </c>
    </row>
    <row r="17">
      <c r="A17" s="2" t="inlineStr">
        <is>
          <t>Demais fornecedores: planilha COTACAO_FORNECEDORES_08-09-2026.xlsx enviada; conforme voltarem preenchidas, entram neste comparativo.</t>
        </is>
      </c>
    </row>
    <row r="19">
      <c r="A19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3" customWidth="1" min="11" max="11"/>
    <col width="10" customWidth="1" min="12" max="12"/>
    <col width="9" customWidth="1" min="13" max="13"/>
    <col width="17" customWidth="1" min="14" max="14"/>
    <col width="30" customWidth="1" min="15" max="15"/>
  </cols>
  <sheetData>
    <row r="1" ht="26" customHeight="1">
      <c r="A1" s="9" t="inlineStr">
        <is>
          <t>Cód. interno</t>
        </is>
      </c>
      <c r="B1" s="9" t="inlineStr">
        <is>
          <t>EAN princ.</t>
        </is>
      </c>
      <c r="C1" s="9" t="inlineStr">
        <is>
          <t>Produto</t>
        </is>
      </c>
      <c r="D1" s="9" t="inlineStr">
        <is>
          <t>Grupo</t>
        </is>
      </c>
      <c r="E1" s="9" t="inlineStr">
        <is>
          <t>ABC</t>
        </is>
      </c>
      <c r="F1" s="9" t="inlineStr">
        <is>
          <t>Caixas</t>
        </is>
      </c>
      <c r="G1" s="9" t="inlineStr">
        <is>
          <t>Unid.</t>
        </is>
      </c>
      <c r="H1" s="9" t="inlineStr">
        <is>
          <t>Últ. compra</t>
        </is>
      </c>
      <c r="I1" s="9" t="inlineStr">
        <is>
          <t>Menor hist.</t>
        </is>
      </c>
      <c r="J1" s="9" t="inlineStr">
        <is>
          <t>DIMEC (un)</t>
        </is>
      </c>
      <c r="K1" s="9" t="inlineStr">
        <is>
          <t>Melhor forn.</t>
        </is>
      </c>
      <c r="L1" s="9" t="inlineStr">
        <is>
          <t>Melhor (un)</t>
        </is>
      </c>
      <c r="M1" s="9" t="inlineStr">
        <is>
          <t>Dif. %</t>
        </is>
      </c>
      <c r="N1" s="9" t="inlineStr">
        <is>
          <t>Status</t>
        </is>
      </c>
      <c r="O1" s="9" t="inlineStr">
        <is>
          <t>OBS</t>
        </is>
      </c>
    </row>
    <row r="2">
      <c r="A2" s="7" t="n">
        <v>652101</v>
      </c>
      <c r="B2" s="10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1" t="n">
        <v>1</v>
      </c>
      <c r="G2" s="11" t="n">
        <v>1</v>
      </c>
      <c r="H2" s="8" t="n">
        <v>8.02</v>
      </c>
      <c r="I2" s="8" t="n">
        <v>8.02</v>
      </c>
      <c r="J2" s="8" t="n"/>
      <c r="K2" s="7" t="inlineStr">
        <is>
          <t>SEM COTAÇÃO</t>
        </is>
      </c>
      <c r="L2" s="8" t="n"/>
      <c r="M2" s="12" t="n"/>
      <c r="N2" s="7" t="inlineStr"/>
      <c r="O2" s="7" t="inlineStr"/>
    </row>
    <row r="3">
      <c r="A3" s="7" t="n">
        <v>658951</v>
      </c>
      <c r="B3" s="10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1" t="n">
        <v>4</v>
      </c>
      <c r="G3" s="11" t="n">
        <v>4</v>
      </c>
      <c r="H3" s="8" t="n">
        <v>10.3883</v>
      </c>
      <c r="I3" s="8" t="n">
        <v>10.3883</v>
      </c>
      <c r="J3" s="8" t="n"/>
      <c r="K3" s="7" t="inlineStr">
        <is>
          <t>SEM COTAÇÃO</t>
        </is>
      </c>
      <c r="L3" s="8" t="n"/>
      <c r="M3" s="12" t="n"/>
      <c r="N3" s="7" t="inlineStr"/>
      <c r="O3" s="7" t="inlineStr"/>
    </row>
    <row r="4">
      <c r="A4" s="7" t="n">
        <v>662151</v>
      </c>
      <c r="B4" s="10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1" t="n">
        <v>3</v>
      </c>
      <c r="G4" s="11" t="n">
        <v>32</v>
      </c>
      <c r="H4" s="8" t="n">
        <v>2.2808</v>
      </c>
      <c r="I4" s="8" t="n">
        <v>2.2808</v>
      </c>
      <c r="J4" s="8" t="n"/>
      <c r="K4" s="7" t="inlineStr">
        <is>
          <t>SEM COTAÇÃO</t>
        </is>
      </c>
      <c r="L4" s="8" t="n"/>
      <c r="M4" s="12" t="n"/>
      <c r="N4" s="7" t="inlineStr"/>
      <c r="O4" s="7" t="inlineStr"/>
    </row>
    <row r="5">
      <c r="A5" s="7" t="n">
        <v>673081</v>
      </c>
      <c r="B5" s="10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1" t="n">
        <v>1</v>
      </c>
      <c r="G5" s="11" t="n">
        <v>1</v>
      </c>
      <c r="H5" s="8" t="n">
        <v>28.37</v>
      </c>
      <c r="I5" s="8" t="n">
        <v>28.37</v>
      </c>
      <c r="J5" s="8" t="n"/>
      <c r="K5" s="7" t="inlineStr">
        <is>
          <t>SEM COTAÇÃO</t>
        </is>
      </c>
      <c r="L5" s="8" t="n"/>
      <c r="M5" s="12" t="n"/>
      <c r="N5" s="7" t="inlineStr"/>
      <c r="O5" s="7" t="inlineStr"/>
    </row>
    <row r="6">
      <c r="A6" s="7" t="n">
        <v>673091</v>
      </c>
      <c r="B6" s="10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1" t="n">
        <v>3</v>
      </c>
      <c r="G6" s="11" t="n">
        <v>3</v>
      </c>
      <c r="H6" s="8" t="n">
        <v>23.48</v>
      </c>
      <c r="I6" s="8" t="n">
        <v>23.48</v>
      </c>
      <c r="J6" s="8" t="n"/>
      <c r="K6" s="7" t="inlineStr">
        <is>
          <t>SEM COTAÇÃO</t>
        </is>
      </c>
      <c r="L6" s="8" t="n"/>
      <c r="M6" s="12" t="n"/>
      <c r="N6" s="7" t="inlineStr"/>
      <c r="O6" s="7" t="inlineStr"/>
    </row>
    <row r="7">
      <c r="A7" s="7" t="n">
        <v>669881</v>
      </c>
      <c r="B7" s="10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1" t="n">
        <v>1</v>
      </c>
      <c r="G7" s="11" t="n">
        <v>1</v>
      </c>
      <c r="H7" s="8" t="n">
        <v>13.9</v>
      </c>
      <c r="I7" s="8" t="n">
        <v>13.9</v>
      </c>
      <c r="J7" s="8" t="n"/>
      <c r="K7" s="7" t="inlineStr">
        <is>
          <t>SEM COTAÇÃO</t>
        </is>
      </c>
      <c r="L7" s="8" t="n"/>
      <c r="M7" s="12" t="n"/>
      <c r="N7" s="7" t="inlineStr"/>
      <c r="O7" s="7" t="inlineStr"/>
    </row>
    <row r="8">
      <c r="A8" s="7" t="n">
        <v>669891</v>
      </c>
      <c r="B8" s="10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1" t="n">
        <v>1</v>
      </c>
      <c r="G8" s="11" t="n">
        <v>1</v>
      </c>
      <c r="H8" s="8" t="n">
        <v>30.64</v>
      </c>
      <c r="I8" s="8" t="n">
        <v>30.64</v>
      </c>
      <c r="J8" s="8" t="n"/>
      <c r="K8" s="7" t="inlineStr">
        <is>
          <t>SEM COTAÇÃO</t>
        </is>
      </c>
      <c r="L8" s="8" t="n"/>
      <c r="M8" s="12" t="n"/>
      <c r="N8" s="7" t="inlineStr"/>
      <c r="O8" s="7" t="inlineStr"/>
    </row>
    <row r="9">
      <c r="A9" s="7" t="n">
        <v>662971</v>
      </c>
      <c r="B9" s="10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1" t="n">
        <v>2</v>
      </c>
      <c r="G9" s="11" t="n">
        <v>2</v>
      </c>
      <c r="H9" s="8" t="n">
        <v>10.5867</v>
      </c>
      <c r="I9" s="8" t="n">
        <v>10.5867</v>
      </c>
      <c r="J9" s="8" t="n"/>
      <c r="K9" s="7" t="inlineStr">
        <is>
          <t>SEM COTAÇÃO</t>
        </is>
      </c>
      <c r="L9" s="8" t="n"/>
      <c r="M9" s="12" t="n"/>
      <c r="N9" s="7" t="inlineStr"/>
      <c r="O9" s="7" t="inlineStr"/>
    </row>
    <row r="10">
      <c r="A10" s="7" t="n">
        <v>663021</v>
      </c>
      <c r="B10" s="10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1" t="n">
        <v>1</v>
      </c>
      <c r="G10" s="11" t="n">
        <v>1</v>
      </c>
      <c r="H10" s="8" t="n">
        <v>8.039999999999999</v>
      </c>
      <c r="I10" s="8" t="n">
        <v>8.039999999999999</v>
      </c>
      <c r="J10" s="8" t="n"/>
      <c r="K10" s="7" t="inlineStr">
        <is>
          <t>SEM COTAÇÃO</t>
        </is>
      </c>
      <c r="L10" s="8" t="n"/>
      <c r="M10" s="12" t="n"/>
      <c r="N10" s="7" t="inlineStr"/>
      <c r="O10" s="7" t="inlineStr"/>
    </row>
    <row r="11">
      <c r="A11" s="7" t="n">
        <v>441</v>
      </c>
      <c r="B11" s="10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1" t="n">
        <v>3</v>
      </c>
      <c r="G11" s="11" t="n">
        <v>3</v>
      </c>
      <c r="H11" s="8" t="n">
        <v>9.367100000000001</v>
      </c>
      <c r="I11" s="8" t="n">
        <v>9.367100000000001</v>
      </c>
      <c r="J11" s="13" t="n">
        <v>12.2</v>
      </c>
      <c r="K11" s="7" t="inlineStr">
        <is>
          <t>DIMEC</t>
        </is>
      </c>
      <c r="L11" s="8" t="n">
        <v>12.2</v>
      </c>
      <c r="M11" s="12">
        <f>L11/H11-1</f>
        <v/>
      </c>
      <c r="N11" s="14" t="inlineStr">
        <is>
          <t>ACIMA +30.2%</t>
        </is>
      </c>
      <c r="O11" s="7" t="inlineStr"/>
    </row>
    <row r="12">
      <c r="A12" s="7" t="n">
        <v>652211</v>
      </c>
      <c r="B12" s="10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1" t="n">
        <v>1</v>
      </c>
      <c r="G12" s="11" t="n">
        <v>1</v>
      </c>
      <c r="H12" s="8" t="n">
        <v>20.7125</v>
      </c>
      <c r="I12" s="8" t="n">
        <v>20.7125</v>
      </c>
      <c r="J12" s="8" t="n"/>
      <c r="K12" s="7" t="inlineStr">
        <is>
          <t>SEM COTAÇÃO</t>
        </is>
      </c>
      <c r="L12" s="8" t="n"/>
      <c r="M12" s="12" t="n"/>
      <c r="N12" s="7" t="inlineStr"/>
      <c r="O12" s="7" t="inlineStr"/>
    </row>
    <row r="13">
      <c r="A13" s="7" t="n">
        <v>663121</v>
      </c>
      <c r="B13" s="10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1" t="n">
        <v>1</v>
      </c>
      <c r="G13" s="11" t="n">
        <v>1</v>
      </c>
      <c r="H13" s="8" t="n">
        <v>13.22</v>
      </c>
      <c r="I13" s="8" t="n">
        <v>13.22</v>
      </c>
      <c r="J13" s="8" t="n"/>
      <c r="K13" s="7" t="inlineStr">
        <is>
          <t>SEM COTAÇÃO</t>
        </is>
      </c>
      <c r="L13" s="8" t="n"/>
      <c r="M13" s="12" t="n"/>
      <c r="N13" s="7" t="inlineStr"/>
      <c r="O13" s="7" t="inlineStr"/>
    </row>
    <row r="14">
      <c r="A14" s="7" t="n">
        <v>653421</v>
      </c>
      <c r="B14" s="10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1" t="n">
        <v>1</v>
      </c>
      <c r="G14" s="11" t="n">
        <v>1</v>
      </c>
      <c r="H14" s="8" t="n">
        <v>11.1867</v>
      </c>
      <c r="I14" s="8" t="n">
        <v>11.1867</v>
      </c>
      <c r="J14" s="8" t="n"/>
      <c r="K14" s="7" t="inlineStr">
        <is>
          <t>SEM COTAÇÃO</t>
        </is>
      </c>
      <c r="L14" s="8" t="n"/>
      <c r="M14" s="12" t="n"/>
      <c r="N14" s="7" t="inlineStr"/>
      <c r="O14" s="7" t="inlineStr"/>
    </row>
    <row r="15">
      <c r="A15" s="7" t="n">
        <v>653411</v>
      </c>
      <c r="B15" s="10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1" t="n">
        <v>1</v>
      </c>
      <c r="G15" s="11" t="n">
        <v>1</v>
      </c>
      <c r="H15" s="8" t="n">
        <v>10.44</v>
      </c>
      <c r="I15" s="8" t="n">
        <v>10.44</v>
      </c>
      <c r="J15" s="8" t="n"/>
      <c r="K15" s="7" t="inlineStr">
        <is>
          <t>SEM COTAÇÃO</t>
        </is>
      </c>
      <c r="L15" s="8" t="n"/>
      <c r="M15" s="12" t="n"/>
      <c r="N15" s="7" t="inlineStr"/>
      <c r="O15" s="7" t="inlineStr"/>
    </row>
    <row r="16">
      <c r="A16" s="7" t="n">
        <v>653401</v>
      </c>
      <c r="B16" s="10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1" t="n">
        <v>1</v>
      </c>
      <c r="G16" s="11" t="n">
        <v>1</v>
      </c>
      <c r="H16" s="8" t="n">
        <v>11.1867</v>
      </c>
      <c r="I16" s="8" t="n">
        <v>11.1867</v>
      </c>
      <c r="J16" s="8" t="n"/>
      <c r="K16" s="7" t="inlineStr">
        <is>
          <t>SEM COTAÇÃO</t>
        </is>
      </c>
      <c r="L16" s="8" t="n"/>
      <c r="M16" s="12" t="n"/>
      <c r="N16" s="7" t="inlineStr"/>
      <c r="O16" s="7" t="inlineStr"/>
    </row>
    <row r="17">
      <c r="A17" s="7" t="n">
        <v>669961</v>
      </c>
      <c r="B17" s="10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1" t="n">
        <v>1</v>
      </c>
      <c r="G17" s="11" t="n">
        <v>1</v>
      </c>
      <c r="H17" s="8" t="n">
        <v>25.56</v>
      </c>
      <c r="I17" s="8" t="n">
        <v>25.56</v>
      </c>
      <c r="J17" s="8" t="n"/>
      <c r="K17" s="7" t="inlineStr">
        <is>
          <t>SEM COTAÇÃO</t>
        </is>
      </c>
      <c r="L17" s="8" t="n"/>
      <c r="M17" s="12" t="n"/>
      <c r="N17" s="7" t="inlineStr"/>
      <c r="O17" s="7" t="inlineStr"/>
    </row>
    <row r="18">
      <c r="A18" s="7" t="n">
        <v>673351</v>
      </c>
      <c r="B18" s="10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1" t="n">
        <v>1</v>
      </c>
      <c r="G18" s="11" t="n">
        <v>1</v>
      </c>
      <c r="H18" s="8" t="n">
        <v>119.98</v>
      </c>
      <c r="I18" s="8" t="n">
        <v>106.99</v>
      </c>
      <c r="J18" s="8" t="n"/>
      <c r="K18" s="7" t="inlineStr">
        <is>
          <t>SEM COTAÇÃO</t>
        </is>
      </c>
      <c r="L18" s="8" t="n"/>
      <c r="M18" s="12" t="n"/>
      <c r="N18" s="7" t="inlineStr"/>
      <c r="O18" s="7" t="inlineStr"/>
    </row>
    <row r="19">
      <c r="A19" s="7" t="n">
        <v>673401</v>
      </c>
      <c r="B19" s="10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1" t="n">
        <v>1</v>
      </c>
      <c r="G19" s="11" t="n">
        <v>1</v>
      </c>
      <c r="H19" s="8" t="n">
        <v>106.99</v>
      </c>
      <c r="I19" s="8" t="n">
        <v>106.99</v>
      </c>
      <c r="J19" s="8" t="n"/>
      <c r="K19" s="7" t="inlineStr">
        <is>
          <t>SEM COTAÇÃO</t>
        </is>
      </c>
      <c r="L19" s="8" t="n"/>
      <c r="M19" s="12" t="n"/>
      <c r="N19" s="7" t="inlineStr"/>
      <c r="O19" s="7" t="inlineStr"/>
    </row>
    <row r="20">
      <c r="A20" s="7" t="n">
        <v>597611</v>
      </c>
      <c r="B20" s="10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1" t="n">
        <v>1</v>
      </c>
      <c r="G20" s="11" t="n">
        <v>1</v>
      </c>
      <c r="H20" s="8" t="n">
        <v>120.19</v>
      </c>
      <c r="I20" s="8" t="n">
        <v>120.19</v>
      </c>
      <c r="J20" s="8" t="n"/>
      <c r="K20" s="7" t="inlineStr">
        <is>
          <t>SEM COTAÇÃO</t>
        </is>
      </c>
      <c r="L20" s="8" t="n"/>
      <c r="M20" s="12" t="n"/>
      <c r="N20" s="7" t="inlineStr"/>
      <c r="O20" s="7" t="inlineStr"/>
    </row>
    <row r="21">
      <c r="A21" s="7" t="n">
        <v>597621</v>
      </c>
      <c r="B21" s="10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1" t="n">
        <v>1</v>
      </c>
      <c r="G21" s="11" t="n">
        <v>1</v>
      </c>
      <c r="H21" s="8" t="n">
        <v>119.61</v>
      </c>
      <c r="I21" s="8" t="n">
        <v>119.61</v>
      </c>
      <c r="J21" s="8" t="n"/>
      <c r="K21" s="7" t="inlineStr">
        <is>
          <t>SEM COTAÇÃO</t>
        </is>
      </c>
      <c r="L21" s="8" t="n"/>
      <c r="M21" s="12" t="n"/>
      <c r="N21" s="7" t="inlineStr"/>
      <c r="O21" s="7" t="inlineStr"/>
    </row>
    <row r="22">
      <c r="A22" s="7" t="n">
        <v>605941</v>
      </c>
      <c r="B22" s="10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1" t="n">
        <v>1</v>
      </c>
      <c r="G22" s="11" t="n">
        <v>1</v>
      </c>
      <c r="H22" s="8" t="n">
        <v>136.65</v>
      </c>
      <c r="I22" s="8" t="n">
        <v>119.61</v>
      </c>
      <c r="J22" s="8" t="n"/>
      <c r="K22" s="7" t="inlineStr">
        <is>
          <t>SEM COTAÇÃO</t>
        </is>
      </c>
      <c r="L22" s="8" t="n"/>
      <c r="M22" s="12" t="n"/>
      <c r="N22" s="7" t="inlineStr"/>
      <c r="O22" s="7" t="inlineStr"/>
    </row>
    <row r="23">
      <c r="A23" s="7" t="n">
        <v>674181</v>
      </c>
      <c r="B23" s="10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1" t="n">
        <v>1</v>
      </c>
      <c r="G23" s="11" t="n">
        <v>1</v>
      </c>
      <c r="H23" s="8" t="n">
        <v>125.7</v>
      </c>
      <c r="I23" s="8" t="n">
        <v>118.3</v>
      </c>
      <c r="J23" s="8" t="n"/>
      <c r="K23" s="7" t="inlineStr">
        <is>
          <t>SEM COTAÇÃO</t>
        </is>
      </c>
      <c r="L23" s="8" t="n"/>
      <c r="M23" s="12" t="n"/>
      <c r="N23" s="7" t="inlineStr"/>
      <c r="O23" s="7" t="inlineStr"/>
    </row>
    <row r="24">
      <c r="A24" s="7" t="n">
        <v>643491</v>
      </c>
      <c r="B24" s="10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1" t="n">
        <v>2</v>
      </c>
      <c r="G24" s="11" t="n">
        <v>2</v>
      </c>
      <c r="H24" s="8" t="n">
        <v>12.8</v>
      </c>
      <c r="I24" s="8" t="n">
        <v>12.8</v>
      </c>
      <c r="J24" s="8" t="n"/>
      <c r="K24" s="7" t="inlineStr">
        <is>
          <t>SEM COTAÇÃO</t>
        </is>
      </c>
      <c r="L24" s="8" t="n"/>
      <c r="M24" s="12" t="n"/>
      <c r="N24" s="7" t="inlineStr"/>
      <c r="O24" s="7" t="inlineStr"/>
    </row>
    <row r="25">
      <c r="A25" s="7" t="n">
        <v>643511</v>
      </c>
      <c r="B25" s="10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1" t="n">
        <v>3</v>
      </c>
      <c r="G25" s="11" t="n">
        <v>3</v>
      </c>
      <c r="H25" s="8" t="n">
        <v>9.07</v>
      </c>
      <c r="I25" s="8" t="n">
        <v>9.07</v>
      </c>
      <c r="J25" s="8" t="n"/>
      <c r="K25" s="7" t="inlineStr">
        <is>
          <t>SEM COTAÇÃO</t>
        </is>
      </c>
      <c r="L25" s="8" t="n"/>
      <c r="M25" s="12" t="n"/>
      <c r="N25" s="7" t="inlineStr"/>
      <c r="O25" s="7" t="inlineStr"/>
    </row>
    <row r="26">
      <c r="A26" s="7" t="n">
        <v>643521</v>
      </c>
      <c r="B26" s="10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1" t="n">
        <v>1</v>
      </c>
      <c r="G26" s="11" t="n">
        <v>1</v>
      </c>
      <c r="H26" s="8" t="n">
        <v>9.779999999999999</v>
      </c>
      <c r="I26" s="8" t="n">
        <v>9.779999999999999</v>
      </c>
      <c r="J26" s="8" t="n"/>
      <c r="K26" s="7" t="inlineStr">
        <is>
          <t>SEM COTAÇÃO</t>
        </is>
      </c>
      <c r="L26" s="8" t="n"/>
      <c r="M26" s="12" t="n"/>
      <c r="N26" s="7" t="inlineStr"/>
      <c r="O26" s="7" t="inlineStr"/>
    </row>
    <row r="27">
      <c r="A27" s="7" t="n">
        <v>660951</v>
      </c>
      <c r="B27" s="10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1" t="n">
        <v>4</v>
      </c>
      <c r="G27" s="11" t="n">
        <v>4</v>
      </c>
      <c r="H27" s="8" t="n">
        <v>30.05</v>
      </c>
      <c r="I27" s="8" t="n">
        <v>21.16</v>
      </c>
      <c r="J27" s="8" t="n"/>
      <c r="K27" s="7" t="inlineStr">
        <is>
          <t>SEM COTAÇÃO</t>
        </is>
      </c>
      <c r="L27" s="8" t="n"/>
      <c r="M27" s="12" t="n"/>
      <c r="N27" s="7" t="inlineStr"/>
      <c r="O27" s="7" t="inlineStr"/>
    </row>
    <row r="28">
      <c r="A28" s="7" t="n">
        <v>643541</v>
      </c>
      <c r="B28" s="10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1" t="n">
        <v>1</v>
      </c>
      <c r="G28" s="11" t="n">
        <v>1</v>
      </c>
      <c r="H28" s="8" t="n">
        <v>13.71</v>
      </c>
      <c r="I28" s="8" t="n">
        <v>13.71</v>
      </c>
      <c r="J28" s="8" t="n"/>
      <c r="K28" s="7" t="inlineStr">
        <is>
          <t>SEM COTAÇÃO</t>
        </is>
      </c>
      <c r="L28" s="8" t="n"/>
      <c r="M28" s="12" t="n"/>
      <c r="N28" s="7" t="inlineStr"/>
      <c r="O28" s="7" t="inlineStr"/>
    </row>
    <row r="29">
      <c r="A29" s="7" t="n">
        <v>654921</v>
      </c>
      <c r="B29" s="10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1" t="n">
        <v>1</v>
      </c>
      <c r="G29" s="11" t="n">
        <v>1</v>
      </c>
      <c r="H29" s="8" t="n">
        <v>16.61</v>
      </c>
      <c r="I29" s="8" t="n">
        <v>16.61</v>
      </c>
      <c r="J29" s="8" t="n"/>
      <c r="K29" s="7" t="inlineStr">
        <is>
          <t>SEM COTAÇÃO</t>
        </is>
      </c>
      <c r="L29" s="8" t="n"/>
      <c r="M29" s="12" t="n"/>
      <c r="N29" s="7" t="inlineStr"/>
      <c r="O29" s="7" t="inlineStr"/>
    </row>
    <row r="30">
      <c r="A30" s="7" t="n">
        <v>654911</v>
      </c>
      <c r="B30" s="10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1" t="n">
        <v>1</v>
      </c>
      <c r="G30" s="11" t="n">
        <v>1</v>
      </c>
      <c r="H30" s="8" t="n">
        <v>16.61</v>
      </c>
      <c r="I30" s="8" t="n">
        <v>16.61</v>
      </c>
      <c r="J30" s="8" t="n"/>
      <c r="K30" s="7" t="inlineStr">
        <is>
          <t>SEM COTAÇÃO</t>
        </is>
      </c>
      <c r="L30" s="8" t="n"/>
      <c r="M30" s="12" t="n"/>
      <c r="N30" s="7" t="inlineStr"/>
      <c r="O30" s="7" t="inlineStr"/>
    </row>
    <row r="31">
      <c r="A31" s="7" t="n">
        <v>643571</v>
      </c>
      <c r="B31" s="10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1" t="n">
        <v>3</v>
      </c>
      <c r="G31" s="11" t="n">
        <v>3</v>
      </c>
      <c r="H31" s="8" t="n">
        <v>6.8</v>
      </c>
      <c r="I31" s="8" t="n">
        <v>6.8</v>
      </c>
      <c r="J31" s="8" t="n"/>
      <c r="K31" s="7" t="inlineStr">
        <is>
          <t>SEM COTAÇÃO</t>
        </is>
      </c>
      <c r="L31" s="8" t="n"/>
      <c r="M31" s="12" t="n"/>
      <c r="N31" s="7" t="inlineStr"/>
      <c r="O31" s="7" t="inlineStr"/>
    </row>
    <row r="32">
      <c r="A32" s="7" t="n">
        <v>643581</v>
      </c>
      <c r="B32" s="10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1" t="n">
        <v>3</v>
      </c>
      <c r="G32" s="11" t="n">
        <v>3</v>
      </c>
      <c r="H32" s="8" t="n">
        <v>7.25</v>
      </c>
      <c r="I32" s="8" t="n">
        <v>7.25</v>
      </c>
      <c r="J32" s="8" t="n"/>
      <c r="K32" s="7" t="inlineStr">
        <is>
          <t>SEM COTAÇÃO</t>
        </is>
      </c>
      <c r="L32" s="8" t="n"/>
      <c r="M32" s="12" t="n"/>
      <c r="N32" s="7" t="inlineStr"/>
      <c r="O32" s="7" t="inlineStr"/>
    </row>
    <row r="33">
      <c r="A33" s="7" t="n">
        <v>653461</v>
      </c>
      <c r="B33" s="10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1" t="n">
        <v>1</v>
      </c>
      <c r="G33" s="11" t="n">
        <v>1</v>
      </c>
      <c r="H33" s="8" t="n">
        <v>10.4</v>
      </c>
      <c r="I33" s="8" t="n">
        <v>10.4</v>
      </c>
      <c r="J33" s="8" t="n"/>
      <c r="K33" s="7" t="inlineStr">
        <is>
          <t>SEM COTAÇÃO</t>
        </is>
      </c>
      <c r="L33" s="8" t="n"/>
      <c r="M33" s="12" t="n"/>
      <c r="N33" s="7" t="inlineStr"/>
      <c r="O33" s="7" t="inlineStr"/>
    </row>
    <row r="34">
      <c r="A34" s="7" t="n">
        <v>9003</v>
      </c>
      <c r="B34" s="10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1" t="n">
        <v>3</v>
      </c>
      <c r="G34" s="11" t="n">
        <v>3</v>
      </c>
      <c r="H34" s="8" t="n">
        <v>21.98</v>
      </c>
      <c r="I34" s="8" t="n">
        <v>21.98</v>
      </c>
      <c r="J34" s="8" t="n"/>
      <c r="K34" s="7" t="inlineStr">
        <is>
          <t>SEM COTAÇÃO</t>
        </is>
      </c>
      <c r="L34" s="8" t="n"/>
      <c r="M34" s="12" t="n"/>
      <c r="N34" s="7" t="inlineStr"/>
      <c r="O34" s="7" t="inlineStr"/>
    </row>
    <row r="35">
      <c r="A35" s="7" t="n">
        <v>653581</v>
      </c>
      <c r="B35" s="10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1" t="n">
        <v>2</v>
      </c>
      <c r="G35" s="11" t="n">
        <v>2</v>
      </c>
      <c r="H35" s="8" t="n">
        <v>8.460000000000001</v>
      </c>
      <c r="I35" s="8" t="n">
        <v>8.460000000000001</v>
      </c>
      <c r="J35" s="8" t="n"/>
      <c r="K35" s="7" t="inlineStr">
        <is>
          <t>SEM COTAÇÃO</t>
        </is>
      </c>
      <c r="L35" s="8" t="n"/>
      <c r="M35" s="12" t="n"/>
      <c r="N35" s="7" t="inlineStr"/>
      <c r="O35" s="7" t="inlineStr"/>
    </row>
    <row r="36">
      <c r="A36" s="7" t="n">
        <v>634551</v>
      </c>
      <c r="B36" s="10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1" t="n">
        <v>2</v>
      </c>
      <c r="G36" s="11" t="n">
        <v>2</v>
      </c>
      <c r="H36" s="8" t="n">
        <v>33.53</v>
      </c>
      <c r="I36" s="8" t="n">
        <v>33.53</v>
      </c>
      <c r="J36" s="13" t="n">
        <v>33.53</v>
      </c>
      <c r="K36" s="7" t="inlineStr">
        <is>
          <t>DIMEC</t>
        </is>
      </c>
      <c r="L36" s="8" t="n">
        <v>33.53</v>
      </c>
      <c r="M36" s="12">
        <f>L36/H36-1</f>
        <v/>
      </c>
      <c r="N36" s="15" t="inlineStr">
        <is>
          <t>OK (≤ menor hist.)</t>
        </is>
      </c>
      <c r="O36" s="7" t="inlineStr"/>
    </row>
    <row r="37">
      <c r="A37" s="7" t="n">
        <v>643631</v>
      </c>
      <c r="B37" s="10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1" t="n">
        <v>3</v>
      </c>
      <c r="G37" s="11" t="n">
        <v>3</v>
      </c>
      <c r="H37" s="8" t="n">
        <v>26.35</v>
      </c>
      <c r="I37" s="8" t="n">
        <v>26.35</v>
      </c>
      <c r="J37" s="8" t="n"/>
      <c r="K37" s="7" t="inlineStr">
        <is>
          <t>SEM COTAÇÃO</t>
        </is>
      </c>
      <c r="L37" s="8" t="n"/>
      <c r="M37" s="12" t="n"/>
      <c r="N37" s="7" t="inlineStr"/>
      <c r="O37" s="7" t="inlineStr"/>
    </row>
    <row r="38">
      <c r="A38" s="7" t="n">
        <v>653441</v>
      </c>
      <c r="B38" s="10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1" t="n">
        <v>1</v>
      </c>
      <c r="G38" s="11" t="n">
        <v>1</v>
      </c>
      <c r="H38" s="8" t="n">
        <v>13.6</v>
      </c>
      <c r="I38" s="8" t="n">
        <v>13.6</v>
      </c>
      <c r="J38" s="8" t="n"/>
      <c r="K38" s="7" t="inlineStr">
        <is>
          <t>SEM COTAÇÃO</t>
        </is>
      </c>
      <c r="L38" s="8" t="n"/>
      <c r="M38" s="12" t="n"/>
      <c r="N38" s="7" t="inlineStr"/>
      <c r="O38" s="7" t="inlineStr"/>
    </row>
    <row r="39">
      <c r="A39" s="7" t="n">
        <v>532101</v>
      </c>
      <c r="B39" s="10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1" t="n">
        <v>16</v>
      </c>
      <c r="G39" s="11" t="n">
        <v>16</v>
      </c>
      <c r="H39" s="8" t="n">
        <v>1.46</v>
      </c>
      <c r="I39" s="8" t="n">
        <v>1.45</v>
      </c>
      <c r="J39" s="8" t="n"/>
      <c r="K39" s="7" t="inlineStr">
        <is>
          <t>SEM COTAÇÃO</t>
        </is>
      </c>
      <c r="L39" s="8" t="n"/>
      <c r="M39" s="12" t="n"/>
      <c r="N39" s="7" t="inlineStr"/>
      <c r="O39" s="7" t="inlineStr"/>
    </row>
    <row r="40">
      <c r="A40" s="7" t="n">
        <v>638981</v>
      </c>
      <c r="B40" s="10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1" t="n">
        <v>4</v>
      </c>
      <c r="G40" s="11" t="n">
        <v>4</v>
      </c>
      <c r="H40" s="8" t="n">
        <v>5.65</v>
      </c>
      <c r="I40" s="8" t="n">
        <v>5.65</v>
      </c>
      <c r="J40" s="13" t="n">
        <v>6.4</v>
      </c>
      <c r="K40" s="7" t="inlineStr">
        <is>
          <t>DIMEC</t>
        </is>
      </c>
      <c r="L40" s="8" t="n">
        <v>6.4</v>
      </c>
      <c r="M40" s="12">
        <f>L40/H40-1</f>
        <v/>
      </c>
      <c r="N40" s="14" t="inlineStr">
        <is>
          <t>ACIMA +13.3%</t>
        </is>
      </c>
      <c r="O40" s="7" t="inlineStr"/>
    </row>
    <row r="41">
      <c r="A41" s="7" t="n">
        <v>563221</v>
      </c>
      <c r="B41" s="10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1" t="n">
        <v>24</v>
      </c>
      <c r="G41" s="11" t="n">
        <v>24</v>
      </c>
      <c r="H41" s="8" t="n">
        <v>2.33</v>
      </c>
      <c r="I41" s="8" t="n">
        <v>2.33</v>
      </c>
      <c r="J41" s="8" t="n"/>
      <c r="K41" s="7" t="inlineStr">
        <is>
          <t>SEM COTAÇÃO</t>
        </is>
      </c>
      <c r="L41" s="8" t="n"/>
      <c r="M41" s="12" t="n"/>
      <c r="N41" s="7" t="inlineStr"/>
      <c r="O41" s="7" t="inlineStr"/>
    </row>
    <row r="42">
      <c r="A42" s="7" t="n">
        <v>274461</v>
      </c>
      <c r="B42" s="10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1" t="n">
        <v>5</v>
      </c>
      <c r="G42" s="11" t="n">
        <v>5</v>
      </c>
      <c r="H42" s="8" t="n">
        <v>42.64</v>
      </c>
      <c r="I42" s="8" t="n">
        <v>33.1775</v>
      </c>
      <c r="J42" s="8" t="n"/>
      <c r="K42" s="7" t="inlineStr">
        <is>
          <t>SEM COTAÇÃO</t>
        </is>
      </c>
      <c r="L42" s="8" t="n"/>
      <c r="M42" s="12" t="n"/>
      <c r="N42" s="7" t="inlineStr"/>
      <c r="O42" s="7" t="inlineStr"/>
    </row>
    <row r="43">
      <c r="A43" s="7" t="n">
        <v>600881</v>
      </c>
      <c r="B43" s="10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1" t="n">
        <v>3</v>
      </c>
      <c r="G43" s="11" t="n">
        <v>3</v>
      </c>
      <c r="H43" s="8" t="n">
        <v>25.59</v>
      </c>
      <c r="I43" s="8" t="n">
        <v>25.59</v>
      </c>
      <c r="J43" s="8" t="n"/>
      <c r="K43" s="7" t="inlineStr">
        <is>
          <t>SEM COTAÇÃO</t>
        </is>
      </c>
      <c r="L43" s="8" t="n"/>
      <c r="M43" s="12" t="n"/>
      <c r="N43" s="7" t="inlineStr"/>
      <c r="O43" s="7" t="inlineStr"/>
    </row>
    <row r="44">
      <c r="A44" s="7" t="n">
        <v>606361</v>
      </c>
      <c r="B44" s="10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1" t="n">
        <v>5</v>
      </c>
      <c r="G44" s="11" t="n">
        <v>5</v>
      </c>
      <c r="H44" s="8" t="n">
        <v>13.38</v>
      </c>
      <c r="I44" s="8" t="n">
        <v>13.38</v>
      </c>
      <c r="J44" s="8" t="n"/>
      <c r="K44" s="7" t="inlineStr">
        <is>
          <t>SEM COTAÇÃO</t>
        </is>
      </c>
      <c r="L44" s="8" t="n"/>
      <c r="M44" s="12" t="n"/>
      <c r="N44" s="7" t="inlineStr"/>
      <c r="O44" s="7" t="inlineStr"/>
    </row>
    <row r="45">
      <c r="A45" s="7" t="n">
        <v>600861</v>
      </c>
      <c r="B45" s="10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1" t="n">
        <v>9</v>
      </c>
      <c r="G45" s="11" t="n">
        <v>9</v>
      </c>
      <c r="H45" s="8" t="n">
        <v>9.94</v>
      </c>
      <c r="I45" s="8" t="n">
        <v>9.9</v>
      </c>
      <c r="J45" s="8" t="n"/>
      <c r="K45" s="7" t="inlineStr">
        <is>
          <t>SEM COTAÇÃO</t>
        </is>
      </c>
      <c r="L45" s="8" t="n"/>
      <c r="M45" s="12" t="n"/>
      <c r="N45" s="7" t="inlineStr"/>
      <c r="O45" s="7" t="inlineStr"/>
    </row>
    <row r="46">
      <c r="A46" s="7" t="n">
        <v>586701</v>
      </c>
      <c r="B46" s="10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1" t="n">
        <v>6</v>
      </c>
      <c r="G46" s="11" t="n">
        <v>6</v>
      </c>
      <c r="H46" s="8" t="n">
        <v>13.38</v>
      </c>
      <c r="I46" s="8" t="n">
        <v>13.38</v>
      </c>
      <c r="J46" s="8" t="n"/>
      <c r="K46" s="7" t="inlineStr">
        <is>
          <t>SEM COTAÇÃO</t>
        </is>
      </c>
      <c r="L46" s="8" t="n"/>
      <c r="M46" s="12" t="n"/>
      <c r="N46" s="7" t="inlineStr"/>
      <c r="O46" s="7" t="inlineStr"/>
    </row>
    <row r="47">
      <c r="A47" s="7" t="n">
        <v>540081</v>
      </c>
      <c r="B47" s="10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1" t="n">
        <v>7</v>
      </c>
      <c r="G47" s="11" t="n">
        <v>7</v>
      </c>
      <c r="H47" s="8" t="n">
        <v>6.94</v>
      </c>
      <c r="I47" s="8" t="n">
        <v>6.94</v>
      </c>
      <c r="J47" s="8" t="n"/>
      <c r="K47" s="7" t="inlineStr">
        <is>
          <t>SEM COTAÇÃO</t>
        </is>
      </c>
      <c r="L47" s="8" t="n"/>
      <c r="M47" s="12" t="n"/>
      <c r="N47" s="7" t="inlineStr"/>
      <c r="O47" s="7" t="inlineStr"/>
    </row>
    <row r="48">
      <c r="A48" s="7" t="n">
        <v>635171</v>
      </c>
      <c r="B48" s="10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1" t="n">
        <v>1</v>
      </c>
      <c r="G48" s="11" t="n">
        <v>1</v>
      </c>
      <c r="H48" s="8" t="n">
        <v>10.99</v>
      </c>
      <c r="I48" s="8" t="n">
        <v>10.99</v>
      </c>
      <c r="J48" s="8" t="n"/>
      <c r="K48" s="7" t="inlineStr">
        <is>
          <t>SEM COTAÇÃO</t>
        </is>
      </c>
      <c r="L48" s="8" t="n"/>
      <c r="M48" s="12" t="n"/>
      <c r="N48" s="7" t="inlineStr"/>
      <c r="O48" s="7" t="inlineStr"/>
    </row>
    <row r="49">
      <c r="A49" s="7" t="n">
        <v>575681</v>
      </c>
      <c r="B49" s="10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1" t="n">
        <v>4</v>
      </c>
      <c r="G49" s="11" t="n">
        <v>4</v>
      </c>
      <c r="H49" s="8" t="n">
        <v>2.97</v>
      </c>
      <c r="I49" s="8" t="n">
        <v>2.97</v>
      </c>
      <c r="J49" s="8" t="n"/>
      <c r="K49" s="7" t="inlineStr">
        <is>
          <t>SEM COTAÇÃO</t>
        </is>
      </c>
      <c r="L49" s="8" t="n"/>
      <c r="M49" s="12" t="n"/>
      <c r="N49" s="7" t="inlineStr"/>
      <c r="O49" s="7" t="inlineStr"/>
    </row>
    <row r="50">
      <c r="A50" s="7" t="n">
        <v>593611</v>
      </c>
      <c r="B50" s="10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1" t="n">
        <v>1</v>
      </c>
      <c r="G50" s="11" t="n">
        <v>1</v>
      </c>
      <c r="H50" s="8" t="n">
        <v>5.4</v>
      </c>
      <c r="I50" s="8" t="n">
        <v>5.4</v>
      </c>
      <c r="J50" s="8" t="n"/>
      <c r="K50" s="7" t="inlineStr">
        <is>
          <t>SEM COTAÇÃO</t>
        </is>
      </c>
      <c r="L50" s="8" t="n"/>
      <c r="M50" s="12" t="n"/>
      <c r="N50" s="7" t="inlineStr"/>
      <c r="O50" s="7" t="inlineStr"/>
    </row>
    <row r="51">
      <c r="A51" s="7" t="n">
        <v>557241</v>
      </c>
      <c r="B51" s="10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1" t="n">
        <v>12</v>
      </c>
      <c r="G51" s="11" t="n">
        <v>12</v>
      </c>
      <c r="H51" s="8" t="n">
        <v>5.04</v>
      </c>
      <c r="I51" s="8" t="n">
        <v>4.7</v>
      </c>
      <c r="J51" s="8" t="n"/>
      <c r="K51" s="7" t="inlineStr">
        <is>
          <t>SEM COTAÇÃO</t>
        </is>
      </c>
      <c r="L51" s="8" t="n"/>
      <c r="M51" s="12" t="n"/>
      <c r="N51" s="7" t="inlineStr"/>
      <c r="O51" s="7" t="inlineStr"/>
    </row>
    <row r="52">
      <c r="A52" s="7" t="n">
        <v>541881</v>
      </c>
      <c r="B52" s="10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1" t="n">
        <v>16</v>
      </c>
      <c r="G52" s="11" t="n">
        <v>16</v>
      </c>
      <c r="H52" s="8" t="n">
        <v>4.59</v>
      </c>
      <c r="I52" s="8" t="n">
        <v>4.59</v>
      </c>
      <c r="J52" s="8" t="n"/>
      <c r="K52" s="7" t="inlineStr">
        <is>
          <t>SEM COTAÇÃO</t>
        </is>
      </c>
      <c r="L52" s="8" t="n"/>
      <c r="M52" s="12" t="n"/>
      <c r="N52" s="7" t="inlineStr"/>
      <c r="O52" s="7" t="inlineStr"/>
    </row>
    <row r="53">
      <c r="A53" s="7" t="n">
        <v>610401</v>
      </c>
      <c r="B53" s="10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1" t="n">
        <v>3</v>
      </c>
      <c r="G53" s="11" t="n">
        <v>3</v>
      </c>
      <c r="H53" s="8" t="n">
        <v>13.51</v>
      </c>
      <c r="I53" s="8" t="n">
        <v>13.51</v>
      </c>
      <c r="J53" s="8" t="n"/>
      <c r="K53" s="7" t="inlineStr">
        <is>
          <t>SEM COTAÇÃO</t>
        </is>
      </c>
      <c r="L53" s="8" t="n"/>
      <c r="M53" s="12" t="n"/>
      <c r="N53" s="7" t="inlineStr"/>
      <c r="O53" s="7" t="inlineStr"/>
    </row>
    <row r="54">
      <c r="A54" s="7" t="n">
        <v>630901</v>
      </c>
      <c r="B54" s="10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1" t="n">
        <v>3</v>
      </c>
      <c r="G54" s="11" t="n">
        <v>3</v>
      </c>
      <c r="H54" s="8" t="n">
        <v>20.02</v>
      </c>
      <c r="I54" s="8" t="n">
        <v>17.35</v>
      </c>
      <c r="J54" s="8" t="n"/>
      <c r="K54" s="7" t="inlineStr">
        <is>
          <t>SEM COTAÇÃO</t>
        </is>
      </c>
      <c r="L54" s="8" t="n"/>
      <c r="M54" s="12" t="n"/>
      <c r="N54" s="7" t="inlineStr"/>
      <c r="O54" s="7" t="inlineStr"/>
    </row>
    <row r="55">
      <c r="A55" s="7" t="n">
        <v>586281</v>
      </c>
      <c r="B55" s="10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1" t="n">
        <v>2</v>
      </c>
      <c r="G55" s="11" t="n">
        <v>2</v>
      </c>
      <c r="H55" s="8" t="n">
        <v>20.33</v>
      </c>
      <c r="I55" s="8" t="n">
        <v>20.33</v>
      </c>
      <c r="J55" s="8" t="n"/>
      <c r="K55" s="7" t="inlineStr">
        <is>
          <t>SEM COTAÇÃO</t>
        </is>
      </c>
      <c r="L55" s="8" t="n"/>
      <c r="M55" s="12" t="n"/>
      <c r="N55" s="7" t="inlineStr"/>
      <c r="O55" s="7" t="inlineStr"/>
    </row>
    <row r="56">
      <c r="A56" s="7" t="n">
        <v>595461</v>
      </c>
      <c r="B56" s="10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1" t="n">
        <v>3</v>
      </c>
      <c r="G56" s="11" t="n">
        <v>3</v>
      </c>
      <c r="H56" s="8" t="n">
        <v>4.035</v>
      </c>
      <c r="I56" s="8" t="n">
        <v>4.035</v>
      </c>
      <c r="J56" s="8" t="n"/>
      <c r="K56" s="7" t="inlineStr">
        <is>
          <t>SEM COTAÇÃO</t>
        </is>
      </c>
      <c r="L56" s="8" t="n"/>
      <c r="M56" s="12" t="n"/>
      <c r="N56" s="7" t="inlineStr"/>
      <c r="O56" s="7" t="inlineStr"/>
    </row>
    <row r="57">
      <c r="A57" s="7" t="n">
        <v>595471</v>
      </c>
      <c r="B57" s="10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1" t="n">
        <v>2</v>
      </c>
      <c r="G57" s="11" t="n">
        <v>2</v>
      </c>
      <c r="H57" s="8" t="n">
        <v>11.3917</v>
      </c>
      <c r="I57" s="8" t="n">
        <v>11.3917</v>
      </c>
      <c r="J57" s="8" t="n"/>
      <c r="K57" s="7" t="inlineStr">
        <is>
          <t>SEM COTAÇÃO</t>
        </is>
      </c>
      <c r="L57" s="8" t="n"/>
      <c r="M57" s="12" t="n"/>
      <c r="N57" s="7" t="inlineStr"/>
      <c r="O57" s="7" t="inlineStr"/>
    </row>
    <row r="58">
      <c r="A58" s="7" t="n">
        <v>659431</v>
      </c>
      <c r="B58" s="10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1" t="n">
        <v>6</v>
      </c>
      <c r="G58" s="11" t="n">
        <v>6</v>
      </c>
      <c r="H58" s="8" t="n">
        <v>8.8025</v>
      </c>
      <c r="I58" s="8" t="n">
        <v>8.8025</v>
      </c>
      <c r="J58" s="8" t="n"/>
      <c r="K58" s="7" t="inlineStr">
        <is>
          <t>SEM COTAÇÃO</t>
        </is>
      </c>
      <c r="L58" s="8" t="n"/>
      <c r="M58" s="12" t="n"/>
      <c r="N58" s="7" t="inlineStr"/>
      <c r="O58" s="7" t="inlineStr"/>
    </row>
    <row r="59">
      <c r="A59" s="7" t="n">
        <v>587021</v>
      </c>
      <c r="B59" s="10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1" t="n">
        <v>1</v>
      </c>
      <c r="G59" s="11" t="n">
        <v>1</v>
      </c>
      <c r="H59" s="8" t="n">
        <v>12.85</v>
      </c>
      <c r="I59" s="8" t="n">
        <v>12.85</v>
      </c>
      <c r="J59" s="8" t="n"/>
      <c r="K59" s="7" t="inlineStr">
        <is>
          <t>SEM COTAÇÃO</t>
        </is>
      </c>
      <c r="L59" s="8" t="n"/>
      <c r="M59" s="12" t="n"/>
      <c r="N59" s="7" t="inlineStr"/>
      <c r="O59" s="7" t="inlineStr"/>
    </row>
    <row r="60">
      <c r="A60" s="7" t="n">
        <v>628601</v>
      </c>
      <c r="B60" s="10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1" t="n">
        <v>3</v>
      </c>
      <c r="G60" s="11" t="n">
        <v>3</v>
      </c>
      <c r="H60" s="8" t="n">
        <v>26.1</v>
      </c>
      <c r="I60" s="8" t="n">
        <v>17.6317</v>
      </c>
      <c r="J60" s="8" t="n"/>
      <c r="K60" s="7" t="inlineStr">
        <is>
          <t>SEM COTAÇÃO</t>
        </is>
      </c>
      <c r="L60" s="8" t="n"/>
      <c r="M60" s="12" t="n"/>
      <c r="N60" s="7" t="inlineStr"/>
      <c r="O60" s="7" t="inlineStr"/>
    </row>
    <row r="61">
      <c r="A61" s="7" t="n">
        <v>628751</v>
      </c>
      <c r="B61" s="10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1" t="n">
        <v>6</v>
      </c>
      <c r="G61" s="11" t="n">
        <v>6</v>
      </c>
      <c r="H61" s="8" t="n">
        <v>14.27</v>
      </c>
      <c r="I61" s="8" t="n">
        <v>13.54</v>
      </c>
      <c r="J61" s="8" t="n"/>
      <c r="K61" s="7" t="inlineStr">
        <is>
          <t>SEM COTAÇÃO</t>
        </is>
      </c>
      <c r="L61" s="8" t="n"/>
      <c r="M61" s="12" t="n"/>
      <c r="N61" s="7" t="inlineStr"/>
      <c r="O61" s="7" t="inlineStr"/>
    </row>
    <row r="62">
      <c r="A62" s="7" t="n">
        <v>540121</v>
      </c>
      <c r="B62" s="10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1" t="n">
        <v>3</v>
      </c>
      <c r="G62" s="11" t="n">
        <v>3</v>
      </c>
      <c r="H62" s="8" t="n">
        <v>10.5033</v>
      </c>
      <c r="I62" s="8" t="n">
        <v>10.5033</v>
      </c>
      <c r="J62" s="8" t="n"/>
      <c r="K62" s="7" t="inlineStr">
        <is>
          <t>SEM COTAÇÃO</t>
        </is>
      </c>
      <c r="L62" s="8" t="n"/>
      <c r="M62" s="12" t="n"/>
      <c r="N62" s="7" t="inlineStr"/>
      <c r="O62" s="7" t="inlineStr"/>
    </row>
    <row r="63">
      <c r="A63" s="7" t="n">
        <v>600091</v>
      </c>
      <c r="B63" s="10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1" t="n">
        <v>1</v>
      </c>
      <c r="G63" s="11" t="n">
        <v>1</v>
      </c>
      <c r="H63" s="8" t="n">
        <v>23.02</v>
      </c>
      <c r="I63" s="8" t="n">
        <v>23.02</v>
      </c>
      <c r="J63" s="8" t="n"/>
      <c r="K63" s="7" t="inlineStr">
        <is>
          <t>SEM COTAÇÃO</t>
        </is>
      </c>
      <c r="L63" s="8" t="n"/>
      <c r="M63" s="12" t="n"/>
      <c r="N63" s="7" t="inlineStr"/>
      <c r="O63" s="7" t="inlineStr"/>
    </row>
    <row r="64">
      <c r="A64" s="7" t="n">
        <v>615681</v>
      </c>
      <c r="B64" s="10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1" t="n">
        <v>14</v>
      </c>
      <c r="G64" s="11" t="n">
        <v>14</v>
      </c>
      <c r="H64" s="8" t="n">
        <v>4.65</v>
      </c>
      <c r="I64" s="8" t="n">
        <v>2.97</v>
      </c>
      <c r="J64" s="8" t="n"/>
      <c r="K64" s="7" t="inlineStr">
        <is>
          <t>SEM COTAÇÃO</t>
        </is>
      </c>
      <c r="L64" s="8" t="n"/>
      <c r="M64" s="12" t="n"/>
      <c r="N64" s="7" t="inlineStr"/>
      <c r="O64" s="7" t="inlineStr"/>
    </row>
    <row r="65">
      <c r="A65" s="7" t="n">
        <v>618711</v>
      </c>
      <c r="B65" s="10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1" t="n">
        <v>6</v>
      </c>
      <c r="G65" s="11" t="n">
        <v>6</v>
      </c>
      <c r="H65" s="8" t="n">
        <v>7.79</v>
      </c>
      <c r="I65" s="8" t="n">
        <v>7.79</v>
      </c>
      <c r="J65" s="8" t="n"/>
      <c r="K65" s="7" t="inlineStr">
        <is>
          <t>SEM COTAÇÃO</t>
        </is>
      </c>
      <c r="L65" s="8" t="n"/>
      <c r="M65" s="12" t="n"/>
      <c r="N65" s="7" t="inlineStr"/>
      <c r="O65" s="7" t="inlineStr"/>
    </row>
    <row r="66">
      <c r="A66" s="7" t="n">
        <v>622151</v>
      </c>
      <c r="B66" s="10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1" t="n">
        <v>23</v>
      </c>
      <c r="G66" s="11" t="n">
        <v>23</v>
      </c>
      <c r="H66" s="8" t="n">
        <v>8.949999999999999</v>
      </c>
      <c r="I66" s="8" t="n">
        <v>6.38</v>
      </c>
      <c r="J66" s="8" t="n"/>
      <c r="K66" s="7" t="inlineStr">
        <is>
          <t>SEM COTAÇÃO</t>
        </is>
      </c>
      <c r="L66" s="8" t="n"/>
      <c r="M66" s="12" t="n"/>
      <c r="N66" s="7" t="inlineStr"/>
      <c r="O66" s="7" t="inlineStr"/>
    </row>
    <row r="67">
      <c r="A67" s="7" t="n">
        <v>615501</v>
      </c>
      <c r="B67" s="10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1" t="n">
        <v>8</v>
      </c>
      <c r="G67" s="11" t="n">
        <v>8</v>
      </c>
      <c r="H67" s="8" t="n">
        <v>5.39</v>
      </c>
      <c r="I67" s="8" t="n">
        <v>3.42</v>
      </c>
      <c r="J67" s="8" t="n"/>
      <c r="K67" s="7" t="inlineStr">
        <is>
          <t>SEM COTAÇÃO</t>
        </is>
      </c>
      <c r="L67" s="8" t="n"/>
      <c r="M67" s="12" t="n"/>
      <c r="N67" s="7" t="inlineStr"/>
      <c r="O67" s="7" t="inlineStr"/>
    </row>
    <row r="68">
      <c r="A68" s="7" t="n">
        <v>654051</v>
      </c>
      <c r="B68" s="10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1" t="n">
        <v>12</v>
      </c>
      <c r="G68" s="11" t="n">
        <v>12</v>
      </c>
      <c r="H68" s="8" t="n">
        <v>3.46</v>
      </c>
      <c r="I68" s="8" t="n">
        <v>3.46</v>
      </c>
      <c r="J68" s="8" t="n"/>
      <c r="K68" s="7" t="inlineStr">
        <is>
          <t>SEM COTAÇÃO</t>
        </is>
      </c>
      <c r="L68" s="8" t="n"/>
      <c r="M68" s="12" t="n"/>
      <c r="N68" s="7" t="inlineStr"/>
      <c r="O68" s="7" t="inlineStr"/>
    </row>
    <row r="69">
      <c r="A69" s="7" t="n">
        <v>556581</v>
      </c>
      <c r="B69" s="10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1" t="n">
        <v>11</v>
      </c>
      <c r="G69" s="11" t="n">
        <v>11</v>
      </c>
      <c r="H69" s="8" t="n">
        <v>10.83</v>
      </c>
      <c r="I69" s="8" t="n">
        <v>8.3733</v>
      </c>
      <c r="J69" s="8" t="n"/>
      <c r="K69" s="7" t="inlineStr">
        <is>
          <t>SEM COTAÇÃO</t>
        </is>
      </c>
      <c r="L69" s="8" t="n"/>
      <c r="M69" s="12" t="n"/>
      <c r="N69" s="7" t="inlineStr"/>
      <c r="O69" s="7" t="inlineStr"/>
    </row>
    <row r="70">
      <c r="A70" s="7" t="n">
        <v>556621</v>
      </c>
      <c r="B70" s="10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1" t="n">
        <v>16</v>
      </c>
      <c r="G70" s="11" t="n">
        <v>16</v>
      </c>
      <c r="H70" s="8" t="n">
        <v>9.199999999999999</v>
      </c>
      <c r="I70" s="8" t="n">
        <v>7.78</v>
      </c>
      <c r="J70" s="8" t="n"/>
      <c r="K70" s="7" t="inlineStr">
        <is>
          <t>SEM COTAÇÃO</t>
        </is>
      </c>
      <c r="L70" s="8" t="n"/>
      <c r="M70" s="12" t="n"/>
      <c r="N70" s="7" t="inlineStr"/>
      <c r="O70" s="7" t="inlineStr"/>
    </row>
    <row r="71">
      <c r="A71" s="7" t="n">
        <v>25403</v>
      </c>
      <c r="B71" s="10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1" t="n">
        <v>4</v>
      </c>
      <c r="G71" s="11" t="n">
        <v>4</v>
      </c>
      <c r="H71" s="8" t="n">
        <v>21.76</v>
      </c>
      <c r="I71" s="8" t="n">
        <v>17.955</v>
      </c>
      <c r="J71" s="8" t="n"/>
      <c r="K71" s="7" t="inlineStr">
        <is>
          <t>SEM COTAÇÃO</t>
        </is>
      </c>
      <c r="L71" s="8" t="n"/>
      <c r="M71" s="12" t="n"/>
      <c r="N71" s="7" t="inlineStr"/>
      <c r="O71" s="7" t="inlineStr"/>
    </row>
    <row r="72">
      <c r="A72" s="7" t="n">
        <v>560741</v>
      </c>
      <c r="B72" s="10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1" t="n">
        <v>3</v>
      </c>
      <c r="G72" s="11" t="n">
        <v>3</v>
      </c>
      <c r="H72" s="8" t="n">
        <v>10.81</v>
      </c>
      <c r="I72" s="8" t="n">
        <v>10.81</v>
      </c>
      <c r="J72" s="8" t="n"/>
      <c r="K72" s="7" t="inlineStr">
        <is>
          <t>SEM COTAÇÃO</t>
        </is>
      </c>
      <c r="L72" s="8" t="n"/>
      <c r="M72" s="12" t="n"/>
      <c r="N72" s="7" t="inlineStr"/>
      <c r="O72" s="7" t="inlineStr"/>
    </row>
    <row r="73">
      <c r="A73" s="7" t="n">
        <v>564</v>
      </c>
      <c r="B73" s="10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1" t="n">
        <v>1</v>
      </c>
      <c r="G73" s="11" t="n">
        <v>1</v>
      </c>
      <c r="H73" s="8" t="n"/>
      <c r="I73" s="8" t="n"/>
      <c r="J73" s="8" t="n"/>
      <c r="K73" s="7" t="inlineStr">
        <is>
          <t>SEM COTAÇÃO</t>
        </is>
      </c>
      <c r="L73" s="8" t="n"/>
      <c r="M73" s="12" t="n"/>
      <c r="N73" s="7" t="inlineStr"/>
      <c r="O73" s="7" t="inlineStr"/>
    </row>
    <row r="74">
      <c r="A74" s="7" t="n">
        <v>598971</v>
      </c>
      <c r="B74" s="10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1" t="n">
        <v>4</v>
      </c>
      <c r="G74" s="11" t="n">
        <v>4</v>
      </c>
      <c r="H74" s="8" t="n">
        <v>26.05</v>
      </c>
      <c r="I74" s="8" t="n">
        <v>26.05</v>
      </c>
      <c r="J74" s="8" t="n"/>
      <c r="K74" s="7" t="inlineStr">
        <is>
          <t>SEM COTAÇÃO</t>
        </is>
      </c>
      <c r="L74" s="8" t="n"/>
      <c r="M74" s="12" t="n"/>
      <c r="N74" s="7" t="inlineStr"/>
      <c r="O74" s="7" t="inlineStr"/>
    </row>
    <row r="75">
      <c r="A75" s="7" t="n">
        <v>595251</v>
      </c>
      <c r="B75" s="10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1" t="n">
        <v>4</v>
      </c>
      <c r="G75" s="11" t="n">
        <v>4</v>
      </c>
      <c r="H75" s="8" t="n">
        <v>26.05</v>
      </c>
      <c r="I75" s="8" t="n">
        <v>22.8483</v>
      </c>
      <c r="J75" s="8" t="n"/>
      <c r="K75" s="7" t="inlineStr">
        <is>
          <t>SEM COTAÇÃO</t>
        </is>
      </c>
      <c r="L75" s="8" t="n"/>
      <c r="M75" s="12" t="n"/>
      <c r="N75" s="7" t="inlineStr"/>
      <c r="O75" s="7" t="inlineStr"/>
    </row>
    <row r="76">
      <c r="A76" s="7" t="n">
        <v>634121</v>
      </c>
      <c r="B76" s="10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1" t="n">
        <v>7</v>
      </c>
      <c r="G76" s="11" t="n">
        <v>7</v>
      </c>
      <c r="H76" s="8" t="n">
        <v>13.745</v>
      </c>
      <c r="I76" s="8" t="n">
        <v>12.0283</v>
      </c>
      <c r="J76" s="8" t="n"/>
      <c r="K76" s="7" t="inlineStr">
        <is>
          <t>SEM COTAÇÃO</t>
        </is>
      </c>
      <c r="L76" s="8" t="n"/>
      <c r="M76" s="12" t="n"/>
      <c r="N76" s="7" t="inlineStr"/>
      <c r="O76" s="7" t="inlineStr"/>
    </row>
    <row r="77">
      <c r="A77" s="7" t="n">
        <v>540161</v>
      </c>
      <c r="B77" s="10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1" t="n">
        <v>4</v>
      </c>
      <c r="G77" s="11" t="n">
        <v>4</v>
      </c>
      <c r="H77" s="8" t="n">
        <v>8.294600000000001</v>
      </c>
      <c r="I77" s="8" t="n">
        <v>7.3521</v>
      </c>
      <c r="J77" s="8" t="n"/>
      <c r="K77" s="7" t="inlineStr">
        <is>
          <t>SEM COTAÇÃO</t>
        </is>
      </c>
      <c r="L77" s="8" t="n"/>
      <c r="M77" s="12" t="n"/>
      <c r="N77" s="7" t="inlineStr"/>
      <c r="O77" s="7" t="inlineStr"/>
    </row>
    <row r="78">
      <c r="A78" s="7" t="n">
        <v>598071</v>
      </c>
      <c r="B78" s="10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1" t="n">
        <v>1</v>
      </c>
      <c r="G78" s="11" t="n">
        <v>1</v>
      </c>
      <c r="H78" s="8" t="n">
        <v>17.5267</v>
      </c>
      <c r="I78" s="8" t="n">
        <v>17.5267</v>
      </c>
      <c r="J78" s="8" t="n"/>
      <c r="K78" s="7" t="inlineStr">
        <is>
          <t>SEM COTAÇÃO</t>
        </is>
      </c>
      <c r="L78" s="8" t="n"/>
      <c r="M78" s="12" t="n"/>
      <c r="N78" s="7" t="inlineStr"/>
      <c r="O78" s="7" t="inlineStr"/>
    </row>
    <row r="79">
      <c r="A79" s="7" t="n">
        <v>628331</v>
      </c>
      <c r="B79" s="10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1" t="n">
        <v>10</v>
      </c>
      <c r="G79" s="11" t="n">
        <v>10</v>
      </c>
      <c r="H79" s="8" t="n">
        <v>5.2817</v>
      </c>
      <c r="I79" s="8" t="n">
        <v>4.6689</v>
      </c>
      <c r="J79" s="8" t="n"/>
      <c r="K79" s="7" t="inlineStr">
        <is>
          <t>SEM COTAÇÃO</t>
        </is>
      </c>
      <c r="L79" s="8" t="n"/>
      <c r="M79" s="12" t="n"/>
      <c r="N79" s="7" t="inlineStr"/>
      <c r="O79" s="7" t="inlineStr"/>
    </row>
    <row r="80">
      <c r="A80" s="7" t="n">
        <v>652271</v>
      </c>
      <c r="B80" s="10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1" t="n">
        <v>1</v>
      </c>
      <c r="G80" s="11" t="n">
        <v>1</v>
      </c>
      <c r="H80" s="8" t="n">
        <v>10.75</v>
      </c>
      <c r="I80" s="8" t="n">
        <v>10.75</v>
      </c>
      <c r="J80" s="8" t="n"/>
      <c r="K80" s="7" t="inlineStr">
        <is>
          <t>SEM COTAÇÃO</t>
        </is>
      </c>
      <c r="L80" s="8" t="n"/>
      <c r="M80" s="12" t="n"/>
      <c r="N80" s="7" t="inlineStr"/>
      <c r="O80" s="7" t="inlineStr"/>
    </row>
    <row r="81">
      <c r="A81" s="7" t="n">
        <v>656611</v>
      </c>
      <c r="B81" s="10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1" t="n">
        <v>1</v>
      </c>
      <c r="G81" s="11" t="n">
        <v>6</v>
      </c>
      <c r="H81" s="8" t="n">
        <v>14.3075</v>
      </c>
      <c r="I81" s="8" t="n">
        <v>11.4038</v>
      </c>
      <c r="J81" s="8" t="n"/>
      <c r="K81" s="7" t="inlineStr">
        <is>
          <t>SEM COTAÇÃO</t>
        </is>
      </c>
      <c r="L81" s="8" t="n"/>
      <c r="M81" s="12" t="n"/>
      <c r="N81" s="7" t="inlineStr"/>
      <c r="O81" s="7" t="inlineStr"/>
    </row>
    <row r="82">
      <c r="A82" s="7" t="n">
        <v>577761</v>
      </c>
      <c r="B82" s="10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1" t="n">
        <v>5</v>
      </c>
      <c r="G82" s="11" t="n">
        <v>5</v>
      </c>
      <c r="H82" s="8" t="n">
        <v>14.53</v>
      </c>
      <c r="I82" s="8" t="n">
        <v>9.779999999999999</v>
      </c>
      <c r="J82" s="8" t="n"/>
      <c r="K82" s="7" t="inlineStr">
        <is>
          <t>SEM COTAÇÃO</t>
        </is>
      </c>
      <c r="L82" s="8" t="n"/>
      <c r="M82" s="12" t="n"/>
      <c r="N82" s="7" t="inlineStr"/>
      <c r="O82" s="7" t="inlineStr"/>
    </row>
    <row r="83">
      <c r="A83" s="7" t="n">
        <v>579801</v>
      </c>
      <c r="B83" s="10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1" t="n">
        <v>3</v>
      </c>
      <c r="G83" s="11" t="n">
        <v>3</v>
      </c>
      <c r="H83" s="8" t="n">
        <v>10.14</v>
      </c>
      <c r="I83" s="8" t="n">
        <v>8.859999999999999</v>
      </c>
      <c r="J83" s="8" t="n"/>
      <c r="K83" s="7" t="inlineStr">
        <is>
          <t>SEM COTAÇÃO</t>
        </is>
      </c>
      <c r="L83" s="8" t="n"/>
      <c r="M83" s="12" t="n"/>
      <c r="N83" s="7" t="inlineStr"/>
      <c r="O83" s="7" t="inlineStr"/>
    </row>
    <row r="84">
      <c r="A84" s="7" t="n">
        <v>589771</v>
      </c>
      <c r="B84" s="10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1" t="n">
        <v>3</v>
      </c>
      <c r="G84" s="11" t="n">
        <v>3</v>
      </c>
      <c r="H84" s="8" t="n">
        <v>5.8133</v>
      </c>
      <c r="I84" s="8" t="n">
        <v>5.8133</v>
      </c>
      <c r="J84" s="8" t="n"/>
      <c r="K84" s="7" t="inlineStr">
        <is>
          <t>SEM COTAÇÃO</t>
        </is>
      </c>
      <c r="L84" s="8" t="n"/>
      <c r="M84" s="12" t="n"/>
      <c r="N84" s="7" t="inlineStr"/>
      <c r="O84" s="7" t="inlineStr"/>
    </row>
    <row r="85">
      <c r="A85" s="7" t="n">
        <v>577741</v>
      </c>
      <c r="B85" s="10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1" t="n">
        <v>4</v>
      </c>
      <c r="G85" s="11" t="n">
        <v>4</v>
      </c>
      <c r="H85" s="8" t="n">
        <v>9.8767</v>
      </c>
      <c r="I85" s="8" t="n">
        <v>8.7217</v>
      </c>
      <c r="J85" s="8" t="n"/>
      <c r="K85" s="7" t="inlineStr">
        <is>
          <t>SEM COTAÇÃO</t>
        </is>
      </c>
      <c r="L85" s="8" t="n"/>
      <c r="M85" s="12" t="n"/>
      <c r="N85" s="7" t="inlineStr"/>
      <c r="O85" s="7" t="inlineStr"/>
    </row>
    <row r="86">
      <c r="A86" s="7" t="n">
        <v>606081</v>
      </c>
      <c r="B86" s="10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1" t="n">
        <v>2</v>
      </c>
      <c r="G86" s="11" t="n">
        <v>2</v>
      </c>
      <c r="H86" s="8" t="n">
        <v>1.86</v>
      </c>
      <c r="I86" s="8" t="n">
        <v>1.86</v>
      </c>
      <c r="J86" s="8" t="n"/>
      <c r="K86" s="7" t="inlineStr">
        <is>
          <t>SEM COTAÇÃO</t>
        </is>
      </c>
      <c r="L86" s="8" t="n"/>
      <c r="M86" s="12" t="n"/>
      <c r="N86" s="7" t="inlineStr"/>
      <c r="O86" s="7" t="inlineStr"/>
    </row>
    <row r="87">
      <c r="A87" s="7" t="n">
        <v>662021</v>
      </c>
      <c r="B87" s="10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1" t="n">
        <v>5</v>
      </c>
      <c r="G87" s="11" t="n">
        <v>5</v>
      </c>
      <c r="H87" s="8" t="n">
        <v>6.89</v>
      </c>
      <c r="I87" s="8" t="n">
        <v>6.89</v>
      </c>
      <c r="J87" s="8" t="n"/>
      <c r="K87" s="7" t="inlineStr">
        <is>
          <t>SEM COTAÇÃO</t>
        </is>
      </c>
      <c r="L87" s="8" t="n"/>
      <c r="M87" s="12" t="n"/>
      <c r="N87" s="7" t="inlineStr"/>
      <c r="O87" s="7" t="inlineStr"/>
    </row>
    <row r="88">
      <c r="A88" s="7" t="n">
        <v>650671</v>
      </c>
      <c r="B88" s="10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1" t="n">
        <v>1</v>
      </c>
      <c r="G88" s="11" t="n">
        <v>12</v>
      </c>
      <c r="H88" s="8" t="n">
        <v>14.79</v>
      </c>
      <c r="I88" s="8" t="n">
        <v>14.79</v>
      </c>
      <c r="J88" s="8" t="n"/>
      <c r="K88" s="7" t="inlineStr">
        <is>
          <t>SEM COTAÇÃO</t>
        </is>
      </c>
      <c r="L88" s="8" t="n"/>
      <c r="M88" s="12" t="n"/>
      <c r="N88" s="7" t="inlineStr"/>
      <c r="O88" s="7" t="inlineStr"/>
    </row>
    <row r="89">
      <c r="A89" s="7" t="n">
        <v>667601</v>
      </c>
      <c r="B89" s="10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1" t="n">
        <v>1</v>
      </c>
      <c r="G89" s="11" t="n">
        <v>1</v>
      </c>
      <c r="H89" s="8" t="n">
        <v>9.09</v>
      </c>
      <c r="I89" s="8" t="n">
        <v>6.3</v>
      </c>
      <c r="J89" s="8" t="n"/>
      <c r="K89" s="7" t="inlineStr">
        <is>
          <t>SEM COTAÇÃO</t>
        </is>
      </c>
      <c r="L89" s="8" t="n"/>
      <c r="M89" s="12" t="n"/>
      <c r="N89" s="7" t="inlineStr"/>
      <c r="O89" s="7" t="inlineStr"/>
    </row>
    <row r="90">
      <c r="A90" s="7" t="n">
        <v>667611</v>
      </c>
      <c r="B90" s="10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1" t="n">
        <v>12</v>
      </c>
      <c r="G90" s="11" t="n">
        <v>12</v>
      </c>
      <c r="H90" s="8" t="n">
        <v>4.45</v>
      </c>
      <c r="I90" s="8" t="n">
        <v>3.26</v>
      </c>
      <c r="J90" s="8" t="n"/>
      <c r="K90" s="7" t="inlineStr">
        <is>
          <t>SEM COTAÇÃO</t>
        </is>
      </c>
      <c r="L90" s="8" t="n"/>
      <c r="M90" s="12" t="n"/>
      <c r="N90" s="7" t="inlineStr"/>
      <c r="O90" s="7" t="inlineStr"/>
    </row>
    <row r="91">
      <c r="A91" s="7" t="n">
        <v>673921</v>
      </c>
      <c r="B91" s="10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1" t="n">
        <v>6</v>
      </c>
      <c r="G91" s="11" t="n">
        <v>6</v>
      </c>
      <c r="H91" s="8" t="n">
        <v>5.6</v>
      </c>
      <c r="I91" s="8" t="n">
        <v>3.83</v>
      </c>
      <c r="J91" s="8" t="n"/>
      <c r="K91" s="7" t="inlineStr">
        <is>
          <t>SEM COTAÇÃO</t>
        </is>
      </c>
      <c r="L91" s="8" t="n"/>
      <c r="M91" s="12" t="n"/>
      <c r="N91" s="7" t="inlineStr"/>
      <c r="O91" s="7" t="inlineStr"/>
    </row>
    <row r="92">
      <c r="A92" s="7" t="n">
        <v>548701</v>
      </c>
      <c r="B92" s="10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1" t="n">
        <v>13</v>
      </c>
      <c r="G92" s="11" t="n">
        <v>13</v>
      </c>
      <c r="H92" s="8" t="n">
        <v>7.16</v>
      </c>
      <c r="I92" s="8" t="n">
        <v>7.16</v>
      </c>
      <c r="J92" s="8" t="n"/>
      <c r="K92" s="7" t="inlineStr">
        <is>
          <t>SEM COTAÇÃO</t>
        </is>
      </c>
      <c r="L92" s="8" t="n"/>
      <c r="M92" s="12" t="n"/>
      <c r="N92" s="7" t="inlineStr"/>
      <c r="O92" s="7" t="inlineStr"/>
    </row>
    <row r="93">
      <c r="A93" s="7" t="n">
        <v>539241</v>
      </c>
      <c r="B93" s="10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1" t="n">
        <v>3</v>
      </c>
      <c r="G93" s="11" t="n">
        <v>3</v>
      </c>
      <c r="H93" s="8" t="n">
        <v>3.92</v>
      </c>
      <c r="I93" s="8" t="n">
        <v>3.92</v>
      </c>
      <c r="J93" s="8" t="n"/>
      <c r="K93" s="7" t="inlineStr">
        <is>
          <t>SEM COTAÇÃO</t>
        </is>
      </c>
      <c r="L93" s="8" t="n"/>
      <c r="M93" s="12" t="n"/>
      <c r="N93" s="7" t="inlineStr"/>
      <c r="O93" s="7" t="inlineStr"/>
    </row>
    <row r="94">
      <c r="A94" s="7" t="n">
        <v>545001</v>
      </c>
      <c r="B94" s="10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1" t="n">
        <v>3</v>
      </c>
      <c r="G94" s="11" t="n">
        <v>3</v>
      </c>
      <c r="H94" s="8" t="n">
        <v>5.8142</v>
      </c>
      <c r="I94" s="8" t="n">
        <v>5.8142</v>
      </c>
      <c r="J94" s="8" t="n"/>
      <c r="K94" s="7" t="inlineStr">
        <is>
          <t>SEM COTAÇÃO</t>
        </is>
      </c>
      <c r="L94" s="8" t="n"/>
      <c r="M94" s="12" t="n"/>
      <c r="N94" s="7" t="inlineStr"/>
      <c r="O94" s="7" t="inlineStr"/>
    </row>
    <row r="95">
      <c r="A95" s="7" t="n">
        <v>545121</v>
      </c>
      <c r="B95" s="10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1" t="n">
        <v>1</v>
      </c>
      <c r="G95" s="11" t="n">
        <v>1</v>
      </c>
      <c r="H95" s="8" t="n">
        <v>6.1925</v>
      </c>
      <c r="I95" s="8" t="n">
        <v>5.5519</v>
      </c>
      <c r="J95" s="8" t="n"/>
      <c r="K95" s="7" t="inlineStr">
        <is>
          <t>SEM COTAÇÃO</t>
        </is>
      </c>
      <c r="L95" s="8" t="n"/>
      <c r="M95" s="12" t="n"/>
      <c r="N95" s="7" t="inlineStr"/>
      <c r="O95" s="7" t="inlineStr"/>
    </row>
    <row r="96">
      <c r="A96" s="7" t="n">
        <v>537161</v>
      </c>
      <c r="B96" s="10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1" t="n">
        <v>14</v>
      </c>
      <c r="G96" s="11" t="n">
        <v>14</v>
      </c>
      <c r="H96" s="8" t="n">
        <v>3.08</v>
      </c>
      <c r="I96" s="8" t="n">
        <v>2.44</v>
      </c>
      <c r="J96" s="8" t="n"/>
      <c r="K96" s="7" t="inlineStr">
        <is>
          <t>SEM COTAÇÃO</t>
        </is>
      </c>
      <c r="L96" s="8" t="n"/>
      <c r="M96" s="12" t="n"/>
      <c r="N96" s="7" t="inlineStr"/>
      <c r="O96" s="7" t="inlineStr"/>
    </row>
    <row r="97">
      <c r="A97" s="7" t="n">
        <v>608141</v>
      </c>
      <c r="B97" s="10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1" t="n">
        <v>1</v>
      </c>
      <c r="G97" s="11" t="n">
        <v>1</v>
      </c>
      <c r="H97" s="8" t="n">
        <v>4.35</v>
      </c>
      <c r="I97" s="8" t="n">
        <v>4.35</v>
      </c>
      <c r="J97" s="8" t="n"/>
      <c r="K97" s="7" t="inlineStr">
        <is>
          <t>SEM COTAÇÃO</t>
        </is>
      </c>
      <c r="L97" s="8" t="n"/>
      <c r="M97" s="12" t="n"/>
      <c r="N97" s="7" t="inlineStr"/>
      <c r="O97" s="7" t="inlineStr"/>
    </row>
    <row r="98">
      <c r="A98" s="7" t="n">
        <v>537661</v>
      </c>
      <c r="B98" s="10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1" t="n">
        <v>8</v>
      </c>
      <c r="G98" s="11" t="n">
        <v>30</v>
      </c>
      <c r="H98" s="8" t="n">
        <v>7.87</v>
      </c>
      <c r="I98" s="8" t="n">
        <v>7.5008</v>
      </c>
      <c r="J98" s="8" t="n"/>
      <c r="K98" s="7" t="inlineStr">
        <is>
          <t>SEM COTAÇÃO</t>
        </is>
      </c>
      <c r="L98" s="8" t="n"/>
      <c r="M98" s="12" t="n"/>
      <c r="N98" s="7" t="inlineStr"/>
      <c r="O98" s="7" t="inlineStr"/>
    </row>
    <row r="99">
      <c r="A99" s="7" t="n">
        <v>537181</v>
      </c>
      <c r="B99" s="10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1" t="n">
        <v>5</v>
      </c>
      <c r="G99" s="11" t="n">
        <v>18</v>
      </c>
      <c r="H99" s="8" t="n">
        <v>7.87</v>
      </c>
      <c r="I99" s="8" t="n">
        <v>6.8758</v>
      </c>
      <c r="J99" s="8" t="n"/>
      <c r="K99" s="7" t="inlineStr">
        <is>
          <t>SEM COTAÇÃO</t>
        </is>
      </c>
      <c r="L99" s="8" t="n"/>
      <c r="M99" s="12" t="n"/>
      <c r="N99" s="7" t="inlineStr"/>
      <c r="O99" s="7" t="inlineStr"/>
    </row>
    <row r="100">
      <c r="A100" s="7" t="n">
        <v>656241</v>
      </c>
      <c r="B100" s="10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1" t="n">
        <v>10</v>
      </c>
      <c r="G100" s="11" t="n">
        <v>10</v>
      </c>
      <c r="H100" s="8" t="n">
        <v>10.83</v>
      </c>
      <c r="I100" s="8" t="n">
        <v>8.42</v>
      </c>
      <c r="J100" s="8" t="n"/>
      <c r="K100" s="7" t="inlineStr">
        <is>
          <t>SEM COTAÇÃO</t>
        </is>
      </c>
      <c r="L100" s="8" t="n"/>
      <c r="M100" s="12" t="n"/>
      <c r="N100" s="7" t="inlineStr"/>
      <c r="O100" s="7" t="inlineStr"/>
    </row>
    <row r="101">
      <c r="A101" s="7" t="n">
        <v>671841</v>
      </c>
      <c r="B101" s="10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1" t="n">
        <v>1</v>
      </c>
      <c r="G101" s="11" t="n">
        <v>1</v>
      </c>
      <c r="H101" s="8" t="n"/>
      <c r="I101" s="8" t="n"/>
      <c r="J101" s="8" t="n"/>
      <c r="K101" s="7" t="inlineStr">
        <is>
          <t>SEM COTAÇÃO</t>
        </is>
      </c>
      <c r="L101" s="8" t="n"/>
      <c r="M101" s="12" t="n"/>
      <c r="N101" s="7" t="inlineStr"/>
      <c r="O101" s="7" t="inlineStr"/>
    </row>
    <row r="102">
      <c r="A102" s="7" t="n">
        <v>641541</v>
      </c>
      <c r="B102" s="10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1" t="n">
        <v>8</v>
      </c>
      <c r="G102" s="11" t="n">
        <v>8</v>
      </c>
      <c r="H102" s="8" t="n">
        <v>14.27</v>
      </c>
      <c r="I102" s="8" t="n">
        <v>14.27</v>
      </c>
      <c r="J102" s="8" t="n"/>
      <c r="K102" s="7" t="inlineStr">
        <is>
          <t>SEM COTAÇÃO</t>
        </is>
      </c>
      <c r="L102" s="8" t="n"/>
      <c r="M102" s="12" t="n"/>
      <c r="N102" s="7" t="inlineStr"/>
      <c r="O102" s="7" t="inlineStr"/>
    </row>
    <row r="103">
      <c r="A103" s="7" t="n">
        <v>641531</v>
      </c>
      <c r="B103" s="10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1" t="n">
        <v>5</v>
      </c>
      <c r="G103" s="11" t="n">
        <v>5</v>
      </c>
      <c r="H103" s="8" t="n">
        <v>21.1</v>
      </c>
      <c r="I103" s="8" t="n">
        <v>21.1</v>
      </c>
      <c r="J103" s="8" t="n"/>
      <c r="K103" s="7" t="inlineStr">
        <is>
          <t>SEM COTAÇÃO</t>
        </is>
      </c>
      <c r="L103" s="8" t="n"/>
      <c r="M103" s="12" t="n"/>
      <c r="N103" s="7" t="inlineStr"/>
      <c r="O103" s="7" t="inlineStr"/>
    </row>
    <row r="104">
      <c r="A104" s="7" t="n">
        <v>667801</v>
      </c>
      <c r="B104" s="10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1" t="n">
        <v>11</v>
      </c>
      <c r="G104" s="11" t="n">
        <v>11</v>
      </c>
      <c r="H104" s="8" t="n">
        <v>5.4</v>
      </c>
      <c r="I104" s="8" t="n">
        <v>5.4</v>
      </c>
      <c r="J104" s="8" t="n"/>
      <c r="K104" s="7" t="inlineStr">
        <is>
          <t>SEM COTAÇÃO</t>
        </is>
      </c>
      <c r="L104" s="8" t="n"/>
      <c r="M104" s="12" t="n"/>
      <c r="N104" s="7" t="inlineStr"/>
      <c r="O104" s="7" t="inlineStr"/>
    </row>
    <row r="105">
      <c r="A105" s="7" t="n">
        <v>668111</v>
      </c>
      <c r="B105" s="10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1" t="n">
        <v>8</v>
      </c>
      <c r="G105" s="11" t="n">
        <v>8</v>
      </c>
      <c r="H105" s="8" t="n">
        <v>2.24</v>
      </c>
      <c r="I105" s="8" t="n">
        <v>2.24</v>
      </c>
      <c r="J105" s="8" t="n"/>
      <c r="K105" s="7" t="inlineStr">
        <is>
          <t>SEM COTAÇÃO</t>
        </is>
      </c>
      <c r="L105" s="8" t="n"/>
      <c r="M105" s="12" t="n"/>
      <c r="N105" s="7" t="inlineStr"/>
      <c r="O105" s="7" t="inlineStr"/>
    </row>
    <row r="106">
      <c r="A106" s="7" t="n">
        <v>666071</v>
      </c>
      <c r="B106" s="10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1" t="n">
        <v>3</v>
      </c>
      <c r="G106" s="11" t="n">
        <v>3</v>
      </c>
      <c r="H106" s="8" t="n">
        <v>14.99</v>
      </c>
      <c r="I106" s="8" t="n">
        <v>14.99</v>
      </c>
      <c r="J106" s="8" t="n"/>
      <c r="K106" s="7" t="inlineStr">
        <is>
          <t>SEM COTAÇÃO</t>
        </is>
      </c>
      <c r="L106" s="8" t="n"/>
      <c r="M106" s="12" t="n"/>
      <c r="N106" s="7" t="inlineStr"/>
      <c r="O106" s="7" t="inlineStr"/>
    </row>
    <row r="107">
      <c r="A107" s="7" t="n">
        <v>660041</v>
      </c>
      <c r="B107" s="10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1" t="n">
        <v>1</v>
      </c>
      <c r="G107" s="11" t="n">
        <v>1</v>
      </c>
      <c r="H107" s="8" t="n">
        <v>14.38</v>
      </c>
      <c r="I107" s="8" t="n">
        <v>14.38</v>
      </c>
      <c r="J107" s="8" t="n"/>
      <c r="K107" s="7" t="inlineStr">
        <is>
          <t>SEM COTAÇÃO</t>
        </is>
      </c>
      <c r="L107" s="8" t="n"/>
      <c r="M107" s="12" t="n"/>
      <c r="N107" s="7" t="inlineStr"/>
      <c r="O107" s="7" t="inlineStr"/>
    </row>
    <row r="108">
      <c r="A108" s="7" t="n">
        <v>554821</v>
      </c>
      <c r="B108" s="10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1" t="n">
        <v>18</v>
      </c>
      <c r="G108" s="11" t="n">
        <v>18</v>
      </c>
      <c r="H108" s="8" t="n">
        <v>3.08</v>
      </c>
      <c r="I108" s="8" t="n">
        <v>3.08</v>
      </c>
      <c r="J108" s="8" t="n"/>
      <c r="K108" s="7" t="inlineStr">
        <is>
          <t>SEM COTAÇÃO</t>
        </is>
      </c>
      <c r="L108" s="8" t="n"/>
      <c r="M108" s="12" t="n"/>
      <c r="N108" s="7" t="inlineStr"/>
      <c r="O108" s="7" t="inlineStr"/>
    </row>
    <row r="109">
      <c r="A109" s="7" t="n">
        <v>548801</v>
      </c>
      <c r="B109" s="10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1" t="n">
        <v>20</v>
      </c>
      <c r="G109" s="11" t="n">
        <v>20</v>
      </c>
      <c r="H109" s="8" t="n">
        <v>6.62</v>
      </c>
      <c r="I109" s="8" t="n">
        <v>6.62</v>
      </c>
      <c r="J109" s="8" t="n"/>
      <c r="K109" s="7" t="inlineStr">
        <is>
          <t>SEM COTAÇÃO</t>
        </is>
      </c>
      <c r="L109" s="8" t="n"/>
      <c r="M109" s="12" t="n"/>
      <c r="N109" s="7" t="inlineStr"/>
      <c r="O109" s="7" t="inlineStr"/>
    </row>
    <row r="110">
      <c r="A110" s="7" t="n">
        <v>564381</v>
      </c>
      <c r="B110" s="10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1" t="n">
        <v>13</v>
      </c>
      <c r="G110" s="11" t="n">
        <v>13</v>
      </c>
      <c r="H110" s="8" t="n">
        <v>12.99</v>
      </c>
      <c r="I110" s="8" t="n">
        <v>12.34</v>
      </c>
      <c r="J110" s="8" t="n"/>
      <c r="K110" s="7" t="inlineStr">
        <is>
          <t>SEM COTAÇÃO</t>
        </is>
      </c>
      <c r="L110" s="8" t="n"/>
      <c r="M110" s="12" t="n"/>
      <c r="N110" s="7" t="inlineStr"/>
      <c r="O110" s="7" t="inlineStr"/>
    </row>
    <row r="111">
      <c r="A111" s="7" t="n">
        <v>601541</v>
      </c>
      <c r="B111" s="10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1" t="n">
        <v>1</v>
      </c>
      <c r="G111" s="11" t="n">
        <v>1</v>
      </c>
      <c r="H111" s="8" t="n">
        <v>40.415</v>
      </c>
      <c r="I111" s="8" t="n">
        <v>40.415</v>
      </c>
      <c r="J111" s="8" t="n"/>
      <c r="K111" s="7" t="inlineStr">
        <is>
          <t>SEM COTAÇÃO</t>
        </is>
      </c>
      <c r="L111" s="8" t="n"/>
      <c r="M111" s="12" t="n"/>
      <c r="N111" s="7" t="inlineStr"/>
      <c r="O111" s="7" t="inlineStr"/>
    </row>
    <row r="112">
      <c r="A112" s="7" t="n">
        <v>645181</v>
      </c>
      <c r="B112" s="10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1" t="n">
        <v>1</v>
      </c>
      <c r="G112" s="11" t="n">
        <v>1</v>
      </c>
      <c r="H112" s="8" t="n">
        <v>19.29</v>
      </c>
      <c r="I112" s="8" t="n">
        <v>19.29</v>
      </c>
      <c r="J112" s="8" t="n"/>
      <c r="K112" s="7" t="inlineStr">
        <is>
          <t>SEM COTAÇÃO</t>
        </is>
      </c>
      <c r="L112" s="8" t="n"/>
      <c r="M112" s="12" t="n"/>
      <c r="N112" s="7" t="inlineStr"/>
      <c r="O112" s="7" t="inlineStr"/>
    </row>
    <row r="113">
      <c r="A113" s="7" t="n">
        <v>23503</v>
      </c>
      <c r="B113" s="10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1" t="n">
        <v>1</v>
      </c>
      <c r="G113" s="11" t="n">
        <v>1</v>
      </c>
      <c r="H113" s="8" t="n">
        <v>64.9867</v>
      </c>
      <c r="I113" s="8" t="n">
        <v>64.9867</v>
      </c>
      <c r="J113" s="8" t="n"/>
      <c r="K113" s="7" t="inlineStr">
        <is>
          <t>SEM COTAÇÃO</t>
        </is>
      </c>
      <c r="L113" s="8" t="n"/>
      <c r="M113" s="12" t="n"/>
      <c r="N113" s="7" t="inlineStr"/>
      <c r="O113" s="7" t="inlineStr"/>
    </row>
    <row r="114">
      <c r="A114" s="7" t="n">
        <v>2081</v>
      </c>
      <c r="B114" s="10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1" t="n">
        <v>2</v>
      </c>
      <c r="G114" s="11" t="n">
        <v>2</v>
      </c>
      <c r="H114" s="8" t="n">
        <v>7.01</v>
      </c>
      <c r="I114" s="8" t="n">
        <v>7.01</v>
      </c>
      <c r="J114" s="13" t="n">
        <v>7.03</v>
      </c>
      <c r="K114" s="7" t="inlineStr">
        <is>
          <t>DIMEC</t>
        </is>
      </c>
      <c r="L114" s="8" t="n">
        <v>7.03</v>
      </c>
      <c r="M114" s="12">
        <f>L114/H114-1</f>
        <v/>
      </c>
      <c r="N114" s="14" t="inlineStr">
        <is>
          <t>ACIMA +0.3%</t>
        </is>
      </c>
      <c r="O114" s="7" t="inlineStr"/>
    </row>
    <row r="115">
      <c r="A115" s="7" t="n">
        <v>403321</v>
      </c>
      <c r="B115" s="10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1" t="n">
        <v>1</v>
      </c>
      <c r="G115" s="11" t="n">
        <v>1</v>
      </c>
      <c r="H115" s="8" t="n">
        <v>13.04</v>
      </c>
      <c r="I115" s="8" t="n">
        <v>13.04</v>
      </c>
      <c r="J115" s="13" t="n">
        <v>11.39</v>
      </c>
      <c r="K115" s="7" t="inlineStr">
        <is>
          <t>DIMEC</t>
        </is>
      </c>
      <c r="L115" s="8" t="n">
        <v>11.39</v>
      </c>
      <c r="M115" s="12">
        <f>L115/H115-1</f>
        <v/>
      </c>
      <c r="N115" s="15" t="inlineStr">
        <is>
          <t>OK (≤ menor hist.)</t>
        </is>
      </c>
      <c r="O115" s="7" t="inlineStr"/>
    </row>
    <row r="116">
      <c r="A116" s="7" t="n">
        <v>485841</v>
      </c>
      <c r="B116" s="10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1" t="n">
        <v>5</v>
      </c>
      <c r="G116" s="11" t="n">
        <v>5</v>
      </c>
      <c r="H116" s="8" t="n">
        <v>2.96</v>
      </c>
      <c r="I116" s="8" t="n">
        <v>2.96</v>
      </c>
      <c r="J116" s="8" t="n"/>
      <c r="K116" s="7" t="inlineStr">
        <is>
          <t>SEM COTAÇÃO</t>
        </is>
      </c>
      <c r="L116" s="8" t="n"/>
      <c r="M116" s="12" t="n"/>
      <c r="N116" s="7" t="inlineStr"/>
      <c r="O116" s="7" t="inlineStr"/>
    </row>
    <row r="117">
      <c r="A117" s="7" t="n">
        <v>568061</v>
      </c>
      <c r="B117" s="10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1" t="n">
        <v>14</v>
      </c>
      <c r="G117" s="11" t="n">
        <v>14</v>
      </c>
      <c r="H117" s="8" t="n">
        <v>2.75</v>
      </c>
      <c r="I117" s="8" t="n">
        <v>2.4775</v>
      </c>
      <c r="J117" s="8" t="n"/>
      <c r="K117" s="7" t="inlineStr">
        <is>
          <t>SEM COTAÇÃO</t>
        </is>
      </c>
      <c r="L117" s="8" t="n"/>
      <c r="M117" s="12" t="n"/>
      <c r="N117" s="7" t="inlineStr"/>
      <c r="O117" s="7" t="inlineStr"/>
    </row>
    <row r="118">
      <c r="A118" s="7" t="n">
        <v>595891</v>
      </c>
      <c r="B118" s="10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1" t="n">
        <v>6</v>
      </c>
      <c r="G118" s="11" t="n">
        <v>6</v>
      </c>
      <c r="H118" s="8" t="n">
        <v>1.58</v>
      </c>
      <c r="I118" s="8" t="n">
        <v>1.58</v>
      </c>
      <c r="J118" s="8" t="n"/>
      <c r="K118" s="7" t="inlineStr">
        <is>
          <t>SEM COTAÇÃO</t>
        </is>
      </c>
      <c r="L118" s="8" t="n"/>
      <c r="M118" s="12" t="n"/>
      <c r="N118" s="7" t="inlineStr"/>
      <c r="O118" s="7" t="inlineStr"/>
    </row>
    <row r="119">
      <c r="A119" s="7" t="n">
        <v>601611</v>
      </c>
      <c r="B119" s="10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1" t="n">
        <v>62</v>
      </c>
      <c r="G119" s="11" t="n">
        <v>62</v>
      </c>
      <c r="H119" s="8" t="n">
        <v>4.96</v>
      </c>
      <c r="I119" s="8" t="n">
        <v>4.59</v>
      </c>
      <c r="J119" s="8" t="n"/>
      <c r="K119" s="7" t="inlineStr">
        <is>
          <t>SEM COTAÇÃO</t>
        </is>
      </c>
      <c r="L119" s="8" t="n"/>
      <c r="M119" s="12" t="n"/>
      <c r="N119" s="7" t="inlineStr"/>
      <c r="O119" s="7" t="inlineStr"/>
    </row>
    <row r="120">
      <c r="A120" s="7" t="n">
        <v>588691</v>
      </c>
      <c r="B120" s="10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1" t="n">
        <v>2</v>
      </c>
      <c r="G120" s="11" t="n">
        <v>2</v>
      </c>
      <c r="H120" s="8" t="n">
        <v>3.99</v>
      </c>
      <c r="I120" s="8" t="n">
        <v>3.99</v>
      </c>
      <c r="J120" s="8" t="n"/>
      <c r="K120" s="7" t="inlineStr">
        <is>
          <t>SEM COTAÇÃO</t>
        </is>
      </c>
      <c r="L120" s="8" t="n"/>
      <c r="M120" s="12" t="n"/>
      <c r="N120" s="7" t="inlineStr"/>
      <c r="O120" s="7" t="inlineStr"/>
    </row>
    <row r="121">
      <c r="A121" s="7" t="n">
        <v>10781</v>
      </c>
      <c r="B121" s="10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1" t="n">
        <v>19</v>
      </c>
      <c r="G121" s="11" t="n">
        <v>19</v>
      </c>
      <c r="H121" s="8" t="n">
        <v>5.83</v>
      </c>
      <c r="I121" s="8" t="n">
        <v>5.83</v>
      </c>
      <c r="J121" s="8" t="n"/>
      <c r="K121" s="7" t="inlineStr">
        <is>
          <t>SEM COTAÇÃO</t>
        </is>
      </c>
      <c r="L121" s="8" t="n"/>
      <c r="M121" s="12" t="n"/>
      <c r="N121" s="7" t="inlineStr"/>
      <c r="O121" s="7" t="inlineStr"/>
    </row>
    <row r="122">
      <c r="A122" s="7" t="n">
        <v>515381</v>
      </c>
      <c r="B122" s="10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1" t="n">
        <v>2</v>
      </c>
      <c r="G122" s="11" t="n">
        <v>2</v>
      </c>
      <c r="H122" s="8" t="n">
        <v>30.457</v>
      </c>
      <c r="I122" s="8" t="n">
        <v>30.457</v>
      </c>
      <c r="J122" s="8" t="n"/>
      <c r="K122" s="7" t="inlineStr">
        <is>
          <t>SEM COTAÇÃO</t>
        </is>
      </c>
      <c r="L122" s="8" t="n"/>
      <c r="M122" s="12" t="n"/>
      <c r="N122" s="7" t="inlineStr"/>
      <c r="O122" s="7" t="inlineStr"/>
    </row>
    <row r="123">
      <c r="A123" s="7" t="n">
        <v>512561</v>
      </c>
      <c r="B123" s="10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1" t="n">
        <v>20</v>
      </c>
      <c r="G123" s="11" t="n">
        <v>20</v>
      </c>
      <c r="H123" s="8" t="n">
        <v>3.49</v>
      </c>
      <c r="I123" s="8" t="n">
        <v>2.79</v>
      </c>
      <c r="J123" s="8" t="n"/>
      <c r="K123" s="7" t="inlineStr">
        <is>
          <t>SEM COTAÇÃO</t>
        </is>
      </c>
      <c r="L123" s="8" t="n"/>
      <c r="M123" s="12" t="n"/>
      <c r="N123" s="7" t="inlineStr"/>
      <c r="O123" s="7" t="inlineStr"/>
    </row>
    <row r="124">
      <c r="A124" s="7" t="n">
        <v>14301</v>
      </c>
      <c r="B124" s="10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1" t="n">
        <v>1</v>
      </c>
      <c r="G124" s="11" t="n">
        <v>1</v>
      </c>
      <c r="H124" s="8" t="n">
        <v>117</v>
      </c>
      <c r="I124" s="8" t="n">
        <v>117</v>
      </c>
      <c r="J124" s="13" t="n">
        <v>103.59</v>
      </c>
      <c r="K124" s="7" t="inlineStr">
        <is>
          <t>DIMEC</t>
        </is>
      </c>
      <c r="L124" s="8" t="n">
        <v>103.59</v>
      </c>
      <c r="M124" s="12">
        <f>L124/H124-1</f>
        <v/>
      </c>
      <c r="N124" s="15" t="inlineStr">
        <is>
          <t>OK (≤ menor hist.)</t>
        </is>
      </c>
      <c r="O124" s="7" t="inlineStr"/>
    </row>
    <row r="125">
      <c r="A125" s="7" t="n">
        <v>650331</v>
      </c>
      <c r="B125" s="10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1" t="n">
        <v>1</v>
      </c>
      <c r="G125" s="11" t="n">
        <v>1</v>
      </c>
      <c r="H125" s="8" t="n">
        <v>32.95</v>
      </c>
      <c r="I125" s="8" t="n">
        <v>32.95</v>
      </c>
      <c r="J125" s="8" t="n"/>
      <c r="K125" s="7" t="inlineStr">
        <is>
          <t>SEM COTAÇÃO</t>
        </is>
      </c>
      <c r="L125" s="8" t="n"/>
      <c r="M125" s="12" t="n"/>
      <c r="N125" s="7" t="inlineStr"/>
      <c r="O125" s="7" t="inlineStr"/>
    </row>
    <row r="126">
      <c r="A126" s="7" t="n">
        <v>647211</v>
      </c>
      <c r="B126" s="10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1" t="n">
        <v>1</v>
      </c>
      <c r="G126" s="11" t="n">
        <v>1</v>
      </c>
      <c r="H126" s="8" t="n">
        <v>56.75</v>
      </c>
      <c r="I126" s="8" t="n">
        <v>56.75</v>
      </c>
      <c r="J126" s="8" t="n"/>
      <c r="K126" s="7" t="inlineStr">
        <is>
          <t>SEM COTAÇÃO</t>
        </is>
      </c>
      <c r="L126" s="8" t="n"/>
      <c r="M126" s="12" t="n"/>
      <c r="N126" s="7" t="inlineStr"/>
      <c r="O126" s="7" t="inlineStr"/>
    </row>
    <row r="127">
      <c r="A127" s="7" t="n">
        <v>17161</v>
      </c>
      <c r="B127" s="10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1" t="n">
        <v>1</v>
      </c>
      <c r="G127" s="11" t="n">
        <v>1</v>
      </c>
      <c r="H127" s="8" t="n">
        <v>7.5733</v>
      </c>
      <c r="I127" s="8" t="n">
        <v>6.755</v>
      </c>
      <c r="J127" s="8" t="n"/>
      <c r="K127" s="7" t="inlineStr">
        <is>
          <t>SEM COTAÇÃO</t>
        </is>
      </c>
      <c r="L127" s="8" t="n"/>
      <c r="M127" s="12" t="n"/>
      <c r="N127" s="7" t="inlineStr"/>
      <c r="O127" s="7" t="inlineStr"/>
    </row>
    <row r="128">
      <c r="A128" s="7" t="n">
        <v>17201</v>
      </c>
      <c r="B128" s="10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1" t="n">
        <v>1</v>
      </c>
      <c r="G128" s="11" t="n">
        <v>1</v>
      </c>
      <c r="H128" s="8" t="n">
        <v>9.85</v>
      </c>
      <c r="I128" s="8" t="n">
        <v>9.85</v>
      </c>
      <c r="J128" s="8" t="n"/>
      <c r="K128" s="7" t="inlineStr">
        <is>
          <t>SEM COTAÇÃO</t>
        </is>
      </c>
      <c r="L128" s="8" t="n"/>
      <c r="M128" s="12" t="n"/>
      <c r="N128" s="7" t="inlineStr"/>
      <c r="O128" s="7" t="inlineStr"/>
    </row>
    <row r="129">
      <c r="A129" s="7" t="n">
        <v>543481</v>
      </c>
      <c r="B129" s="10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1" t="n">
        <v>4</v>
      </c>
      <c r="G129" s="11" t="n">
        <v>4</v>
      </c>
      <c r="H129" s="8" t="n">
        <v>11.96</v>
      </c>
      <c r="I129" s="8" t="n">
        <v>10.09</v>
      </c>
      <c r="J129" s="8" t="n"/>
      <c r="K129" s="7" t="inlineStr">
        <is>
          <t>SEM COTAÇÃO</t>
        </is>
      </c>
      <c r="L129" s="8" t="n"/>
      <c r="M129" s="12" t="n"/>
      <c r="N129" s="7" t="inlineStr"/>
      <c r="O129" s="7" t="inlineStr"/>
    </row>
    <row r="130">
      <c r="A130" s="7" t="n">
        <v>546761</v>
      </c>
      <c r="B130" s="10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1" t="n">
        <v>2</v>
      </c>
      <c r="G130" s="11" t="n">
        <v>2</v>
      </c>
      <c r="H130" s="8" t="n">
        <v>9.710000000000001</v>
      </c>
      <c r="I130" s="8" t="n">
        <v>8.99</v>
      </c>
      <c r="J130" s="8" t="n"/>
      <c r="K130" s="7" t="inlineStr">
        <is>
          <t>SEM COTAÇÃO</t>
        </is>
      </c>
      <c r="L130" s="8" t="n"/>
      <c r="M130" s="12" t="n"/>
      <c r="N130" s="7" t="inlineStr"/>
      <c r="O130" s="7" t="inlineStr"/>
    </row>
    <row r="131">
      <c r="A131" s="7" t="n">
        <v>587601</v>
      </c>
      <c r="B131" s="10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1" t="n">
        <v>2</v>
      </c>
      <c r="G131" s="11" t="n">
        <v>2</v>
      </c>
      <c r="H131" s="8" t="n"/>
      <c r="I131" s="8" t="n"/>
      <c r="J131" s="8" t="n"/>
      <c r="K131" s="7" t="inlineStr">
        <is>
          <t>SEM COTAÇÃO</t>
        </is>
      </c>
      <c r="L131" s="8" t="n"/>
      <c r="M131" s="12" t="n"/>
      <c r="N131" s="7" t="inlineStr"/>
      <c r="O131" s="7" t="inlineStr"/>
    </row>
    <row r="132">
      <c r="A132" s="7" t="n">
        <v>637451</v>
      </c>
      <c r="B132" s="10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1" t="n">
        <v>2</v>
      </c>
      <c r="G132" s="11" t="n">
        <v>2</v>
      </c>
      <c r="H132" s="8" t="n">
        <v>5.89</v>
      </c>
      <c r="I132" s="8" t="n">
        <v>5.89</v>
      </c>
      <c r="J132" s="8" t="n"/>
      <c r="K132" s="7" t="inlineStr">
        <is>
          <t>SEM COTAÇÃO</t>
        </is>
      </c>
      <c r="L132" s="8" t="n"/>
      <c r="M132" s="12" t="n"/>
      <c r="N132" s="7" t="inlineStr"/>
      <c r="O132" s="7" t="inlineStr"/>
    </row>
    <row r="133">
      <c r="A133" s="7" t="n">
        <v>637461</v>
      </c>
      <c r="B133" s="10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1" t="n">
        <v>3</v>
      </c>
      <c r="G133" s="11" t="n">
        <v>3</v>
      </c>
      <c r="H133" s="8" t="n">
        <v>4.79</v>
      </c>
      <c r="I133" s="8" t="n">
        <v>4.79</v>
      </c>
      <c r="J133" s="8" t="n"/>
      <c r="K133" s="7" t="inlineStr">
        <is>
          <t>SEM COTAÇÃO</t>
        </is>
      </c>
      <c r="L133" s="8" t="n"/>
      <c r="M133" s="12" t="n"/>
      <c r="N133" s="7" t="inlineStr"/>
      <c r="O133" s="7" t="inlineStr"/>
    </row>
    <row r="134">
      <c r="A134" s="7" t="n">
        <v>621431</v>
      </c>
      <c r="B134" s="10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1" t="n">
        <v>1</v>
      </c>
      <c r="G134" s="11" t="n">
        <v>1</v>
      </c>
      <c r="H134" s="8" t="n">
        <v>54.63</v>
      </c>
      <c r="I134" s="8" t="n">
        <v>42.49</v>
      </c>
      <c r="J134" s="8" t="n"/>
      <c r="K134" s="7" t="inlineStr">
        <is>
          <t>SEM COTAÇÃO</t>
        </is>
      </c>
      <c r="L134" s="8" t="n"/>
      <c r="M134" s="12" t="n"/>
      <c r="N134" s="7" t="inlineStr"/>
      <c r="O134" s="7" t="inlineStr"/>
    </row>
    <row r="135">
      <c r="A135" s="7" t="n">
        <v>621421</v>
      </c>
      <c r="B135" s="10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1" t="n">
        <v>1</v>
      </c>
      <c r="G135" s="11" t="n">
        <v>1</v>
      </c>
      <c r="H135" s="8" t="n">
        <v>54.91</v>
      </c>
      <c r="I135" s="8" t="n">
        <v>54.91</v>
      </c>
      <c r="J135" s="8" t="n"/>
      <c r="K135" s="7" t="inlineStr">
        <is>
          <t>SEM COTAÇÃO</t>
        </is>
      </c>
      <c r="L135" s="8" t="n"/>
      <c r="M135" s="12" t="n"/>
      <c r="N135" s="7" t="inlineStr"/>
      <c r="O135" s="7" t="inlineStr"/>
    </row>
    <row r="136">
      <c r="A136" s="7" t="n">
        <v>651481</v>
      </c>
      <c r="B136" s="10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1" t="n">
        <v>1</v>
      </c>
      <c r="G136" s="11" t="n">
        <v>1</v>
      </c>
      <c r="H136" s="8" t="n">
        <v>3.45</v>
      </c>
      <c r="I136" s="8" t="n">
        <v>3.45</v>
      </c>
      <c r="J136" s="8" t="n"/>
      <c r="K136" s="7" t="inlineStr">
        <is>
          <t>SEM COTAÇÃO</t>
        </is>
      </c>
      <c r="L136" s="8" t="n"/>
      <c r="M136" s="12" t="n"/>
      <c r="N136" s="7" t="inlineStr"/>
      <c r="O136" s="7" t="inlineStr"/>
    </row>
    <row r="137">
      <c r="A137" s="7" t="n">
        <v>651471</v>
      </c>
      <c r="B137" s="10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1" t="n">
        <v>2</v>
      </c>
      <c r="G137" s="11" t="n">
        <v>2</v>
      </c>
      <c r="H137" s="8" t="n">
        <v>3.6815</v>
      </c>
      <c r="I137" s="8" t="n">
        <v>3.579</v>
      </c>
      <c r="J137" s="8" t="n"/>
      <c r="K137" s="7" t="inlineStr">
        <is>
          <t>SEM COTAÇÃO</t>
        </is>
      </c>
      <c r="L137" s="8" t="n"/>
      <c r="M137" s="12" t="n"/>
      <c r="N137" s="7" t="inlineStr"/>
      <c r="O137" s="7" t="inlineStr"/>
    </row>
    <row r="138">
      <c r="A138" s="7" t="n">
        <v>642771</v>
      </c>
      <c r="B138" s="10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1" t="n">
        <v>8</v>
      </c>
      <c r="G138" s="11" t="n">
        <v>8</v>
      </c>
      <c r="H138" s="8" t="n">
        <v>24.86</v>
      </c>
      <c r="I138" s="8" t="n">
        <v>17.3474</v>
      </c>
      <c r="J138" s="8" t="n"/>
      <c r="K138" s="7" t="inlineStr">
        <is>
          <t>SEM COTAÇÃO</t>
        </is>
      </c>
      <c r="L138" s="8" t="n"/>
      <c r="M138" s="12" t="n"/>
      <c r="N138" s="7" t="inlineStr"/>
      <c r="O138" s="7" t="inlineStr"/>
    </row>
    <row r="139">
      <c r="A139" s="7" t="n">
        <v>884</v>
      </c>
      <c r="B139" s="10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1" t="n">
        <v>17</v>
      </c>
      <c r="G139" s="11" t="n">
        <v>17</v>
      </c>
      <c r="H139" s="8" t="n">
        <v>44.79</v>
      </c>
      <c r="I139" s="8" t="n">
        <v>30.3708</v>
      </c>
      <c r="J139" s="8" t="n"/>
      <c r="K139" s="7" t="inlineStr">
        <is>
          <t>SEM COTAÇÃO</t>
        </is>
      </c>
      <c r="L139" s="8" t="n"/>
      <c r="M139" s="12" t="n"/>
      <c r="N139" s="7" t="inlineStr"/>
      <c r="O139" s="7" t="inlineStr"/>
    </row>
    <row r="140">
      <c r="A140" s="7" t="n">
        <v>618571</v>
      </c>
      <c r="B140" s="10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1" t="n">
        <v>1</v>
      </c>
      <c r="G140" s="11" t="n">
        <v>1</v>
      </c>
      <c r="H140" s="8" t="n">
        <v>13.65</v>
      </c>
      <c r="I140" s="8" t="n">
        <v>13.65</v>
      </c>
      <c r="J140" s="8" t="n"/>
      <c r="K140" s="7" t="inlineStr">
        <is>
          <t>SEM COTAÇÃO</t>
        </is>
      </c>
      <c r="L140" s="8" t="n"/>
      <c r="M140" s="12" t="n"/>
      <c r="N140" s="7" t="inlineStr"/>
      <c r="O140" s="7" t="inlineStr"/>
    </row>
    <row r="141">
      <c r="A141" s="7" t="n">
        <v>577801</v>
      </c>
      <c r="B141" s="10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1" t="n">
        <v>3</v>
      </c>
      <c r="G141" s="11" t="n">
        <v>3</v>
      </c>
      <c r="H141" s="8" t="n">
        <v>8.83</v>
      </c>
      <c r="I141" s="8" t="n">
        <v>8.710000000000001</v>
      </c>
      <c r="J141" s="8" t="n"/>
      <c r="K141" s="7" t="inlineStr">
        <is>
          <t>SEM COTAÇÃO</t>
        </is>
      </c>
      <c r="L141" s="8" t="n"/>
      <c r="M141" s="12" t="n"/>
      <c r="N141" s="7" t="inlineStr"/>
      <c r="O141" s="7" t="inlineStr"/>
    </row>
    <row r="142">
      <c r="A142" s="7" t="n">
        <v>1463</v>
      </c>
      <c r="B142" s="10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1" t="n">
        <v>1</v>
      </c>
      <c r="G142" s="11" t="n">
        <v>1</v>
      </c>
      <c r="H142" s="8" t="n">
        <v>8.09</v>
      </c>
      <c r="I142" s="8" t="n">
        <v>8.09</v>
      </c>
      <c r="J142" s="13" t="n">
        <v>8.09</v>
      </c>
      <c r="K142" s="7" t="inlineStr">
        <is>
          <t>DIMEC</t>
        </is>
      </c>
      <c r="L142" s="8" t="n">
        <v>8.09</v>
      </c>
      <c r="M142" s="12">
        <f>L142/H142-1</f>
        <v/>
      </c>
      <c r="N142" s="15" t="inlineStr">
        <is>
          <t>OK (≤ menor hist.)</t>
        </is>
      </c>
      <c r="O142" s="7" t="inlineStr"/>
    </row>
    <row r="143">
      <c r="A143" s="7" t="n">
        <v>538041</v>
      </c>
      <c r="B143" s="10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1" t="n">
        <v>1</v>
      </c>
      <c r="G143" s="11" t="n">
        <v>1</v>
      </c>
      <c r="H143" s="8" t="n">
        <v>12.35</v>
      </c>
      <c r="I143" s="8" t="n">
        <v>12.35</v>
      </c>
      <c r="J143" s="13" t="n">
        <v>12.35</v>
      </c>
      <c r="K143" s="7" t="inlineStr">
        <is>
          <t>DIMEC</t>
        </is>
      </c>
      <c r="L143" s="8" t="n">
        <v>12.35</v>
      </c>
      <c r="M143" s="12">
        <f>L143/H143-1</f>
        <v/>
      </c>
      <c r="N143" s="15" t="inlineStr">
        <is>
          <t>OK (≤ menor hist.)</t>
        </is>
      </c>
      <c r="O143" s="7" t="inlineStr"/>
    </row>
    <row r="144">
      <c r="A144" s="7" t="n">
        <v>457981</v>
      </c>
      <c r="B144" s="10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1" t="n">
        <v>2</v>
      </c>
      <c r="G144" s="11" t="n">
        <v>2</v>
      </c>
      <c r="H144" s="8" t="n">
        <v>12.47</v>
      </c>
      <c r="I144" s="8" t="n">
        <v>12.47</v>
      </c>
      <c r="J144" s="8" t="n"/>
      <c r="K144" s="7" t="inlineStr">
        <is>
          <t>SEM COTAÇÃO</t>
        </is>
      </c>
      <c r="L144" s="8" t="n"/>
      <c r="M144" s="12" t="n"/>
      <c r="N144" s="7" t="inlineStr"/>
      <c r="O144" s="7" t="inlineStr"/>
    </row>
    <row r="145">
      <c r="A145" s="7" t="n">
        <v>659231</v>
      </c>
      <c r="B145" s="10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1" t="n">
        <v>3</v>
      </c>
      <c r="G145" s="11" t="n">
        <v>3</v>
      </c>
      <c r="H145" s="8" t="n">
        <v>3.46</v>
      </c>
      <c r="I145" s="8" t="n">
        <v>3.46</v>
      </c>
      <c r="J145" s="8" t="n"/>
      <c r="K145" s="7" t="inlineStr">
        <is>
          <t>SEM COTAÇÃO</t>
        </is>
      </c>
      <c r="L145" s="8" t="n"/>
      <c r="M145" s="12" t="n"/>
      <c r="N145" s="7" t="inlineStr"/>
      <c r="O145" s="7" t="inlineStr"/>
    </row>
    <row r="146">
      <c r="A146" s="7" t="n">
        <v>659241</v>
      </c>
      <c r="B146" s="10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1" t="n">
        <v>3</v>
      </c>
      <c r="G146" s="11" t="n">
        <v>3</v>
      </c>
      <c r="H146" s="8" t="n">
        <v>3.46</v>
      </c>
      <c r="I146" s="8" t="n">
        <v>3.46</v>
      </c>
      <c r="J146" s="8" t="n"/>
      <c r="K146" s="7" t="inlineStr">
        <is>
          <t>SEM COTAÇÃO</t>
        </is>
      </c>
      <c r="L146" s="8" t="n"/>
      <c r="M146" s="12" t="n"/>
      <c r="N146" s="7" t="inlineStr"/>
      <c r="O146" s="7" t="inlineStr"/>
    </row>
    <row r="147">
      <c r="A147" s="7" t="n">
        <v>659251</v>
      </c>
      <c r="B147" s="10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1" t="n">
        <v>2</v>
      </c>
      <c r="G147" s="11" t="n">
        <v>2</v>
      </c>
      <c r="H147" s="8" t="n">
        <v>3.46</v>
      </c>
      <c r="I147" s="8" t="n">
        <v>3.46</v>
      </c>
      <c r="J147" s="8" t="n"/>
      <c r="K147" s="7" t="inlineStr">
        <is>
          <t>SEM COTAÇÃO</t>
        </is>
      </c>
      <c r="L147" s="8" t="n"/>
      <c r="M147" s="12" t="n"/>
      <c r="N147" s="7" t="inlineStr"/>
      <c r="O147" s="7" t="inlineStr"/>
    </row>
    <row r="148">
      <c r="A148" s="7" t="n">
        <v>662261</v>
      </c>
      <c r="B148" s="10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1" t="n">
        <v>4</v>
      </c>
      <c r="G148" s="11" t="n">
        <v>4</v>
      </c>
      <c r="H148" s="8" t="n">
        <v>2.22</v>
      </c>
      <c r="I148" s="8" t="n">
        <v>2.22</v>
      </c>
      <c r="J148" s="8" t="n"/>
      <c r="K148" s="7" t="inlineStr">
        <is>
          <t>SEM COTAÇÃO</t>
        </is>
      </c>
      <c r="L148" s="8" t="n"/>
      <c r="M148" s="12" t="n"/>
      <c r="N148" s="7" t="inlineStr"/>
      <c r="O148" s="7" t="inlineStr"/>
    </row>
    <row r="149">
      <c r="A149" s="7" t="n">
        <v>532121</v>
      </c>
      <c r="B149" s="10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1" t="n">
        <v>1</v>
      </c>
      <c r="G149" s="11" t="n">
        <v>1</v>
      </c>
      <c r="H149" s="8" t="n">
        <v>2.49</v>
      </c>
      <c r="I149" s="8" t="n">
        <v>2.49</v>
      </c>
      <c r="J149" s="13" t="n">
        <v>2.69</v>
      </c>
      <c r="K149" s="7" t="inlineStr">
        <is>
          <t>DIMEC</t>
        </is>
      </c>
      <c r="L149" s="8" t="n">
        <v>2.69</v>
      </c>
      <c r="M149" s="12">
        <f>L149/H149-1</f>
        <v/>
      </c>
      <c r="N149" s="14" t="inlineStr">
        <is>
          <t>ACIMA +8.0%</t>
        </is>
      </c>
      <c r="O149" s="7" t="inlineStr"/>
    </row>
    <row r="150">
      <c r="A150" s="7" t="n">
        <v>627491</v>
      </c>
      <c r="B150" s="10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1" t="n">
        <v>3</v>
      </c>
      <c r="G150" s="11" t="n">
        <v>3</v>
      </c>
      <c r="H150" s="8" t="n">
        <v>12.8</v>
      </c>
      <c r="I150" s="8" t="n">
        <v>12.8</v>
      </c>
      <c r="J150" s="8" t="n"/>
      <c r="K150" s="7" t="inlineStr">
        <is>
          <t>SEM COTAÇÃO</t>
        </is>
      </c>
      <c r="L150" s="8" t="n"/>
      <c r="M150" s="12" t="n"/>
      <c r="N150" s="7" t="inlineStr"/>
      <c r="O150" s="7" t="inlineStr"/>
    </row>
    <row r="151">
      <c r="A151" s="7" t="n">
        <v>627501</v>
      </c>
      <c r="B151" s="10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1" t="n">
        <v>3</v>
      </c>
      <c r="G151" s="11" t="n">
        <v>3</v>
      </c>
      <c r="H151" s="8" t="n">
        <v>4.8</v>
      </c>
      <c r="I151" s="8" t="n">
        <v>4.3</v>
      </c>
      <c r="J151" s="8" t="n"/>
      <c r="K151" s="7" t="inlineStr">
        <is>
          <t>SEM COTAÇÃO</t>
        </is>
      </c>
      <c r="L151" s="8" t="n"/>
      <c r="M151" s="12" t="n"/>
      <c r="N151" s="7" t="inlineStr"/>
      <c r="O151" s="7" t="inlineStr"/>
    </row>
    <row r="152">
      <c r="A152" s="7" t="n">
        <v>541181</v>
      </c>
      <c r="B152" s="10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1" t="n">
        <v>2</v>
      </c>
      <c r="G152" s="11" t="n">
        <v>2</v>
      </c>
      <c r="H152" s="8" t="n">
        <v>5.06</v>
      </c>
      <c r="I152" s="8" t="n">
        <v>5.06</v>
      </c>
      <c r="J152" s="13" t="n">
        <v>5.06</v>
      </c>
      <c r="K152" s="7" t="inlineStr">
        <is>
          <t>DIMEC</t>
        </is>
      </c>
      <c r="L152" s="8" t="n">
        <v>5.06</v>
      </c>
      <c r="M152" s="12">
        <f>L152/H152-1</f>
        <v/>
      </c>
      <c r="N152" s="15" t="inlineStr">
        <is>
          <t>OK (≤ menor hist.)</t>
        </is>
      </c>
      <c r="O152" s="7" t="inlineStr"/>
    </row>
    <row r="153">
      <c r="A153" s="7" t="n">
        <v>618971</v>
      </c>
      <c r="B153" s="10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1" t="n">
        <v>7</v>
      </c>
      <c r="G153" s="11" t="n">
        <v>7</v>
      </c>
      <c r="H153" s="8" t="n">
        <v>11.95</v>
      </c>
      <c r="I153" s="8" t="n">
        <v>10.05</v>
      </c>
      <c r="J153" s="13" t="n">
        <v>10.73</v>
      </c>
      <c r="K153" s="7" t="inlineStr">
        <is>
          <t>DIMEC</t>
        </is>
      </c>
      <c r="L153" s="8" t="n">
        <v>10.73</v>
      </c>
      <c r="M153" s="12">
        <f>L153/H153-1</f>
        <v/>
      </c>
      <c r="N153" s="15" t="inlineStr">
        <is>
          <t>OK (≤ últ. compra)</t>
        </is>
      </c>
      <c r="O153" s="7" t="inlineStr"/>
    </row>
    <row r="154">
      <c r="A154" s="7" t="n">
        <v>647221</v>
      </c>
      <c r="B154" s="10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1" t="n">
        <v>3</v>
      </c>
      <c r="G154" s="11" t="n">
        <v>3</v>
      </c>
      <c r="H154" s="8" t="n">
        <v>22.12</v>
      </c>
      <c r="I154" s="8" t="n">
        <v>22.12</v>
      </c>
      <c r="J154" s="13" t="n">
        <v>22.17</v>
      </c>
      <c r="K154" s="7" t="inlineStr">
        <is>
          <t>DIMEC</t>
        </is>
      </c>
      <c r="L154" s="8" t="n">
        <v>22.17</v>
      </c>
      <c r="M154" s="12">
        <f>L154/H154-1</f>
        <v/>
      </c>
      <c r="N154" s="14" t="inlineStr">
        <is>
          <t>ACIMA +0.2%</t>
        </is>
      </c>
      <c r="O154" s="7" t="inlineStr"/>
    </row>
    <row r="155">
      <c r="A155" s="7" t="n">
        <v>584341</v>
      </c>
      <c r="B155" s="10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1" t="n">
        <v>22</v>
      </c>
      <c r="G155" s="11" t="n">
        <v>22</v>
      </c>
      <c r="H155" s="8" t="n">
        <v>11.36</v>
      </c>
      <c r="I155" s="8" t="n">
        <v>11.36</v>
      </c>
      <c r="J155" s="13" t="n">
        <v>14.39</v>
      </c>
      <c r="K155" s="7" t="inlineStr">
        <is>
          <t>DIMEC</t>
        </is>
      </c>
      <c r="L155" s="8" t="n">
        <v>14.39</v>
      </c>
      <c r="M155" s="12">
        <f>L155/H155-1</f>
        <v/>
      </c>
      <c r="N155" s="14" t="inlineStr">
        <is>
          <t>ACIMA +26.7%</t>
        </is>
      </c>
      <c r="O155" s="7" t="inlineStr"/>
    </row>
    <row r="156">
      <c r="A156" s="7" t="n">
        <v>5033</v>
      </c>
      <c r="B156" s="10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1" t="n">
        <v>25</v>
      </c>
      <c r="G156" s="11" t="n">
        <v>25</v>
      </c>
      <c r="H156" s="8" t="n"/>
      <c r="I156" s="8" t="n"/>
      <c r="J156" s="8" t="n"/>
      <c r="K156" s="7" t="inlineStr">
        <is>
          <t>SEM COTAÇÃO</t>
        </is>
      </c>
      <c r="L156" s="8" t="n"/>
      <c r="M156" s="12" t="n"/>
      <c r="N156" s="7" t="inlineStr"/>
      <c r="O156" s="7" t="inlineStr"/>
    </row>
    <row r="157">
      <c r="A157" s="7" t="n">
        <v>607731</v>
      </c>
      <c r="B157" s="10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1" t="n">
        <v>16</v>
      </c>
      <c r="G157" s="11" t="n">
        <v>16</v>
      </c>
      <c r="H157" s="8" t="n">
        <v>1.31</v>
      </c>
      <c r="I157" s="8" t="n">
        <v>1.24</v>
      </c>
      <c r="J157" s="8" t="n"/>
      <c r="K157" s="7" t="inlineStr">
        <is>
          <t>SEM COTAÇÃO</t>
        </is>
      </c>
      <c r="L157" s="8" t="n"/>
      <c r="M157" s="12" t="n"/>
      <c r="N157" s="7" t="inlineStr"/>
      <c r="O157" s="7" t="inlineStr"/>
    </row>
    <row r="158">
      <c r="A158" s="7" t="n">
        <v>693</v>
      </c>
      <c r="B158" s="10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1" t="n">
        <v>1</v>
      </c>
      <c r="G158" s="11" t="n">
        <v>1</v>
      </c>
      <c r="H158" s="8" t="n">
        <v>1.3333</v>
      </c>
      <c r="I158" s="8" t="n">
        <v>1.3333</v>
      </c>
      <c r="J158" s="8" t="n"/>
      <c r="K158" s="7" t="inlineStr">
        <is>
          <t>SEM COTAÇÃO</t>
        </is>
      </c>
      <c r="L158" s="8" t="n"/>
      <c r="M158" s="12" t="n"/>
      <c r="N158" s="7" t="inlineStr"/>
      <c r="O158" s="7" t="inlineStr"/>
    </row>
    <row r="159">
      <c r="A159" s="7" t="n">
        <v>34403</v>
      </c>
      <c r="B159" s="10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1" t="n">
        <v>11</v>
      </c>
      <c r="G159" s="11" t="n">
        <v>11</v>
      </c>
      <c r="H159" s="8" t="n">
        <v>1.24</v>
      </c>
      <c r="I159" s="8" t="n">
        <v>1.24</v>
      </c>
      <c r="J159" s="8" t="n"/>
      <c r="K159" s="7" t="inlineStr">
        <is>
          <t>SEM COTAÇÃO</t>
        </is>
      </c>
      <c r="L159" s="8" t="n"/>
      <c r="M159" s="12" t="n"/>
      <c r="N159" s="7" t="inlineStr"/>
      <c r="O159" s="7" t="inlineStr"/>
    </row>
    <row r="160">
      <c r="A160" s="7" t="n">
        <v>2743</v>
      </c>
      <c r="B160" s="10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1" t="n">
        <v>1</v>
      </c>
      <c r="G160" s="11" t="n">
        <v>1</v>
      </c>
      <c r="H160" s="8" t="n"/>
      <c r="I160" s="8" t="n"/>
      <c r="J160" s="8" t="n"/>
      <c r="K160" s="7" t="inlineStr">
        <is>
          <t>SEM COTAÇÃO</t>
        </is>
      </c>
      <c r="L160" s="8" t="n"/>
      <c r="M160" s="12" t="n"/>
      <c r="N160" s="7" t="inlineStr"/>
      <c r="O160" s="7" t="inlineStr"/>
    </row>
    <row r="161">
      <c r="A161" s="7" t="n">
        <v>53</v>
      </c>
      <c r="B161" s="10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1" t="n">
        <v>9</v>
      </c>
      <c r="G161" s="11" t="n">
        <v>9</v>
      </c>
      <c r="H161" s="8" t="n">
        <v>1.59</v>
      </c>
      <c r="I161" s="8" t="n">
        <v>1.59</v>
      </c>
      <c r="J161" s="8" t="n"/>
      <c r="K161" s="7" t="inlineStr">
        <is>
          <t>SEM COTAÇÃO</t>
        </is>
      </c>
      <c r="L161" s="8" t="n"/>
      <c r="M161" s="12" t="n"/>
      <c r="N161" s="7" t="inlineStr"/>
      <c r="O161" s="7" t="inlineStr"/>
    </row>
    <row r="162">
      <c r="A162" s="7" t="n">
        <v>3423</v>
      </c>
      <c r="B162" s="10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1" t="n">
        <v>1</v>
      </c>
      <c r="G162" s="11" t="n">
        <v>1</v>
      </c>
      <c r="H162" s="8" t="n">
        <v>0.0307</v>
      </c>
      <c r="I162" s="8" t="n">
        <v>0.0307</v>
      </c>
      <c r="J162" s="8" t="n"/>
      <c r="K162" s="7" t="inlineStr">
        <is>
          <t>SEM COTAÇÃO</t>
        </is>
      </c>
      <c r="L162" s="8" t="n"/>
      <c r="M162" s="12" t="n"/>
      <c r="N162" s="7" t="inlineStr"/>
      <c r="O162" s="7" t="inlineStr"/>
    </row>
    <row r="163">
      <c r="A163" s="7" t="n">
        <v>1153</v>
      </c>
      <c r="B163" s="10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1" t="n">
        <v>61</v>
      </c>
      <c r="G163" s="11" t="n">
        <v>61</v>
      </c>
      <c r="H163" s="8" t="n">
        <v>11.88</v>
      </c>
      <c r="I163" s="8" t="n">
        <v>11.88</v>
      </c>
      <c r="J163" s="8" t="n"/>
      <c r="K163" s="7" t="inlineStr">
        <is>
          <t>SEM COTAÇÃO</t>
        </is>
      </c>
      <c r="L163" s="8" t="n"/>
      <c r="M163" s="12" t="n"/>
      <c r="N163" s="7" t="inlineStr"/>
      <c r="O163" s="7" t="inlineStr"/>
    </row>
    <row r="164">
      <c r="A164" s="7" t="n">
        <v>2753</v>
      </c>
      <c r="B164" s="10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1" t="n">
        <v>1</v>
      </c>
      <c r="G164" s="11" t="n">
        <v>1</v>
      </c>
      <c r="H164" s="8" t="n"/>
      <c r="I164" s="8" t="n"/>
      <c r="J164" s="8" t="n"/>
      <c r="K164" s="7" t="inlineStr">
        <is>
          <t>SEM COTAÇÃO</t>
        </is>
      </c>
      <c r="L164" s="8" t="n"/>
      <c r="M164" s="12" t="n"/>
      <c r="N164" s="7" t="inlineStr"/>
      <c r="O164" s="7" t="inlineStr"/>
    </row>
    <row r="165">
      <c r="A165" s="7" t="n">
        <v>703</v>
      </c>
      <c r="B165" s="10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1" t="n">
        <v>10</v>
      </c>
      <c r="G165" s="11" t="n">
        <v>56</v>
      </c>
      <c r="H165" s="8" t="n">
        <v>1.9</v>
      </c>
      <c r="I165" s="8" t="n">
        <v>1.9</v>
      </c>
      <c r="J165" s="8" t="n"/>
      <c r="K165" s="7" t="inlineStr">
        <is>
          <t>SEM COTAÇÃO</t>
        </is>
      </c>
      <c r="L165" s="8" t="n"/>
      <c r="M165" s="12" t="n"/>
      <c r="N165" s="7" t="inlineStr"/>
      <c r="O165" s="7" t="inlineStr"/>
    </row>
    <row r="166">
      <c r="A166" s="7" t="n">
        <v>583541</v>
      </c>
      <c r="B166" s="10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1" t="n">
        <v>13</v>
      </c>
      <c r="G166" s="11" t="n">
        <v>148</v>
      </c>
      <c r="H166" s="8" t="n">
        <v>0.98</v>
      </c>
      <c r="I166" s="8" t="n">
        <v>0.98</v>
      </c>
      <c r="J166" s="8" t="n"/>
      <c r="K166" s="7" t="inlineStr">
        <is>
          <t>SEM COTAÇÃO</t>
        </is>
      </c>
      <c r="L166" s="8" t="n"/>
      <c r="M166" s="12" t="n"/>
      <c r="N166" s="7" t="inlineStr"/>
      <c r="O166" s="7" t="inlineStr"/>
    </row>
    <row r="167">
      <c r="A167" s="7" t="n">
        <v>2913</v>
      </c>
      <c r="B167" s="10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1" t="n">
        <v>2</v>
      </c>
      <c r="G167" s="11" t="n">
        <v>2</v>
      </c>
      <c r="H167" s="8" t="n">
        <v>1.65</v>
      </c>
      <c r="I167" s="8" t="n">
        <v>1.65</v>
      </c>
      <c r="J167" s="8" t="n"/>
      <c r="K167" s="7" t="inlineStr">
        <is>
          <t>SEM COTAÇÃO</t>
        </is>
      </c>
      <c r="L167" s="8" t="n"/>
      <c r="M167" s="12" t="n"/>
      <c r="N167" s="7" t="inlineStr"/>
      <c r="O167" s="7" t="inlineStr"/>
    </row>
    <row r="168">
      <c r="A168" s="7" t="n">
        <v>588731</v>
      </c>
      <c r="B168" s="10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1" t="n">
        <v>3</v>
      </c>
      <c r="G168" s="11" t="n">
        <v>35</v>
      </c>
      <c r="H168" s="8" t="n">
        <v>0.8</v>
      </c>
      <c r="I168" s="8" t="n">
        <v>0.8</v>
      </c>
      <c r="J168" s="8" t="n"/>
      <c r="K168" s="7" t="inlineStr">
        <is>
          <t>SEM COTAÇÃO</t>
        </is>
      </c>
      <c r="L168" s="8" t="n"/>
      <c r="M168" s="12" t="n"/>
      <c r="N168" s="7" t="inlineStr"/>
      <c r="O168" s="7" t="inlineStr"/>
    </row>
    <row r="169">
      <c r="A169" s="7" t="n">
        <v>635991</v>
      </c>
      <c r="B169" s="10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1" t="n">
        <v>1</v>
      </c>
      <c r="G169" s="11" t="n">
        <v>1</v>
      </c>
      <c r="H169" s="8" t="n">
        <v>1.62</v>
      </c>
      <c r="I169" s="8" t="n">
        <v>1.62</v>
      </c>
      <c r="J169" s="8" t="n"/>
      <c r="K169" s="7" t="inlineStr">
        <is>
          <t>SEM COTAÇÃO</t>
        </is>
      </c>
      <c r="L169" s="8" t="n"/>
      <c r="M169" s="12" t="n"/>
      <c r="N169" s="7" t="inlineStr"/>
      <c r="O169" s="7" t="inlineStr"/>
    </row>
    <row r="170">
      <c r="A170" s="7" t="n">
        <v>640881</v>
      </c>
      <c r="B170" s="10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1" t="n">
        <v>1</v>
      </c>
      <c r="G170" s="11" t="n">
        <v>1</v>
      </c>
      <c r="H170" s="8" t="n">
        <v>1.62</v>
      </c>
      <c r="I170" s="8" t="n">
        <v>1.62</v>
      </c>
      <c r="J170" s="8" t="n"/>
      <c r="K170" s="7" t="inlineStr">
        <is>
          <t>SEM COTAÇÃO</t>
        </is>
      </c>
      <c r="L170" s="8" t="n"/>
      <c r="M170" s="12" t="n"/>
      <c r="N170" s="7" t="inlineStr"/>
      <c r="O170" s="7" t="inlineStr"/>
    </row>
    <row r="171">
      <c r="A171" s="7" t="n">
        <v>640891</v>
      </c>
      <c r="B171" s="10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1" t="n">
        <v>1</v>
      </c>
      <c r="G171" s="11" t="n">
        <v>1</v>
      </c>
      <c r="H171" s="8" t="n">
        <v>1.62</v>
      </c>
      <c r="I171" s="8" t="n">
        <v>1.62</v>
      </c>
      <c r="J171" s="8" t="n"/>
      <c r="K171" s="7" t="inlineStr">
        <is>
          <t>SEM COTAÇÃO</t>
        </is>
      </c>
      <c r="L171" s="8" t="n"/>
      <c r="M171" s="12" t="n"/>
      <c r="N171" s="7" t="inlineStr"/>
      <c r="O171" s="7" t="inlineStr"/>
    </row>
    <row r="172">
      <c r="A172" s="7" t="n">
        <v>657951</v>
      </c>
      <c r="B172" s="10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1" t="n">
        <v>1</v>
      </c>
      <c r="G172" s="11" t="n">
        <v>1</v>
      </c>
      <c r="H172" s="8" t="n">
        <v>2.22</v>
      </c>
      <c r="I172" s="8" t="n">
        <v>2.22</v>
      </c>
      <c r="J172" s="8" t="n"/>
      <c r="K172" s="7" t="inlineStr">
        <is>
          <t>SEM COTAÇÃO</t>
        </is>
      </c>
      <c r="L172" s="8" t="n"/>
      <c r="M172" s="12" t="n"/>
      <c r="N172" s="7" t="inlineStr"/>
      <c r="O172" s="7" t="inlineStr"/>
    </row>
    <row r="173">
      <c r="A173" s="7" t="n">
        <v>631411</v>
      </c>
      <c r="B173" s="10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1" t="n">
        <v>1</v>
      </c>
      <c r="G173" s="11" t="n">
        <v>1</v>
      </c>
      <c r="H173" s="8" t="n">
        <v>1.65</v>
      </c>
      <c r="I173" s="8" t="n">
        <v>1.65</v>
      </c>
      <c r="J173" s="8" t="n"/>
      <c r="K173" s="7" t="inlineStr">
        <is>
          <t>SEM COTAÇÃO</t>
        </is>
      </c>
      <c r="L173" s="8" t="n"/>
      <c r="M173" s="12" t="n"/>
      <c r="N173" s="7" t="inlineStr"/>
      <c r="O173" s="7" t="inlineStr"/>
    </row>
    <row r="174">
      <c r="A174" s="7" t="n">
        <v>599801</v>
      </c>
      <c r="B174" s="10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1" t="n">
        <v>10</v>
      </c>
      <c r="G174" s="11" t="n">
        <v>10</v>
      </c>
      <c r="H174" s="8" t="n">
        <v>2</v>
      </c>
      <c r="I174" s="8" t="n">
        <v>2</v>
      </c>
      <c r="J174" s="8" t="n"/>
      <c r="K174" s="7" t="inlineStr">
        <is>
          <t>SEM COTAÇÃO</t>
        </is>
      </c>
      <c r="L174" s="8" t="n"/>
      <c r="M174" s="12" t="n"/>
      <c r="N174" s="7" t="inlineStr"/>
      <c r="O174" s="7" t="inlineStr"/>
    </row>
    <row r="175">
      <c r="A175" s="7" t="n">
        <v>532161</v>
      </c>
      <c r="B175" s="10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1" t="n">
        <v>45</v>
      </c>
      <c r="G175" s="11" t="n">
        <v>45</v>
      </c>
      <c r="H175" s="8" t="n">
        <v>2.35</v>
      </c>
      <c r="I175" s="8" t="n">
        <v>2.18</v>
      </c>
      <c r="J175" s="13" t="n">
        <v>2.69</v>
      </c>
      <c r="K175" s="7" t="inlineStr">
        <is>
          <t>DIMEC</t>
        </is>
      </c>
      <c r="L175" s="8" t="n">
        <v>2.69</v>
      </c>
      <c r="M175" s="12">
        <f>L175/H175-1</f>
        <v/>
      </c>
      <c r="N175" s="14" t="inlineStr">
        <is>
          <t>ACIMA +14.5%</t>
        </is>
      </c>
      <c r="O175" s="7" t="inlineStr"/>
    </row>
    <row r="176">
      <c r="A176" s="7" t="n">
        <v>674721</v>
      </c>
      <c r="B176" s="10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1" t="n">
        <v>5</v>
      </c>
      <c r="G176" s="11" t="n">
        <v>5</v>
      </c>
      <c r="H176" s="8" t="n">
        <v>1.97</v>
      </c>
      <c r="I176" s="8" t="n">
        <v>1.97</v>
      </c>
      <c r="J176" s="8" t="n"/>
      <c r="K176" s="7" t="inlineStr">
        <is>
          <t>SEM COTAÇÃO</t>
        </is>
      </c>
      <c r="L176" s="8" t="n"/>
      <c r="M176" s="12" t="n"/>
      <c r="N176" s="7" t="inlineStr"/>
      <c r="O176" s="7" t="inlineStr"/>
    </row>
    <row r="177">
      <c r="A177" s="7" t="n">
        <v>534741</v>
      </c>
      <c r="B177" s="10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1" t="n">
        <v>16</v>
      </c>
      <c r="G177" s="11" t="n">
        <v>16</v>
      </c>
      <c r="H177" s="8" t="n">
        <v>1.84</v>
      </c>
      <c r="I177" s="8" t="n">
        <v>1.5367</v>
      </c>
      <c r="J177" s="8" t="n"/>
      <c r="K177" s="7" t="inlineStr">
        <is>
          <t>SEM COTAÇÃO</t>
        </is>
      </c>
      <c r="L177" s="8" t="n"/>
      <c r="M177" s="12" t="n"/>
      <c r="N177" s="7" t="inlineStr"/>
      <c r="O177" s="7" t="inlineStr"/>
    </row>
    <row r="178">
      <c r="A178" s="7" t="n">
        <v>534761</v>
      </c>
      <c r="B178" s="10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1" t="n">
        <v>2</v>
      </c>
      <c r="G178" s="11" t="n">
        <v>2</v>
      </c>
      <c r="H178" s="8" t="n">
        <v>1.95</v>
      </c>
      <c r="I178" s="8" t="n">
        <v>1.95</v>
      </c>
      <c r="J178" s="13" t="n">
        <v>2.42</v>
      </c>
      <c r="K178" s="7" t="inlineStr">
        <is>
          <t>DIMEC</t>
        </is>
      </c>
      <c r="L178" s="8" t="n">
        <v>2.42</v>
      </c>
      <c r="M178" s="12">
        <f>L178/H178-1</f>
        <v/>
      </c>
      <c r="N178" s="14" t="inlineStr">
        <is>
          <t>ACIMA +24.1%</t>
        </is>
      </c>
      <c r="O178" s="7" t="inlineStr"/>
    </row>
    <row r="179">
      <c r="A179" s="7" t="n">
        <v>534701</v>
      </c>
      <c r="B179" s="10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1" t="n">
        <v>4</v>
      </c>
      <c r="G179" s="11" t="n">
        <v>4</v>
      </c>
      <c r="H179" s="8" t="n">
        <v>1.65</v>
      </c>
      <c r="I179" s="8" t="n">
        <v>1.65</v>
      </c>
      <c r="J179" s="8" t="n"/>
      <c r="K179" s="7" t="inlineStr">
        <is>
          <t>SEM COTAÇÃO</t>
        </is>
      </c>
      <c r="L179" s="8" t="n"/>
      <c r="M179" s="12" t="n"/>
      <c r="N179" s="7" t="inlineStr"/>
      <c r="O179" s="7" t="inlineStr"/>
    </row>
    <row r="180">
      <c r="A180" s="7" t="n">
        <v>547721</v>
      </c>
      <c r="B180" s="10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1" t="n">
        <v>39</v>
      </c>
      <c r="G180" s="11" t="n">
        <v>39</v>
      </c>
      <c r="H180" s="8" t="n">
        <v>2.37</v>
      </c>
      <c r="I180" s="8" t="n">
        <v>1.9</v>
      </c>
      <c r="J180" s="13" t="n">
        <v>2.4</v>
      </c>
      <c r="K180" s="7" t="inlineStr">
        <is>
          <t>DIMEC</t>
        </is>
      </c>
      <c r="L180" s="8" t="n">
        <v>2.4</v>
      </c>
      <c r="M180" s="12">
        <f>L180/H180-1</f>
        <v/>
      </c>
      <c r="N180" s="14" t="inlineStr">
        <is>
          <t>ACIMA +1.3%</t>
        </is>
      </c>
      <c r="O180" s="7" t="inlineStr"/>
    </row>
    <row r="181">
      <c r="A181" s="7" t="n">
        <v>651171</v>
      </c>
      <c r="B181" s="10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1" t="n">
        <v>1</v>
      </c>
      <c r="G181" s="11" t="n">
        <v>1</v>
      </c>
      <c r="H181" s="8" t="n">
        <v>8.09</v>
      </c>
      <c r="I181" s="8" t="n">
        <v>8.09</v>
      </c>
      <c r="J181" s="13" t="n">
        <v>8.119999999999999</v>
      </c>
      <c r="K181" s="7" t="inlineStr">
        <is>
          <t>DIMEC</t>
        </is>
      </c>
      <c r="L181" s="8" t="n">
        <v>8.119999999999999</v>
      </c>
      <c r="M181" s="12">
        <f>L181/H181-1</f>
        <v/>
      </c>
      <c r="N181" s="14" t="inlineStr">
        <is>
          <t>ACIMA +0.4%</t>
        </is>
      </c>
      <c r="O181" s="7" t="inlineStr"/>
    </row>
    <row r="182">
      <c r="A182" s="7" t="n">
        <v>532201</v>
      </c>
      <c r="B182" s="10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1" t="n">
        <v>3</v>
      </c>
      <c r="G182" s="11" t="n">
        <v>3</v>
      </c>
      <c r="H182" s="8" t="n">
        <v>2.4</v>
      </c>
      <c r="I182" s="8" t="n">
        <v>2.38</v>
      </c>
      <c r="J182" s="13" t="n">
        <v>2.4</v>
      </c>
      <c r="K182" s="7" t="inlineStr">
        <is>
          <t>DIMEC</t>
        </is>
      </c>
      <c r="L182" s="8" t="n">
        <v>2.4</v>
      </c>
      <c r="M182" s="12">
        <f>L182/H182-1</f>
        <v/>
      </c>
      <c r="N182" s="15" t="inlineStr">
        <is>
          <t>OK (≤ últ. compra)</t>
        </is>
      </c>
      <c r="O182" s="7" t="inlineStr"/>
    </row>
    <row r="183">
      <c r="A183" s="7" t="n">
        <v>602681</v>
      </c>
      <c r="B183" s="10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1" t="n">
        <v>2</v>
      </c>
      <c r="G183" s="11" t="n">
        <v>2</v>
      </c>
      <c r="H183" s="8" t="n">
        <v>0.1633</v>
      </c>
      <c r="I183" s="8" t="n">
        <v>0.1633</v>
      </c>
      <c r="J183" s="8" t="n"/>
      <c r="K183" s="7" t="inlineStr">
        <is>
          <t>SEM COTAÇÃO</t>
        </is>
      </c>
      <c r="L183" s="8" t="n"/>
      <c r="M183" s="12" t="n"/>
      <c r="N183" s="7" t="inlineStr"/>
      <c r="O183" s="7" t="inlineStr"/>
    </row>
    <row r="184">
      <c r="A184" s="7" t="n">
        <v>666871</v>
      </c>
      <c r="B184" s="10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1" t="n">
        <v>13</v>
      </c>
      <c r="G184" s="11" t="n">
        <v>13</v>
      </c>
      <c r="H184" s="8" t="n"/>
      <c r="I184" s="8" t="n"/>
      <c r="J184" s="8" t="n"/>
      <c r="K184" s="7" t="inlineStr">
        <is>
          <t>SEM COTAÇÃO</t>
        </is>
      </c>
      <c r="L184" s="8" t="n"/>
      <c r="M184" s="12" t="n"/>
      <c r="N184" s="7" t="inlineStr"/>
      <c r="O184" s="7" t="inlineStr"/>
    </row>
    <row r="185">
      <c r="A185" s="7" t="n">
        <v>666861</v>
      </c>
      <c r="B185" s="10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1" t="n">
        <v>4</v>
      </c>
      <c r="G185" s="11" t="n">
        <v>4</v>
      </c>
      <c r="H185" s="8" t="n"/>
      <c r="I185" s="8" t="n"/>
      <c r="J185" s="8" t="n"/>
      <c r="K185" s="7" t="inlineStr">
        <is>
          <t>SEM COTAÇÃO</t>
        </is>
      </c>
      <c r="L185" s="8" t="n"/>
      <c r="M185" s="12" t="n"/>
      <c r="N185" s="7" t="inlineStr"/>
      <c r="O185" s="7" t="inlineStr"/>
    </row>
    <row r="186">
      <c r="A186" s="7" t="n">
        <v>578641</v>
      </c>
      <c r="B186" s="10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1" t="n">
        <v>1</v>
      </c>
      <c r="G186" s="11" t="n">
        <v>1</v>
      </c>
      <c r="H186" s="8" t="n"/>
      <c r="I186" s="8" t="n"/>
      <c r="J186" s="8" t="n"/>
      <c r="K186" s="7" t="inlineStr">
        <is>
          <t>SEM COTAÇÃO</t>
        </is>
      </c>
      <c r="L186" s="8" t="n"/>
      <c r="M186" s="12" t="n"/>
      <c r="N186" s="7" t="inlineStr"/>
      <c r="O186" s="7" t="inlineStr"/>
    </row>
    <row r="187">
      <c r="A187" s="7" t="n">
        <v>578621</v>
      </c>
      <c r="B187" s="10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1" t="n">
        <v>1</v>
      </c>
      <c r="G187" s="11" t="n">
        <v>73</v>
      </c>
      <c r="H187" s="8" t="n">
        <v>0.1234</v>
      </c>
      <c r="I187" s="8" t="n">
        <v>0.1234</v>
      </c>
      <c r="J187" s="13" t="n">
        <v>0.116</v>
      </c>
      <c r="K187" s="7" t="inlineStr">
        <is>
          <t>DIMEC</t>
        </is>
      </c>
      <c r="L187" s="8" t="n">
        <v>0.116</v>
      </c>
      <c r="M187" s="12">
        <f>L187/H187-1</f>
        <v/>
      </c>
      <c r="N187" s="15" t="inlineStr">
        <is>
          <t>OK (≤ menor hist.)</t>
        </is>
      </c>
      <c r="O187" s="7" t="inlineStr">
        <is>
          <t>DIMEC: 1 emb = 100 un</t>
        </is>
      </c>
    </row>
    <row r="188">
      <c r="A188" s="7" t="n">
        <v>553701</v>
      </c>
      <c r="B188" s="10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1" t="n">
        <v>3</v>
      </c>
      <c r="G188" s="11" t="n">
        <v>3</v>
      </c>
      <c r="H188" s="8" t="n">
        <v>0.15</v>
      </c>
      <c r="I188" s="8" t="n">
        <v>0.15</v>
      </c>
      <c r="J188" s="13" t="n">
        <v>0.1142</v>
      </c>
      <c r="K188" s="7" t="inlineStr">
        <is>
          <t>DIMEC</t>
        </is>
      </c>
      <c r="L188" s="8" t="n">
        <v>0.1142</v>
      </c>
      <c r="M188" s="12">
        <f>L188/H188-1</f>
        <v/>
      </c>
      <c r="N188" s="15" t="inlineStr">
        <is>
          <t>OK (≤ menor hist.)</t>
        </is>
      </c>
      <c r="O188" s="7" t="inlineStr">
        <is>
          <t>DIMEC: 1 emb = 100 un</t>
        </is>
      </c>
    </row>
    <row r="189">
      <c r="A189" s="7" t="n">
        <v>607261</v>
      </c>
      <c r="B189" s="10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1" t="n">
        <v>36</v>
      </c>
      <c r="G189" s="11" t="n">
        <v>36</v>
      </c>
      <c r="H189" s="8" t="n">
        <v>18.2</v>
      </c>
      <c r="I189" s="8" t="n">
        <v>0.14</v>
      </c>
      <c r="J189" s="8" t="n"/>
      <c r="K189" s="7" t="inlineStr">
        <is>
          <t>SEM COTAÇÃO</t>
        </is>
      </c>
      <c r="L189" s="8" t="n"/>
      <c r="M189" s="12" t="n"/>
      <c r="N189" s="7" t="inlineStr"/>
      <c r="O189" s="7" t="inlineStr"/>
    </row>
    <row r="190">
      <c r="A190" s="7" t="n">
        <v>4133</v>
      </c>
      <c r="B190" s="10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1" t="n">
        <v>1</v>
      </c>
      <c r="G190" s="11" t="n">
        <v>1</v>
      </c>
      <c r="H190" s="8" t="n">
        <v>15.6</v>
      </c>
      <c r="I190" s="8" t="n">
        <v>15.6</v>
      </c>
      <c r="J190" s="8" t="n"/>
      <c r="K190" s="7" t="inlineStr">
        <is>
          <t>SEM COTAÇÃO</t>
        </is>
      </c>
      <c r="L190" s="8" t="n"/>
      <c r="M190" s="12" t="n"/>
      <c r="N190" s="7" t="inlineStr"/>
      <c r="O190" s="7" t="inlineStr"/>
    </row>
    <row r="191">
      <c r="A191" s="7" t="n">
        <v>558201</v>
      </c>
      <c r="B191" s="10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1" t="n">
        <v>1</v>
      </c>
      <c r="G191" s="11" t="n">
        <v>1</v>
      </c>
      <c r="H191" s="8" t="n"/>
      <c r="I191" s="8" t="n"/>
      <c r="J191" s="8" t="n"/>
      <c r="K191" s="7" t="inlineStr">
        <is>
          <t>SEM COTAÇÃO</t>
        </is>
      </c>
      <c r="L191" s="8" t="n"/>
      <c r="M191" s="12" t="n"/>
      <c r="N191" s="7" t="inlineStr"/>
      <c r="O191" s="7" t="inlineStr"/>
    </row>
    <row r="192">
      <c r="A192" s="7" t="n">
        <v>864</v>
      </c>
      <c r="B192" s="10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1" t="n">
        <v>7</v>
      </c>
      <c r="G192" s="11" t="n">
        <v>7</v>
      </c>
      <c r="H192" s="8" t="n"/>
      <c r="I192" s="8" t="n"/>
      <c r="J192" s="8" t="n"/>
      <c r="K192" s="7" t="inlineStr">
        <is>
          <t>SEM COTAÇÃO</t>
        </is>
      </c>
      <c r="L192" s="8" t="n"/>
      <c r="M192" s="12" t="n"/>
      <c r="N192" s="7" t="inlineStr"/>
      <c r="O192" s="7" t="inlineStr"/>
    </row>
    <row r="193">
      <c r="A193" s="7" t="n">
        <v>565141</v>
      </c>
      <c r="B193" s="10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1" t="n">
        <v>1</v>
      </c>
      <c r="G193" s="11" t="n">
        <v>1</v>
      </c>
      <c r="H193" s="8" t="n"/>
      <c r="I193" s="8" t="n"/>
      <c r="J193" s="8" t="n"/>
      <c r="K193" s="7" t="inlineStr">
        <is>
          <t>SEM COTAÇÃO</t>
        </is>
      </c>
      <c r="L193" s="8" t="n"/>
      <c r="M193" s="12" t="n"/>
      <c r="N193" s="7" t="inlineStr"/>
      <c r="O193" s="7" t="inlineStr"/>
    </row>
    <row r="194">
      <c r="A194" s="7" t="n">
        <v>634141</v>
      </c>
      <c r="B194" s="10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1" t="n">
        <v>1</v>
      </c>
      <c r="G194" s="11" t="n">
        <v>9</v>
      </c>
      <c r="H194" s="8" t="n">
        <v>0.1699</v>
      </c>
      <c r="I194" s="8" t="n">
        <v>0.1699</v>
      </c>
      <c r="J194" s="8" t="n"/>
      <c r="K194" s="7" t="inlineStr">
        <is>
          <t>SEM COTAÇÃO</t>
        </is>
      </c>
      <c r="L194" s="8" t="n"/>
      <c r="M194" s="12" t="n"/>
      <c r="N194" s="7" t="inlineStr"/>
      <c r="O194" s="7" t="inlineStr"/>
    </row>
    <row r="195">
      <c r="A195" s="7" t="n">
        <v>854</v>
      </c>
      <c r="B195" s="10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1" t="n">
        <v>1</v>
      </c>
      <c r="G195" s="11" t="n">
        <v>7</v>
      </c>
      <c r="H195" s="8" t="n"/>
      <c r="I195" s="8" t="n"/>
      <c r="J195" s="8" t="n"/>
      <c r="K195" s="7" t="inlineStr">
        <is>
          <t>SEM COTAÇÃO</t>
        </is>
      </c>
      <c r="L195" s="8" t="n"/>
      <c r="M195" s="12" t="n"/>
      <c r="N195" s="7" t="inlineStr"/>
      <c r="O195" s="7" t="inlineStr"/>
    </row>
    <row r="196">
      <c r="A196" s="7" t="n">
        <v>631571</v>
      </c>
      <c r="B196" s="10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1" t="n">
        <v>1</v>
      </c>
      <c r="G196" s="11" t="n">
        <v>69</v>
      </c>
      <c r="H196" s="8" t="n">
        <v>0.14</v>
      </c>
      <c r="I196" s="8" t="n">
        <v>0.14</v>
      </c>
      <c r="J196" s="8" t="n"/>
      <c r="K196" s="7" t="inlineStr">
        <is>
          <t>SEM COTAÇÃO</t>
        </is>
      </c>
      <c r="L196" s="8" t="n"/>
      <c r="M196" s="12" t="n"/>
      <c r="N196" s="7" t="inlineStr"/>
      <c r="O196" s="7" t="inlineStr"/>
    </row>
    <row r="197">
      <c r="A197" s="7" t="n">
        <v>593641</v>
      </c>
      <c r="B197" s="10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1" t="n">
        <v>1</v>
      </c>
      <c r="G197" s="11" t="n">
        <v>1</v>
      </c>
      <c r="H197" s="8" t="n">
        <v>0.153</v>
      </c>
      <c r="I197" s="8" t="n">
        <v>0.153</v>
      </c>
      <c r="J197" s="8" t="n"/>
      <c r="K197" s="7" t="inlineStr">
        <is>
          <t>SEM COTAÇÃO</t>
        </is>
      </c>
      <c r="L197" s="8" t="n"/>
      <c r="M197" s="12" t="n"/>
      <c r="N197" s="7" t="inlineStr"/>
      <c r="O197" s="7" t="inlineStr"/>
    </row>
    <row r="198">
      <c r="A198" s="7" t="n">
        <v>666901</v>
      </c>
      <c r="B198" s="10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1" t="n">
        <v>1</v>
      </c>
      <c r="G198" s="11" t="n">
        <v>1</v>
      </c>
      <c r="H198" s="8" t="n"/>
      <c r="I198" s="8" t="n"/>
      <c r="J198" s="8" t="n"/>
      <c r="K198" s="7" t="inlineStr">
        <is>
          <t>SEM COTAÇÃO</t>
        </is>
      </c>
      <c r="L198" s="8" t="n"/>
      <c r="M198" s="12" t="n"/>
      <c r="N198" s="7" t="inlineStr"/>
      <c r="O198" s="7" t="inlineStr"/>
    </row>
    <row r="199">
      <c r="A199" s="7" t="n">
        <v>566661</v>
      </c>
      <c r="B199" s="10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1" t="n">
        <v>3</v>
      </c>
      <c r="G199" s="11" t="n">
        <v>3</v>
      </c>
      <c r="H199" s="8" t="n">
        <v>44.56</v>
      </c>
      <c r="I199" s="8" t="n">
        <v>44.56</v>
      </c>
      <c r="J199" s="8" t="n"/>
      <c r="K199" s="7" t="inlineStr">
        <is>
          <t>SEM COTAÇÃO</t>
        </is>
      </c>
      <c r="L199" s="8" t="n"/>
      <c r="M199" s="12" t="n"/>
      <c r="N199" s="7" t="inlineStr"/>
      <c r="O199" s="7" t="inlineStr"/>
    </row>
    <row r="200">
      <c r="A200" s="7" t="n">
        <v>605961</v>
      </c>
      <c r="B200" s="10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1" t="n">
        <v>1</v>
      </c>
      <c r="G200" s="11" t="n">
        <v>1</v>
      </c>
      <c r="H200" s="8" t="n">
        <v>39.58</v>
      </c>
      <c r="I200" s="8" t="n">
        <v>39.58</v>
      </c>
      <c r="J200" s="8" t="n"/>
      <c r="K200" s="7" t="inlineStr">
        <is>
          <t>SEM COTAÇÃO</t>
        </is>
      </c>
      <c r="L200" s="8" t="n"/>
      <c r="M200" s="12" t="n"/>
      <c r="N200" s="7" t="inlineStr"/>
      <c r="O200" s="7" t="inlineStr"/>
    </row>
    <row r="201">
      <c r="A201" s="7" t="n">
        <v>198661</v>
      </c>
      <c r="B201" s="10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1" t="n">
        <v>1</v>
      </c>
      <c r="G201" s="11" t="n">
        <v>1</v>
      </c>
      <c r="H201" s="8" t="n">
        <v>11.0758</v>
      </c>
      <c r="I201" s="8" t="n">
        <v>11.0758</v>
      </c>
      <c r="J201" s="8" t="n"/>
      <c r="K201" s="7" t="inlineStr">
        <is>
          <t>SEM COTAÇÃO</t>
        </is>
      </c>
      <c r="L201" s="8" t="n"/>
      <c r="M201" s="12" t="n"/>
      <c r="N201" s="7" t="inlineStr"/>
      <c r="O201" s="7" t="inlineStr"/>
    </row>
    <row r="202">
      <c r="A202" s="7" t="n">
        <v>532221</v>
      </c>
      <c r="B202" s="10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1" t="n">
        <v>15</v>
      </c>
      <c r="G202" s="11" t="n">
        <v>15</v>
      </c>
      <c r="H202" s="8" t="n">
        <v>4.01</v>
      </c>
      <c r="I202" s="8" t="n">
        <v>4.01</v>
      </c>
      <c r="J202" s="13" t="n">
        <v>4.24</v>
      </c>
      <c r="K202" s="7" t="inlineStr">
        <is>
          <t>DIMEC</t>
        </is>
      </c>
      <c r="L202" s="8" t="n">
        <v>4.24</v>
      </c>
      <c r="M202" s="12">
        <f>L202/H202-1</f>
        <v/>
      </c>
      <c r="N202" s="14" t="inlineStr">
        <is>
          <t>ACIMA +5.7%</t>
        </is>
      </c>
      <c r="O202" s="7" t="inlineStr"/>
    </row>
    <row r="203">
      <c r="A203" s="7" t="n">
        <v>559941</v>
      </c>
      <c r="B203" s="10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1" t="n">
        <v>7</v>
      </c>
      <c r="G203" s="11" t="n">
        <v>7</v>
      </c>
      <c r="H203" s="8" t="n">
        <v>2.11</v>
      </c>
      <c r="I203" s="8" t="n">
        <v>2.11</v>
      </c>
      <c r="J203" s="13" t="n">
        <v>2.43</v>
      </c>
      <c r="K203" s="7" t="inlineStr">
        <is>
          <t>DIMEC</t>
        </is>
      </c>
      <c r="L203" s="8" t="n">
        <v>2.43</v>
      </c>
      <c r="M203" s="12">
        <f>L203/H203-1</f>
        <v/>
      </c>
      <c r="N203" s="14" t="inlineStr">
        <is>
          <t>ACIMA +15.2%</t>
        </is>
      </c>
      <c r="O203" s="7" t="inlineStr"/>
    </row>
    <row r="204">
      <c r="A204" s="7" t="n">
        <v>4353</v>
      </c>
      <c r="B204" s="10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1" t="n">
        <v>4</v>
      </c>
      <c r="G204" s="11" t="n">
        <v>4</v>
      </c>
      <c r="H204" s="8" t="n">
        <v>4.51</v>
      </c>
      <c r="I204" s="8" t="n">
        <v>4.51</v>
      </c>
      <c r="J204" s="13" t="n">
        <v>5.17</v>
      </c>
      <c r="K204" s="7" t="inlineStr">
        <is>
          <t>DIMEC</t>
        </is>
      </c>
      <c r="L204" s="8" t="n">
        <v>5.17</v>
      </c>
      <c r="M204" s="12">
        <f>L204/H204-1</f>
        <v/>
      </c>
      <c r="N204" s="14" t="inlineStr">
        <is>
          <t>ACIMA +14.6%</t>
        </is>
      </c>
      <c r="O204" s="7" t="inlineStr"/>
    </row>
    <row r="205">
      <c r="A205" s="7" t="n">
        <v>571901</v>
      </c>
      <c r="B205" s="10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1" t="n">
        <v>4</v>
      </c>
      <c r="G205" s="11" t="n">
        <v>4</v>
      </c>
      <c r="H205" s="8" t="n">
        <v>5.59</v>
      </c>
      <c r="I205" s="8" t="n">
        <v>5.39</v>
      </c>
      <c r="J205" s="13" t="n">
        <v>5.6</v>
      </c>
      <c r="K205" s="7" t="inlineStr">
        <is>
          <t>DIMEC</t>
        </is>
      </c>
      <c r="L205" s="8" t="n">
        <v>5.6</v>
      </c>
      <c r="M205" s="12">
        <f>L205/H205-1</f>
        <v/>
      </c>
      <c r="N205" s="14" t="inlineStr">
        <is>
          <t>ACIMA +0.2%</t>
        </is>
      </c>
      <c r="O205" s="7" t="inlineStr"/>
    </row>
    <row r="206">
      <c r="A206" s="7" t="n">
        <v>666061</v>
      </c>
      <c r="B206" s="10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1" t="n">
        <v>1</v>
      </c>
      <c r="G206" s="11" t="n">
        <v>1</v>
      </c>
      <c r="H206" s="8" t="n">
        <v>2.89</v>
      </c>
      <c r="I206" s="8" t="n">
        <v>2.89</v>
      </c>
      <c r="J206" s="8" t="n"/>
      <c r="K206" s="7" t="inlineStr">
        <is>
          <t>SEM COTAÇÃO</t>
        </is>
      </c>
      <c r="L206" s="8" t="n"/>
      <c r="M206" s="12" t="n"/>
      <c r="N206" s="7" t="inlineStr"/>
      <c r="O206" s="7" t="inlineStr"/>
    </row>
    <row r="207">
      <c r="A207" s="7" t="n">
        <v>532241</v>
      </c>
      <c r="B207" s="10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1" t="n">
        <v>11</v>
      </c>
      <c r="G207" s="11" t="n">
        <v>11</v>
      </c>
      <c r="H207" s="8" t="n">
        <v>3.91</v>
      </c>
      <c r="I207" s="8" t="n">
        <v>3.66</v>
      </c>
      <c r="J207" s="13" t="n">
        <v>4.17</v>
      </c>
      <c r="K207" s="7" t="inlineStr">
        <is>
          <t>DIMEC</t>
        </is>
      </c>
      <c r="L207" s="8" t="n">
        <v>4.17</v>
      </c>
      <c r="M207" s="12">
        <f>L207/H207-1</f>
        <v/>
      </c>
      <c r="N207" s="14" t="inlineStr">
        <is>
          <t>ACIMA +6.6%</t>
        </is>
      </c>
      <c r="O207" s="7" t="inlineStr"/>
    </row>
    <row r="208">
      <c r="A208" s="7" t="n">
        <v>203301</v>
      </c>
      <c r="B208" s="10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1" t="n">
        <v>15</v>
      </c>
      <c r="G208" s="11" t="n">
        <v>15</v>
      </c>
      <c r="H208" s="8" t="n">
        <v>4.96</v>
      </c>
      <c r="I208" s="8" t="n">
        <v>4.96</v>
      </c>
      <c r="J208" s="8" t="n"/>
      <c r="K208" s="7" t="inlineStr">
        <is>
          <t>SEM COTAÇÃO</t>
        </is>
      </c>
      <c r="L208" s="8" t="n"/>
      <c r="M208" s="12" t="n"/>
      <c r="N208" s="7" t="inlineStr"/>
      <c r="O208" s="7" t="inlineStr"/>
    </row>
    <row r="209">
      <c r="A209" s="7" t="n">
        <v>331061</v>
      </c>
      <c r="B209" s="10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1" t="n">
        <v>5</v>
      </c>
      <c r="G209" s="11" t="n">
        <v>5</v>
      </c>
      <c r="H209" s="8" t="n">
        <v>6.89</v>
      </c>
      <c r="I209" s="8" t="n">
        <v>6.89</v>
      </c>
      <c r="J209" s="13" t="n">
        <v>6.55</v>
      </c>
      <c r="K209" s="7" t="inlineStr">
        <is>
          <t>DIMEC</t>
        </is>
      </c>
      <c r="L209" s="8" t="n">
        <v>6.55</v>
      </c>
      <c r="M209" s="12">
        <f>L209/H209-1</f>
        <v/>
      </c>
      <c r="N209" s="15" t="inlineStr">
        <is>
          <t>OK (≤ menor hist.)</t>
        </is>
      </c>
      <c r="O209" s="7" t="inlineStr"/>
    </row>
    <row r="210">
      <c r="A210" s="7" t="n">
        <v>626661</v>
      </c>
      <c r="B210" s="10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1" t="n">
        <v>1</v>
      </c>
      <c r="G210" s="11" t="n">
        <v>1</v>
      </c>
      <c r="H210" s="8" t="n">
        <v>3.49</v>
      </c>
      <c r="I210" s="8" t="n">
        <v>3.49</v>
      </c>
      <c r="J210" s="8" t="n"/>
      <c r="K210" s="7" t="inlineStr">
        <is>
          <t>SEM COTAÇÃO</t>
        </is>
      </c>
      <c r="L210" s="8" t="n"/>
      <c r="M210" s="12" t="n"/>
      <c r="N210" s="7" t="inlineStr"/>
      <c r="O210" s="7" t="inlineStr"/>
    </row>
    <row r="211">
      <c r="A211" s="7" t="n">
        <v>704701</v>
      </c>
      <c r="B211" s="10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1" t="n">
        <v>2</v>
      </c>
      <c r="G211" s="11" t="n">
        <v>2</v>
      </c>
      <c r="H211" s="8" t="n">
        <v>7.7004</v>
      </c>
      <c r="I211" s="8" t="n">
        <v>7.7004</v>
      </c>
      <c r="J211" s="8" t="n"/>
      <c r="K211" s="7" t="inlineStr">
        <is>
          <t>SEM COTAÇÃO</t>
        </is>
      </c>
      <c r="L211" s="8" t="n"/>
      <c r="M211" s="12" t="n"/>
      <c r="N211" s="7" t="inlineStr"/>
      <c r="O211" s="7" t="inlineStr"/>
    </row>
    <row r="212">
      <c r="A212" s="7" t="n">
        <v>21</v>
      </c>
      <c r="B212" s="10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1" t="n">
        <v>6</v>
      </c>
      <c r="G212" s="11" t="n">
        <v>6</v>
      </c>
      <c r="H212" s="8" t="n">
        <v>8.789999999999999</v>
      </c>
      <c r="I212" s="8" t="n">
        <v>8.789999999999999</v>
      </c>
      <c r="J212" s="8" t="n"/>
      <c r="K212" s="7" t="inlineStr">
        <is>
          <t>SEM COTAÇÃO</t>
        </is>
      </c>
      <c r="L212" s="8" t="n"/>
      <c r="M212" s="12" t="n"/>
      <c r="N212" s="7" t="inlineStr"/>
      <c r="O212" s="7" t="inlineStr"/>
    </row>
    <row r="213">
      <c r="A213" s="7" t="n">
        <v>367361</v>
      </c>
      <c r="B213" s="10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1" t="n">
        <v>7</v>
      </c>
      <c r="G213" s="11" t="n">
        <v>7</v>
      </c>
      <c r="H213" s="8" t="n">
        <v>51.9467</v>
      </c>
      <c r="I213" s="8" t="n">
        <v>43.42</v>
      </c>
      <c r="J213" s="8" t="n"/>
      <c r="K213" s="7" t="inlineStr">
        <is>
          <t>SEM COTAÇÃO</t>
        </is>
      </c>
      <c r="L213" s="8" t="n"/>
      <c r="M213" s="12" t="n"/>
      <c r="N213" s="7" t="inlineStr"/>
      <c r="O213" s="7" t="inlineStr"/>
    </row>
    <row r="214">
      <c r="A214" s="7" t="n">
        <v>367401</v>
      </c>
      <c r="B214" s="10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1" t="n">
        <v>10</v>
      </c>
      <c r="G214" s="11" t="n">
        <v>10</v>
      </c>
      <c r="H214" s="8" t="n">
        <v>25.7888</v>
      </c>
      <c r="I214" s="8" t="n">
        <v>22.0473</v>
      </c>
      <c r="J214" s="8" t="n"/>
      <c r="K214" s="7" t="inlineStr">
        <is>
          <t>SEM COTAÇÃO</t>
        </is>
      </c>
      <c r="L214" s="8" t="n"/>
      <c r="M214" s="12" t="n"/>
      <c r="N214" s="7" t="inlineStr"/>
      <c r="O214" s="7" t="inlineStr"/>
    </row>
    <row r="215">
      <c r="A215" s="7" t="n">
        <v>367421</v>
      </c>
      <c r="B215" s="10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1" t="n">
        <v>1</v>
      </c>
      <c r="G215" s="11" t="n">
        <v>1</v>
      </c>
      <c r="H215" s="8" t="n">
        <v>50.34</v>
      </c>
      <c r="I215" s="8" t="n">
        <v>45.91</v>
      </c>
      <c r="J215" s="8" t="n"/>
      <c r="K215" s="7" t="inlineStr">
        <is>
          <t>SEM COTAÇÃO</t>
        </is>
      </c>
      <c r="L215" s="8" t="n"/>
      <c r="M215" s="12" t="n"/>
      <c r="N215" s="7" t="inlineStr"/>
      <c r="O215" s="7" t="inlineStr"/>
    </row>
    <row r="216">
      <c r="A216" s="7" t="n">
        <v>608061</v>
      </c>
      <c r="B216" s="10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1" t="n">
        <v>1</v>
      </c>
      <c r="G216" s="11" t="n">
        <v>1</v>
      </c>
      <c r="H216" s="8" t="n">
        <v>5.15</v>
      </c>
      <c r="I216" s="8" t="n">
        <v>5.15</v>
      </c>
      <c r="J216" s="8" t="n"/>
      <c r="K216" s="7" t="inlineStr">
        <is>
          <t>SEM COTAÇÃO</t>
        </is>
      </c>
      <c r="L216" s="8" t="n"/>
      <c r="M216" s="12" t="n"/>
      <c r="N216" s="7" t="inlineStr"/>
      <c r="O216" s="7" t="inlineStr"/>
    </row>
    <row r="217">
      <c r="A217" s="7" t="n">
        <v>612891</v>
      </c>
      <c r="B217" s="10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1" t="n">
        <v>3</v>
      </c>
      <c r="G217" s="11" t="n">
        <v>3</v>
      </c>
      <c r="H217" s="8" t="n">
        <v>7.59</v>
      </c>
      <c r="I217" s="8" t="n">
        <v>7.59</v>
      </c>
      <c r="J217" s="8" t="n"/>
      <c r="K217" s="7" t="inlineStr">
        <is>
          <t>SEM COTAÇÃO</t>
        </is>
      </c>
      <c r="L217" s="8" t="n"/>
      <c r="M217" s="12" t="n"/>
      <c r="N217" s="7" t="inlineStr"/>
      <c r="O217" s="7" t="inlineStr"/>
    </row>
    <row r="218">
      <c r="A218" s="7" t="n">
        <v>545281</v>
      </c>
      <c r="B218" s="10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1" t="n">
        <v>2</v>
      </c>
      <c r="G218" s="11" t="n">
        <v>2</v>
      </c>
      <c r="H218" s="8" t="n">
        <v>5.55</v>
      </c>
      <c r="I218" s="8" t="n">
        <v>5.55</v>
      </c>
      <c r="J218" s="8" t="n"/>
      <c r="K218" s="7" t="inlineStr">
        <is>
          <t>SEM COTAÇÃO</t>
        </is>
      </c>
      <c r="L218" s="8" t="n"/>
      <c r="M218" s="12" t="n"/>
      <c r="N218" s="7" t="inlineStr"/>
      <c r="O218" s="7" t="inlineStr"/>
    </row>
    <row r="219">
      <c r="A219" s="7" t="n">
        <v>620041</v>
      </c>
      <c r="B219" s="10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1" t="n">
        <v>9</v>
      </c>
      <c r="G219" s="11" t="n">
        <v>9</v>
      </c>
      <c r="H219" s="8" t="n">
        <v>5.09</v>
      </c>
      <c r="I219" s="8" t="n">
        <v>5.07</v>
      </c>
      <c r="J219" s="8" t="n"/>
      <c r="K219" s="7" t="inlineStr">
        <is>
          <t>SEM COTAÇÃO</t>
        </is>
      </c>
      <c r="L219" s="8" t="n"/>
      <c r="M219" s="12" t="n"/>
      <c r="N219" s="7" t="inlineStr"/>
      <c r="O219" s="7" t="inlineStr"/>
    </row>
    <row r="220">
      <c r="A220" s="7" t="n">
        <v>620021</v>
      </c>
      <c r="B220" s="10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1" t="n">
        <v>63</v>
      </c>
      <c r="G220" s="11" t="n">
        <v>63</v>
      </c>
      <c r="H220" s="8" t="n">
        <v>1.38</v>
      </c>
      <c r="I220" s="8" t="n">
        <v>1.38</v>
      </c>
      <c r="J220" s="8" t="n"/>
      <c r="K220" s="7" t="inlineStr">
        <is>
          <t>SEM COTAÇÃO</t>
        </is>
      </c>
      <c r="L220" s="8" t="n"/>
      <c r="M220" s="12" t="n"/>
      <c r="N220" s="7" t="inlineStr"/>
      <c r="O220" s="7" t="inlineStr"/>
    </row>
    <row r="221">
      <c r="A221" s="7" t="n">
        <v>562421</v>
      </c>
      <c r="B221" s="10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1" t="n">
        <v>25</v>
      </c>
      <c r="G221" s="11" t="n">
        <v>25</v>
      </c>
      <c r="H221" s="8" t="n">
        <v>1.09</v>
      </c>
      <c r="I221" s="8" t="n">
        <v>1.09</v>
      </c>
      <c r="J221" s="13" t="n">
        <v>1.09</v>
      </c>
      <c r="K221" s="7" t="inlineStr">
        <is>
          <t>DIMEC</t>
        </is>
      </c>
      <c r="L221" s="8" t="n">
        <v>1.09</v>
      </c>
      <c r="M221" s="12">
        <f>L221/H221-1</f>
        <v/>
      </c>
      <c r="N221" s="15" t="inlineStr">
        <is>
          <t>OK (≤ menor hist.)</t>
        </is>
      </c>
      <c r="O221" s="7" t="inlineStr"/>
    </row>
    <row r="222">
      <c r="A222" s="7" t="n">
        <v>656411</v>
      </c>
      <c r="B222" s="10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1" t="n">
        <v>1</v>
      </c>
      <c r="G222" s="11" t="n">
        <v>1</v>
      </c>
      <c r="H222" s="8" t="n">
        <v>9.77</v>
      </c>
      <c r="I222" s="8" t="n">
        <v>9.77</v>
      </c>
      <c r="J222" s="8" t="n"/>
      <c r="K222" s="7" t="inlineStr">
        <is>
          <t>SEM COTAÇÃO</t>
        </is>
      </c>
      <c r="L222" s="8" t="n"/>
      <c r="M222" s="12" t="n"/>
      <c r="N222" s="7" t="inlineStr"/>
      <c r="O222" s="7" t="inlineStr"/>
    </row>
    <row r="223">
      <c r="A223" s="7" t="n">
        <v>656421</v>
      </c>
      <c r="B223" s="10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1" t="n">
        <v>1</v>
      </c>
      <c r="G223" s="11" t="n">
        <v>1</v>
      </c>
      <c r="H223" s="8" t="n">
        <v>9.77</v>
      </c>
      <c r="I223" s="8" t="n">
        <v>9.77</v>
      </c>
      <c r="J223" s="8" t="n"/>
      <c r="K223" s="7" t="inlineStr">
        <is>
          <t>SEM COTAÇÃO</t>
        </is>
      </c>
      <c r="L223" s="8" t="n"/>
      <c r="M223" s="12" t="n"/>
      <c r="N223" s="7" t="inlineStr"/>
      <c r="O223" s="7" t="inlineStr"/>
    </row>
    <row r="224">
      <c r="A224" s="7" t="n">
        <v>656431</v>
      </c>
      <c r="B224" s="10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1" t="n">
        <v>1</v>
      </c>
      <c r="G224" s="11" t="n">
        <v>1</v>
      </c>
      <c r="H224" s="8" t="n">
        <v>9.77</v>
      </c>
      <c r="I224" s="8" t="n">
        <v>9.77</v>
      </c>
      <c r="J224" s="8" t="n"/>
      <c r="K224" s="7" t="inlineStr">
        <is>
          <t>SEM COTAÇÃO</t>
        </is>
      </c>
      <c r="L224" s="8" t="n"/>
      <c r="M224" s="12" t="n"/>
      <c r="N224" s="7" t="inlineStr"/>
      <c r="O224" s="7" t="inlineStr"/>
    </row>
    <row r="225">
      <c r="A225" s="7" t="n">
        <v>656441</v>
      </c>
      <c r="B225" s="10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1" t="n">
        <v>1</v>
      </c>
      <c r="G225" s="11" t="n">
        <v>1</v>
      </c>
      <c r="H225" s="8" t="n">
        <v>9.77</v>
      </c>
      <c r="I225" s="8" t="n">
        <v>9.77</v>
      </c>
      <c r="J225" s="8" t="n"/>
      <c r="K225" s="7" t="inlineStr">
        <is>
          <t>SEM COTAÇÃO</t>
        </is>
      </c>
      <c r="L225" s="8" t="n"/>
      <c r="M225" s="12" t="n"/>
      <c r="N225" s="7" t="inlineStr"/>
      <c r="O225" s="7" t="inlineStr"/>
    </row>
    <row r="226">
      <c r="A226" s="7" t="n">
        <v>618591</v>
      </c>
      <c r="B226" s="10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1" t="n">
        <v>1</v>
      </c>
      <c r="G226" s="11" t="n">
        <v>1</v>
      </c>
      <c r="H226" s="8" t="n">
        <v>19.99</v>
      </c>
      <c r="I226" s="8" t="n">
        <v>19.99</v>
      </c>
      <c r="J226" s="8" t="n"/>
      <c r="K226" s="7" t="inlineStr">
        <is>
          <t>SEM COTAÇÃO</t>
        </is>
      </c>
      <c r="L226" s="8" t="n"/>
      <c r="M226" s="12" t="n"/>
      <c r="N226" s="7" t="inlineStr"/>
      <c r="O226" s="7" t="inlineStr"/>
    </row>
    <row r="227">
      <c r="A227" s="7" t="n">
        <v>641561</v>
      </c>
      <c r="B227" s="10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1" t="n">
        <v>2</v>
      </c>
      <c r="G227" s="11" t="n">
        <v>2</v>
      </c>
      <c r="H227" s="8" t="n">
        <v>10.28</v>
      </c>
      <c r="I227" s="8" t="n">
        <v>10.28</v>
      </c>
      <c r="J227" s="8" t="n"/>
      <c r="K227" s="7" t="inlineStr">
        <is>
          <t>SEM COTAÇÃO</t>
        </is>
      </c>
      <c r="L227" s="8" t="n"/>
      <c r="M227" s="12" t="n"/>
      <c r="N227" s="7" t="inlineStr"/>
      <c r="O227" s="7" t="inlineStr"/>
    </row>
    <row r="228">
      <c r="A228" s="7" t="n">
        <v>667631</v>
      </c>
      <c r="B228" s="10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1" t="n">
        <v>5</v>
      </c>
      <c r="G228" s="11" t="n">
        <v>5</v>
      </c>
      <c r="H228" s="8" t="n">
        <v>6.89</v>
      </c>
      <c r="I228" s="8" t="n">
        <v>6.89</v>
      </c>
      <c r="J228" s="8" t="n"/>
      <c r="K228" s="7" t="inlineStr">
        <is>
          <t>SEM COTAÇÃO</t>
        </is>
      </c>
      <c r="L228" s="8" t="n"/>
      <c r="M228" s="12" t="n"/>
      <c r="N228" s="7" t="inlineStr"/>
      <c r="O228" s="7" t="inlineStr"/>
    </row>
    <row r="229">
      <c r="A229" s="7" t="n">
        <v>640821</v>
      </c>
      <c r="B229" s="10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1" t="n">
        <v>1</v>
      </c>
      <c r="G229" s="11" t="n">
        <v>1</v>
      </c>
      <c r="H229" s="8" t="n">
        <v>25.95</v>
      </c>
      <c r="I229" s="8" t="n">
        <v>25.95</v>
      </c>
      <c r="J229" s="8" t="n"/>
      <c r="K229" s="7" t="inlineStr">
        <is>
          <t>SEM COTAÇÃO</t>
        </is>
      </c>
      <c r="L229" s="8" t="n"/>
      <c r="M229" s="12" t="n"/>
      <c r="N229" s="7" t="inlineStr"/>
      <c r="O229" s="7" t="inlineStr"/>
    </row>
    <row r="230">
      <c r="A230" s="7" t="n">
        <v>667321</v>
      </c>
      <c r="B230" s="10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1" t="n">
        <v>1</v>
      </c>
      <c r="G230" s="11" t="n">
        <v>1</v>
      </c>
      <c r="H230" s="8" t="n">
        <v>21.86</v>
      </c>
      <c r="I230" s="8" t="n">
        <v>21.86</v>
      </c>
      <c r="J230" s="8" t="n"/>
      <c r="K230" s="7" t="inlineStr">
        <is>
          <t>SEM COTAÇÃO</t>
        </is>
      </c>
      <c r="L230" s="8" t="n"/>
      <c r="M230" s="12" t="n"/>
      <c r="N230" s="7" t="inlineStr"/>
      <c r="O230" s="7" t="inlineStr"/>
    </row>
    <row r="231">
      <c r="A231" s="7" t="n">
        <v>602891</v>
      </c>
      <c r="B231" s="10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1" t="n">
        <v>1</v>
      </c>
      <c r="G231" s="11" t="n">
        <v>1</v>
      </c>
      <c r="H231" s="8" t="n">
        <v>11.98</v>
      </c>
      <c r="I231" s="8" t="n">
        <v>11.98</v>
      </c>
      <c r="J231" s="8" t="n"/>
      <c r="K231" s="7" t="inlineStr">
        <is>
          <t>SEM COTAÇÃO</t>
        </is>
      </c>
      <c r="L231" s="8" t="n"/>
      <c r="M231" s="12" t="n"/>
      <c r="N231" s="7" t="inlineStr"/>
      <c r="O231" s="7" t="inlineStr"/>
    </row>
    <row r="232">
      <c r="A232" s="7" t="n">
        <v>602901</v>
      </c>
      <c r="B232" s="10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1" t="n">
        <v>1</v>
      </c>
      <c r="G232" s="11" t="n">
        <v>1</v>
      </c>
      <c r="H232" s="8" t="n">
        <v>12</v>
      </c>
      <c r="I232" s="8" t="n">
        <v>12</v>
      </c>
      <c r="J232" s="8" t="n"/>
      <c r="K232" s="7" t="inlineStr">
        <is>
          <t>SEM COTAÇÃO</t>
        </is>
      </c>
      <c r="L232" s="8" t="n"/>
      <c r="M232" s="12" t="n"/>
      <c r="N232" s="7" t="inlineStr"/>
      <c r="O232" s="7" t="inlineStr"/>
    </row>
    <row r="233">
      <c r="A233" s="7" t="n">
        <v>4373</v>
      </c>
      <c r="B233" s="10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1" t="n">
        <v>5</v>
      </c>
      <c r="G233" s="11" t="n">
        <v>5</v>
      </c>
      <c r="H233" s="8" t="n">
        <v>6.52</v>
      </c>
      <c r="I233" s="8" t="n">
        <v>6.52</v>
      </c>
      <c r="J233" s="13" t="n">
        <v>8.02</v>
      </c>
      <c r="K233" s="7" t="inlineStr">
        <is>
          <t>DIMEC</t>
        </is>
      </c>
      <c r="L233" s="8" t="n">
        <v>8.02</v>
      </c>
      <c r="M233" s="12">
        <f>L233/H233-1</f>
        <v/>
      </c>
      <c r="N233" s="14" t="inlineStr">
        <is>
          <t>ACIMA +23.0%</t>
        </is>
      </c>
      <c r="O233" s="7" t="inlineStr"/>
    </row>
    <row r="234">
      <c r="A234" s="7" t="n">
        <v>618961</v>
      </c>
      <c r="B234" s="10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1" t="n">
        <v>1</v>
      </c>
      <c r="G234" s="11" t="n">
        <v>1</v>
      </c>
      <c r="H234" s="8" t="n">
        <v>9.390000000000001</v>
      </c>
      <c r="I234" s="8" t="n">
        <v>9.390000000000001</v>
      </c>
      <c r="J234" s="8" t="n"/>
      <c r="K234" s="7" t="inlineStr">
        <is>
          <t>SEM COTAÇÃO</t>
        </is>
      </c>
      <c r="L234" s="8" t="n"/>
      <c r="M234" s="12" t="n"/>
      <c r="N234" s="7" t="inlineStr"/>
      <c r="O234" s="7" t="inlineStr"/>
    </row>
    <row r="235">
      <c r="A235" s="7" t="n">
        <v>295401</v>
      </c>
      <c r="B235" s="10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1" t="n">
        <v>1</v>
      </c>
      <c r="G235" s="11" t="n">
        <v>1</v>
      </c>
      <c r="H235" s="8" t="n">
        <v>20.215</v>
      </c>
      <c r="I235" s="8" t="n">
        <v>20.215</v>
      </c>
      <c r="J235" s="8" t="n"/>
      <c r="K235" s="7" t="inlineStr">
        <is>
          <t>SEM COTAÇÃO</t>
        </is>
      </c>
      <c r="L235" s="8" t="n"/>
      <c r="M235" s="12" t="n"/>
      <c r="N235" s="7" t="inlineStr"/>
      <c r="O235" s="7" t="inlineStr"/>
    </row>
    <row r="236">
      <c r="A236" s="7" t="n">
        <v>643861</v>
      </c>
      <c r="B236" s="10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1" t="n">
        <v>3</v>
      </c>
      <c r="G236" s="11" t="n">
        <v>3</v>
      </c>
      <c r="H236" s="8" t="n">
        <v>19.22</v>
      </c>
      <c r="I236" s="8" t="n">
        <v>19.22</v>
      </c>
      <c r="J236" s="8" t="n"/>
      <c r="K236" s="7" t="inlineStr">
        <is>
          <t>SEM COTAÇÃO</t>
        </is>
      </c>
      <c r="L236" s="8" t="n"/>
      <c r="M236" s="12" t="n"/>
      <c r="N236" s="7" t="inlineStr"/>
      <c r="O236" s="7" t="inlineStr"/>
    </row>
    <row r="237">
      <c r="A237" s="7" t="n">
        <v>29321</v>
      </c>
      <c r="B237" s="10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1" t="n">
        <v>1</v>
      </c>
      <c r="G237" s="11" t="n">
        <v>1</v>
      </c>
      <c r="H237" s="8" t="n">
        <v>4.0675</v>
      </c>
      <c r="I237" s="8" t="n">
        <v>3.83</v>
      </c>
      <c r="J237" s="13" t="n">
        <v>4.85</v>
      </c>
      <c r="K237" s="7" t="inlineStr">
        <is>
          <t>DIMEC</t>
        </is>
      </c>
      <c r="L237" s="8" t="n">
        <v>4.85</v>
      </c>
      <c r="M237" s="12">
        <f>L237/H237-1</f>
        <v/>
      </c>
      <c r="N237" s="14" t="inlineStr">
        <is>
          <t>ACIMA +19.2%</t>
        </is>
      </c>
      <c r="O237" s="7" t="inlineStr"/>
    </row>
    <row r="238">
      <c r="A238" s="7" t="n">
        <v>646251</v>
      </c>
      <c r="B238" s="10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1" t="n">
        <v>1</v>
      </c>
      <c r="G238" s="11" t="n">
        <v>1</v>
      </c>
      <c r="H238" s="8" t="n">
        <v>47.2</v>
      </c>
      <c r="I238" s="8" t="n">
        <v>47.2</v>
      </c>
      <c r="J238" s="8" t="n"/>
      <c r="K238" s="7" t="inlineStr">
        <is>
          <t>SEM COTAÇÃO</t>
        </is>
      </c>
      <c r="L238" s="8" t="n"/>
      <c r="M238" s="12" t="n"/>
      <c r="N238" s="7" t="inlineStr"/>
      <c r="O238" s="7" t="inlineStr"/>
    </row>
    <row r="239">
      <c r="A239" s="7" t="n">
        <v>592051</v>
      </c>
      <c r="B239" s="10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1" t="n">
        <v>7</v>
      </c>
      <c r="G239" s="11" t="n">
        <v>7</v>
      </c>
      <c r="H239" s="8" t="n">
        <v>6.1442</v>
      </c>
      <c r="I239" s="8" t="n">
        <v>5.2375</v>
      </c>
      <c r="J239" s="8" t="n"/>
      <c r="K239" s="7" t="inlineStr">
        <is>
          <t>SEM COTAÇÃO</t>
        </is>
      </c>
      <c r="L239" s="8" t="n"/>
      <c r="M239" s="12" t="n"/>
      <c r="N239" s="7" t="inlineStr"/>
      <c r="O239" s="7" t="inlineStr"/>
    </row>
    <row r="240">
      <c r="A240" s="7" t="n">
        <v>674901</v>
      </c>
      <c r="B240" s="10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1" t="n">
        <v>1</v>
      </c>
      <c r="G240" s="11" t="n">
        <v>12</v>
      </c>
      <c r="H240" s="8" t="n">
        <v>7.0694</v>
      </c>
      <c r="I240" s="8" t="n">
        <v>7.0694</v>
      </c>
      <c r="J240" s="8" t="n"/>
      <c r="K240" s="7" t="inlineStr">
        <is>
          <t>SEM COTAÇÃO</t>
        </is>
      </c>
      <c r="L240" s="8" t="n"/>
      <c r="M240" s="12" t="n"/>
      <c r="N240" s="7" t="inlineStr"/>
      <c r="O240" s="7" t="inlineStr"/>
    </row>
    <row r="241">
      <c r="A241" s="7" t="n">
        <v>592361</v>
      </c>
      <c r="B241" s="10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1" t="n">
        <v>1</v>
      </c>
      <c r="G241" s="11" t="n">
        <v>7</v>
      </c>
      <c r="H241" s="8" t="n">
        <v>7.9773</v>
      </c>
      <c r="I241" s="8" t="n">
        <v>7.9773</v>
      </c>
      <c r="J241" s="8" t="n"/>
      <c r="K241" s="7" t="inlineStr">
        <is>
          <t>SEM COTAÇÃO</t>
        </is>
      </c>
      <c r="L241" s="8" t="n"/>
      <c r="M241" s="12" t="n"/>
      <c r="N241" s="7" t="inlineStr"/>
      <c r="O241" s="7" t="inlineStr"/>
    </row>
    <row r="242">
      <c r="A242" s="7" t="n">
        <v>586321</v>
      </c>
      <c r="B242" s="10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1" t="n">
        <v>1</v>
      </c>
      <c r="G242" s="11" t="n">
        <v>1</v>
      </c>
      <c r="H242" s="8" t="n">
        <v>11.84</v>
      </c>
      <c r="I242" s="8" t="n">
        <v>11.84</v>
      </c>
      <c r="J242" s="8" t="n"/>
      <c r="K242" s="7" t="inlineStr">
        <is>
          <t>SEM COTAÇÃO</t>
        </is>
      </c>
      <c r="L242" s="8" t="n"/>
      <c r="M242" s="12" t="n"/>
      <c r="N242" s="7" t="inlineStr"/>
      <c r="O242" s="7" t="inlineStr"/>
    </row>
    <row r="243">
      <c r="A243" s="7" t="n">
        <v>586621</v>
      </c>
      <c r="B243" s="10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1" t="n">
        <v>1</v>
      </c>
      <c r="G243" s="11" t="n">
        <v>1</v>
      </c>
      <c r="H243" s="8" t="n">
        <v>13.78</v>
      </c>
      <c r="I243" s="8" t="n">
        <v>13.78</v>
      </c>
      <c r="J243" s="8" t="n"/>
      <c r="K243" s="7" t="inlineStr">
        <is>
          <t>SEM COTAÇÃO</t>
        </is>
      </c>
      <c r="L243" s="8" t="n"/>
      <c r="M243" s="12" t="n"/>
      <c r="N243" s="7" t="inlineStr"/>
      <c r="O243" s="7" t="inlineStr"/>
    </row>
    <row r="244">
      <c r="A244" s="7" t="n">
        <v>586501</v>
      </c>
      <c r="B244" s="10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1" t="n">
        <v>1</v>
      </c>
      <c r="G244" s="11" t="n">
        <v>1</v>
      </c>
      <c r="H244" s="8" t="n">
        <v>13.78</v>
      </c>
      <c r="I244" s="8" t="n">
        <v>13.78</v>
      </c>
      <c r="J244" s="8" t="n"/>
      <c r="K244" s="7" t="inlineStr">
        <is>
          <t>SEM COTAÇÃO</t>
        </is>
      </c>
      <c r="L244" s="8" t="n"/>
      <c r="M244" s="12" t="n"/>
      <c r="N244" s="7" t="inlineStr"/>
      <c r="O244" s="7" t="inlineStr"/>
    </row>
    <row r="245">
      <c r="A245" s="7" t="n">
        <v>3663</v>
      </c>
      <c r="B245" s="10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1" t="n">
        <v>2</v>
      </c>
      <c r="G245" s="11" t="n">
        <v>2</v>
      </c>
      <c r="H245" s="8" t="n">
        <v>1.77</v>
      </c>
      <c r="I245" s="8" t="n">
        <v>1.77</v>
      </c>
      <c r="J245" s="8" t="n"/>
      <c r="K245" s="7" t="inlineStr">
        <is>
          <t>SEM COTAÇÃO</t>
        </is>
      </c>
      <c r="L245" s="8" t="n"/>
      <c r="M245" s="12" t="n"/>
      <c r="N245" s="7" t="inlineStr"/>
      <c r="O245" s="7" t="inlineStr"/>
    </row>
    <row r="246">
      <c r="A246" s="7" t="n">
        <v>122441</v>
      </c>
      <c r="B246" s="10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1" t="n">
        <v>16</v>
      </c>
      <c r="G246" s="11" t="n">
        <v>16</v>
      </c>
      <c r="H246" s="8" t="n">
        <v>3.69</v>
      </c>
      <c r="I246" s="8" t="n">
        <v>3.69</v>
      </c>
      <c r="J246" s="13" t="n">
        <v>4.69</v>
      </c>
      <c r="K246" s="7" t="inlineStr">
        <is>
          <t>DIMEC</t>
        </is>
      </c>
      <c r="L246" s="8" t="n">
        <v>4.69</v>
      </c>
      <c r="M246" s="12">
        <f>L246/H246-1</f>
        <v/>
      </c>
      <c r="N246" s="14" t="inlineStr">
        <is>
          <t>ACIMA +27.1%</t>
        </is>
      </c>
      <c r="O246" s="7" t="inlineStr"/>
    </row>
    <row r="247">
      <c r="A247" s="7" t="n">
        <v>122461</v>
      </c>
      <c r="B247" s="10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1" t="n">
        <v>70</v>
      </c>
      <c r="G247" s="11" t="n">
        <v>70</v>
      </c>
      <c r="H247" s="8" t="n">
        <v>4.68</v>
      </c>
      <c r="I247" s="8" t="n">
        <v>3.69</v>
      </c>
      <c r="J247" s="13" t="n">
        <v>4.71</v>
      </c>
      <c r="K247" s="7" t="inlineStr">
        <is>
          <t>DIMEC</t>
        </is>
      </c>
      <c r="L247" s="8" t="n">
        <v>4.71</v>
      </c>
      <c r="M247" s="12">
        <f>L247/H247-1</f>
        <v/>
      </c>
      <c r="N247" s="14" t="inlineStr">
        <is>
          <t>ACIMA +0.6%</t>
        </is>
      </c>
      <c r="O247" s="7" t="inlineStr"/>
    </row>
    <row r="248">
      <c r="A248" s="7" t="n">
        <v>612411</v>
      </c>
      <c r="B248" s="10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1" t="n">
        <v>1</v>
      </c>
      <c r="G248" s="11" t="n">
        <v>9</v>
      </c>
      <c r="H248" s="8" t="n">
        <v>7.15</v>
      </c>
      <c r="I248" s="8" t="n">
        <v>7.15</v>
      </c>
      <c r="J248" s="8" t="n"/>
      <c r="K248" s="7" t="inlineStr">
        <is>
          <t>SEM COTAÇÃO</t>
        </is>
      </c>
      <c r="L248" s="8" t="n"/>
      <c r="M248" s="12" t="n"/>
      <c r="N248" s="7" t="inlineStr"/>
      <c r="O248" s="7" t="inlineStr"/>
    </row>
    <row r="249">
      <c r="A249" s="7" t="n">
        <v>672441</v>
      </c>
      <c r="B249" s="10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1" t="n">
        <v>1</v>
      </c>
      <c r="G249" s="11" t="n">
        <v>1</v>
      </c>
      <c r="H249" s="8" t="n">
        <v>33.85</v>
      </c>
      <c r="I249" s="8" t="n">
        <v>33.85</v>
      </c>
      <c r="J249" s="8" t="n"/>
      <c r="K249" s="7" t="inlineStr">
        <is>
          <t>SEM COTAÇÃO</t>
        </is>
      </c>
      <c r="L249" s="8" t="n"/>
      <c r="M249" s="12" t="n"/>
      <c r="N249" s="7" t="inlineStr"/>
      <c r="O249" s="7" t="inlineStr"/>
    </row>
    <row r="250">
      <c r="A250" s="7" t="n">
        <v>578441</v>
      </c>
      <c r="B250" s="10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1" t="n">
        <v>4</v>
      </c>
      <c r="G250" s="11" t="n">
        <v>4</v>
      </c>
      <c r="H250" s="8" t="n">
        <v>2.87</v>
      </c>
      <c r="I250" s="8" t="n">
        <v>2.87</v>
      </c>
      <c r="J250" s="8" t="n"/>
      <c r="K250" s="7" t="inlineStr">
        <is>
          <t>SEM COTAÇÃO</t>
        </is>
      </c>
      <c r="L250" s="8" t="n"/>
      <c r="M250" s="12" t="n"/>
      <c r="N250" s="7" t="inlineStr"/>
      <c r="O250" s="7" t="inlineStr"/>
    </row>
    <row r="251">
      <c r="A251" s="7" t="n">
        <v>578461</v>
      </c>
      <c r="B251" s="10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1" t="n">
        <v>23</v>
      </c>
      <c r="G251" s="11" t="n">
        <v>23</v>
      </c>
      <c r="H251" s="8" t="n">
        <v>3.16</v>
      </c>
      <c r="I251" s="8" t="n">
        <v>2.88</v>
      </c>
      <c r="J251" s="8" t="n"/>
      <c r="K251" s="7" t="inlineStr">
        <is>
          <t>SEM COTAÇÃO</t>
        </is>
      </c>
      <c r="L251" s="8" t="n"/>
      <c r="M251" s="12" t="n"/>
      <c r="N251" s="7" t="inlineStr"/>
      <c r="O251" s="7" t="inlineStr"/>
    </row>
    <row r="252">
      <c r="A252" s="7" t="n">
        <v>578481</v>
      </c>
      <c r="B252" s="10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1" t="n">
        <v>29</v>
      </c>
      <c r="G252" s="11" t="n">
        <v>29</v>
      </c>
      <c r="H252" s="8" t="n">
        <v>4.33</v>
      </c>
      <c r="I252" s="8" t="n">
        <v>3.82</v>
      </c>
      <c r="J252" s="8" t="n"/>
      <c r="K252" s="7" t="inlineStr">
        <is>
          <t>SEM COTAÇÃO</t>
        </is>
      </c>
      <c r="L252" s="8" t="n"/>
      <c r="M252" s="12" t="n"/>
      <c r="N252" s="7" t="inlineStr"/>
      <c r="O252" s="7" t="inlineStr"/>
    </row>
    <row r="253">
      <c r="A253" s="7" t="n">
        <v>578421</v>
      </c>
      <c r="B253" s="10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1" t="n">
        <v>32</v>
      </c>
      <c r="G253" s="11" t="n">
        <v>32</v>
      </c>
      <c r="H253" s="8" t="n">
        <v>3.15</v>
      </c>
      <c r="I253" s="8" t="n">
        <v>2.81</v>
      </c>
      <c r="J253" s="8" t="n"/>
      <c r="K253" s="7" t="inlineStr">
        <is>
          <t>SEM COTAÇÃO</t>
        </is>
      </c>
      <c r="L253" s="8" t="n"/>
      <c r="M253" s="12" t="n"/>
      <c r="N253" s="7" t="inlineStr"/>
      <c r="O253" s="7" t="inlineStr"/>
    </row>
    <row r="254">
      <c r="A254" s="7" t="n">
        <v>588771</v>
      </c>
      <c r="B254" s="10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1" t="n">
        <v>3</v>
      </c>
      <c r="G254" s="11" t="n">
        <v>3</v>
      </c>
      <c r="H254" s="8" t="n">
        <v>3.85</v>
      </c>
      <c r="I254" s="8" t="n">
        <v>3.85</v>
      </c>
      <c r="J254" s="8" t="n"/>
      <c r="K254" s="7" t="inlineStr">
        <is>
          <t>SEM COTAÇÃO</t>
        </is>
      </c>
      <c r="L254" s="8" t="n"/>
      <c r="M254" s="12" t="n"/>
      <c r="N254" s="7" t="inlineStr"/>
      <c r="O254" s="7" t="inlineStr"/>
    </row>
    <row r="255">
      <c r="A255" s="7" t="n">
        <v>581141</v>
      </c>
      <c r="B255" s="10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1" t="n">
        <v>1</v>
      </c>
      <c r="G255" s="11" t="n">
        <v>1</v>
      </c>
      <c r="H255" s="8" t="n">
        <v>2.5</v>
      </c>
      <c r="I255" s="8" t="n">
        <v>2.5</v>
      </c>
      <c r="J255" s="8" t="n"/>
      <c r="K255" s="7" t="inlineStr">
        <is>
          <t>SEM COTAÇÃO</t>
        </is>
      </c>
      <c r="L255" s="8" t="n"/>
      <c r="M255" s="12" t="n"/>
      <c r="N255" s="7" t="inlineStr"/>
      <c r="O255" s="7" t="inlineStr"/>
    </row>
    <row r="256">
      <c r="A256" s="7" t="n">
        <v>607321</v>
      </c>
      <c r="B256" s="10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1" t="n">
        <v>3</v>
      </c>
      <c r="G256" s="11" t="n">
        <v>3</v>
      </c>
      <c r="H256" s="8" t="n">
        <v>2.21</v>
      </c>
      <c r="I256" s="8" t="n">
        <v>2.21</v>
      </c>
      <c r="J256" s="8" t="n"/>
      <c r="K256" s="7" t="inlineStr">
        <is>
          <t>SEM COTAÇÃO</t>
        </is>
      </c>
      <c r="L256" s="8" t="n"/>
      <c r="M256" s="12" t="n"/>
      <c r="N256" s="7" t="inlineStr"/>
      <c r="O256" s="7" t="inlineStr"/>
    </row>
    <row r="257">
      <c r="A257" s="7" t="n">
        <v>601441</v>
      </c>
      <c r="B257" s="10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1" t="n">
        <v>1</v>
      </c>
      <c r="G257" s="11" t="n">
        <v>1</v>
      </c>
      <c r="H257" s="8" t="n">
        <v>3.54</v>
      </c>
      <c r="I257" s="8" t="n">
        <v>3.54</v>
      </c>
      <c r="J257" s="8" t="n"/>
      <c r="K257" s="7" t="inlineStr">
        <is>
          <t>SEM COTAÇÃO</t>
        </is>
      </c>
      <c r="L257" s="8" t="n"/>
      <c r="M257" s="12" t="n"/>
      <c r="N257" s="7" t="inlineStr"/>
      <c r="O257" s="7" t="inlineStr"/>
    </row>
    <row r="258">
      <c r="A258" s="7" t="n">
        <v>633931</v>
      </c>
      <c r="B258" s="10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1" t="n">
        <v>1</v>
      </c>
      <c r="G258" s="11" t="n">
        <v>1</v>
      </c>
      <c r="H258" s="8" t="n">
        <v>3.19</v>
      </c>
      <c r="I258" s="8" t="n">
        <v>3.19</v>
      </c>
      <c r="J258" s="8" t="n"/>
      <c r="K258" s="7" t="inlineStr">
        <is>
          <t>SEM COTAÇÃO</t>
        </is>
      </c>
      <c r="L258" s="8" t="n"/>
      <c r="M258" s="12" t="n"/>
      <c r="N258" s="7" t="inlineStr"/>
      <c r="O258" s="7" t="inlineStr"/>
    </row>
    <row r="259">
      <c r="A259" s="7" t="n">
        <v>597651</v>
      </c>
      <c r="B259" s="10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1" t="n">
        <v>5</v>
      </c>
      <c r="G259" s="11" t="n">
        <v>5</v>
      </c>
      <c r="H259" s="8" t="n">
        <v>45.25</v>
      </c>
      <c r="I259" s="8" t="n">
        <v>38.06</v>
      </c>
      <c r="J259" s="8" t="n"/>
      <c r="K259" s="7" t="inlineStr">
        <is>
          <t>SEM COTAÇÃO</t>
        </is>
      </c>
      <c r="L259" s="8" t="n"/>
      <c r="M259" s="12" t="n"/>
      <c r="N259" s="7" t="inlineStr"/>
      <c r="O259" s="7" t="inlineStr"/>
    </row>
    <row r="260">
      <c r="A260" s="7" t="n">
        <v>5261</v>
      </c>
      <c r="B260" s="10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1" t="n">
        <v>1</v>
      </c>
      <c r="G260" s="11" t="n">
        <v>1</v>
      </c>
      <c r="H260" s="8" t="n">
        <v>36.38</v>
      </c>
      <c r="I260" s="8" t="n">
        <v>32.65</v>
      </c>
      <c r="J260" s="8" t="n"/>
      <c r="K260" s="7" t="inlineStr">
        <is>
          <t>SEM COTAÇÃO</t>
        </is>
      </c>
      <c r="L260" s="8" t="n"/>
      <c r="M260" s="12" t="n"/>
      <c r="N260" s="7" t="inlineStr"/>
      <c r="O260" s="7" t="inlineStr"/>
    </row>
    <row r="261">
      <c r="A261" s="7" t="n">
        <v>663491</v>
      </c>
      <c r="B261" s="10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1" t="n">
        <v>2</v>
      </c>
      <c r="G261" s="11" t="n">
        <v>2</v>
      </c>
      <c r="H261" s="8" t="n">
        <v>30.4</v>
      </c>
      <c r="I261" s="8" t="n">
        <v>21.18</v>
      </c>
      <c r="J261" s="8" t="n"/>
      <c r="K261" s="7" t="inlineStr">
        <is>
          <t>SEM COTAÇÃO</t>
        </is>
      </c>
      <c r="L261" s="8" t="n"/>
      <c r="M261" s="12" t="n"/>
      <c r="N261" s="7" t="inlineStr"/>
      <c r="O261" s="7" t="inlineStr"/>
    </row>
    <row r="262">
      <c r="A262" s="7" t="n">
        <v>654601</v>
      </c>
      <c r="B262" s="10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1" t="n">
        <v>1</v>
      </c>
      <c r="G262" s="11" t="n">
        <v>1</v>
      </c>
      <c r="H262" s="8" t="n">
        <v>16.84</v>
      </c>
      <c r="I262" s="8" t="n">
        <v>16.84</v>
      </c>
      <c r="J262" s="8" t="n"/>
      <c r="K262" s="7" t="inlineStr">
        <is>
          <t>SEM COTAÇÃO</t>
        </is>
      </c>
      <c r="L262" s="8" t="n"/>
      <c r="M262" s="12" t="n"/>
      <c r="N262" s="7" t="inlineStr"/>
      <c r="O262" s="7" t="inlineStr"/>
    </row>
    <row r="263">
      <c r="A263" s="7" t="n">
        <v>33361</v>
      </c>
      <c r="B263" s="10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1" t="n">
        <v>15</v>
      </c>
      <c r="G263" s="11" t="n">
        <v>15</v>
      </c>
      <c r="H263" s="8" t="n">
        <v>8.49</v>
      </c>
      <c r="I263" s="8" t="n">
        <v>8.49</v>
      </c>
      <c r="J263" s="8" t="n"/>
      <c r="K263" s="7" t="inlineStr">
        <is>
          <t>SEM COTAÇÃO</t>
        </is>
      </c>
      <c r="L263" s="8" t="n"/>
      <c r="M263" s="12" t="n"/>
      <c r="N263" s="7" t="inlineStr"/>
      <c r="O263" s="7" t="inlineStr"/>
    </row>
    <row r="264">
      <c r="A264" s="7" t="n">
        <v>608041</v>
      </c>
      <c r="B264" s="10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1" t="n">
        <v>1</v>
      </c>
      <c r="G264" s="11" t="n">
        <v>1</v>
      </c>
      <c r="H264" s="8" t="n">
        <v>2.35</v>
      </c>
      <c r="I264" s="8" t="n">
        <v>2.35</v>
      </c>
      <c r="J264" s="8" t="n"/>
      <c r="K264" s="7" t="inlineStr">
        <is>
          <t>SEM COTAÇÃO</t>
        </is>
      </c>
      <c r="L264" s="8" t="n"/>
      <c r="M264" s="12" t="n"/>
      <c r="N264" s="7" t="inlineStr"/>
      <c r="O264" s="7" t="inlineStr"/>
    </row>
    <row r="265">
      <c r="A265" s="7" t="n">
        <v>608011</v>
      </c>
      <c r="B265" s="10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1" t="n">
        <v>1</v>
      </c>
      <c r="G265" s="11" t="n">
        <v>1</v>
      </c>
      <c r="H265" s="8" t="n">
        <v>2.05</v>
      </c>
      <c r="I265" s="8" t="n">
        <v>2.05</v>
      </c>
      <c r="J265" s="8" t="n"/>
      <c r="K265" s="7" t="inlineStr">
        <is>
          <t>SEM COTAÇÃO</t>
        </is>
      </c>
      <c r="L265" s="8" t="n"/>
      <c r="M265" s="12" t="n"/>
      <c r="N265" s="7" t="inlineStr"/>
      <c r="O265" s="7" t="inlineStr"/>
    </row>
    <row r="266">
      <c r="A266" s="7" t="n">
        <v>608021</v>
      </c>
      <c r="B266" s="10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1" t="n">
        <v>1</v>
      </c>
      <c r="G266" s="11" t="n">
        <v>1</v>
      </c>
      <c r="H266" s="8" t="n">
        <v>2.35</v>
      </c>
      <c r="I266" s="8" t="n">
        <v>2.35</v>
      </c>
      <c r="J266" s="8" t="n"/>
      <c r="K266" s="7" t="inlineStr">
        <is>
          <t>SEM COTAÇÃO</t>
        </is>
      </c>
      <c r="L266" s="8" t="n"/>
      <c r="M266" s="12" t="n"/>
      <c r="N266" s="7" t="inlineStr"/>
      <c r="O266" s="7" t="inlineStr"/>
    </row>
    <row r="267">
      <c r="A267" s="7" t="n">
        <v>608031</v>
      </c>
      <c r="B267" s="10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1" t="n">
        <v>1</v>
      </c>
      <c r="G267" s="11" t="n">
        <v>1</v>
      </c>
      <c r="H267" s="8" t="n">
        <v>2.35</v>
      </c>
      <c r="I267" s="8" t="n">
        <v>2.35</v>
      </c>
      <c r="J267" s="8" t="n"/>
      <c r="K267" s="7" t="inlineStr">
        <is>
          <t>SEM COTAÇÃO</t>
        </is>
      </c>
      <c r="L267" s="8" t="n"/>
      <c r="M267" s="12" t="n"/>
      <c r="N267" s="7" t="inlineStr"/>
      <c r="O267" s="7" t="inlineStr"/>
    </row>
    <row r="268">
      <c r="A268" s="7" t="n">
        <v>71981</v>
      </c>
      <c r="B268" s="10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1" t="n">
        <v>1</v>
      </c>
      <c r="G268" s="11" t="n">
        <v>3</v>
      </c>
      <c r="H268" s="8" t="n">
        <v>4.9505</v>
      </c>
      <c r="I268" s="8" t="n">
        <v>4.9505</v>
      </c>
      <c r="J268" s="8" t="n"/>
      <c r="K268" s="7" t="inlineStr">
        <is>
          <t>SEM COTAÇÃO</t>
        </is>
      </c>
      <c r="L268" s="8" t="n"/>
      <c r="M268" s="12" t="n"/>
      <c r="N268" s="7" t="inlineStr"/>
      <c r="O268" s="7" t="inlineStr"/>
    </row>
    <row r="269">
      <c r="A269" s="7" t="n">
        <v>2153</v>
      </c>
      <c r="B269" s="10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1" t="n">
        <v>2</v>
      </c>
      <c r="G269" s="11" t="n">
        <v>2</v>
      </c>
      <c r="H269" s="8" t="n">
        <v>42.8567</v>
      </c>
      <c r="I269" s="8" t="n">
        <v>42.8567</v>
      </c>
      <c r="J269" s="8" t="n"/>
      <c r="K269" s="7" t="inlineStr">
        <is>
          <t>SEM COTAÇÃO</t>
        </is>
      </c>
      <c r="L269" s="8" t="n"/>
      <c r="M269" s="12" t="n"/>
      <c r="N269" s="7" t="inlineStr"/>
      <c r="O269" s="7" t="inlineStr"/>
    </row>
    <row r="270">
      <c r="A270" s="7" t="n">
        <v>665541</v>
      </c>
      <c r="B270" s="10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1" t="n">
        <v>3</v>
      </c>
      <c r="G270" s="11" t="n">
        <v>3</v>
      </c>
      <c r="H270" s="8" t="n"/>
      <c r="I270" s="8" t="n"/>
      <c r="J270" s="8" t="n"/>
      <c r="K270" s="7" t="inlineStr">
        <is>
          <t>SEM COTAÇÃO</t>
        </is>
      </c>
      <c r="L270" s="8" t="n"/>
      <c r="M270" s="12" t="n"/>
      <c r="N270" s="7" t="inlineStr"/>
      <c r="O270" s="7" t="inlineStr"/>
    </row>
    <row r="271">
      <c r="A271" s="7" t="n">
        <v>665531</v>
      </c>
      <c r="B271" s="10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1" t="n">
        <v>1</v>
      </c>
      <c r="G271" s="11" t="n">
        <v>1</v>
      </c>
      <c r="H271" s="8" t="n"/>
      <c r="I271" s="8" t="n"/>
      <c r="J271" s="8" t="n"/>
      <c r="K271" s="7" t="inlineStr">
        <is>
          <t>SEM COTAÇÃO</t>
        </is>
      </c>
      <c r="L271" s="8" t="n"/>
      <c r="M271" s="12" t="n"/>
      <c r="N271" s="7" t="inlineStr"/>
      <c r="O271" s="7" t="inlineStr"/>
    </row>
    <row r="272">
      <c r="A272" s="7" t="n">
        <v>2133</v>
      </c>
      <c r="B272" s="10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1" t="n">
        <v>5</v>
      </c>
      <c r="G272" s="11" t="n">
        <v>5</v>
      </c>
      <c r="H272" s="8" t="n">
        <v>30.9</v>
      </c>
      <c r="I272" s="8" t="n">
        <v>30.9</v>
      </c>
      <c r="J272" s="8" t="n"/>
      <c r="K272" s="7" t="inlineStr">
        <is>
          <t>SEM COTAÇÃO</t>
        </is>
      </c>
      <c r="L272" s="8" t="n"/>
      <c r="M272" s="12" t="n"/>
      <c r="N272" s="7" t="inlineStr"/>
      <c r="O272" s="7" t="inlineStr"/>
    </row>
    <row r="273">
      <c r="A273" s="7" t="n">
        <v>644341</v>
      </c>
      <c r="B273" s="10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1" t="n">
        <v>1</v>
      </c>
      <c r="G273" s="11" t="n">
        <v>1</v>
      </c>
      <c r="H273" s="8" t="n">
        <v>23.0867</v>
      </c>
      <c r="I273" s="8" t="n">
        <v>23.0867</v>
      </c>
      <c r="J273" s="8" t="n"/>
      <c r="K273" s="7" t="inlineStr">
        <is>
          <t>SEM COTAÇÃO</t>
        </is>
      </c>
      <c r="L273" s="8" t="n"/>
      <c r="M273" s="12" t="n"/>
      <c r="N273" s="7" t="inlineStr"/>
      <c r="O273" s="7" t="inlineStr"/>
    </row>
    <row r="274">
      <c r="A274" s="7" t="n">
        <v>4003</v>
      </c>
      <c r="B274" s="10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1" t="n">
        <v>4</v>
      </c>
      <c r="G274" s="11" t="n">
        <v>4</v>
      </c>
      <c r="H274" s="8" t="n">
        <v>23.79</v>
      </c>
      <c r="I274" s="8" t="n">
        <v>23.79</v>
      </c>
      <c r="J274" s="8" t="n"/>
      <c r="K274" s="7" t="inlineStr">
        <is>
          <t>SEM COTAÇÃO</t>
        </is>
      </c>
      <c r="L274" s="8" t="n"/>
      <c r="M274" s="12" t="n"/>
      <c r="N274" s="7" t="inlineStr"/>
      <c r="O274" s="7" t="inlineStr"/>
    </row>
    <row r="275">
      <c r="A275" s="7" t="n">
        <v>124481</v>
      </c>
      <c r="B275" s="10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1" t="n">
        <v>1</v>
      </c>
      <c r="G275" s="11" t="n">
        <v>1</v>
      </c>
      <c r="H275" s="8" t="n">
        <v>50.26</v>
      </c>
      <c r="I275" s="8" t="n">
        <v>42.28</v>
      </c>
      <c r="J275" s="8" t="n"/>
      <c r="K275" s="7" t="inlineStr">
        <is>
          <t>SEM COTAÇÃO</t>
        </is>
      </c>
      <c r="L275" s="8" t="n"/>
      <c r="M275" s="12" t="n"/>
      <c r="N275" s="7" t="inlineStr"/>
      <c r="O275" s="7" t="inlineStr"/>
    </row>
    <row r="276">
      <c r="A276" s="7" t="n">
        <v>469661</v>
      </c>
      <c r="B276" s="10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1" t="n">
        <v>2</v>
      </c>
      <c r="G276" s="11" t="n">
        <v>2</v>
      </c>
      <c r="H276" s="8" t="n">
        <v>28.045</v>
      </c>
      <c r="I276" s="8" t="n">
        <v>28.04</v>
      </c>
      <c r="J276" s="8" t="n"/>
      <c r="K276" s="7" t="inlineStr">
        <is>
          <t>SEM COTAÇÃO</t>
        </is>
      </c>
      <c r="L276" s="8" t="n"/>
      <c r="M276" s="12" t="n"/>
      <c r="N276" s="7" t="inlineStr"/>
      <c r="O276" s="7" t="inlineStr"/>
    </row>
    <row r="277">
      <c r="A277" s="7" t="n">
        <v>42403</v>
      </c>
      <c r="B277" s="10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1" t="n">
        <v>4</v>
      </c>
      <c r="G277" s="11" t="n">
        <v>4</v>
      </c>
      <c r="H277" s="8" t="n">
        <v>4.31</v>
      </c>
      <c r="I277" s="8" t="n">
        <v>4.31</v>
      </c>
      <c r="J277" s="8" t="n"/>
      <c r="K277" s="7" t="inlineStr">
        <is>
          <t>SEM COTAÇÃO</t>
        </is>
      </c>
      <c r="L277" s="8" t="n"/>
      <c r="M277" s="12" t="n"/>
      <c r="N277" s="7" t="inlineStr"/>
      <c r="O277" s="7" t="inlineStr"/>
    </row>
    <row r="278">
      <c r="A278" s="7" t="n">
        <v>364361</v>
      </c>
      <c r="B278" s="10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1" t="n">
        <v>8</v>
      </c>
      <c r="G278" s="11" t="n">
        <v>8</v>
      </c>
      <c r="H278" s="8" t="n">
        <v>25.125</v>
      </c>
      <c r="I278" s="8" t="n">
        <v>21.8625</v>
      </c>
      <c r="J278" s="8" t="n"/>
      <c r="K278" s="7" t="inlineStr">
        <is>
          <t>SEM COTAÇÃO</t>
        </is>
      </c>
      <c r="L278" s="8" t="n"/>
      <c r="M278" s="12" t="n"/>
      <c r="N278" s="7" t="inlineStr"/>
      <c r="O278" s="7" t="inlineStr"/>
    </row>
    <row r="279">
      <c r="A279" s="7" t="n">
        <v>131861</v>
      </c>
      <c r="B279" s="10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1" t="n">
        <v>1</v>
      </c>
      <c r="G279" s="11" t="n">
        <v>1</v>
      </c>
      <c r="H279" s="8" t="n">
        <v>27.07</v>
      </c>
      <c r="I279" s="8" t="n">
        <v>27.07</v>
      </c>
      <c r="J279" s="8" t="n"/>
      <c r="K279" s="7" t="inlineStr">
        <is>
          <t>SEM COTAÇÃO</t>
        </is>
      </c>
      <c r="L279" s="8" t="n"/>
      <c r="M279" s="12" t="n"/>
      <c r="N279" s="7" t="inlineStr"/>
      <c r="O279" s="7" t="inlineStr"/>
    </row>
    <row r="280">
      <c r="A280" s="7" t="n">
        <v>624171</v>
      </c>
      <c r="B280" s="10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1" t="n">
        <v>1</v>
      </c>
      <c r="G280" s="11" t="n">
        <v>1</v>
      </c>
      <c r="H280" s="8" t="n">
        <v>88.16</v>
      </c>
      <c r="I280" s="8" t="n">
        <v>88.16</v>
      </c>
      <c r="J280" s="8" t="n"/>
      <c r="K280" s="7" t="inlineStr">
        <is>
          <t>SEM COTAÇÃO</t>
        </is>
      </c>
      <c r="L280" s="8" t="n"/>
      <c r="M280" s="12" t="n"/>
      <c r="N280" s="7" t="inlineStr"/>
      <c r="O280" s="7" t="inlineStr"/>
    </row>
    <row r="281">
      <c r="A281" s="7" t="n">
        <v>618051</v>
      </c>
      <c r="B281" s="10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1" t="n">
        <v>1</v>
      </c>
      <c r="G281" s="11" t="n">
        <v>1</v>
      </c>
      <c r="H281" s="8" t="n">
        <v>75.47499999999999</v>
      </c>
      <c r="I281" s="8" t="n">
        <v>75.47499999999999</v>
      </c>
      <c r="J281" s="8" t="n"/>
      <c r="K281" s="7" t="inlineStr">
        <is>
          <t>SEM COTAÇÃO</t>
        </is>
      </c>
      <c r="L281" s="8" t="n"/>
      <c r="M281" s="12" t="n"/>
      <c r="N281" s="7" t="inlineStr"/>
      <c r="O281" s="7" t="inlineStr"/>
    </row>
    <row r="282">
      <c r="A282" s="7" t="n">
        <v>648861</v>
      </c>
      <c r="B282" s="10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1" t="n">
        <v>1</v>
      </c>
      <c r="G282" s="11" t="n">
        <v>1</v>
      </c>
      <c r="H282" s="8" t="n">
        <v>112.82</v>
      </c>
      <c r="I282" s="8" t="n">
        <v>112.82</v>
      </c>
      <c r="J282" s="8" t="n"/>
      <c r="K282" s="7" t="inlineStr">
        <is>
          <t>SEM COTAÇÃO</t>
        </is>
      </c>
      <c r="L282" s="8" t="n"/>
      <c r="M282" s="12" t="n"/>
      <c r="N282" s="7" t="inlineStr"/>
      <c r="O282" s="7" t="inlineStr"/>
    </row>
    <row r="283">
      <c r="A283" s="7" t="n">
        <v>650831</v>
      </c>
      <c r="B283" s="10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1" t="n">
        <v>1</v>
      </c>
      <c r="G283" s="11" t="n">
        <v>1</v>
      </c>
      <c r="H283" s="8" t="n">
        <v>15</v>
      </c>
      <c r="I283" s="8" t="n">
        <v>15</v>
      </c>
      <c r="J283" s="8" t="n"/>
      <c r="K283" s="7" t="inlineStr">
        <is>
          <t>SEM COTAÇÃO</t>
        </is>
      </c>
      <c r="L283" s="8" t="n"/>
      <c r="M283" s="12" t="n"/>
      <c r="N283" s="7" t="inlineStr"/>
      <c r="O283" s="7" t="inlineStr"/>
    </row>
    <row r="284">
      <c r="A284" s="7" t="n">
        <v>626011</v>
      </c>
      <c r="B284" s="10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1" t="n">
        <v>1</v>
      </c>
      <c r="G284" s="11" t="n">
        <v>1</v>
      </c>
      <c r="H284" s="8" t="n">
        <v>14.65</v>
      </c>
      <c r="I284" s="8" t="n">
        <v>14.65</v>
      </c>
      <c r="J284" s="8" t="n"/>
      <c r="K284" s="7" t="inlineStr">
        <is>
          <t>SEM COTAÇÃO</t>
        </is>
      </c>
      <c r="L284" s="8" t="n"/>
      <c r="M284" s="12" t="n"/>
      <c r="N284" s="7" t="inlineStr"/>
      <c r="O284" s="7" t="inlineStr"/>
    </row>
    <row r="285">
      <c r="A285" s="7" t="n">
        <v>612031</v>
      </c>
      <c r="B285" s="10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1" t="n">
        <v>7</v>
      </c>
      <c r="G285" s="11" t="n">
        <v>7</v>
      </c>
      <c r="H285" s="8" t="n">
        <v>15.52</v>
      </c>
      <c r="I285" s="8" t="n">
        <v>15.52</v>
      </c>
      <c r="J285" s="8" t="n"/>
      <c r="K285" s="7" t="inlineStr">
        <is>
          <t>SEM COTAÇÃO</t>
        </is>
      </c>
      <c r="L285" s="8" t="n"/>
      <c r="M285" s="12" t="n"/>
      <c r="N285" s="7" t="inlineStr"/>
      <c r="O285" s="7" t="inlineStr"/>
    </row>
    <row r="286">
      <c r="A286" s="7" t="n">
        <v>559761</v>
      </c>
      <c r="B286" s="10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1" t="n">
        <v>6</v>
      </c>
      <c r="G286" s="11" t="n">
        <v>6</v>
      </c>
      <c r="H286" s="8" t="n">
        <v>5.4383</v>
      </c>
      <c r="I286" s="8" t="n">
        <v>5.06</v>
      </c>
      <c r="J286" s="8" t="n"/>
      <c r="K286" s="7" t="inlineStr">
        <is>
          <t>SEM COTAÇÃO</t>
        </is>
      </c>
      <c r="L286" s="8" t="n"/>
      <c r="M286" s="12" t="n"/>
      <c r="N286" s="7" t="inlineStr"/>
      <c r="O286" s="7" t="inlineStr"/>
    </row>
    <row r="287">
      <c r="A287" s="7" t="n">
        <v>559721</v>
      </c>
      <c r="B287" s="10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1" t="n">
        <v>1</v>
      </c>
      <c r="G287" s="11" t="n">
        <v>3</v>
      </c>
      <c r="H287" s="8" t="n">
        <v>4.8117</v>
      </c>
      <c r="I287" s="8" t="n">
        <v>4.8117</v>
      </c>
      <c r="J287" s="8" t="n"/>
      <c r="K287" s="7" t="inlineStr">
        <is>
          <t>SEM COTAÇÃO</t>
        </is>
      </c>
      <c r="L287" s="8" t="n"/>
      <c r="M287" s="12" t="n"/>
      <c r="N287" s="7" t="inlineStr"/>
      <c r="O287" s="7" t="inlineStr"/>
    </row>
    <row r="288">
      <c r="A288" s="7" t="n">
        <v>559741</v>
      </c>
      <c r="B288" s="10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1" t="n">
        <v>2</v>
      </c>
      <c r="G288" s="11" t="n">
        <v>2</v>
      </c>
      <c r="H288" s="8" t="n">
        <v>4.8117</v>
      </c>
      <c r="I288" s="8" t="n">
        <v>4.4833</v>
      </c>
      <c r="J288" s="8" t="n"/>
      <c r="K288" s="7" t="inlineStr">
        <is>
          <t>SEM COTAÇÃO</t>
        </is>
      </c>
      <c r="L288" s="8" t="n"/>
      <c r="M288" s="12" t="n"/>
      <c r="N288" s="7" t="inlineStr"/>
      <c r="O288" s="7" t="inlineStr"/>
    </row>
    <row r="289">
      <c r="A289" s="7" t="n">
        <v>559681</v>
      </c>
      <c r="B289" s="10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1" t="n">
        <v>8</v>
      </c>
      <c r="G289" s="11" t="n">
        <v>8</v>
      </c>
      <c r="H289" s="8" t="n">
        <v>4.89</v>
      </c>
      <c r="I289" s="8" t="n">
        <v>3.4533</v>
      </c>
      <c r="J289" s="8" t="n"/>
      <c r="K289" s="7" t="inlineStr">
        <is>
          <t>SEM COTAÇÃO</t>
        </is>
      </c>
      <c r="L289" s="8" t="n"/>
      <c r="M289" s="12" t="n"/>
      <c r="N289" s="7" t="inlineStr"/>
      <c r="O289" s="7" t="inlineStr"/>
    </row>
    <row r="290">
      <c r="A290" s="7" t="n">
        <v>559701</v>
      </c>
      <c r="B290" s="10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1" t="n">
        <v>3</v>
      </c>
      <c r="G290" s="11" t="n">
        <v>3</v>
      </c>
      <c r="H290" s="8" t="n">
        <v>4.8117</v>
      </c>
      <c r="I290" s="8" t="n">
        <v>3.4533</v>
      </c>
      <c r="J290" s="8" t="n"/>
      <c r="K290" s="7" t="inlineStr">
        <is>
          <t>SEM COTAÇÃO</t>
        </is>
      </c>
      <c r="L290" s="8" t="n"/>
      <c r="M290" s="12" t="n"/>
      <c r="N290" s="7" t="inlineStr"/>
      <c r="O290" s="7" t="inlineStr"/>
    </row>
    <row r="291">
      <c r="A291" s="7" t="n">
        <v>650981</v>
      </c>
      <c r="B291" s="10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1" t="n">
        <v>1</v>
      </c>
      <c r="G291" s="11" t="n">
        <v>1</v>
      </c>
      <c r="H291" s="8" t="n">
        <v>4.505</v>
      </c>
      <c r="I291" s="8" t="n">
        <v>4.505</v>
      </c>
      <c r="J291" s="8" t="n"/>
      <c r="K291" s="7" t="inlineStr">
        <is>
          <t>SEM COTAÇÃO</t>
        </is>
      </c>
      <c r="L291" s="8" t="n"/>
      <c r="M291" s="12" t="n"/>
      <c r="N291" s="7" t="inlineStr"/>
      <c r="O291" s="7" t="inlineStr"/>
    </row>
    <row r="292">
      <c r="A292" s="7" t="n">
        <v>635861</v>
      </c>
      <c r="B292" s="10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1" t="n">
        <v>1</v>
      </c>
      <c r="G292" s="11" t="n">
        <v>1</v>
      </c>
      <c r="H292" s="8" t="n">
        <v>7.7117</v>
      </c>
      <c r="I292" s="8" t="n">
        <v>7.7117</v>
      </c>
      <c r="J292" s="8" t="n"/>
      <c r="K292" s="7" t="inlineStr">
        <is>
          <t>SEM COTAÇÃO</t>
        </is>
      </c>
      <c r="L292" s="8" t="n"/>
      <c r="M292" s="12" t="n"/>
      <c r="N292" s="7" t="inlineStr"/>
      <c r="O292" s="7" t="inlineStr"/>
    </row>
    <row r="293">
      <c r="A293" s="7" t="n">
        <v>635851</v>
      </c>
      <c r="B293" s="10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1" t="n">
        <v>1</v>
      </c>
      <c r="G293" s="11" t="n">
        <v>1</v>
      </c>
      <c r="H293" s="8" t="n">
        <v>7.7117</v>
      </c>
      <c r="I293" s="8" t="n">
        <v>7.7117</v>
      </c>
      <c r="J293" s="8" t="n"/>
      <c r="K293" s="7" t="inlineStr">
        <is>
          <t>SEM COTAÇÃO</t>
        </is>
      </c>
      <c r="L293" s="8" t="n"/>
      <c r="M293" s="12" t="n"/>
      <c r="N293" s="7" t="inlineStr"/>
      <c r="O293" s="7" t="inlineStr"/>
    </row>
    <row r="294">
      <c r="A294" s="7" t="n">
        <v>651021</v>
      </c>
      <c r="B294" s="10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1" t="n">
        <v>1</v>
      </c>
      <c r="G294" s="11" t="n">
        <v>1</v>
      </c>
      <c r="H294" s="8" t="n">
        <v>9.630000000000001</v>
      </c>
      <c r="I294" s="8" t="n">
        <v>9.630000000000001</v>
      </c>
      <c r="J294" s="8" t="n"/>
      <c r="K294" s="7" t="inlineStr">
        <is>
          <t>SEM COTAÇÃO</t>
        </is>
      </c>
      <c r="L294" s="8" t="n"/>
      <c r="M294" s="12" t="n"/>
      <c r="N294" s="7" t="inlineStr"/>
      <c r="O294" s="7" t="inlineStr"/>
    </row>
    <row r="295">
      <c r="A295" s="7" t="n">
        <v>602921</v>
      </c>
      <c r="B295" s="10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1" t="n">
        <v>1</v>
      </c>
      <c r="G295" s="11" t="n">
        <v>4</v>
      </c>
      <c r="H295" s="8" t="n">
        <v>7.8167</v>
      </c>
      <c r="I295" s="8" t="n">
        <v>7.8167</v>
      </c>
      <c r="J295" s="8" t="n"/>
      <c r="K295" s="7" t="inlineStr">
        <is>
          <t>SEM COTAÇÃO</t>
        </is>
      </c>
      <c r="L295" s="8" t="n"/>
      <c r="M295" s="12" t="n"/>
      <c r="N295" s="7" t="inlineStr"/>
      <c r="O295" s="7" t="inlineStr"/>
    </row>
    <row r="296">
      <c r="A296" s="7" t="n">
        <v>650971</v>
      </c>
      <c r="B296" s="10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1" t="n">
        <v>1</v>
      </c>
      <c r="G296" s="11" t="n">
        <v>1</v>
      </c>
      <c r="H296" s="8" t="n">
        <v>5.6133</v>
      </c>
      <c r="I296" s="8" t="n">
        <v>5.6133</v>
      </c>
      <c r="J296" s="8" t="n"/>
      <c r="K296" s="7" t="inlineStr">
        <is>
          <t>SEM COTAÇÃO</t>
        </is>
      </c>
      <c r="L296" s="8" t="n"/>
      <c r="M296" s="12" t="n"/>
      <c r="N296" s="7" t="inlineStr"/>
      <c r="O296" s="7" t="inlineStr"/>
    </row>
    <row r="297">
      <c r="A297" s="7" t="n">
        <v>602911</v>
      </c>
      <c r="B297" s="10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1" t="n">
        <v>1</v>
      </c>
      <c r="G297" s="11" t="n">
        <v>5</v>
      </c>
      <c r="H297" s="8" t="n">
        <v>2.435</v>
      </c>
      <c r="I297" s="8" t="n">
        <v>2.435</v>
      </c>
      <c r="J297" s="8" t="n"/>
      <c r="K297" s="7" t="inlineStr">
        <is>
          <t>SEM COTAÇÃO</t>
        </is>
      </c>
      <c r="L297" s="8" t="n"/>
      <c r="M297" s="12" t="n"/>
      <c r="N297" s="7" t="inlineStr"/>
      <c r="O297" s="7" t="inlineStr"/>
    </row>
    <row r="298">
      <c r="A298" s="7" t="n">
        <v>597991</v>
      </c>
      <c r="B298" s="10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1" t="n">
        <v>1</v>
      </c>
      <c r="G298" s="11" t="n">
        <v>1</v>
      </c>
      <c r="H298" s="8" t="n">
        <v>4.9308</v>
      </c>
      <c r="I298" s="8" t="n">
        <v>4.9308</v>
      </c>
      <c r="J298" s="8" t="n"/>
      <c r="K298" s="7" t="inlineStr">
        <is>
          <t>SEM COTAÇÃO</t>
        </is>
      </c>
      <c r="L298" s="8" t="n"/>
      <c r="M298" s="12" t="n"/>
      <c r="N298" s="7" t="inlineStr"/>
      <c r="O298" s="7" t="inlineStr"/>
    </row>
    <row r="299">
      <c r="A299" s="7" t="n">
        <v>650991</v>
      </c>
      <c r="B299" s="10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1" t="n">
        <v>1</v>
      </c>
      <c r="G299" s="11" t="n">
        <v>1</v>
      </c>
      <c r="H299" s="8" t="n">
        <v>9.67</v>
      </c>
      <c r="I299" s="8" t="n">
        <v>9.67</v>
      </c>
      <c r="J299" s="8" t="n"/>
      <c r="K299" s="7" t="inlineStr">
        <is>
          <t>SEM COTAÇÃO</t>
        </is>
      </c>
      <c r="L299" s="8" t="n"/>
      <c r="M299" s="12" t="n"/>
      <c r="N299" s="7" t="inlineStr"/>
      <c r="O299" s="7" t="inlineStr"/>
    </row>
    <row r="300">
      <c r="A300" s="7" t="n">
        <v>651011</v>
      </c>
      <c r="B300" s="10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1" t="n">
        <v>1</v>
      </c>
      <c r="G300" s="11" t="n">
        <v>1</v>
      </c>
      <c r="H300" s="8" t="n">
        <v>12.67</v>
      </c>
      <c r="I300" s="8" t="n">
        <v>12.67</v>
      </c>
      <c r="J300" s="8" t="n"/>
      <c r="K300" s="7" t="inlineStr">
        <is>
          <t>SEM COTAÇÃO</t>
        </is>
      </c>
      <c r="L300" s="8" t="n"/>
      <c r="M300" s="12" t="n"/>
      <c r="N300" s="7" t="inlineStr"/>
      <c r="O300" s="7" t="inlineStr"/>
    </row>
    <row r="301">
      <c r="A301" s="7" t="n">
        <v>635871</v>
      </c>
      <c r="B301" s="10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1" t="n">
        <v>1</v>
      </c>
      <c r="G301" s="11" t="n">
        <v>4</v>
      </c>
      <c r="H301" s="8" t="n">
        <v>8.5183</v>
      </c>
      <c r="I301" s="8" t="n">
        <v>8.5183</v>
      </c>
      <c r="J301" s="8" t="n"/>
      <c r="K301" s="7" t="inlineStr">
        <is>
          <t>SEM COTAÇÃO</t>
        </is>
      </c>
      <c r="L301" s="8" t="n"/>
      <c r="M301" s="12" t="n"/>
      <c r="N301" s="7" t="inlineStr"/>
      <c r="O301" s="7" t="inlineStr"/>
    </row>
    <row r="302">
      <c r="A302" s="7" t="n">
        <v>650961</v>
      </c>
      <c r="B302" s="10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1" t="n">
        <v>1</v>
      </c>
      <c r="G302" s="11" t="n">
        <v>1</v>
      </c>
      <c r="H302" s="8" t="n">
        <v>16.96</v>
      </c>
      <c r="I302" s="8" t="n">
        <v>16.96</v>
      </c>
      <c r="J302" s="8" t="n"/>
      <c r="K302" s="7" t="inlineStr">
        <is>
          <t>SEM COTAÇÃO</t>
        </is>
      </c>
      <c r="L302" s="8" t="n"/>
      <c r="M302" s="12" t="n"/>
      <c r="N302" s="7" t="inlineStr"/>
      <c r="O302" s="7" t="inlineStr"/>
    </row>
    <row r="303">
      <c r="A303" s="7" t="n">
        <v>494</v>
      </c>
      <c r="B303" s="10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1" t="n">
        <v>1</v>
      </c>
      <c r="G303" s="11" t="n">
        <v>1</v>
      </c>
      <c r="H303" s="8" t="n">
        <v>15.21</v>
      </c>
      <c r="I303" s="8" t="n">
        <v>14</v>
      </c>
      <c r="J303" s="8" t="n"/>
      <c r="K303" s="7" t="inlineStr">
        <is>
          <t>SEM COTAÇÃO</t>
        </is>
      </c>
      <c r="L303" s="8" t="n"/>
      <c r="M303" s="12" t="n"/>
      <c r="N303" s="7" t="inlineStr"/>
      <c r="O303" s="7" t="inlineStr"/>
    </row>
    <row r="304">
      <c r="A304" s="7" t="n">
        <v>589801</v>
      </c>
      <c r="B304" s="10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1" t="n">
        <v>3</v>
      </c>
      <c r="G304" s="11" t="n">
        <v>3</v>
      </c>
      <c r="H304" s="8" t="n">
        <v>21.15</v>
      </c>
      <c r="I304" s="8" t="n">
        <v>21.15</v>
      </c>
      <c r="J304" s="8" t="n"/>
      <c r="K304" s="7" t="inlineStr">
        <is>
          <t>SEM COTAÇÃO</t>
        </is>
      </c>
      <c r="L304" s="8" t="n"/>
      <c r="M304" s="12" t="n"/>
      <c r="N304" s="7" t="inlineStr"/>
      <c r="O304" s="7" t="inlineStr"/>
    </row>
    <row r="305">
      <c r="A305" s="7" t="n">
        <v>666011</v>
      </c>
      <c r="B305" s="10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1" t="n">
        <v>2</v>
      </c>
      <c r="G305" s="11" t="n">
        <v>2</v>
      </c>
      <c r="H305" s="8" t="n">
        <v>73.03830000000001</v>
      </c>
      <c r="I305" s="8" t="n">
        <v>73.03830000000001</v>
      </c>
      <c r="J305" s="8" t="n"/>
      <c r="K305" s="7" t="inlineStr">
        <is>
          <t>SEM COTAÇÃO</t>
        </is>
      </c>
      <c r="L305" s="8" t="n"/>
      <c r="M305" s="12" t="n"/>
      <c r="N305" s="7" t="inlineStr"/>
      <c r="O305" s="7" t="inlineStr"/>
    </row>
    <row r="306">
      <c r="A306" s="7" t="n">
        <v>565721</v>
      </c>
      <c r="B306" s="10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1" t="n">
        <v>3</v>
      </c>
      <c r="G306" s="11" t="n">
        <v>3</v>
      </c>
      <c r="H306" s="8" t="n">
        <v>25.19</v>
      </c>
      <c r="I306" s="8" t="n">
        <v>25.19</v>
      </c>
      <c r="J306" s="8" t="n"/>
      <c r="K306" s="7" t="inlineStr">
        <is>
          <t>SEM COTAÇÃO</t>
        </is>
      </c>
      <c r="L306" s="8" t="n"/>
      <c r="M306" s="12" t="n"/>
      <c r="N306" s="7" t="inlineStr"/>
      <c r="O306" s="7" t="inlineStr"/>
    </row>
    <row r="307">
      <c r="A307" s="7" t="n">
        <v>591591</v>
      </c>
      <c r="B307" s="10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1" t="n">
        <v>1</v>
      </c>
      <c r="G307" s="11" t="n">
        <v>4</v>
      </c>
      <c r="H307" s="8" t="n">
        <v>1.5603</v>
      </c>
      <c r="I307" s="8" t="n">
        <v>1.433</v>
      </c>
      <c r="J307" s="8" t="n"/>
      <c r="K307" s="7" t="inlineStr">
        <is>
          <t>SEM COTAÇÃO</t>
        </is>
      </c>
      <c r="L307" s="8" t="n"/>
      <c r="M307" s="12" t="n"/>
      <c r="N307" s="7" t="inlineStr"/>
      <c r="O307" s="7" t="inlineStr"/>
    </row>
    <row r="308">
      <c r="A308" s="7" t="n">
        <v>667911</v>
      </c>
      <c r="B308" s="10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1" t="n">
        <v>1</v>
      </c>
      <c r="G308" s="11" t="n">
        <v>2</v>
      </c>
      <c r="H308" s="8" t="n">
        <v>2.4817</v>
      </c>
      <c r="I308" s="8" t="n">
        <v>2.4817</v>
      </c>
      <c r="J308" s="8" t="n"/>
      <c r="K308" s="7" t="inlineStr">
        <is>
          <t>SEM COTAÇÃO</t>
        </is>
      </c>
      <c r="L308" s="8" t="n"/>
      <c r="M308" s="12" t="n"/>
      <c r="N308" s="7" t="inlineStr"/>
      <c r="O308" s="7" t="inlineStr"/>
    </row>
    <row r="309">
      <c r="A309" s="7" t="n">
        <v>668011</v>
      </c>
      <c r="B309" s="10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1" t="n">
        <v>1</v>
      </c>
      <c r="G309" s="11" t="n">
        <v>3</v>
      </c>
      <c r="H309" s="8" t="n">
        <v>2.0808</v>
      </c>
      <c r="I309" s="8" t="n">
        <v>2.0808</v>
      </c>
      <c r="J309" s="8" t="n"/>
      <c r="K309" s="7" t="inlineStr">
        <is>
          <t>SEM COTAÇÃO</t>
        </is>
      </c>
      <c r="L309" s="8" t="n"/>
      <c r="M309" s="12" t="n"/>
      <c r="N309" s="7" t="inlineStr"/>
      <c r="O309" s="7" t="inlineStr"/>
    </row>
    <row r="310">
      <c r="A310" s="7" t="n">
        <v>600791</v>
      </c>
      <c r="B310" s="10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1" t="n">
        <v>3</v>
      </c>
      <c r="G310" s="11" t="n">
        <v>3</v>
      </c>
      <c r="H310" s="8" t="n">
        <v>18.43</v>
      </c>
      <c r="I310" s="8" t="n">
        <v>14</v>
      </c>
      <c r="J310" s="8" t="n"/>
      <c r="K310" s="7" t="inlineStr">
        <is>
          <t>SEM COTAÇÃO</t>
        </is>
      </c>
      <c r="L310" s="8" t="n"/>
      <c r="M310" s="12" t="n"/>
      <c r="N310" s="7" t="inlineStr"/>
      <c r="O310" s="7" t="inlineStr"/>
    </row>
    <row r="311">
      <c r="A311" s="7" t="n">
        <v>666391</v>
      </c>
      <c r="B311" s="10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1" t="n">
        <v>2</v>
      </c>
      <c r="G311" s="11" t="n">
        <v>20</v>
      </c>
      <c r="H311" s="8" t="n">
        <v>5.0175</v>
      </c>
      <c r="I311" s="8" t="n">
        <v>4.0492</v>
      </c>
      <c r="J311" s="8" t="n"/>
      <c r="K311" s="7" t="inlineStr">
        <is>
          <t>SEM COTAÇÃO</t>
        </is>
      </c>
      <c r="L311" s="8" t="n"/>
      <c r="M311" s="12" t="n"/>
      <c r="N311" s="7" t="inlineStr"/>
      <c r="O311" s="7" t="inlineStr"/>
    </row>
    <row r="312">
      <c r="A312" s="7" t="n">
        <v>647171</v>
      </c>
      <c r="B312" s="10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1" t="n">
        <v>3</v>
      </c>
      <c r="G312" s="11" t="n">
        <v>3</v>
      </c>
      <c r="H312" s="8" t="n">
        <v>3.33</v>
      </c>
      <c r="I312" s="8" t="n">
        <v>3.33</v>
      </c>
      <c r="J312" s="8" t="n"/>
      <c r="K312" s="7" t="inlineStr">
        <is>
          <t>SEM COTAÇÃO</t>
        </is>
      </c>
      <c r="L312" s="8" t="n"/>
      <c r="M312" s="12" t="n"/>
      <c r="N312" s="7" t="inlineStr"/>
      <c r="O312" s="7" t="inlineStr"/>
    </row>
    <row r="313">
      <c r="A313" s="7" t="n">
        <v>669711</v>
      </c>
      <c r="B313" s="10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1" t="n">
        <v>3</v>
      </c>
      <c r="G313" s="11" t="n">
        <v>3</v>
      </c>
      <c r="H313" s="8" t="n">
        <v>16.13</v>
      </c>
      <c r="I313" s="8" t="n">
        <v>16</v>
      </c>
      <c r="J313" s="8" t="n"/>
      <c r="K313" s="7" t="inlineStr">
        <is>
          <t>SEM COTAÇÃO</t>
        </is>
      </c>
      <c r="L313" s="8" t="n"/>
      <c r="M313" s="12" t="n"/>
      <c r="N313" s="7" t="inlineStr"/>
      <c r="O313" s="7" t="inlineStr"/>
    </row>
    <row r="314">
      <c r="A314" s="7" t="n">
        <v>657501</v>
      </c>
      <c r="B314" s="10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1" t="n">
        <v>1</v>
      </c>
      <c r="G314" s="11" t="n">
        <v>1</v>
      </c>
      <c r="H314" s="8" t="n">
        <v>24.21</v>
      </c>
      <c r="I314" s="8" t="n">
        <v>24.21</v>
      </c>
      <c r="J314" s="8" t="n"/>
      <c r="K314" s="7" t="inlineStr">
        <is>
          <t>SEM COTAÇÃO</t>
        </is>
      </c>
      <c r="L314" s="8" t="n"/>
      <c r="M314" s="12" t="n"/>
      <c r="N314" s="7" t="inlineStr"/>
      <c r="O314" s="7" t="inlineStr"/>
    </row>
    <row r="315">
      <c r="A315" s="7" t="n">
        <v>622451</v>
      </c>
      <c r="B315" s="10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1" t="n">
        <v>1</v>
      </c>
      <c r="G315" s="11" t="n">
        <v>1</v>
      </c>
      <c r="H315" s="8" t="n">
        <v>6.95</v>
      </c>
      <c r="I315" s="8" t="n">
        <v>6.95</v>
      </c>
      <c r="J315" s="8" t="n"/>
      <c r="K315" s="7" t="inlineStr">
        <is>
          <t>SEM COTAÇÃO</t>
        </is>
      </c>
      <c r="L315" s="8" t="n"/>
      <c r="M315" s="12" t="n"/>
      <c r="N315" s="7" t="inlineStr"/>
      <c r="O315" s="7" t="inlineStr"/>
    </row>
    <row r="316">
      <c r="A316" s="7" t="n">
        <v>633571</v>
      </c>
      <c r="B316" s="10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1" t="n">
        <v>1</v>
      </c>
      <c r="G316" s="11" t="n">
        <v>1</v>
      </c>
      <c r="H316" s="8" t="n">
        <v>28.21</v>
      </c>
      <c r="I316" s="8" t="n">
        <v>28.21</v>
      </c>
      <c r="J316" s="8" t="n"/>
      <c r="K316" s="7" t="inlineStr">
        <is>
          <t>SEM COTAÇÃO</t>
        </is>
      </c>
      <c r="L316" s="8" t="n"/>
      <c r="M316" s="12" t="n"/>
      <c r="N316" s="7" t="inlineStr"/>
      <c r="O316" s="7" t="inlineStr"/>
    </row>
    <row r="317">
      <c r="A317" s="7" t="n">
        <v>533061</v>
      </c>
      <c r="B317" s="10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1" t="n">
        <v>5</v>
      </c>
      <c r="G317" s="11" t="n">
        <v>5</v>
      </c>
      <c r="H317" s="8" t="n">
        <v>4.35</v>
      </c>
      <c r="I317" s="8" t="n">
        <v>4.35</v>
      </c>
      <c r="J317" s="13" t="n">
        <v>5.49</v>
      </c>
      <c r="K317" s="7" t="inlineStr">
        <is>
          <t>DIMEC</t>
        </is>
      </c>
      <c r="L317" s="8" t="n">
        <v>5.49</v>
      </c>
      <c r="M317" s="12">
        <f>L317/H317-1</f>
        <v/>
      </c>
      <c r="N317" s="14" t="inlineStr">
        <is>
          <t>ACIMA +26.2%</t>
        </is>
      </c>
      <c r="O317" s="7" t="inlineStr"/>
    </row>
    <row r="318">
      <c r="A318" s="7" t="n">
        <v>547741</v>
      </c>
      <c r="B318" s="10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1" t="n">
        <v>4</v>
      </c>
      <c r="G318" s="11" t="n">
        <v>4</v>
      </c>
      <c r="H318" s="8" t="n">
        <v>5.48</v>
      </c>
      <c r="I318" s="8" t="n">
        <v>4.8</v>
      </c>
      <c r="J318" s="13" t="n">
        <v>5.49</v>
      </c>
      <c r="K318" s="7" t="inlineStr">
        <is>
          <t>DIMEC</t>
        </is>
      </c>
      <c r="L318" s="8" t="n">
        <v>5.49</v>
      </c>
      <c r="M318" s="12">
        <f>L318/H318-1</f>
        <v/>
      </c>
      <c r="N318" s="14" t="inlineStr">
        <is>
          <t>ACIMA +0.2%</t>
        </is>
      </c>
      <c r="O318" s="7" t="inlineStr"/>
    </row>
    <row r="319">
      <c r="A319" s="7" t="n">
        <v>135641</v>
      </c>
      <c r="B319" s="10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1" t="n">
        <v>3</v>
      </c>
      <c r="G319" s="11" t="n">
        <v>3</v>
      </c>
      <c r="H319" s="8" t="n">
        <v>7.09</v>
      </c>
      <c r="I319" s="8" t="n">
        <v>7.09</v>
      </c>
      <c r="J319" s="8" t="n"/>
      <c r="K319" s="7" t="inlineStr">
        <is>
          <t>SEM COTAÇÃO</t>
        </is>
      </c>
      <c r="L319" s="8" t="n"/>
      <c r="M319" s="12" t="n"/>
      <c r="N319" s="7" t="inlineStr"/>
      <c r="O319" s="7" t="inlineStr"/>
    </row>
    <row r="320">
      <c r="A320" s="7" t="n">
        <v>149921</v>
      </c>
      <c r="B320" s="10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1" t="n">
        <v>5</v>
      </c>
      <c r="G320" s="11" t="n">
        <v>5</v>
      </c>
      <c r="H320" s="8" t="n">
        <v>7.9631</v>
      </c>
      <c r="I320" s="8" t="n">
        <v>6.64</v>
      </c>
      <c r="J320" s="8" t="n"/>
      <c r="K320" s="7" t="inlineStr">
        <is>
          <t>SEM COTAÇÃO</t>
        </is>
      </c>
      <c r="L320" s="8" t="n"/>
      <c r="M320" s="12" t="n"/>
      <c r="N320" s="7" t="inlineStr"/>
      <c r="O320" s="7" t="inlineStr"/>
    </row>
    <row r="321">
      <c r="A321" s="7" t="n">
        <v>149961</v>
      </c>
      <c r="B321" s="10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1" t="n">
        <v>1</v>
      </c>
      <c r="G321" s="11" t="n">
        <v>1</v>
      </c>
      <c r="H321" s="8" t="n">
        <v>9.93</v>
      </c>
      <c r="I321" s="8" t="n">
        <v>8.8758</v>
      </c>
      <c r="J321" s="8" t="n"/>
      <c r="K321" s="7" t="inlineStr">
        <is>
          <t>SEM COTAÇÃO</t>
        </is>
      </c>
      <c r="L321" s="8" t="n"/>
      <c r="M321" s="12" t="n"/>
      <c r="N321" s="7" t="inlineStr"/>
      <c r="O321" s="7" t="inlineStr"/>
    </row>
    <row r="322">
      <c r="A322" s="7" t="n">
        <v>570461</v>
      </c>
      <c r="B322" s="10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1" t="n">
        <v>5</v>
      </c>
      <c r="G322" s="11" t="n">
        <v>5</v>
      </c>
      <c r="H322" s="8" t="n">
        <v>66.36499999999999</v>
      </c>
      <c r="I322" s="8" t="n">
        <v>57.9178</v>
      </c>
      <c r="J322" s="8" t="n"/>
      <c r="K322" s="7" t="inlineStr">
        <is>
          <t>SEM COTAÇÃO</t>
        </is>
      </c>
      <c r="L322" s="8" t="n"/>
      <c r="M322" s="12" t="n"/>
      <c r="N322" s="7" t="inlineStr"/>
      <c r="O322" s="7" t="inlineStr"/>
    </row>
    <row r="323">
      <c r="A323" s="7" t="n">
        <v>570481</v>
      </c>
      <c r="B323" s="10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1" t="n">
        <v>1</v>
      </c>
      <c r="G323" s="11" t="n">
        <v>1</v>
      </c>
      <c r="H323" s="8" t="n">
        <v>67.1267</v>
      </c>
      <c r="I323" s="8" t="n">
        <v>58.5988</v>
      </c>
      <c r="J323" s="8" t="n"/>
      <c r="K323" s="7" t="inlineStr">
        <is>
          <t>SEM COTAÇÃO</t>
        </is>
      </c>
      <c r="L323" s="8" t="n"/>
      <c r="M323" s="12" t="n"/>
      <c r="N323" s="7" t="inlineStr"/>
      <c r="O323" s="7" t="inlineStr"/>
    </row>
    <row r="324">
      <c r="A324" s="7" t="n">
        <v>646691</v>
      </c>
      <c r="B324" s="10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1" t="n">
        <v>2</v>
      </c>
      <c r="G324" s="11" t="n">
        <v>2</v>
      </c>
      <c r="H324" s="8" t="n">
        <v>50.285</v>
      </c>
      <c r="I324" s="8" t="n">
        <v>50.285</v>
      </c>
      <c r="J324" s="8" t="n"/>
      <c r="K324" s="7" t="inlineStr">
        <is>
          <t>SEM COTAÇÃO</t>
        </is>
      </c>
      <c r="L324" s="8" t="n"/>
      <c r="M324" s="12" t="n"/>
      <c r="N324" s="7" t="inlineStr"/>
      <c r="O324" s="7" t="inlineStr"/>
    </row>
    <row r="325">
      <c r="A325" s="7" t="n">
        <v>570521</v>
      </c>
      <c r="B325" s="10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1" t="n">
        <v>1</v>
      </c>
      <c r="G325" s="11" t="n">
        <v>1</v>
      </c>
      <c r="H325" s="8" t="n">
        <v>50.39</v>
      </c>
      <c r="I325" s="8" t="n">
        <v>50.39</v>
      </c>
      <c r="J325" s="8" t="n"/>
      <c r="K325" s="7" t="inlineStr">
        <is>
          <t>SEM COTAÇÃO</t>
        </is>
      </c>
      <c r="L325" s="8" t="n"/>
      <c r="M325" s="12" t="n"/>
      <c r="N325" s="7" t="inlineStr"/>
      <c r="O325" s="7" t="inlineStr"/>
    </row>
    <row r="326">
      <c r="A326" s="7" t="n">
        <v>241121</v>
      </c>
      <c r="B326" s="10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1" t="n">
        <v>1</v>
      </c>
      <c r="G326" s="11" t="n">
        <v>1</v>
      </c>
      <c r="H326" s="8" t="n">
        <v>62.92</v>
      </c>
      <c r="I326" s="8" t="n">
        <v>56.51</v>
      </c>
      <c r="J326" s="8" t="n"/>
      <c r="K326" s="7" t="inlineStr">
        <is>
          <t>SEM COTAÇÃO</t>
        </is>
      </c>
      <c r="L326" s="8" t="n"/>
      <c r="M326" s="12" t="n"/>
      <c r="N326" s="7" t="inlineStr"/>
      <c r="O326" s="7" t="inlineStr"/>
    </row>
    <row r="327">
      <c r="A327" s="7" t="n">
        <v>647611</v>
      </c>
      <c r="B327" s="10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1" t="n">
        <v>4</v>
      </c>
      <c r="G327" s="11" t="n">
        <v>4</v>
      </c>
      <c r="H327" s="8" t="n">
        <v>7.12</v>
      </c>
      <c r="I327" s="8" t="n">
        <v>7.12</v>
      </c>
      <c r="J327" s="8" t="n"/>
      <c r="K327" s="7" t="inlineStr">
        <is>
          <t>SEM COTAÇÃO</t>
        </is>
      </c>
      <c r="L327" s="8" t="n"/>
      <c r="M327" s="12" t="n"/>
      <c r="N327" s="7" t="inlineStr"/>
      <c r="O327" s="7" t="inlineStr"/>
    </row>
    <row r="328">
      <c r="A328" s="7" t="n">
        <v>647701</v>
      </c>
      <c r="B328" s="10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1" t="n">
        <v>2</v>
      </c>
      <c r="G328" s="11" t="n">
        <v>2</v>
      </c>
      <c r="H328" s="8" t="n">
        <v>23.85</v>
      </c>
      <c r="I328" s="8" t="n">
        <v>23.85</v>
      </c>
      <c r="J328" s="8" t="n"/>
      <c r="K328" s="7" t="inlineStr">
        <is>
          <t>SEM COTAÇÃO</t>
        </is>
      </c>
      <c r="L328" s="8" t="n"/>
      <c r="M328" s="12" t="n"/>
      <c r="N328" s="7" t="inlineStr"/>
      <c r="O328" s="7" t="inlineStr"/>
    </row>
    <row r="329">
      <c r="A329" s="7" t="n">
        <v>654771</v>
      </c>
      <c r="B329" s="10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1" t="n">
        <v>1</v>
      </c>
      <c r="G329" s="11" t="n">
        <v>1</v>
      </c>
      <c r="H329" s="8" t="n">
        <v>16.4</v>
      </c>
      <c r="I329" s="8" t="n">
        <v>16.4</v>
      </c>
      <c r="J329" s="8" t="n"/>
      <c r="K329" s="7" t="inlineStr">
        <is>
          <t>SEM COTAÇÃO</t>
        </is>
      </c>
      <c r="L329" s="8" t="n"/>
      <c r="M329" s="12" t="n"/>
      <c r="N329" s="7" t="inlineStr"/>
      <c r="O329" s="7" t="inlineStr"/>
    </row>
    <row r="330">
      <c r="A330" s="7" t="n">
        <v>642881</v>
      </c>
      <c r="B330" s="10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1" t="n">
        <v>2</v>
      </c>
      <c r="G330" s="11" t="n">
        <v>2</v>
      </c>
      <c r="H330" s="8" t="n">
        <v>37.6</v>
      </c>
      <c r="I330" s="8" t="n">
        <v>37.6</v>
      </c>
      <c r="J330" s="8" t="n"/>
      <c r="K330" s="7" t="inlineStr">
        <is>
          <t>SEM COTAÇÃO</t>
        </is>
      </c>
      <c r="L330" s="8" t="n"/>
      <c r="M330" s="12" t="n"/>
      <c r="N330" s="7" t="inlineStr"/>
      <c r="O330" s="7" t="inlineStr"/>
    </row>
    <row r="331">
      <c r="A331" s="7" t="n">
        <v>5503</v>
      </c>
      <c r="B331" s="10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1" t="n">
        <v>1</v>
      </c>
      <c r="G331" s="11" t="n">
        <v>1</v>
      </c>
      <c r="H331" s="8" t="n">
        <v>26.99</v>
      </c>
      <c r="I331" s="8" t="n">
        <v>26.99</v>
      </c>
      <c r="J331" s="13" t="n">
        <v>42.39</v>
      </c>
      <c r="K331" s="7" t="inlineStr">
        <is>
          <t>DIMEC</t>
        </is>
      </c>
      <c r="L331" s="8" t="n">
        <v>42.39</v>
      </c>
      <c r="M331" s="12">
        <f>L331/H331-1</f>
        <v/>
      </c>
      <c r="N331" s="14" t="inlineStr">
        <is>
          <t>ACIMA +57.1%</t>
        </is>
      </c>
      <c r="O331" s="7" t="inlineStr"/>
    </row>
    <row r="332">
      <c r="A332" s="7" t="n">
        <v>339181</v>
      </c>
      <c r="B332" s="10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1" t="n">
        <v>2</v>
      </c>
      <c r="G332" s="11" t="n">
        <v>2</v>
      </c>
      <c r="H332" s="8" t="n">
        <v>3.22</v>
      </c>
      <c r="I332" s="8" t="n">
        <v>3.22</v>
      </c>
      <c r="J332" s="13" t="n">
        <v>3.3</v>
      </c>
      <c r="K332" s="7" t="inlineStr">
        <is>
          <t>DIMEC</t>
        </is>
      </c>
      <c r="L332" s="8" t="n">
        <v>3.3</v>
      </c>
      <c r="M332" s="12">
        <f>L332/H332-1</f>
        <v/>
      </c>
      <c r="N332" s="14" t="inlineStr">
        <is>
          <t>ACIMA +2.5%</t>
        </is>
      </c>
      <c r="O332" s="7" t="inlineStr"/>
    </row>
    <row r="333">
      <c r="A333" s="7" t="n">
        <v>619611</v>
      </c>
      <c r="B333" s="10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1" t="n">
        <v>1</v>
      </c>
      <c r="G333" s="11" t="n">
        <v>1</v>
      </c>
      <c r="H333" s="8" t="n">
        <v>36.43</v>
      </c>
      <c r="I333" s="8" t="n">
        <v>36.43</v>
      </c>
      <c r="J333" s="8" t="n"/>
      <c r="K333" s="7" t="inlineStr">
        <is>
          <t>SEM COTAÇÃO</t>
        </is>
      </c>
      <c r="L333" s="8" t="n"/>
      <c r="M333" s="12" t="n"/>
      <c r="N333" s="7" t="inlineStr"/>
      <c r="O333" s="7" t="inlineStr"/>
    </row>
    <row r="334">
      <c r="A334" s="7" t="n">
        <v>632471</v>
      </c>
      <c r="B334" s="10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1" t="n">
        <v>1</v>
      </c>
      <c r="G334" s="11" t="n">
        <v>1</v>
      </c>
      <c r="H334" s="8" t="n">
        <v>12.82</v>
      </c>
      <c r="I334" s="8" t="n">
        <v>12.82</v>
      </c>
      <c r="J334" s="8" t="n"/>
      <c r="K334" s="7" t="inlineStr">
        <is>
          <t>SEM COTAÇÃO</t>
        </is>
      </c>
      <c r="L334" s="8" t="n"/>
      <c r="M334" s="12" t="n"/>
      <c r="N334" s="7" t="inlineStr"/>
      <c r="O334" s="7" t="inlineStr"/>
    </row>
    <row r="335">
      <c r="A335" s="7" t="n">
        <v>13901</v>
      </c>
      <c r="B335" s="10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1" t="n">
        <v>3</v>
      </c>
      <c r="G335" s="11" t="n">
        <v>3</v>
      </c>
      <c r="H335" s="8" t="n">
        <v>13.25</v>
      </c>
      <c r="I335" s="8" t="n">
        <v>12.36</v>
      </c>
      <c r="J335" s="8" t="n"/>
      <c r="K335" s="7" t="inlineStr">
        <is>
          <t>SEM COTAÇÃO</t>
        </is>
      </c>
      <c r="L335" s="8" t="n"/>
      <c r="M335" s="12" t="n"/>
      <c r="N335" s="7" t="inlineStr"/>
      <c r="O335" s="7" t="inlineStr"/>
    </row>
    <row r="336">
      <c r="A336" s="7" t="n">
        <v>13921</v>
      </c>
      <c r="B336" s="10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1" t="n">
        <v>1</v>
      </c>
      <c r="G336" s="11" t="n">
        <v>7</v>
      </c>
      <c r="H336" s="8" t="n">
        <v>8.422000000000001</v>
      </c>
      <c r="I336" s="8" t="n">
        <v>8.422000000000001</v>
      </c>
      <c r="J336" s="8" t="n"/>
      <c r="K336" s="7" t="inlineStr">
        <is>
          <t>SEM COTAÇÃO</t>
        </is>
      </c>
      <c r="L336" s="8" t="n"/>
      <c r="M336" s="12" t="n"/>
      <c r="N336" s="7" t="inlineStr"/>
      <c r="O336" s="7" t="inlineStr"/>
    </row>
    <row r="337">
      <c r="A337" s="7" t="n">
        <v>14001</v>
      </c>
      <c r="B337" s="10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1" t="n">
        <v>1</v>
      </c>
      <c r="G337" s="11" t="n">
        <v>4</v>
      </c>
      <c r="H337" s="8" t="n">
        <v>7.4224</v>
      </c>
      <c r="I337" s="8" t="n">
        <v>5.736</v>
      </c>
      <c r="J337" s="8" t="n"/>
      <c r="K337" s="7" t="inlineStr">
        <is>
          <t>SEM COTAÇÃO</t>
        </is>
      </c>
      <c r="L337" s="8" t="n"/>
      <c r="M337" s="12" t="n"/>
      <c r="N337" s="7" t="inlineStr"/>
      <c r="O337" s="7" t="inlineStr"/>
    </row>
    <row r="338">
      <c r="A338" s="7" t="n">
        <v>13301</v>
      </c>
      <c r="B338" s="10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1" t="n">
        <v>6</v>
      </c>
      <c r="G338" s="11" t="n">
        <v>6</v>
      </c>
      <c r="H338" s="8" t="n">
        <v>17.626</v>
      </c>
      <c r="I338" s="8" t="n">
        <v>16.8067</v>
      </c>
      <c r="J338" s="8" t="n"/>
      <c r="K338" s="7" t="inlineStr">
        <is>
          <t>SEM COTAÇÃO</t>
        </is>
      </c>
      <c r="L338" s="8" t="n"/>
      <c r="M338" s="12" t="n"/>
      <c r="N338" s="7" t="inlineStr"/>
      <c r="O338" s="7" t="inlineStr"/>
    </row>
    <row r="339">
      <c r="A339" s="7" t="n">
        <v>47361</v>
      </c>
      <c r="B339" s="10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1" t="n">
        <v>1</v>
      </c>
      <c r="G339" s="11" t="n">
        <v>1</v>
      </c>
      <c r="H339" s="8" t="n">
        <v>77.98999999999999</v>
      </c>
      <c r="I339" s="8" t="n">
        <v>54.48</v>
      </c>
      <c r="J339" s="8" t="n"/>
      <c r="K339" s="7" t="inlineStr">
        <is>
          <t>SEM COTAÇÃO</t>
        </is>
      </c>
      <c r="L339" s="8" t="n"/>
      <c r="M339" s="12" t="n"/>
      <c r="N339" s="7" t="inlineStr"/>
      <c r="O339" s="7" t="inlineStr"/>
    </row>
    <row r="340">
      <c r="A340" s="7" t="n">
        <v>47301</v>
      </c>
      <c r="B340" s="10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1" t="n">
        <v>1</v>
      </c>
      <c r="G340" s="11" t="n">
        <v>1</v>
      </c>
      <c r="H340" s="8" t="n">
        <v>32.28</v>
      </c>
      <c r="I340" s="8" t="n">
        <v>28.61</v>
      </c>
      <c r="J340" s="8" t="n"/>
      <c r="K340" s="7" t="inlineStr">
        <is>
          <t>SEM COTAÇÃO</t>
        </is>
      </c>
      <c r="L340" s="8" t="n"/>
      <c r="M340" s="12" t="n"/>
      <c r="N340" s="7" t="inlineStr"/>
      <c r="O340" s="7" t="inlineStr"/>
    </row>
    <row r="341">
      <c r="A341" s="7" t="n">
        <v>47321</v>
      </c>
      <c r="B341" s="10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1" t="n">
        <v>3</v>
      </c>
      <c r="G341" s="11" t="n">
        <v>3</v>
      </c>
      <c r="H341" s="8" t="n">
        <v>38.26</v>
      </c>
      <c r="I341" s="8" t="n">
        <v>38.26</v>
      </c>
      <c r="J341" s="8" t="n"/>
      <c r="K341" s="7" t="inlineStr">
        <is>
          <t>SEM COTAÇÃO</t>
        </is>
      </c>
      <c r="L341" s="8" t="n"/>
      <c r="M341" s="12" t="n"/>
      <c r="N341" s="7" t="inlineStr"/>
      <c r="O341" s="7" t="inlineStr"/>
    </row>
    <row r="342">
      <c r="A342" s="7" t="n">
        <v>3443</v>
      </c>
      <c r="B342" s="10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1" t="n">
        <v>1</v>
      </c>
      <c r="G342" s="11" t="n">
        <v>4</v>
      </c>
      <c r="H342" s="8" t="n">
        <v>12.54</v>
      </c>
      <c r="I342" s="8" t="n">
        <v>12.54</v>
      </c>
      <c r="J342" s="13" t="n">
        <v>1.24</v>
      </c>
      <c r="K342" s="7" t="inlineStr">
        <is>
          <t>DIMEC</t>
        </is>
      </c>
      <c r="L342" s="8" t="n">
        <v>1.24</v>
      </c>
      <c r="M342" s="12">
        <f>L342/H342-1</f>
        <v/>
      </c>
      <c r="N342" s="15" t="inlineStr">
        <is>
          <t>OK (≤ menor hist.)</t>
        </is>
      </c>
      <c r="O342" s="7" t="inlineStr">
        <is>
          <t>DIMEC: conferir emb.</t>
        </is>
      </c>
    </row>
    <row r="343">
      <c r="A343" s="7" t="n">
        <v>597791</v>
      </c>
      <c r="B343" s="10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1" t="n">
        <v>7</v>
      </c>
      <c r="G343" s="11" t="n">
        <v>78</v>
      </c>
      <c r="H343" s="8" t="n">
        <v>0.4992</v>
      </c>
      <c r="I343" s="8" t="n">
        <v>0.4992</v>
      </c>
      <c r="J343" s="13" t="n">
        <v>0.4375</v>
      </c>
      <c r="K343" s="7" t="inlineStr">
        <is>
          <t>DIMEC</t>
        </is>
      </c>
      <c r="L343" s="8" t="n">
        <v>0.4375</v>
      </c>
      <c r="M343" s="12">
        <f>L343/H343-1</f>
        <v/>
      </c>
      <c r="N343" s="15" t="inlineStr">
        <is>
          <t>OK (≤ menor hist.)</t>
        </is>
      </c>
      <c r="O343" s="7" t="inlineStr">
        <is>
          <t>DIMEC: 1 emb = 12 un</t>
        </is>
      </c>
    </row>
    <row r="344">
      <c r="A344" s="7" t="n">
        <v>643821</v>
      </c>
      <c r="B344" s="10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1" t="n">
        <v>2</v>
      </c>
      <c r="G344" s="11" t="n">
        <v>22</v>
      </c>
      <c r="H344" s="8" t="n">
        <v>0.6657999999999999</v>
      </c>
      <c r="I344" s="8" t="n">
        <v>0.6657999999999999</v>
      </c>
      <c r="J344" s="8" t="n"/>
      <c r="K344" s="7" t="inlineStr">
        <is>
          <t>SEM COTAÇÃO</t>
        </is>
      </c>
      <c r="L344" s="8" t="n"/>
      <c r="M344" s="12" t="n"/>
      <c r="N344" s="7" t="inlineStr"/>
      <c r="O344" s="7" t="inlineStr"/>
    </row>
    <row r="345">
      <c r="A345" s="7" t="n">
        <v>621511</v>
      </c>
      <c r="B345" s="10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1" t="n">
        <v>12</v>
      </c>
      <c r="G345" s="11" t="n">
        <v>12</v>
      </c>
      <c r="H345" s="8" t="n">
        <v>0.8325</v>
      </c>
      <c r="I345" s="8" t="n">
        <v>0.8325</v>
      </c>
      <c r="J345" s="13" t="n">
        <v>0.5441666666666667</v>
      </c>
      <c r="K345" s="7" t="inlineStr">
        <is>
          <t>DIMEC</t>
        </is>
      </c>
      <c r="L345" s="8" t="n">
        <v>0.5441666666666667</v>
      </c>
      <c r="M345" s="12">
        <f>L345/H345-1</f>
        <v/>
      </c>
      <c r="N345" s="15" t="inlineStr">
        <is>
          <t>OK (≤ menor hist.)</t>
        </is>
      </c>
      <c r="O345" s="7" t="inlineStr">
        <is>
          <t>DIMEC: 1 emb = 12 un</t>
        </is>
      </c>
    </row>
    <row r="346">
      <c r="A346" s="7" t="n">
        <v>597781</v>
      </c>
      <c r="B346" s="10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1" t="n">
        <v>1</v>
      </c>
      <c r="G346" s="11" t="n">
        <v>2</v>
      </c>
      <c r="H346" s="8" t="n">
        <v>0.7483</v>
      </c>
      <c r="I346" s="8" t="n">
        <v>0.7483</v>
      </c>
      <c r="J346" s="8" t="n"/>
      <c r="K346" s="7" t="inlineStr">
        <is>
          <t>SEM COTAÇÃO</t>
        </is>
      </c>
      <c r="L346" s="8" t="n"/>
      <c r="M346" s="12" t="n"/>
      <c r="N346" s="7" t="inlineStr"/>
      <c r="O346" s="7" t="inlineStr"/>
    </row>
    <row r="347">
      <c r="A347" s="7" t="n">
        <v>623471</v>
      </c>
      <c r="B347" s="10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1" t="n">
        <v>11</v>
      </c>
      <c r="G347" s="11" t="n">
        <v>121</v>
      </c>
      <c r="H347" s="8" t="n">
        <v>1.2492</v>
      </c>
      <c r="I347" s="8" t="n">
        <v>1.1658</v>
      </c>
      <c r="J347" s="13" t="n">
        <v>0.8183333333333334</v>
      </c>
      <c r="K347" s="7" t="inlineStr">
        <is>
          <t>DIMEC</t>
        </is>
      </c>
      <c r="L347" s="8" t="n">
        <v>0.8183333333333334</v>
      </c>
      <c r="M347" s="12">
        <f>L347/H347-1</f>
        <v/>
      </c>
      <c r="N347" s="15" t="inlineStr">
        <is>
          <t>OK (≤ menor hist.)</t>
        </is>
      </c>
      <c r="O347" s="7" t="inlineStr">
        <is>
          <t>DIMEC: 1 emb = 12 un</t>
        </is>
      </c>
    </row>
    <row r="348">
      <c r="A348" s="7" t="n">
        <v>623481</v>
      </c>
      <c r="B348" s="10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1" t="n">
        <v>1</v>
      </c>
      <c r="G348" s="11" t="n">
        <v>9</v>
      </c>
      <c r="H348" s="8" t="n">
        <v>1.6658</v>
      </c>
      <c r="I348" s="8" t="n">
        <v>1.6658</v>
      </c>
      <c r="J348" s="13" t="n">
        <v>1.09</v>
      </c>
      <c r="K348" s="7" t="inlineStr">
        <is>
          <t>DIMEC</t>
        </is>
      </c>
      <c r="L348" s="8" t="n">
        <v>1.09</v>
      </c>
      <c r="M348" s="12">
        <f>L348/H348-1</f>
        <v/>
      </c>
      <c r="N348" s="15" t="inlineStr">
        <is>
          <t>OK (≤ menor hist.)</t>
        </is>
      </c>
      <c r="O348" s="7" t="inlineStr">
        <is>
          <t>DIMEC: 1 emb = 12 un</t>
        </is>
      </c>
    </row>
    <row r="349">
      <c r="A349" s="7" t="n">
        <v>541121</v>
      </c>
      <c r="B349" s="10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1" t="n">
        <v>1</v>
      </c>
      <c r="G349" s="11" t="n">
        <v>1</v>
      </c>
      <c r="H349" s="8" t="n"/>
      <c r="I349" s="8" t="n"/>
      <c r="J349" s="8" t="n"/>
      <c r="K349" s="7" t="inlineStr">
        <is>
          <t>SEM COTAÇÃO</t>
        </is>
      </c>
      <c r="L349" s="8" t="n"/>
      <c r="M349" s="12" t="n"/>
      <c r="N349" s="7" t="inlineStr"/>
      <c r="O349" s="7" t="inlineStr"/>
    </row>
    <row r="350">
      <c r="A350" s="7" t="n">
        <v>613211</v>
      </c>
      <c r="B350" s="10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1" t="n">
        <v>3</v>
      </c>
      <c r="G350" s="11" t="n">
        <v>35</v>
      </c>
      <c r="H350" s="8" t="n">
        <v>2.1658</v>
      </c>
      <c r="I350" s="8" t="n">
        <v>2.1658</v>
      </c>
      <c r="J350" s="13" t="n">
        <v>1.639166666666667</v>
      </c>
      <c r="K350" s="7" t="inlineStr">
        <is>
          <t>DIMEC</t>
        </is>
      </c>
      <c r="L350" s="8" t="n">
        <v>1.639166666666667</v>
      </c>
      <c r="M350" s="12">
        <f>L350/H350-1</f>
        <v/>
      </c>
      <c r="N350" s="15" t="inlineStr">
        <is>
          <t>OK (≤ menor hist.)</t>
        </is>
      </c>
      <c r="O350" s="7" t="inlineStr">
        <is>
          <t>DIMEC: 1 emb = 12 un</t>
        </is>
      </c>
    </row>
    <row r="351">
      <c r="A351" s="7" t="n">
        <v>653611</v>
      </c>
      <c r="B351" s="10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1" t="n">
        <v>4</v>
      </c>
      <c r="G351" s="11" t="n">
        <v>4</v>
      </c>
      <c r="H351" s="8" t="n">
        <v>1.25</v>
      </c>
      <c r="I351" s="8" t="n">
        <v>1.25</v>
      </c>
      <c r="J351" s="8" t="n"/>
      <c r="K351" s="7" t="inlineStr">
        <is>
          <t>SEM COTAÇÃO</t>
        </is>
      </c>
      <c r="L351" s="8" t="n"/>
      <c r="M351" s="12" t="n"/>
      <c r="N351" s="7" t="inlineStr"/>
      <c r="O351" s="7" t="inlineStr"/>
    </row>
    <row r="352">
      <c r="A352" s="7" t="n">
        <v>661591</v>
      </c>
      <c r="B352" s="10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1" t="n">
        <v>3</v>
      </c>
      <c r="G352" s="11" t="n">
        <v>3</v>
      </c>
      <c r="H352" s="8" t="n">
        <v>1.935</v>
      </c>
      <c r="I352" s="8" t="n">
        <v>1.935</v>
      </c>
      <c r="J352" s="8" t="n"/>
      <c r="K352" s="7" t="inlineStr">
        <is>
          <t>SEM COTAÇÃO</t>
        </is>
      </c>
      <c r="L352" s="8" t="n"/>
      <c r="M352" s="12" t="n"/>
      <c r="N352" s="7" t="inlineStr"/>
      <c r="O352" s="7" t="inlineStr"/>
    </row>
    <row r="353">
      <c r="A353" s="7" t="n">
        <v>653621</v>
      </c>
      <c r="B353" s="10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1" t="n">
        <v>2</v>
      </c>
      <c r="G353" s="11" t="n">
        <v>2</v>
      </c>
      <c r="H353" s="8" t="n">
        <v>2.53</v>
      </c>
      <c r="I353" s="8" t="n">
        <v>2.51</v>
      </c>
      <c r="J353" s="13" t="n">
        <v>2.66</v>
      </c>
      <c r="K353" s="7" t="inlineStr">
        <is>
          <t>DIMEC</t>
        </is>
      </c>
      <c r="L353" s="8" t="n">
        <v>2.66</v>
      </c>
      <c r="M353" s="12">
        <f>L353/H353-1</f>
        <v/>
      </c>
      <c r="N353" s="14" t="inlineStr">
        <is>
          <t>ACIMA +5.1%</t>
        </is>
      </c>
      <c r="O353" s="7" t="inlineStr"/>
    </row>
    <row r="354">
      <c r="A354" s="7" t="n">
        <v>661601</v>
      </c>
      <c r="B354" s="10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1" t="n">
        <v>2</v>
      </c>
      <c r="G354" s="11" t="n">
        <v>2</v>
      </c>
      <c r="H354" s="8" t="n">
        <v>2.23</v>
      </c>
      <c r="I354" s="8" t="n">
        <v>2.23</v>
      </c>
      <c r="J354" s="13" t="n">
        <v>2.33</v>
      </c>
      <c r="K354" s="7" t="inlineStr">
        <is>
          <t>DIMEC</t>
        </is>
      </c>
      <c r="L354" s="8" t="n">
        <v>2.33</v>
      </c>
      <c r="M354" s="12">
        <f>L354/H354-1</f>
        <v/>
      </c>
      <c r="N354" s="14" t="inlineStr">
        <is>
          <t>ACIMA +4.5%</t>
        </is>
      </c>
      <c r="O354" s="7" t="inlineStr"/>
    </row>
    <row r="355">
      <c r="A355" s="7" t="n">
        <v>648271</v>
      </c>
      <c r="B355" s="10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1" t="n">
        <v>1</v>
      </c>
      <c r="G355" s="11" t="n">
        <v>1</v>
      </c>
      <c r="H355" s="8" t="n">
        <v>2.6808</v>
      </c>
      <c r="I355" s="8" t="n">
        <v>2.6808</v>
      </c>
      <c r="J355" s="13" t="n">
        <v>3.07</v>
      </c>
      <c r="K355" s="7" t="inlineStr">
        <is>
          <t>DIMEC</t>
        </is>
      </c>
      <c r="L355" s="8" t="n">
        <v>3.07</v>
      </c>
      <c r="M355" s="12">
        <f>L355/H355-1</f>
        <v/>
      </c>
      <c r="N355" s="14" t="inlineStr">
        <is>
          <t>ACIMA +14.5%</t>
        </is>
      </c>
      <c r="O355" s="7" t="inlineStr"/>
    </row>
    <row r="356">
      <c r="A356" s="7" t="n">
        <v>24303</v>
      </c>
      <c r="B356" s="10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1" t="n">
        <v>28</v>
      </c>
      <c r="G356" s="11" t="n">
        <v>28</v>
      </c>
      <c r="H356" s="8" t="n">
        <v>1.1658</v>
      </c>
      <c r="I356" s="8" t="n">
        <v>1.1658</v>
      </c>
      <c r="J356" s="8" t="n"/>
      <c r="K356" s="7" t="inlineStr">
        <is>
          <t>SEM COTAÇÃO</t>
        </is>
      </c>
      <c r="L356" s="8" t="n"/>
      <c r="M356" s="12" t="n"/>
      <c r="N356" s="7" t="inlineStr"/>
      <c r="O356" s="7" t="inlineStr"/>
    </row>
    <row r="357">
      <c r="A357" s="7" t="n">
        <v>594191</v>
      </c>
      <c r="B357" s="10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1" t="n">
        <v>7</v>
      </c>
      <c r="G357" s="11" t="n">
        <v>7</v>
      </c>
      <c r="H357" s="8" t="n">
        <v>66.98999999999999</v>
      </c>
      <c r="I357" s="8" t="n">
        <v>49.5083</v>
      </c>
      <c r="J357" s="8" t="n"/>
      <c r="K357" s="7" t="inlineStr">
        <is>
          <t>SEM COTAÇÃO</t>
        </is>
      </c>
      <c r="L357" s="8" t="n"/>
      <c r="M357" s="12" t="n"/>
      <c r="N357" s="7" t="inlineStr"/>
      <c r="O357" s="7" t="inlineStr"/>
    </row>
    <row r="358">
      <c r="A358" s="7" t="n">
        <v>637931</v>
      </c>
      <c r="B358" s="10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1" t="n">
        <v>1</v>
      </c>
      <c r="G358" s="11" t="n">
        <v>1</v>
      </c>
      <c r="H358" s="8" t="n">
        <v>7.045</v>
      </c>
      <c r="I358" s="8" t="n">
        <v>7.045</v>
      </c>
      <c r="J358" s="8" t="n"/>
      <c r="K358" s="7" t="inlineStr">
        <is>
          <t>SEM COTAÇÃO</t>
        </is>
      </c>
      <c r="L358" s="8" t="n"/>
      <c r="M358" s="12" t="n"/>
      <c r="N358" s="7" t="inlineStr"/>
      <c r="O358" s="7" t="inlineStr"/>
    </row>
    <row r="359">
      <c r="A359" s="7" t="n">
        <v>603271</v>
      </c>
      <c r="B359" s="10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1" t="n">
        <v>1</v>
      </c>
      <c r="G359" s="11" t="n">
        <v>1</v>
      </c>
      <c r="H359" s="8" t="n">
        <v>15.03</v>
      </c>
      <c r="I359" s="8" t="n">
        <v>15.03</v>
      </c>
      <c r="J359" s="8" t="n"/>
      <c r="K359" s="7" t="inlineStr">
        <is>
          <t>SEM COTAÇÃO</t>
        </is>
      </c>
      <c r="L359" s="8" t="n"/>
      <c r="M359" s="12" t="n"/>
      <c r="N359" s="7" t="inlineStr"/>
      <c r="O359" s="7" t="inlineStr"/>
    </row>
    <row r="360">
      <c r="A360" s="7" t="n">
        <v>653341</v>
      </c>
      <c r="B360" s="10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1" t="n">
        <v>1</v>
      </c>
      <c r="G360" s="11" t="n">
        <v>1</v>
      </c>
      <c r="H360" s="8" t="n">
        <v>14.12</v>
      </c>
      <c r="I360" s="8" t="n">
        <v>14.12</v>
      </c>
      <c r="J360" s="8" t="n"/>
      <c r="K360" s="7" t="inlineStr">
        <is>
          <t>SEM COTAÇÃO</t>
        </is>
      </c>
      <c r="L360" s="8" t="n"/>
      <c r="M360" s="12" t="n"/>
      <c r="N360" s="7" t="inlineStr"/>
      <c r="O360" s="7" t="inlineStr"/>
    </row>
    <row r="361">
      <c r="A361" s="7" t="n">
        <v>603281</v>
      </c>
      <c r="B361" s="10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1" t="n">
        <v>1</v>
      </c>
      <c r="G361" s="11" t="n">
        <v>1</v>
      </c>
      <c r="H361" s="8" t="n">
        <v>14.9</v>
      </c>
      <c r="I361" s="8" t="n">
        <v>14.9</v>
      </c>
      <c r="J361" s="8" t="n"/>
      <c r="K361" s="7" t="inlineStr">
        <is>
          <t>SEM COTAÇÃO</t>
        </is>
      </c>
      <c r="L361" s="8" t="n"/>
      <c r="M361" s="12" t="n"/>
      <c r="N361" s="7" t="inlineStr"/>
      <c r="O361" s="7" t="inlineStr"/>
    </row>
    <row r="362">
      <c r="A362" s="7" t="n">
        <v>43681</v>
      </c>
      <c r="B362" s="10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1" t="n">
        <v>2</v>
      </c>
      <c r="G362" s="11" t="n">
        <v>2</v>
      </c>
      <c r="H362" s="8" t="n">
        <v>18.6</v>
      </c>
      <c r="I362" s="8" t="n">
        <v>18.6</v>
      </c>
      <c r="J362" s="8" t="n"/>
      <c r="K362" s="7" t="inlineStr">
        <is>
          <t>SEM COTAÇÃO</t>
        </is>
      </c>
      <c r="L362" s="8" t="n"/>
      <c r="M362" s="12" t="n"/>
      <c r="N362" s="7" t="inlineStr"/>
      <c r="O362" s="7" t="inlineStr"/>
    </row>
    <row r="363">
      <c r="A363" s="7" t="n">
        <v>529981</v>
      </c>
      <c r="B363" s="10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1" t="n">
        <v>3</v>
      </c>
      <c r="G363" s="11" t="n">
        <v>3</v>
      </c>
      <c r="H363" s="8" t="n">
        <v>5.19</v>
      </c>
      <c r="I363" s="8" t="n">
        <v>4.99</v>
      </c>
      <c r="J363" s="8" t="n"/>
      <c r="K363" s="7" t="inlineStr">
        <is>
          <t>SEM COTAÇÃO</t>
        </is>
      </c>
      <c r="L363" s="8" t="n"/>
      <c r="M363" s="12" t="n"/>
      <c r="N363" s="7" t="inlineStr"/>
      <c r="O363" s="7" t="inlineStr"/>
    </row>
    <row r="364">
      <c r="A364" s="7" t="n">
        <v>530021</v>
      </c>
      <c r="B364" s="10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1" t="n">
        <v>12</v>
      </c>
      <c r="G364" s="11" t="n">
        <v>12</v>
      </c>
      <c r="H364" s="8" t="n">
        <v>10.59</v>
      </c>
      <c r="I364" s="8" t="n">
        <v>10.15</v>
      </c>
      <c r="J364" s="8" t="n"/>
      <c r="K364" s="7" t="inlineStr">
        <is>
          <t>SEM COTAÇÃO</t>
        </is>
      </c>
      <c r="L364" s="8" t="n"/>
      <c r="M364" s="12" t="n"/>
      <c r="N364" s="7" t="inlineStr"/>
      <c r="O364" s="7" t="inlineStr"/>
    </row>
    <row r="365">
      <c r="A365" s="7" t="n">
        <v>530001</v>
      </c>
      <c r="B365" s="10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1" t="n">
        <v>2</v>
      </c>
      <c r="G365" s="11" t="n">
        <v>2</v>
      </c>
      <c r="H365" s="8" t="n">
        <v>4.84</v>
      </c>
      <c r="I365" s="8" t="n">
        <v>4.84</v>
      </c>
      <c r="J365" s="8" t="n"/>
      <c r="K365" s="7" t="inlineStr">
        <is>
          <t>SEM COTAÇÃO</t>
        </is>
      </c>
      <c r="L365" s="8" t="n"/>
      <c r="M365" s="12" t="n"/>
      <c r="N365" s="7" t="inlineStr"/>
      <c r="O365" s="7" t="inlineStr"/>
    </row>
    <row r="366">
      <c r="A366" s="7" t="n">
        <v>582181</v>
      </c>
      <c r="B366" s="10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1" t="n">
        <v>7</v>
      </c>
      <c r="G366" s="11" t="n">
        <v>7</v>
      </c>
      <c r="H366" s="8" t="n">
        <v>22.33</v>
      </c>
      <c r="I366" s="8" t="n">
        <v>21.12</v>
      </c>
      <c r="J366" s="8" t="n"/>
      <c r="K366" s="7" t="inlineStr">
        <is>
          <t>SEM COTAÇÃO</t>
        </is>
      </c>
      <c r="L366" s="8" t="n"/>
      <c r="M366" s="12" t="n"/>
      <c r="N366" s="7" t="inlineStr"/>
      <c r="O366" s="7" t="inlineStr"/>
    </row>
    <row r="367">
      <c r="A367" s="7" t="n">
        <v>488841</v>
      </c>
      <c r="B367" s="10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1" t="n">
        <v>1</v>
      </c>
      <c r="G367" s="11" t="n">
        <v>1</v>
      </c>
      <c r="H367" s="8" t="n">
        <v>32.7783</v>
      </c>
      <c r="I367" s="8" t="n">
        <v>32.7783</v>
      </c>
      <c r="J367" s="8" t="n"/>
      <c r="K367" s="7" t="inlineStr">
        <is>
          <t>SEM COTAÇÃO</t>
        </is>
      </c>
      <c r="L367" s="8" t="n"/>
      <c r="M367" s="12" t="n"/>
      <c r="N367" s="7" t="inlineStr"/>
      <c r="O367" s="7" t="inlineStr"/>
    </row>
    <row r="368">
      <c r="A368" s="7" t="n">
        <v>607111</v>
      </c>
      <c r="B368" s="10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1" t="n">
        <v>1</v>
      </c>
      <c r="G368" s="11" t="n">
        <v>1</v>
      </c>
      <c r="H368" s="8" t="n">
        <v>13.66</v>
      </c>
      <c r="I368" s="8" t="n">
        <v>13.66</v>
      </c>
      <c r="J368" s="8" t="n"/>
      <c r="K368" s="7" t="inlineStr">
        <is>
          <t>SEM COTAÇÃO</t>
        </is>
      </c>
      <c r="L368" s="8" t="n"/>
      <c r="M368" s="12" t="n"/>
      <c r="N368" s="7" t="inlineStr"/>
      <c r="O368" s="7" t="inlineStr"/>
    </row>
    <row r="369">
      <c r="A369" s="7" t="n">
        <v>648171</v>
      </c>
      <c r="B369" s="10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1" t="n">
        <v>1</v>
      </c>
      <c r="G369" s="11" t="n">
        <v>1</v>
      </c>
      <c r="H369" s="8" t="n">
        <v>10.7</v>
      </c>
      <c r="I369" s="8" t="n">
        <v>10.7</v>
      </c>
      <c r="J369" s="13" t="n">
        <v>8.289999999999999</v>
      </c>
      <c r="K369" s="7" t="inlineStr">
        <is>
          <t>DIMEC</t>
        </is>
      </c>
      <c r="L369" s="8" t="n">
        <v>8.289999999999999</v>
      </c>
      <c r="M369" s="12">
        <f>L369/H369-1</f>
        <v/>
      </c>
      <c r="N369" s="15" t="inlineStr">
        <is>
          <t>OK (≤ menor hist.)</t>
        </is>
      </c>
      <c r="O369" s="7" t="inlineStr"/>
    </row>
    <row r="370">
      <c r="A370" s="7" t="n">
        <v>258201</v>
      </c>
      <c r="B370" s="10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1" t="n">
        <v>3</v>
      </c>
      <c r="G370" s="11" t="n">
        <v>3</v>
      </c>
      <c r="H370" s="8" t="n">
        <v>58.6267</v>
      </c>
      <c r="I370" s="8" t="n">
        <v>51.075</v>
      </c>
      <c r="J370" s="8" t="n"/>
      <c r="K370" s="7" t="inlineStr">
        <is>
          <t>SEM COTAÇÃO</t>
        </is>
      </c>
      <c r="L370" s="8" t="n"/>
      <c r="M370" s="12" t="n"/>
      <c r="N370" s="7" t="inlineStr"/>
      <c r="O370" s="7" t="inlineStr"/>
    </row>
    <row r="371">
      <c r="A371" s="7" t="n">
        <v>638101</v>
      </c>
      <c r="B371" s="10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1" t="n">
        <v>1</v>
      </c>
      <c r="G371" s="11" t="n">
        <v>1</v>
      </c>
      <c r="H371" s="8" t="n">
        <v>4.11</v>
      </c>
      <c r="I371" s="8" t="n">
        <v>4.11</v>
      </c>
      <c r="J371" s="8" t="n"/>
      <c r="K371" s="7" t="inlineStr">
        <is>
          <t>SEM COTAÇÃO</t>
        </is>
      </c>
      <c r="L371" s="8" t="n"/>
      <c r="M371" s="12" t="n"/>
      <c r="N371" s="7" t="inlineStr"/>
      <c r="O371" s="7" t="inlineStr"/>
    </row>
    <row r="372">
      <c r="A372" s="7" t="n">
        <v>638111</v>
      </c>
      <c r="B372" s="10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1" t="n">
        <v>1</v>
      </c>
      <c r="G372" s="11" t="n">
        <v>1</v>
      </c>
      <c r="H372" s="8" t="n">
        <v>3.99</v>
      </c>
      <c r="I372" s="8" t="n">
        <v>3.99</v>
      </c>
      <c r="J372" s="8" t="n"/>
      <c r="K372" s="7" t="inlineStr">
        <is>
          <t>SEM COTAÇÃO</t>
        </is>
      </c>
      <c r="L372" s="8" t="n"/>
      <c r="M372" s="12" t="n"/>
      <c r="N372" s="7" t="inlineStr"/>
      <c r="O372" s="7" t="inlineStr"/>
    </row>
    <row r="373">
      <c r="A373" s="7" t="n">
        <v>3143</v>
      </c>
      <c r="B373" s="10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1" t="n">
        <v>1</v>
      </c>
      <c r="G373" s="11" t="n">
        <v>1</v>
      </c>
      <c r="H373" s="8" t="n">
        <v>3.54</v>
      </c>
      <c r="I373" s="8" t="n">
        <v>3.54</v>
      </c>
      <c r="J373" s="13" t="n">
        <v>3.6</v>
      </c>
      <c r="K373" s="7" t="inlineStr">
        <is>
          <t>DIMEC</t>
        </is>
      </c>
      <c r="L373" s="8" t="n">
        <v>3.6</v>
      </c>
      <c r="M373" s="12">
        <f>L373/H373-1</f>
        <v/>
      </c>
      <c r="N373" s="14" t="inlineStr">
        <is>
          <t>ACIMA +1.7%</t>
        </is>
      </c>
      <c r="O373" s="7" t="inlineStr"/>
    </row>
    <row r="374">
      <c r="A374" s="7" t="n">
        <v>15761</v>
      </c>
      <c r="B374" s="10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1" t="n">
        <v>3</v>
      </c>
      <c r="G374" s="11" t="n">
        <v>3</v>
      </c>
      <c r="H374" s="8" t="n">
        <v>67.23999999999999</v>
      </c>
      <c r="I374" s="8" t="n">
        <v>63.655</v>
      </c>
      <c r="J374" s="8" t="n"/>
      <c r="K374" s="7" t="inlineStr">
        <is>
          <t>SEM COTAÇÃO</t>
        </is>
      </c>
      <c r="L374" s="8" t="n"/>
      <c r="M374" s="12" t="n"/>
      <c r="N374" s="7" t="inlineStr"/>
      <c r="O374" s="7" t="inlineStr"/>
    </row>
    <row r="375">
      <c r="A375" s="7" t="n">
        <v>46621</v>
      </c>
      <c r="B375" s="10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1" t="n">
        <v>3</v>
      </c>
      <c r="G375" s="11" t="n">
        <v>3</v>
      </c>
      <c r="H375" s="8" t="n">
        <v>5.0067</v>
      </c>
      <c r="I375" s="8" t="n">
        <v>3.3817</v>
      </c>
      <c r="J375" s="8" t="n"/>
      <c r="K375" s="7" t="inlineStr">
        <is>
          <t>SEM COTAÇÃO</t>
        </is>
      </c>
      <c r="L375" s="8" t="n"/>
      <c r="M375" s="12" t="n"/>
      <c r="N375" s="7" t="inlineStr"/>
      <c r="O375" s="7" t="inlineStr"/>
    </row>
    <row r="376">
      <c r="A376" s="7" t="n">
        <v>46141</v>
      </c>
      <c r="B376" s="10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1" t="n">
        <v>1</v>
      </c>
      <c r="G376" s="11" t="n">
        <v>1</v>
      </c>
      <c r="H376" s="8" t="n">
        <v>5.86</v>
      </c>
      <c r="I376" s="8" t="n">
        <v>5.86</v>
      </c>
      <c r="J376" s="13" t="n">
        <v>6.44</v>
      </c>
      <c r="K376" s="7" t="inlineStr">
        <is>
          <t>DIMEC</t>
        </is>
      </c>
      <c r="L376" s="8" t="n">
        <v>6.44</v>
      </c>
      <c r="M376" s="12">
        <f>L376/H376-1</f>
        <v/>
      </c>
      <c r="N376" s="14" t="inlineStr">
        <is>
          <t>ACIMA +9.9%</t>
        </is>
      </c>
      <c r="O376" s="7" t="inlineStr"/>
    </row>
    <row r="377">
      <c r="A377" s="7" t="n">
        <v>47221</v>
      </c>
      <c r="B377" s="10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1" t="n">
        <v>18</v>
      </c>
      <c r="G377" s="11" t="n">
        <v>18</v>
      </c>
      <c r="H377" s="8" t="n">
        <v>5.78</v>
      </c>
      <c r="I377" s="8" t="n">
        <v>5.78</v>
      </c>
      <c r="J377" s="13" t="n">
        <v>6</v>
      </c>
      <c r="K377" s="7" t="inlineStr">
        <is>
          <t>DIMEC</t>
        </is>
      </c>
      <c r="L377" s="8" t="n">
        <v>6</v>
      </c>
      <c r="M377" s="12">
        <f>L377/H377-1</f>
        <v/>
      </c>
      <c r="N377" s="14" t="inlineStr">
        <is>
          <t>ACIMA +3.8%</t>
        </is>
      </c>
      <c r="O377" s="7" t="inlineStr"/>
    </row>
    <row r="378">
      <c r="A378" s="7" t="n">
        <v>48221</v>
      </c>
      <c r="B378" s="10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1" t="n">
        <v>3</v>
      </c>
      <c r="G378" s="11" t="n">
        <v>3</v>
      </c>
      <c r="H378" s="8" t="n">
        <v>3.63</v>
      </c>
      <c r="I378" s="8" t="n">
        <v>3.63</v>
      </c>
      <c r="J378" s="13" t="n">
        <v>3.91</v>
      </c>
      <c r="K378" s="7" t="inlineStr">
        <is>
          <t>DIMEC</t>
        </is>
      </c>
      <c r="L378" s="8" t="n">
        <v>3.91</v>
      </c>
      <c r="M378" s="12">
        <f>L378/H378-1</f>
        <v/>
      </c>
      <c r="N378" s="14" t="inlineStr">
        <is>
          <t>ACIMA +7.7%</t>
        </is>
      </c>
      <c r="O378" s="7" t="inlineStr"/>
    </row>
    <row r="379">
      <c r="A379" s="7" t="n">
        <v>47701</v>
      </c>
      <c r="B379" s="10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1" t="n">
        <v>6</v>
      </c>
      <c r="G379" s="11" t="n">
        <v>6</v>
      </c>
      <c r="H379" s="8" t="n">
        <v>13.96</v>
      </c>
      <c r="I379" s="8" t="n">
        <v>13.96</v>
      </c>
      <c r="J379" s="13" t="n">
        <v>14.499</v>
      </c>
      <c r="K379" s="7" t="inlineStr">
        <is>
          <t>DIMEC</t>
        </is>
      </c>
      <c r="L379" s="8" t="n">
        <v>14.499</v>
      </c>
      <c r="M379" s="12">
        <f>L379/H379-1</f>
        <v/>
      </c>
      <c r="N379" s="14" t="inlineStr">
        <is>
          <t>ACIMA +3.9%</t>
        </is>
      </c>
      <c r="O379" s="7" t="inlineStr"/>
    </row>
    <row r="380">
      <c r="A380" s="7" t="n">
        <v>329081</v>
      </c>
      <c r="B380" s="10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1" t="n">
        <v>2</v>
      </c>
      <c r="G380" s="11" t="n">
        <v>2</v>
      </c>
      <c r="H380" s="8" t="n">
        <v>82.95999999999999</v>
      </c>
      <c r="I380" s="8" t="n">
        <v>76.12</v>
      </c>
      <c r="J380" s="8" t="n"/>
      <c r="K380" s="7" t="inlineStr">
        <is>
          <t>SEM COTAÇÃO</t>
        </is>
      </c>
      <c r="L380" s="8" t="n"/>
      <c r="M380" s="12" t="n"/>
      <c r="N380" s="7" t="inlineStr"/>
      <c r="O380" s="7" t="inlineStr"/>
    </row>
    <row r="381">
      <c r="A381" s="7" t="n">
        <v>364041</v>
      </c>
      <c r="B381" s="10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1" t="n">
        <v>1</v>
      </c>
      <c r="G381" s="11" t="n">
        <v>1</v>
      </c>
      <c r="H381" s="8" t="n">
        <v>46.74</v>
      </c>
      <c r="I381" s="8" t="n">
        <v>42.955</v>
      </c>
      <c r="J381" s="8" t="n"/>
      <c r="K381" s="7" t="inlineStr">
        <is>
          <t>SEM COTAÇÃO</t>
        </is>
      </c>
      <c r="L381" s="8" t="n"/>
      <c r="M381" s="12" t="n"/>
      <c r="N381" s="7" t="inlineStr"/>
      <c r="O381" s="7" t="inlineStr"/>
    </row>
    <row r="382">
      <c r="A382" s="7" t="n">
        <v>265661</v>
      </c>
      <c r="B382" s="10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1" t="n">
        <v>1</v>
      </c>
      <c r="G382" s="11" t="n">
        <v>1</v>
      </c>
      <c r="H382" s="8" t="n">
        <v>18.2</v>
      </c>
      <c r="I382" s="8" t="n">
        <v>14.564</v>
      </c>
      <c r="J382" s="8" t="n"/>
      <c r="K382" s="7" t="inlineStr">
        <is>
          <t>SEM COTAÇÃO</t>
        </is>
      </c>
      <c r="L382" s="8" t="n"/>
      <c r="M382" s="12" t="n"/>
      <c r="N382" s="7" t="inlineStr"/>
      <c r="O382" s="7" t="inlineStr"/>
    </row>
    <row r="383">
      <c r="A383" s="7" t="n">
        <v>565601</v>
      </c>
      <c r="B383" s="10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1" t="n">
        <v>9</v>
      </c>
      <c r="G383" s="11" t="n">
        <v>9</v>
      </c>
      <c r="H383" s="8" t="n">
        <v>5.99</v>
      </c>
      <c r="I383" s="8" t="n">
        <v>5.99</v>
      </c>
      <c r="J383" s="8" t="n"/>
      <c r="K383" s="7" t="inlineStr">
        <is>
          <t>SEM COTAÇÃO</t>
        </is>
      </c>
      <c r="L383" s="8" t="n"/>
      <c r="M383" s="12" t="n"/>
      <c r="N383" s="7" t="inlineStr"/>
      <c r="O383" s="7" t="inlineStr"/>
    </row>
    <row r="384">
      <c r="A384" s="7" t="n">
        <v>533001</v>
      </c>
      <c r="B384" s="10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1" t="n">
        <v>11</v>
      </c>
      <c r="G384" s="11" t="n">
        <v>11</v>
      </c>
      <c r="H384" s="8" t="n">
        <v>4.99</v>
      </c>
      <c r="I384" s="8" t="n">
        <v>4.99</v>
      </c>
      <c r="J384" s="13" t="n">
        <v>6.74</v>
      </c>
      <c r="K384" s="7" t="inlineStr">
        <is>
          <t>DIMEC</t>
        </is>
      </c>
      <c r="L384" s="8" t="n">
        <v>6.74</v>
      </c>
      <c r="M384" s="12">
        <f>L384/H384-1</f>
        <v/>
      </c>
      <c r="N384" s="14" t="inlineStr">
        <is>
          <t>ACIMA +35.1%</t>
        </is>
      </c>
      <c r="O384" s="7" t="inlineStr"/>
    </row>
    <row r="385">
      <c r="A385" s="7" t="n">
        <v>645591</v>
      </c>
      <c r="B385" s="10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1" t="n">
        <v>6</v>
      </c>
      <c r="G385" s="11" t="n">
        <v>6</v>
      </c>
      <c r="H385" s="8" t="n">
        <v>27.55</v>
      </c>
      <c r="I385" s="8" t="n">
        <v>24.63</v>
      </c>
      <c r="J385" s="8" t="n"/>
      <c r="K385" s="7" t="inlineStr">
        <is>
          <t>SEM COTAÇÃO</t>
        </is>
      </c>
      <c r="L385" s="8" t="n"/>
      <c r="M385" s="12" t="n"/>
      <c r="N385" s="7" t="inlineStr"/>
      <c r="O385" s="7" t="inlineStr"/>
    </row>
    <row r="386">
      <c r="A386" s="7" t="n">
        <v>652611</v>
      </c>
      <c r="B386" s="10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1" t="n">
        <v>3</v>
      </c>
      <c r="G386" s="11" t="n">
        <v>3</v>
      </c>
      <c r="H386" s="8" t="n">
        <v>0.99</v>
      </c>
      <c r="I386" s="8" t="n">
        <v>0.99</v>
      </c>
      <c r="J386" s="8" t="n"/>
      <c r="K386" s="7" t="inlineStr">
        <is>
          <t>SEM COTAÇÃO</t>
        </is>
      </c>
      <c r="L386" s="8" t="n"/>
      <c r="M386" s="12" t="n"/>
      <c r="N386" s="7" t="inlineStr"/>
      <c r="O386" s="7" t="inlineStr"/>
    </row>
    <row r="387">
      <c r="A387" s="7" t="n">
        <v>664681</v>
      </c>
      <c r="B387" s="10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1" t="n">
        <v>1</v>
      </c>
      <c r="G387" s="11" t="n">
        <v>1</v>
      </c>
      <c r="H387" s="8" t="n">
        <v>14.31</v>
      </c>
      <c r="I387" s="8" t="n">
        <v>14.31</v>
      </c>
      <c r="J387" s="8" t="n"/>
      <c r="K387" s="7" t="inlineStr">
        <is>
          <t>SEM COTAÇÃO</t>
        </is>
      </c>
      <c r="L387" s="8" t="n"/>
      <c r="M387" s="12" t="n"/>
      <c r="N387" s="7" t="inlineStr"/>
      <c r="O387" s="7" t="inlineStr"/>
    </row>
    <row r="388">
      <c r="A388" s="7" t="n">
        <v>659801</v>
      </c>
      <c r="B388" s="10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1" t="n">
        <v>1</v>
      </c>
      <c r="G388" s="11" t="n">
        <v>1</v>
      </c>
      <c r="H388" s="8" t="n">
        <v>3.47</v>
      </c>
      <c r="I388" s="8" t="n">
        <v>3.47</v>
      </c>
      <c r="J388" s="8" t="n"/>
      <c r="K388" s="7" t="inlineStr">
        <is>
          <t>SEM COTAÇÃO</t>
        </is>
      </c>
      <c r="L388" s="8" t="n"/>
      <c r="M388" s="12" t="n"/>
      <c r="N388" s="7" t="inlineStr"/>
      <c r="O388" s="7" t="inlineStr"/>
    </row>
    <row r="389">
      <c r="A389" s="7" t="n">
        <v>614971</v>
      </c>
      <c r="B389" s="10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1" t="n">
        <v>8</v>
      </c>
      <c r="G389" s="11" t="n">
        <v>8</v>
      </c>
      <c r="H389" s="8" t="n">
        <v>5.97</v>
      </c>
      <c r="I389" s="8" t="n">
        <v>5.97</v>
      </c>
      <c r="J389" s="8" t="n"/>
      <c r="K389" s="7" t="inlineStr">
        <is>
          <t>SEM COTAÇÃO</t>
        </is>
      </c>
      <c r="L389" s="8" t="n"/>
      <c r="M389" s="12" t="n"/>
      <c r="N389" s="7" t="inlineStr"/>
      <c r="O389" s="7" t="inlineStr"/>
    </row>
    <row r="390">
      <c r="A390" s="7" t="n">
        <v>614991</v>
      </c>
      <c r="B390" s="10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1" t="n">
        <v>8</v>
      </c>
      <c r="G390" s="11" t="n">
        <v>8</v>
      </c>
      <c r="H390" s="8" t="n">
        <v>6.06</v>
      </c>
      <c r="I390" s="8" t="n">
        <v>5.97</v>
      </c>
      <c r="J390" s="8" t="n"/>
      <c r="K390" s="7" t="inlineStr">
        <is>
          <t>SEM COTAÇÃO</t>
        </is>
      </c>
      <c r="L390" s="8" t="n"/>
      <c r="M390" s="12" t="n"/>
      <c r="N390" s="7" t="inlineStr"/>
      <c r="O390" s="7" t="inlineStr"/>
    </row>
    <row r="391">
      <c r="A391" s="7" t="n">
        <v>614981</v>
      </c>
      <c r="B391" s="10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1" t="n">
        <v>1</v>
      </c>
      <c r="G391" s="11" t="n">
        <v>1</v>
      </c>
      <c r="H391" s="8" t="n">
        <v>5.97</v>
      </c>
      <c r="I391" s="8" t="n">
        <v>5.97</v>
      </c>
      <c r="J391" s="8" t="n"/>
      <c r="K391" s="7" t="inlineStr">
        <is>
          <t>SEM COTAÇÃO</t>
        </is>
      </c>
      <c r="L391" s="8" t="n"/>
      <c r="M391" s="12" t="n"/>
      <c r="N391" s="7" t="inlineStr"/>
      <c r="O391" s="7" t="inlineStr"/>
    </row>
    <row r="392">
      <c r="A392" s="7" t="n">
        <v>605811</v>
      </c>
      <c r="B392" s="10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1" t="n">
        <v>2</v>
      </c>
      <c r="G392" s="11" t="n">
        <v>2</v>
      </c>
      <c r="H392" s="8" t="n">
        <v>6.06</v>
      </c>
      <c r="I392" s="8" t="n">
        <v>5.97</v>
      </c>
      <c r="J392" s="8" t="n"/>
      <c r="K392" s="7" t="inlineStr">
        <is>
          <t>SEM COTAÇÃO</t>
        </is>
      </c>
      <c r="L392" s="8" t="n"/>
      <c r="M392" s="12" t="n"/>
      <c r="N392" s="7" t="inlineStr"/>
      <c r="O392" s="7" t="inlineStr"/>
    </row>
    <row r="393">
      <c r="A393" s="7" t="n">
        <v>605821</v>
      </c>
      <c r="B393" s="10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1" t="n">
        <v>8</v>
      </c>
      <c r="G393" s="11" t="n">
        <v>8</v>
      </c>
      <c r="H393" s="8" t="n">
        <v>6.06</v>
      </c>
      <c r="I393" s="8" t="n">
        <v>5.97</v>
      </c>
      <c r="J393" s="8" t="n"/>
      <c r="K393" s="7" t="inlineStr">
        <is>
          <t>SEM COTAÇÃO</t>
        </is>
      </c>
      <c r="L393" s="8" t="n"/>
      <c r="M393" s="12" t="n"/>
      <c r="N393" s="7" t="inlineStr"/>
      <c r="O393" s="7" t="inlineStr"/>
    </row>
    <row r="394">
      <c r="A394" s="7" t="n">
        <v>603381</v>
      </c>
      <c r="B394" s="10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1" t="n">
        <v>7</v>
      </c>
      <c r="G394" s="11" t="n">
        <v>7</v>
      </c>
      <c r="H394" s="8" t="n">
        <v>6.06</v>
      </c>
      <c r="I394" s="8" t="n">
        <v>5.97</v>
      </c>
      <c r="J394" s="8" t="n"/>
      <c r="K394" s="7" t="inlineStr">
        <is>
          <t>SEM COTAÇÃO</t>
        </is>
      </c>
      <c r="L394" s="8" t="n"/>
      <c r="M394" s="12" t="n"/>
      <c r="N394" s="7" t="inlineStr"/>
      <c r="O394" s="7" t="inlineStr"/>
    </row>
    <row r="395">
      <c r="A395" s="7" t="n">
        <v>603391</v>
      </c>
      <c r="B395" s="10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1" t="n">
        <v>12</v>
      </c>
      <c r="G395" s="11" t="n">
        <v>12</v>
      </c>
      <c r="H395" s="8" t="n">
        <v>5.45</v>
      </c>
      <c r="I395" s="8" t="n">
        <v>5.45</v>
      </c>
      <c r="J395" s="8" t="n"/>
      <c r="K395" s="7" t="inlineStr">
        <is>
          <t>SEM COTAÇÃO</t>
        </is>
      </c>
      <c r="L395" s="8" t="n"/>
      <c r="M395" s="12" t="n"/>
      <c r="N395" s="7" t="inlineStr"/>
      <c r="O395" s="7" t="inlineStr"/>
    </row>
    <row r="396">
      <c r="A396" s="7" t="n">
        <v>615001</v>
      </c>
      <c r="B396" s="10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1" t="n">
        <v>2</v>
      </c>
      <c r="G396" s="11" t="n">
        <v>2</v>
      </c>
      <c r="H396" s="8" t="n">
        <v>5.97</v>
      </c>
      <c r="I396" s="8" t="n">
        <v>5.97</v>
      </c>
      <c r="J396" s="8" t="n"/>
      <c r="K396" s="7" t="inlineStr">
        <is>
          <t>SEM COTAÇÃO</t>
        </is>
      </c>
      <c r="L396" s="8" t="n"/>
      <c r="M396" s="12" t="n"/>
      <c r="N396" s="7" t="inlineStr"/>
      <c r="O396" s="7" t="inlineStr"/>
    </row>
    <row r="397">
      <c r="A397" s="7" t="n">
        <v>603401</v>
      </c>
      <c r="B397" s="10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1" t="n">
        <v>6</v>
      </c>
      <c r="G397" s="11" t="n">
        <v>6</v>
      </c>
      <c r="H397" s="8" t="n">
        <v>6.06</v>
      </c>
      <c r="I397" s="8" t="n">
        <v>5.97</v>
      </c>
      <c r="J397" s="8" t="n"/>
      <c r="K397" s="7" t="inlineStr">
        <is>
          <t>SEM COTAÇÃO</t>
        </is>
      </c>
      <c r="L397" s="8" t="n"/>
      <c r="M397" s="12" t="n"/>
      <c r="N397" s="7" t="inlineStr"/>
      <c r="O397" s="7" t="inlineStr"/>
    </row>
    <row r="398">
      <c r="A398" s="7" t="n">
        <v>603411</v>
      </c>
      <c r="B398" s="10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1" t="n">
        <v>8</v>
      </c>
      <c r="G398" s="11" t="n">
        <v>8</v>
      </c>
      <c r="H398" s="8" t="n">
        <v>5.97</v>
      </c>
      <c r="I398" s="8" t="n">
        <v>5.97</v>
      </c>
      <c r="J398" s="8" t="n"/>
      <c r="K398" s="7" t="inlineStr">
        <is>
          <t>SEM COTAÇÃO</t>
        </is>
      </c>
      <c r="L398" s="8" t="n"/>
      <c r="M398" s="12" t="n"/>
      <c r="N398" s="7" t="inlineStr"/>
      <c r="O398" s="7" t="inlineStr"/>
    </row>
    <row r="399">
      <c r="A399" s="7" t="n">
        <v>603421</v>
      </c>
      <c r="B399" s="10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1" t="n">
        <v>2</v>
      </c>
      <c r="G399" s="11" t="n">
        <v>2</v>
      </c>
      <c r="H399" s="8" t="n">
        <v>6.06</v>
      </c>
      <c r="I399" s="8" t="n">
        <v>5.97</v>
      </c>
      <c r="J399" s="8" t="n"/>
      <c r="K399" s="7" t="inlineStr">
        <is>
          <t>SEM COTAÇÃO</t>
        </is>
      </c>
      <c r="L399" s="8" t="n"/>
      <c r="M399" s="12" t="n"/>
      <c r="N399" s="7" t="inlineStr"/>
      <c r="O399" s="7" t="inlineStr"/>
    </row>
    <row r="400">
      <c r="A400" s="7" t="n">
        <v>614931</v>
      </c>
      <c r="B400" s="10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1" t="n">
        <v>9</v>
      </c>
      <c r="G400" s="11" t="n">
        <v>9</v>
      </c>
      <c r="H400" s="8" t="n">
        <v>5.97</v>
      </c>
      <c r="I400" s="8" t="n">
        <v>5.97</v>
      </c>
      <c r="J400" s="8" t="n"/>
      <c r="K400" s="7" t="inlineStr">
        <is>
          <t>SEM COTAÇÃO</t>
        </is>
      </c>
      <c r="L400" s="8" t="n"/>
      <c r="M400" s="12" t="n"/>
      <c r="N400" s="7" t="inlineStr"/>
      <c r="O400" s="7" t="inlineStr"/>
    </row>
    <row r="401">
      <c r="A401" s="7" t="n">
        <v>614951</v>
      </c>
      <c r="B401" s="10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1" t="n">
        <v>10</v>
      </c>
      <c r="G401" s="11" t="n">
        <v>10</v>
      </c>
      <c r="H401" s="8" t="n">
        <v>5.97</v>
      </c>
      <c r="I401" s="8" t="n">
        <v>5.97</v>
      </c>
      <c r="J401" s="8" t="n"/>
      <c r="K401" s="7" t="inlineStr">
        <is>
          <t>SEM COTAÇÃO</t>
        </is>
      </c>
      <c r="L401" s="8" t="n"/>
      <c r="M401" s="12" t="n"/>
      <c r="N401" s="7" t="inlineStr"/>
      <c r="O401" s="7" t="inlineStr"/>
    </row>
    <row r="402">
      <c r="A402" s="7" t="n">
        <v>614921</v>
      </c>
      <c r="B402" s="10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1" t="n">
        <v>7</v>
      </c>
      <c r="G402" s="11" t="n">
        <v>7</v>
      </c>
      <c r="H402" s="8" t="n">
        <v>6.06</v>
      </c>
      <c r="I402" s="8" t="n">
        <v>5.97</v>
      </c>
      <c r="J402" s="8" t="n"/>
      <c r="K402" s="7" t="inlineStr">
        <is>
          <t>SEM COTAÇÃO</t>
        </is>
      </c>
      <c r="L402" s="8" t="n"/>
      <c r="M402" s="12" t="n"/>
      <c r="N402" s="7" t="inlineStr"/>
      <c r="O402" s="7" t="inlineStr"/>
    </row>
    <row r="403">
      <c r="A403" s="7" t="n">
        <v>603441</v>
      </c>
      <c r="B403" s="10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1" t="n">
        <v>1</v>
      </c>
      <c r="G403" s="11" t="n">
        <v>1</v>
      </c>
      <c r="H403" s="8" t="n">
        <v>5.97</v>
      </c>
      <c r="I403" s="8" t="n">
        <v>5.97</v>
      </c>
      <c r="J403" s="8" t="n"/>
      <c r="K403" s="7" t="inlineStr">
        <is>
          <t>SEM COTAÇÃO</t>
        </is>
      </c>
      <c r="L403" s="8" t="n"/>
      <c r="M403" s="12" t="n"/>
      <c r="N403" s="7" t="inlineStr"/>
      <c r="O403" s="7" t="inlineStr"/>
    </row>
    <row r="404">
      <c r="A404" s="7" t="n">
        <v>603461</v>
      </c>
      <c r="B404" s="10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1" t="n">
        <v>9</v>
      </c>
      <c r="G404" s="11" t="n">
        <v>9</v>
      </c>
      <c r="H404" s="8" t="n">
        <v>5.97</v>
      </c>
      <c r="I404" s="8" t="n">
        <v>5.97</v>
      </c>
      <c r="J404" s="8" t="n"/>
      <c r="K404" s="7" t="inlineStr">
        <is>
          <t>SEM COTAÇÃO</t>
        </is>
      </c>
      <c r="L404" s="8" t="n"/>
      <c r="M404" s="12" t="n"/>
      <c r="N404" s="7" t="inlineStr"/>
      <c r="O404" s="7" t="inlineStr"/>
    </row>
    <row r="405">
      <c r="A405" s="7" t="n">
        <v>603471</v>
      </c>
      <c r="B405" s="10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1" t="n">
        <v>6</v>
      </c>
      <c r="G405" s="11" t="n">
        <v>6</v>
      </c>
      <c r="H405" s="8" t="n">
        <v>5.97</v>
      </c>
      <c r="I405" s="8" t="n">
        <v>5.97</v>
      </c>
      <c r="J405" s="8" t="n"/>
      <c r="K405" s="7" t="inlineStr">
        <is>
          <t>SEM COTAÇÃO</t>
        </is>
      </c>
      <c r="L405" s="8" t="n"/>
      <c r="M405" s="12" t="n"/>
      <c r="N405" s="7" t="inlineStr"/>
      <c r="O405" s="7" t="inlineStr"/>
    </row>
    <row r="406">
      <c r="A406" s="7" t="n">
        <v>603481</v>
      </c>
      <c r="B406" s="10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1" t="n">
        <v>2</v>
      </c>
      <c r="G406" s="11" t="n">
        <v>2</v>
      </c>
      <c r="H406" s="8" t="n">
        <v>5.97</v>
      </c>
      <c r="I406" s="8" t="n">
        <v>5.97</v>
      </c>
      <c r="J406" s="8" t="n"/>
      <c r="K406" s="7" t="inlineStr">
        <is>
          <t>SEM COTAÇÃO</t>
        </is>
      </c>
      <c r="L406" s="8" t="n"/>
      <c r="M406" s="12" t="n"/>
      <c r="N406" s="7" t="inlineStr"/>
      <c r="O406" s="7" t="inlineStr"/>
    </row>
    <row r="407">
      <c r="A407" s="7" t="n">
        <v>614941</v>
      </c>
      <c r="B407" s="10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1" t="n">
        <v>14</v>
      </c>
      <c r="G407" s="11" t="n">
        <v>14</v>
      </c>
      <c r="H407" s="8" t="n">
        <v>5.97</v>
      </c>
      <c r="I407" s="8" t="n">
        <v>5.97</v>
      </c>
      <c r="J407" s="8" t="n"/>
      <c r="K407" s="7" t="inlineStr">
        <is>
          <t>SEM COTAÇÃO</t>
        </is>
      </c>
      <c r="L407" s="8" t="n"/>
      <c r="M407" s="12" t="n"/>
      <c r="N407" s="7" t="inlineStr"/>
      <c r="O407" s="7" t="inlineStr"/>
    </row>
    <row r="408">
      <c r="A408" s="7" t="n">
        <v>614961</v>
      </c>
      <c r="B408" s="10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1" t="n">
        <v>2</v>
      </c>
      <c r="G408" s="11" t="n">
        <v>2</v>
      </c>
      <c r="H408" s="8" t="n">
        <v>5.97</v>
      </c>
      <c r="I408" s="8" t="n">
        <v>5.97</v>
      </c>
      <c r="J408" s="8" t="n"/>
      <c r="K408" s="7" t="inlineStr">
        <is>
          <t>SEM COTAÇÃO</t>
        </is>
      </c>
      <c r="L408" s="8" t="n"/>
      <c r="M408" s="12" t="n"/>
      <c r="N408" s="7" t="inlineStr"/>
      <c r="O408" s="7" t="inlineStr"/>
    </row>
    <row r="409">
      <c r="A409" s="7" t="n">
        <v>664691</v>
      </c>
      <c r="B409" s="10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1" t="n">
        <v>1</v>
      </c>
      <c r="G409" s="11" t="n">
        <v>1</v>
      </c>
      <c r="H409" s="8" t="n">
        <v>6.92</v>
      </c>
      <c r="I409" s="8" t="n">
        <v>6.92</v>
      </c>
      <c r="J409" s="8" t="n"/>
      <c r="K409" s="7" t="inlineStr">
        <is>
          <t>SEM COTAÇÃO</t>
        </is>
      </c>
      <c r="L409" s="8" t="n"/>
      <c r="M409" s="12" t="n"/>
      <c r="N409" s="7" t="inlineStr"/>
      <c r="O409" s="7" t="inlineStr"/>
    </row>
    <row r="410">
      <c r="A410" s="7" t="n">
        <v>568521</v>
      </c>
      <c r="B410" s="10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1" t="n">
        <v>21</v>
      </c>
      <c r="G410" s="11" t="n">
        <v>21</v>
      </c>
      <c r="H410" s="8" t="n">
        <v>1.2</v>
      </c>
      <c r="I410" s="8" t="n">
        <v>1.2</v>
      </c>
      <c r="J410" s="8" t="n"/>
      <c r="K410" s="7" t="inlineStr">
        <is>
          <t>SEM COTAÇÃO</t>
        </is>
      </c>
      <c r="L410" s="8" t="n"/>
      <c r="M410" s="12" t="n"/>
      <c r="N410" s="7" t="inlineStr"/>
      <c r="O410" s="7" t="inlineStr"/>
    </row>
    <row r="411">
      <c r="A411" s="7" t="n">
        <v>542721</v>
      </c>
      <c r="B411" s="10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1" t="n">
        <v>33</v>
      </c>
      <c r="G411" s="11" t="n">
        <v>33</v>
      </c>
      <c r="H411" s="8" t="n">
        <v>1.28</v>
      </c>
      <c r="I411" s="8" t="n">
        <v>1.2</v>
      </c>
      <c r="J411" s="8" t="n"/>
      <c r="K411" s="7" t="inlineStr">
        <is>
          <t>SEM COTAÇÃO</t>
        </is>
      </c>
      <c r="L411" s="8" t="n"/>
      <c r="M411" s="12" t="n"/>
      <c r="N411" s="7" t="inlineStr"/>
      <c r="O411" s="7" t="inlineStr"/>
    </row>
    <row r="412">
      <c r="A412" s="7" t="n">
        <v>557521</v>
      </c>
      <c r="B412" s="10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1" t="n">
        <v>7</v>
      </c>
      <c r="G412" s="11" t="n">
        <v>7</v>
      </c>
      <c r="H412" s="8" t="n">
        <v>1.28</v>
      </c>
      <c r="I412" s="8" t="n">
        <v>1.2</v>
      </c>
      <c r="J412" s="8" t="n"/>
      <c r="K412" s="7" t="inlineStr">
        <is>
          <t>SEM COTAÇÃO</t>
        </is>
      </c>
      <c r="L412" s="8" t="n"/>
      <c r="M412" s="12" t="n"/>
      <c r="N412" s="7" t="inlineStr"/>
      <c r="O412" s="7" t="inlineStr"/>
    </row>
    <row r="413">
      <c r="A413" s="7" t="n">
        <v>557501</v>
      </c>
      <c r="B413" s="10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1" t="n">
        <v>14</v>
      </c>
      <c r="G413" s="11" t="n">
        <v>14</v>
      </c>
      <c r="H413" s="8" t="n">
        <v>1.28</v>
      </c>
      <c r="I413" s="8" t="n">
        <v>1.2</v>
      </c>
      <c r="J413" s="8" t="n"/>
      <c r="K413" s="7" t="inlineStr">
        <is>
          <t>SEM COTAÇÃO</t>
        </is>
      </c>
      <c r="L413" s="8" t="n"/>
      <c r="M413" s="12" t="n"/>
      <c r="N413" s="7" t="inlineStr"/>
      <c r="O413" s="7" t="inlineStr"/>
    </row>
    <row r="414">
      <c r="A414" s="7" t="n">
        <v>542761</v>
      </c>
      <c r="B414" s="10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1" t="n">
        <v>3</v>
      </c>
      <c r="G414" s="11" t="n">
        <v>3</v>
      </c>
      <c r="H414" s="8" t="n">
        <v>1.28</v>
      </c>
      <c r="I414" s="8" t="n">
        <v>1.2</v>
      </c>
      <c r="J414" s="8" t="n"/>
      <c r="K414" s="7" t="inlineStr">
        <is>
          <t>SEM COTAÇÃO</t>
        </is>
      </c>
      <c r="L414" s="8" t="n"/>
      <c r="M414" s="12" t="n"/>
      <c r="N414" s="7" t="inlineStr"/>
      <c r="O414" s="7" t="inlineStr"/>
    </row>
    <row r="415">
      <c r="A415" s="7" t="n">
        <v>542741</v>
      </c>
      <c r="B415" s="10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1" t="n">
        <v>16</v>
      </c>
      <c r="G415" s="11" t="n">
        <v>16</v>
      </c>
      <c r="H415" s="8" t="n">
        <v>1.3</v>
      </c>
      <c r="I415" s="8" t="n">
        <v>1.2</v>
      </c>
      <c r="J415" s="8" t="n"/>
      <c r="K415" s="7" t="inlineStr">
        <is>
          <t>SEM COTAÇÃO</t>
        </is>
      </c>
      <c r="L415" s="8" t="n"/>
      <c r="M415" s="12" t="n"/>
      <c r="N415" s="7" t="inlineStr"/>
      <c r="O415" s="7" t="inlineStr"/>
    </row>
    <row r="416">
      <c r="A416" s="7" t="n">
        <v>584981</v>
      </c>
      <c r="B416" s="10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1" t="n">
        <v>1</v>
      </c>
      <c r="G416" s="11" t="n">
        <v>1</v>
      </c>
      <c r="H416" s="8" t="n">
        <v>0.1222</v>
      </c>
      <c r="I416" s="8" t="n">
        <v>0.1222</v>
      </c>
      <c r="J416" s="8" t="n"/>
      <c r="K416" s="7" t="inlineStr">
        <is>
          <t>SEM COTAÇÃO</t>
        </is>
      </c>
      <c r="L416" s="8" t="n"/>
      <c r="M416" s="12" t="n"/>
      <c r="N416" s="7" t="inlineStr"/>
      <c r="O416" s="7" t="inlineStr"/>
    </row>
    <row r="417">
      <c r="A417" s="7" t="n">
        <v>606841</v>
      </c>
      <c r="B417" s="10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1" t="n">
        <v>11</v>
      </c>
      <c r="G417" s="11" t="n">
        <v>11</v>
      </c>
      <c r="H417" s="8" t="n">
        <v>3.68</v>
      </c>
      <c r="I417" s="8" t="n">
        <v>3.68</v>
      </c>
      <c r="J417" s="13" t="n">
        <v>4.47</v>
      </c>
      <c r="K417" s="7" t="inlineStr">
        <is>
          <t>DIMEC</t>
        </is>
      </c>
      <c r="L417" s="8" t="n">
        <v>4.47</v>
      </c>
      <c r="M417" s="12">
        <f>L417/H417-1</f>
        <v/>
      </c>
      <c r="N417" s="14" t="inlineStr">
        <is>
          <t>ACIMA +21.5%</t>
        </is>
      </c>
      <c r="O417" s="7" t="inlineStr"/>
    </row>
    <row r="418">
      <c r="A418" s="7" t="n">
        <v>339861</v>
      </c>
      <c r="B418" s="10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1" t="n">
        <v>2</v>
      </c>
      <c r="G418" s="11" t="n">
        <v>2</v>
      </c>
      <c r="H418" s="8" t="n">
        <v>28.88</v>
      </c>
      <c r="I418" s="8" t="n">
        <v>25.51</v>
      </c>
      <c r="J418" s="8" t="n"/>
      <c r="K418" s="7" t="inlineStr">
        <is>
          <t>SEM COTAÇÃO</t>
        </is>
      </c>
      <c r="L418" s="8" t="n"/>
      <c r="M418" s="12" t="n"/>
      <c r="N418" s="7" t="inlineStr"/>
      <c r="O418" s="7" t="inlineStr"/>
    </row>
    <row r="419">
      <c r="A419" s="7" t="n">
        <v>339821</v>
      </c>
      <c r="B419" s="10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1" t="n">
        <v>3</v>
      </c>
      <c r="G419" s="11" t="n">
        <v>3</v>
      </c>
      <c r="H419" s="8" t="n">
        <v>19.96</v>
      </c>
      <c r="I419" s="8" t="n">
        <v>13.96</v>
      </c>
      <c r="J419" s="8" t="n"/>
      <c r="K419" s="7" t="inlineStr">
        <is>
          <t>SEM COTAÇÃO</t>
        </is>
      </c>
      <c r="L419" s="8" t="n"/>
      <c r="M419" s="12" t="n"/>
      <c r="N419" s="7" t="inlineStr"/>
      <c r="O419" s="7" t="inlineStr"/>
    </row>
    <row r="420">
      <c r="A420" s="7" t="n">
        <v>339841</v>
      </c>
      <c r="B420" s="10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1" t="n">
        <v>2</v>
      </c>
      <c r="G420" s="11" t="n">
        <v>2</v>
      </c>
      <c r="H420" s="8" t="n">
        <v>21.8425</v>
      </c>
      <c r="I420" s="8" t="n">
        <v>15.4369</v>
      </c>
      <c r="J420" s="8" t="n"/>
      <c r="K420" s="7" t="inlineStr">
        <is>
          <t>SEM COTAÇÃO</t>
        </is>
      </c>
      <c r="L420" s="8" t="n"/>
      <c r="M420" s="12" t="n"/>
      <c r="N420" s="7" t="inlineStr"/>
      <c r="O420" s="7" t="inlineStr"/>
    </row>
    <row r="421">
      <c r="A421" s="7" t="n">
        <v>632861</v>
      </c>
      <c r="B421" s="10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1" t="n">
        <v>1</v>
      </c>
      <c r="G421" s="11" t="n">
        <v>1</v>
      </c>
      <c r="H421" s="8" t="n">
        <v>23.99</v>
      </c>
      <c r="I421" s="8" t="n">
        <v>23.99</v>
      </c>
      <c r="J421" s="8" t="n"/>
      <c r="K421" s="7" t="inlineStr">
        <is>
          <t>SEM COTAÇÃO</t>
        </is>
      </c>
      <c r="L421" s="8" t="n"/>
      <c r="M421" s="12" t="n"/>
      <c r="N421" s="7" t="inlineStr"/>
      <c r="O421" s="7" t="inlineStr"/>
    </row>
    <row r="422">
      <c r="A422" s="7" t="n">
        <v>632871</v>
      </c>
      <c r="B422" s="10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1" t="n">
        <v>1</v>
      </c>
      <c r="G422" s="11" t="n">
        <v>1</v>
      </c>
      <c r="H422" s="8" t="n">
        <v>21.99</v>
      </c>
      <c r="I422" s="8" t="n">
        <v>21.99</v>
      </c>
      <c r="J422" s="8" t="n"/>
      <c r="K422" s="7" t="inlineStr">
        <is>
          <t>SEM COTAÇÃO</t>
        </is>
      </c>
      <c r="L422" s="8" t="n"/>
      <c r="M422" s="12" t="n"/>
      <c r="N422" s="7" t="inlineStr"/>
      <c r="O422" s="7" t="inlineStr"/>
    </row>
    <row r="423">
      <c r="A423" s="7" t="n">
        <v>534941</v>
      </c>
      <c r="B423" s="10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1" t="n">
        <v>3</v>
      </c>
      <c r="G423" s="11" t="n">
        <v>3</v>
      </c>
      <c r="H423" s="8" t="n">
        <v>23.38</v>
      </c>
      <c r="I423" s="8" t="n">
        <v>23.38</v>
      </c>
      <c r="J423" s="8" t="n"/>
      <c r="K423" s="7" t="inlineStr">
        <is>
          <t>SEM COTAÇÃO</t>
        </is>
      </c>
      <c r="L423" s="8" t="n"/>
      <c r="M423" s="12" t="n"/>
      <c r="N423" s="7" t="inlineStr"/>
      <c r="O423" s="7" t="inlineStr"/>
    </row>
    <row r="424">
      <c r="A424" s="7" t="n">
        <v>582021</v>
      </c>
      <c r="B424" s="10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1" t="n">
        <v>1</v>
      </c>
      <c r="G424" s="11" t="n">
        <v>1</v>
      </c>
      <c r="H424" s="8" t="n">
        <v>21.25</v>
      </c>
      <c r="I424" s="8" t="n">
        <v>21.25</v>
      </c>
      <c r="J424" s="8" t="n"/>
      <c r="K424" s="7" t="inlineStr">
        <is>
          <t>SEM COTAÇÃO</t>
        </is>
      </c>
      <c r="L424" s="8" t="n"/>
      <c r="M424" s="12" t="n"/>
      <c r="N424" s="7" t="inlineStr"/>
      <c r="O424" s="7" t="inlineStr"/>
    </row>
    <row r="425">
      <c r="A425" s="7" t="n">
        <v>581601</v>
      </c>
      <c r="B425" s="10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1" t="n">
        <v>2</v>
      </c>
      <c r="G425" s="11" t="n">
        <v>2</v>
      </c>
      <c r="H425" s="8" t="n">
        <v>23.38</v>
      </c>
      <c r="I425" s="8" t="n">
        <v>23.38</v>
      </c>
      <c r="J425" s="8" t="n"/>
      <c r="K425" s="7" t="inlineStr">
        <is>
          <t>SEM COTAÇÃO</t>
        </is>
      </c>
      <c r="L425" s="8" t="n"/>
      <c r="M425" s="12" t="n"/>
      <c r="N425" s="7" t="inlineStr"/>
      <c r="O425" s="7" t="inlineStr"/>
    </row>
    <row r="426">
      <c r="A426" s="7" t="n">
        <v>581961</v>
      </c>
      <c r="B426" s="10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1" t="n">
        <v>2</v>
      </c>
      <c r="G426" s="11" t="n">
        <v>2</v>
      </c>
      <c r="H426" s="8" t="n">
        <v>23.38</v>
      </c>
      <c r="I426" s="8" t="n">
        <v>23.38</v>
      </c>
      <c r="J426" s="8" t="n"/>
      <c r="K426" s="7" t="inlineStr">
        <is>
          <t>SEM COTAÇÃO</t>
        </is>
      </c>
      <c r="L426" s="8" t="n"/>
      <c r="M426" s="12" t="n"/>
      <c r="N426" s="7" t="inlineStr"/>
      <c r="O426" s="7" t="inlineStr"/>
    </row>
    <row r="427">
      <c r="A427" s="7" t="n">
        <v>655301</v>
      </c>
      <c r="B427" s="10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1" t="n">
        <v>11</v>
      </c>
      <c r="G427" s="11" t="n">
        <v>11</v>
      </c>
      <c r="H427" s="8" t="n"/>
      <c r="I427" s="8" t="n"/>
      <c r="J427" s="8" t="n"/>
      <c r="K427" s="7" t="inlineStr">
        <is>
          <t>SEM COTAÇÃO</t>
        </is>
      </c>
      <c r="L427" s="8" t="n"/>
      <c r="M427" s="12" t="n"/>
      <c r="N427" s="7" t="inlineStr"/>
      <c r="O427" s="7" t="inlineStr"/>
    </row>
    <row r="428">
      <c r="A428" s="7" t="n">
        <v>642711</v>
      </c>
      <c r="B428" s="10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1" t="n">
        <v>1</v>
      </c>
      <c r="G428" s="11" t="n">
        <v>2</v>
      </c>
      <c r="H428" s="8" t="n">
        <v>3.6267</v>
      </c>
      <c r="I428" s="8" t="n">
        <v>3.6267</v>
      </c>
      <c r="J428" s="8" t="n"/>
      <c r="K428" s="7" t="inlineStr">
        <is>
          <t>SEM COTAÇÃO</t>
        </is>
      </c>
      <c r="L428" s="8" t="n"/>
      <c r="M428" s="12" t="n"/>
      <c r="N428" s="7" t="inlineStr"/>
      <c r="O428" s="7" t="inlineStr"/>
    </row>
    <row r="429">
      <c r="A429" s="7" t="n">
        <v>625561</v>
      </c>
      <c r="B429" s="10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1" t="n">
        <v>4</v>
      </c>
      <c r="G429" s="11" t="n">
        <v>4</v>
      </c>
      <c r="H429" s="8" t="n">
        <v>14.9</v>
      </c>
      <c r="I429" s="8" t="n">
        <v>12.15</v>
      </c>
      <c r="J429" s="8" t="n"/>
      <c r="K429" s="7" t="inlineStr">
        <is>
          <t>SEM COTAÇÃO</t>
        </is>
      </c>
      <c r="L429" s="8" t="n"/>
      <c r="M429" s="12" t="n"/>
      <c r="N429" s="7" t="inlineStr"/>
      <c r="O429" s="7" t="inlineStr"/>
    </row>
    <row r="430">
      <c r="A430" s="7" t="n">
        <v>642401</v>
      </c>
      <c r="B430" s="10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1" t="n">
        <v>15</v>
      </c>
      <c r="G430" s="11" t="n">
        <v>15</v>
      </c>
      <c r="H430" s="8" t="n">
        <v>8.890000000000001</v>
      </c>
      <c r="I430" s="8" t="n">
        <v>7.99</v>
      </c>
      <c r="J430" s="8" t="n"/>
      <c r="K430" s="7" t="inlineStr">
        <is>
          <t>SEM COTAÇÃO</t>
        </is>
      </c>
      <c r="L430" s="8" t="n"/>
      <c r="M430" s="12" t="n"/>
      <c r="N430" s="7" t="inlineStr"/>
      <c r="O430" s="7" t="inlineStr"/>
    </row>
    <row r="431">
      <c r="A431" s="7" t="n">
        <v>642381</v>
      </c>
      <c r="B431" s="10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1" t="n">
        <v>2</v>
      </c>
      <c r="G431" s="11" t="n">
        <v>2</v>
      </c>
      <c r="H431" s="8" t="n">
        <v>8.49</v>
      </c>
      <c r="I431" s="8" t="n">
        <v>7.99</v>
      </c>
      <c r="J431" s="8" t="n"/>
      <c r="K431" s="7" t="inlineStr">
        <is>
          <t>SEM COTAÇÃO</t>
        </is>
      </c>
      <c r="L431" s="8" t="n"/>
      <c r="M431" s="12" t="n"/>
      <c r="N431" s="7" t="inlineStr"/>
      <c r="O431" s="7" t="inlineStr"/>
    </row>
    <row r="432">
      <c r="A432" s="7" t="n">
        <v>625621</v>
      </c>
      <c r="B432" s="10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1" t="n">
        <v>1</v>
      </c>
      <c r="G432" s="11" t="n">
        <v>1</v>
      </c>
      <c r="H432" s="8" t="n">
        <v>2.7742</v>
      </c>
      <c r="I432" s="8" t="n">
        <v>2.7742</v>
      </c>
      <c r="J432" s="8" t="n"/>
      <c r="K432" s="7" t="inlineStr">
        <is>
          <t>SEM COTAÇÃO</t>
        </is>
      </c>
      <c r="L432" s="8" t="n"/>
      <c r="M432" s="12" t="n"/>
      <c r="N432" s="7" t="inlineStr"/>
      <c r="O432" s="7" t="inlineStr"/>
    </row>
    <row r="433">
      <c r="A433" s="7" t="n">
        <v>619471</v>
      </c>
      <c r="B433" s="10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1" t="n">
        <v>1</v>
      </c>
      <c r="G433" s="11" t="n">
        <v>1</v>
      </c>
      <c r="H433" s="8" t="n">
        <v>1.7108</v>
      </c>
      <c r="I433" s="8" t="n">
        <v>1.7108</v>
      </c>
      <c r="J433" s="8" t="n"/>
      <c r="K433" s="7" t="inlineStr">
        <is>
          <t>SEM COTAÇÃO</t>
        </is>
      </c>
      <c r="L433" s="8" t="n"/>
      <c r="M433" s="12" t="n"/>
      <c r="N433" s="7" t="inlineStr"/>
      <c r="O433" s="7" t="inlineStr"/>
    </row>
    <row r="434">
      <c r="A434" s="7" t="n">
        <v>592341</v>
      </c>
      <c r="B434" s="10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1" t="n">
        <v>2</v>
      </c>
      <c r="G434" s="11" t="n">
        <v>18</v>
      </c>
      <c r="H434" s="8" t="n">
        <v>7.3838</v>
      </c>
      <c r="I434" s="8" t="n">
        <v>7.3838</v>
      </c>
      <c r="J434" s="8" t="n"/>
      <c r="K434" s="7" t="inlineStr">
        <is>
          <t>SEM COTAÇÃO</t>
        </is>
      </c>
      <c r="L434" s="8" t="n"/>
      <c r="M434" s="12" t="n"/>
      <c r="N434" s="7" t="inlineStr"/>
      <c r="O434" s="7" t="inlineStr"/>
    </row>
    <row r="435">
      <c r="A435" s="7" t="n">
        <v>21003</v>
      </c>
      <c r="B435" s="10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1" t="n">
        <v>1</v>
      </c>
      <c r="G435" s="11" t="n">
        <v>5</v>
      </c>
      <c r="H435" s="8" t="n">
        <v>7.0694</v>
      </c>
      <c r="I435" s="8" t="n">
        <v>7.0694</v>
      </c>
      <c r="J435" s="8" t="n"/>
      <c r="K435" s="7" t="inlineStr">
        <is>
          <t>SEM COTAÇÃO</t>
        </is>
      </c>
      <c r="L435" s="8" t="n"/>
      <c r="M435" s="12" t="n"/>
      <c r="N435" s="7" t="inlineStr"/>
      <c r="O435" s="7" t="inlineStr"/>
    </row>
    <row r="436">
      <c r="A436" s="7" t="n">
        <v>642311</v>
      </c>
      <c r="B436" s="10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1" t="n">
        <v>1</v>
      </c>
      <c r="G436" s="11" t="n">
        <v>1</v>
      </c>
      <c r="H436" s="8" t="n">
        <v>3.6812</v>
      </c>
      <c r="I436" s="8" t="n">
        <v>3.6117</v>
      </c>
      <c r="J436" s="8" t="n"/>
      <c r="K436" s="7" t="inlineStr">
        <is>
          <t>SEM COTAÇÃO</t>
        </is>
      </c>
      <c r="L436" s="8" t="n"/>
      <c r="M436" s="12" t="n"/>
      <c r="N436" s="7" t="inlineStr"/>
      <c r="O436" s="7" t="inlineStr"/>
    </row>
    <row r="437">
      <c r="A437" s="7" t="n">
        <v>646161</v>
      </c>
      <c r="B437" s="10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1" t="n">
        <v>1</v>
      </c>
      <c r="G437" s="11" t="n">
        <v>1</v>
      </c>
      <c r="H437" s="8" t="n">
        <v>3.54</v>
      </c>
      <c r="I437" s="8" t="n">
        <v>3.54</v>
      </c>
      <c r="J437" s="8" t="n"/>
      <c r="K437" s="7" t="inlineStr">
        <is>
          <t>SEM COTAÇÃO</t>
        </is>
      </c>
      <c r="L437" s="8" t="n"/>
      <c r="M437" s="12" t="n"/>
      <c r="N437" s="7" t="inlineStr"/>
      <c r="O437" s="7" t="inlineStr"/>
    </row>
    <row r="438">
      <c r="A438" s="7" t="n">
        <v>638221</v>
      </c>
      <c r="B438" s="10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1" t="n">
        <v>1</v>
      </c>
      <c r="G438" s="11" t="n">
        <v>1</v>
      </c>
      <c r="H438" s="8" t="n">
        <v>3.27</v>
      </c>
      <c r="I438" s="8" t="n">
        <v>3.27</v>
      </c>
      <c r="J438" s="8" t="n"/>
      <c r="K438" s="7" t="inlineStr">
        <is>
          <t>SEM COTAÇÃO</t>
        </is>
      </c>
      <c r="L438" s="8" t="n"/>
      <c r="M438" s="12" t="n"/>
      <c r="N438" s="7" t="inlineStr"/>
      <c r="O438" s="7" t="inlineStr"/>
    </row>
    <row r="439">
      <c r="A439" s="7" t="n">
        <v>661381</v>
      </c>
      <c r="B439" s="10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1" t="n">
        <v>1</v>
      </c>
      <c r="G439" s="11" t="n">
        <v>1</v>
      </c>
      <c r="H439" s="8" t="n">
        <v>3.44</v>
      </c>
      <c r="I439" s="8" t="n">
        <v>3.44</v>
      </c>
      <c r="J439" s="8" t="n"/>
      <c r="K439" s="7" t="inlineStr">
        <is>
          <t>SEM COTAÇÃO</t>
        </is>
      </c>
      <c r="L439" s="8" t="n"/>
      <c r="M439" s="12" t="n"/>
      <c r="N439" s="7" t="inlineStr"/>
      <c r="O439" s="7" t="inlineStr"/>
    </row>
    <row r="440">
      <c r="A440" s="7" t="n">
        <v>631911</v>
      </c>
      <c r="B440" s="10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1" t="n">
        <v>3</v>
      </c>
      <c r="G440" s="11" t="n">
        <v>3</v>
      </c>
      <c r="H440" s="8" t="n">
        <v>5.8</v>
      </c>
      <c r="I440" s="8" t="n">
        <v>5.8</v>
      </c>
      <c r="J440" s="8" t="n"/>
      <c r="K440" s="7" t="inlineStr">
        <is>
          <t>SEM COTAÇÃO</t>
        </is>
      </c>
      <c r="L440" s="8" t="n"/>
      <c r="M440" s="12" t="n"/>
      <c r="N440" s="7" t="inlineStr"/>
      <c r="O440" s="7" t="inlineStr"/>
    </row>
    <row r="441">
      <c r="A441" s="7" t="n">
        <v>631921</v>
      </c>
      <c r="B441" s="10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1" t="n">
        <v>2</v>
      </c>
      <c r="G441" s="11" t="n">
        <v>2</v>
      </c>
      <c r="H441" s="8" t="n">
        <v>5.8</v>
      </c>
      <c r="I441" s="8" t="n">
        <v>5.8</v>
      </c>
      <c r="J441" s="8" t="n"/>
      <c r="K441" s="7" t="inlineStr">
        <is>
          <t>SEM COTAÇÃO</t>
        </is>
      </c>
      <c r="L441" s="8" t="n"/>
      <c r="M441" s="12" t="n"/>
      <c r="N441" s="7" t="inlineStr"/>
      <c r="O441" s="7" t="inlineStr"/>
    </row>
    <row r="442">
      <c r="A442" s="7" t="n">
        <v>631791</v>
      </c>
      <c r="B442" s="10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1" t="n">
        <v>1</v>
      </c>
      <c r="G442" s="11" t="n">
        <v>1</v>
      </c>
      <c r="H442" s="8" t="n">
        <v>5.8</v>
      </c>
      <c r="I442" s="8" t="n">
        <v>5.8</v>
      </c>
      <c r="J442" s="8" t="n"/>
      <c r="K442" s="7" t="inlineStr">
        <is>
          <t>SEM COTAÇÃO</t>
        </is>
      </c>
      <c r="L442" s="8" t="n"/>
      <c r="M442" s="12" t="n"/>
      <c r="N442" s="7" t="inlineStr"/>
      <c r="O442" s="7" t="inlineStr"/>
    </row>
    <row r="443">
      <c r="A443" s="7" t="n">
        <v>654401</v>
      </c>
      <c r="B443" s="10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1" t="n">
        <v>1</v>
      </c>
      <c r="G443" s="11" t="n">
        <v>1</v>
      </c>
      <c r="H443" s="8" t="n">
        <v>7.1917</v>
      </c>
      <c r="I443" s="8" t="n">
        <v>7.1917</v>
      </c>
      <c r="J443" s="8" t="n"/>
      <c r="K443" s="7" t="inlineStr">
        <is>
          <t>SEM COTAÇÃO</t>
        </is>
      </c>
      <c r="L443" s="8" t="n"/>
      <c r="M443" s="12" t="n"/>
      <c r="N443" s="7" t="inlineStr"/>
      <c r="O443" s="7" t="inlineStr"/>
    </row>
    <row r="444">
      <c r="A444" s="7" t="n">
        <v>645771</v>
      </c>
      <c r="B444" s="10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1" t="n">
        <v>1</v>
      </c>
      <c r="G444" s="11" t="n">
        <v>1</v>
      </c>
      <c r="H444" s="8" t="n">
        <v>6.6408</v>
      </c>
      <c r="I444" s="8" t="n">
        <v>6.6408</v>
      </c>
      <c r="J444" s="8" t="n"/>
      <c r="K444" s="7" t="inlineStr">
        <is>
          <t>SEM COTAÇÃO</t>
        </is>
      </c>
      <c r="L444" s="8" t="n"/>
      <c r="M444" s="12" t="n"/>
      <c r="N444" s="7" t="inlineStr"/>
      <c r="O444" s="7" t="inlineStr"/>
    </row>
    <row r="445">
      <c r="A445" s="7" t="n">
        <v>645781</v>
      </c>
      <c r="B445" s="10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1" t="n">
        <v>1</v>
      </c>
      <c r="G445" s="11" t="n">
        <v>3</v>
      </c>
      <c r="H445" s="8" t="n">
        <v>7.1933</v>
      </c>
      <c r="I445" s="8" t="n">
        <v>7.1933</v>
      </c>
      <c r="J445" s="8" t="n"/>
      <c r="K445" s="7" t="inlineStr">
        <is>
          <t>SEM COTAÇÃO</t>
        </is>
      </c>
      <c r="L445" s="8" t="n"/>
      <c r="M445" s="12" t="n"/>
      <c r="N445" s="7" t="inlineStr"/>
      <c r="O445" s="7" t="inlineStr"/>
    </row>
    <row r="446">
      <c r="A446" s="7" t="n">
        <v>645791</v>
      </c>
      <c r="B446" s="10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1" t="n">
        <v>1</v>
      </c>
      <c r="G446" s="11" t="n">
        <v>3</v>
      </c>
      <c r="H446" s="8" t="n">
        <v>7.1933</v>
      </c>
      <c r="I446" s="8" t="n">
        <v>7.1933</v>
      </c>
      <c r="J446" s="8" t="n"/>
      <c r="K446" s="7" t="inlineStr">
        <is>
          <t>SEM COTAÇÃO</t>
        </is>
      </c>
      <c r="L446" s="8" t="n"/>
      <c r="M446" s="12" t="n"/>
      <c r="N446" s="7" t="inlineStr"/>
      <c r="O446" s="7" t="inlineStr"/>
    </row>
    <row r="447">
      <c r="A447" s="7" t="n">
        <v>645801</v>
      </c>
      <c r="B447" s="10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1" t="n">
        <v>1</v>
      </c>
      <c r="G447" s="11" t="n">
        <v>1</v>
      </c>
      <c r="H447" s="8" t="n">
        <v>6.6408</v>
      </c>
      <c r="I447" s="8" t="n">
        <v>6.6408</v>
      </c>
      <c r="J447" s="8" t="n"/>
      <c r="K447" s="7" t="inlineStr">
        <is>
          <t>SEM COTAÇÃO</t>
        </is>
      </c>
      <c r="L447" s="8" t="n"/>
      <c r="M447" s="12" t="n"/>
      <c r="N447" s="7" t="inlineStr"/>
      <c r="O447" s="7" t="inlineStr"/>
    </row>
    <row r="448">
      <c r="A448" s="7" t="n">
        <v>645661</v>
      </c>
      <c r="B448" s="10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1" t="n">
        <v>1</v>
      </c>
      <c r="G448" s="11" t="n">
        <v>1</v>
      </c>
      <c r="H448" s="8" t="n">
        <v>69.89</v>
      </c>
      <c r="I448" s="8" t="n">
        <v>69.89</v>
      </c>
      <c r="J448" s="8" t="n"/>
      <c r="K448" s="7" t="inlineStr">
        <is>
          <t>SEM COTAÇÃO</t>
        </is>
      </c>
      <c r="L448" s="8" t="n"/>
      <c r="M448" s="12" t="n"/>
      <c r="N448" s="7" t="inlineStr"/>
      <c r="O448" s="7" t="inlineStr"/>
    </row>
    <row r="449">
      <c r="A449" s="7" t="n">
        <v>655521</v>
      </c>
      <c r="B449" s="10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1" t="n">
        <v>1</v>
      </c>
      <c r="G449" s="11" t="n">
        <v>1</v>
      </c>
      <c r="H449" s="8" t="n">
        <v>14.62</v>
      </c>
      <c r="I449" s="8" t="n">
        <v>14.62</v>
      </c>
      <c r="J449" s="8" t="n"/>
      <c r="K449" s="7" t="inlineStr">
        <is>
          <t>SEM COTAÇÃO</t>
        </is>
      </c>
      <c r="L449" s="8" t="n"/>
      <c r="M449" s="12" t="n"/>
      <c r="N449" s="7" t="inlineStr"/>
      <c r="O449" s="7" t="inlineStr"/>
    </row>
    <row r="450">
      <c r="A450" s="7" t="n">
        <v>607811</v>
      </c>
      <c r="B450" s="10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1" t="n">
        <v>1</v>
      </c>
      <c r="G450" s="11" t="n">
        <v>1</v>
      </c>
      <c r="H450" s="8" t="n">
        <v>5.87</v>
      </c>
      <c r="I450" s="8" t="n">
        <v>5.87</v>
      </c>
      <c r="J450" s="8" t="n"/>
      <c r="K450" s="7" t="inlineStr">
        <is>
          <t>SEM COTAÇÃO</t>
        </is>
      </c>
      <c r="L450" s="8" t="n"/>
      <c r="M450" s="12" t="n"/>
      <c r="N450" s="7" t="inlineStr"/>
      <c r="O450" s="7" t="inlineStr"/>
    </row>
    <row r="451">
      <c r="A451" s="7" t="n">
        <v>611881</v>
      </c>
      <c r="B451" s="10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1" t="n">
        <v>1</v>
      </c>
      <c r="G451" s="11" t="n">
        <v>1</v>
      </c>
      <c r="H451" s="8" t="n">
        <v>10.98</v>
      </c>
      <c r="I451" s="8" t="n">
        <v>10.98</v>
      </c>
      <c r="J451" s="8" t="n"/>
      <c r="K451" s="7" t="inlineStr">
        <is>
          <t>SEM COTAÇÃO</t>
        </is>
      </c>
      <c r="L451" s="8" t="n"/>
      <c r="M451" s="12" t="n"/>
      <c r="N451" s="7" t="inlineStr"/>
      <c r="O451" s="7" t="inlineStr"/>
    </row>
    <row r="452">
      <c r="A452" s="7" t="n">
        <v>617411</v>
      </c>
      <c r="B452" s="10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1" t="n">
        <v>1</v>
      </c>
      <c r="G452" s="11" t="n">
        <v>1</v>
      </c>
      <c r="H452" s="8" t="n">
        <v>9.02</v>
      </c>
      <c r="I452" s="8" t="n">
        <v>9.02</v>
      </c>
      <c r="J452" s="8" t="n"/>
      <c r="K452" s="7" t="inlineStr">
        <is>
          <t>SEM COTAÇÃO</t>
        </is>
      </c>
      <c r="L452" s="8" t="n"/>
      <c r="M452" s="12" t="n"/>
      <c r="N452" s="7" t="inlineStr"/>
      <c r="O452" s="7" t="inlineStr"/>
    </row>
    <row r="453">
      <c r="A453" s="7" t="n">
        <v>617001</v>
      </c>
      <c r="B453" s="10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1" t="n">
        <v>1</v>
      </c>
      <c r="G453" s="11" t="n">
        <v>1</v>
      </c>
      <c r="H453" s="8" t="n">
        <v>9.02</v>
      </c>
      <c r="I453" s="8" t="n">
        <v>9.02</v>
      </c>
      <c r="J453" s="8" t="n"/>
      <c r="K453" s="7" t="inlineStr">
        <is>
          <t>SEM COTAÇÃO</t>
        </is>
      </c>
      <c r="L453" s="8" t="n"/>
      <c r="M453" s="12" t="n"/>
      <c r="N453" s="7" t="inlineStr"/>
      <c r="O453" s="7" t="inlineStr"/>
    </row>
    <row r="454">
      <c r="A454" s="7" t="n">
        <v>617011</v>
      </c>
      <c r="B454" s="10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1" t="n">
        <v>1</v>
      </c>
      <c r="G454" s="11" t="n">
        <v>1</v>
      </c>
      <c r="H454" s="8" t="n">
        <v>9.02</v>
      </c>
      <c r="I454" s="8" t="n">
        <v>9.02</v>
      </c>
      <c r="J454" s="8" t="n"/>
      <c r="K454" s="7" t="inlineStr">
        <is>
          <t>SEM COTAÇÃO</t>
        </is>
      </c>
      <c r="L454" s="8" t="n"/>
      <c r="M454" s="12" t="n"/>
      <c r="N454" s="7" t="inlineStr"/>
      <c r="O454" s="7" t="inlineStr"/>
    </row>
    <row r="455">
      <c r="A455" s="7" t="n">
        <v>626801</v>
      </c>
      <c r="B455" s="10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1" t="n">
        <v>1</v>
      </c>
      <c r="G455" s="11" t="n">
        <v>1</v>
      </c>
      <c r="H455" s="8" t="n">
        <v>17</v>
      </c>
      <c r="I455" s="8" t="n">
        <v>17</v>
      </c>
      <c r="J455" s="8" t="n"/>
      <c r="K455" s="7" t="inlineStr">
        <is>
          <t>SEM COTAÇÃO</t>
        </is>
      </c>
      <c r="L455" s="8" t="n"/>
      <c r="M455" s="12" t="n"/>
      <c r="N455" s="7" t="inlineStr"/>
      <c r="O455" s="7" t="inlineStr"/>
    </row>
    <row r="456">
      <c r="A456" s="7" t="n">
        <v>705001</v>
      </c>
      <c r="B456" s="10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1" t="n">
        <v>1</v>
      </c>
      <c r="G456" s="11" t="n">
        <v>1</v>
      </c>
      <c r="H456" s="8" t="n">
        <v>7.743</v>
      </c>
      <c r="I456" s="8" t="n">
        <v>7.743</v>
      </c>
      <c r="J456" s="8" t="n"/>
      <c r="K456" s="7" t="inlineStr">
        <is>
          <t>SEM COTAÇÃO</t>
        </is>
      </c>
      <c r="L456" s="8" t="n"/>
      <c r="M456" s="12" t="n"/>
      <c r="N456" s="7" t="inlineStr"/>
      <c r="O456" s="7" t="inlineStr"/>
    </row>
    <row r="457">
      <c r="A457" s="7" t="n">
        <v>627531</v>
      </c>
      <c r="B457" s="10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1" t="n">
        <v>1</v>
      </c>
      <c r="G457" s="11" t="n">
        <v>1</v>
      </c>
      <c r="H457" s="8" t="n">
        <v>12</v>
      </c>
      <c r="I457" s="8" t="n">
        <v>12</v>
      </c>
      <c r="J457" s="8" t="n"/>
      <c r="K457" s="7" t="inlineStr">
        <is>
          <t>SEM COTAÇÃO</t>
        </is>
      </c>
      <c r="L457" s="8" t="n"/>
      <c r="M457" s="12" t="n"/>
      <c r="N457" s="7" t="inlineStr"/>
      <c r="O457" s="7" t="inlineStr"/>
    </row>
    <row r="458">
      <c r="A458" s="7" t="n">
        <v>592421</v>
      </c>
      <c r="B458" s="10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1" t="n">
        <v>1</v>
      </c>
      <c r="G458" s="11" t="n">
        <v>1</v>
      </c>
      <c r="H458" s="8" t="n">
        <v>18.86</v>
      </c>
      <c r="I458" s="8" t="n">
        <v>18.86</v>
      </c>
      <c r="J458" s="8" t="n"/>
      <c r="K458" s="7" t="inlineStr">
        <is>
          <t>SEM COTAÇÃO</t>
        </is>
      </c>
      <c r="L458" s="8" t="n"/>
      <c r="M458" s="12" t="n"/>
      <c r="N458" s="7" t="inlineStr"/>
      <c r="O458" s="7" t="inlineStr"/>
    </row>
    <row r="459">
      <c r="A459" s="7" t="n">
        <v>541321</v>
      </c>
      <c r="B459" s="10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1" t="n">
        <v>1</v>
      </c>
      <c r="G459" s="11" t="n">
        <v>9</v>
      </c>
      <c r="H459" s="8" t="n">
        <v>1.61</v>
      </c>
      <c r="I459" s="8" t="n">
        <v>1.61</v>
      </c>
      <c r="J459" s="13" t="n">
        <v>1.61</v>
      </c>
      <c r="K459" s="7" t="inlineStr">
        <is>
          <t>DIMEC</t>
        </is>
      </c>
      <c r="L459" s="8" t="n">
        <v>1.61</v>
      </c>
      <c r="M459" s="12">
        <f>L459/H459-1</f>
        <v/>
      </c>
      <c r="N459" s="15" t="inlineStr">
        <is>
          <t>OK (≤ menor hist.)</t>
        </is>
      </c>
      <c r="O459" s="7" t="inlineStr"/>
    </row>
    <row r="460">
      <c r="A460" s="7" t="n">
        <v>599431</v>
      </c>
      <c r="B460" s="10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1" t="n">
        <v>1</v>
      </c>
      <c r="G460" s="11" t="n">
        <v>5</v>
      </c>
      <c r="H460" s="8" t="n">
        <v>1.4757</v>
      </c>
      <c r="I460" s="8" t="n">
        <v>1.4323</v>
      </c>
      <c r="J460" s="8" t="n"/>
      <c r="K460" s="7" t="inlineStr">
        <is>
          <t>SEM COTAÇÃO</t>
        </is>
      </c>
      <c r="L460" s="8" t="n"/>
      <c r="M460" s="12" t="n"/>
      <c r="N460" s="7" t="inlineStr"/>
      <c r="O460" s="7" t="inlineStr"/>
    </row>
    <row r="461">
      <c r="A461" s="7" t="n">
        <v>595151</v>
      </c>
      <c r="B461" s="10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1" t="n">
        <v>1</v>
      </c>
      <c r="G461" s="11" t="n">
        <v>24</v>
      </c>
      <c r="H461" s="8" t="n">
        <v>1.4757</v>
      </c>
      <c r="I461" s="8" t="n">
        <v>1.4323</v>
      </c>
      <c r="J461" s="8" t="n"/>
      <c r="K461" s="7" t="inlineStr">
        <is>
          <t>SEM COTAÇÃO</t>
        </is>
      </c>
      <c r="L461" s="8" t="n"/>
      <c r="M461" s="12" t="n"/>
      <c r="N461" s="7" t="inlineStr"/>
      <c r="O461" s="7" t="inlineStr"/>
    </row>
    <row r="462">
      <c r="A462" s="7" t="n">
        <v>599421</v>
      </c>
      <c r="B462" s="10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1" t="n">
        <v>1</v>
      </c>
      <c r="G462" s="11" t="n">
        <v>18</v>
      </c>
      <c r="H462" s="8" t="n">
        <v>1.4757</v>
      </c>
      <c r="I462" s="8" t="n">
        <v>1.4323</v>
      </c>
      <c r="J462" s="8" t="n"/>
      <c r="K462" s="7" t="inlineStr">
        <is>
          <t>SEM COTAÇÃO</t>
        </is>
      </c>
      <c r="L462" s="8" t="n"/>
      <c r="M462" s="12" t="n"/>
      <c r="N462" s="7" t="inlineStr"/>
      <c r="O462" s="7" t="inlineStr"/>
    </row>
    <row r="463">
      <c r="A463" s="7" t="n">
        <v>542781</v>
      </c>
      <c r="B463" s="10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1" t="n">
        <v>3</v>
      </c>
      <c r="G463" s="11" t="n">
        <v>65</v>
      </c>
      <c r="H463" s="8" t="n">
        <v>1.4757</v>
      </c>
      <c r="I463" s="8" t="n">
        <v>1.4323</v>
      </c>
      <c r="J463" s="8" t="n"/>
      <c r="K463" s="7" t="inlineStr">
        <is>
          <t>SEM COTAÇÃO</t>
        </is>
      </c>
      <c r="L463" s="8" t="n"/>
      <c r="M463" s="12" t="n"/>
      <c r="N463" s="7" t="inlineStr"/>
      <c r="O463" s="7" t="inlineStr"/>
    </row>
    <row r="464">
      <c r="A464" s="7" t="n">
        <v>554801</v>
      </c>
      <c r="B464" s="10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1" t="n">
        <v>2</v>
      </c>
      <c r="G464" s="11" t="n">
        <v>41</v>
      </c>
      <c r="H464" s="8" t="n">
        <v>1.4757</v>
      </c>
      <c r="I464" s="8" t="n">
        <v>1.4323</v>
      </c>
      <c r="J464" s="8" t="n"/>
      <c r="K464" s="7" t="inlineStr">
        <is>
          <t>SEM COTAÇÃO</t>
        </is>
      </c>
      <c r="L464" s="8" t="n"/>
      <c r="M464" s="12" t="n"/>
      <c r="N464" s="7" t="inlineStr"/>
      <c r="O464" s="7" t="inlineStr"/>
    </row>
    <row r="465">
      <c r="A465" s="7" t="n">
        <v>590701</v>
      </c>
      <c r="B465" s="10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1" t="n">
        <v>1</v>
      </c>
      <c r="G465" s="11" t="n">
        <v>9</v>
      </c>
      <c r="H465" s="8" t="n">
        <v>3.79</v>
      </c>
      <c r="I465" s="8" t="n">
        <v>3.79</v>
      </c>
      <c r="J465" s="13" t="n">
        <v>3.81</v>
      </c>
      <c r="K465" s="7" t="inlineStr">
        <is>
          <t>DIMEC</t>
        </is>
      </c>
      <c r="L465" s="8" t="n">
        <v>3.81</v>
      </c>
      <c r="M465" s="12">
        <f>L465/H465-1</f>
        <v/>
      </c>
      <c r="N465" s="14" t="inlineStr">
        <is>
          <t>ACIMA +0.5%</t>
        </is>
      </c>
      <c r="O465" s="7" t="inlineStr"/>
    </row>
    <row r="466">
      <c r="A466" s="7" t="n">
        <v>639381</v>
      </c>
      <c r="B466" s="10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1" t="n">
        <v>1</v>
      </c>
      <c r="G466" s="11" t="n">
        <v>1</v>
      </c>
      <c r="H466" s="8" t="n">
        <v>35.47</v>
      </c>
      <c r="I466" s="8" t="n">
        <v>35.47</v>
      </c>
      <c r="J466" s="8" t="n"/>
      <c r="K466" s="7" t="inlineStr">
        <is>
          <t>SEM COTAÇÃO</t>
        </is>
      </c>
      <c r="L466" s="8" t="n"/>
      <c r="M466" s="12" t="n"/>
      <c r="N466" s="7" t="inlineStr"/>
      <c r="O466" s="7" t="inlineStr"/>
    </row>
    <row r="467">
      <c r="A467" s="7" t="n">
        <v>639401</v>
      </c>
      <c r="B467" s="10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1" t="n">
        <v>1</v>
      </c>
      <c r="G467" s="11" t="n">
        <v>1</v>
      </c>
      <c r="H467" s="8" t="n">
        <v>41.67</v>
      </c>
      <c r="I467" s="8" t="n">
        <v>41.67</v>
      </c>
      <c r="J467" s="8" t="n"/>
      <c r="K467" s="7" t="inlineStr">
        <is>
          <t>SEM COTAÇÃO</t>
        </is>
      </c>
      <c r="L467" s="8" t="n"/>
      <c r="M467" s="12" t="n"/>
      <c r="N467" s="7" t="inlineStr"/>
      <c r="O467" s="7" t="inlineStr"/>
    </row>
    <row r="468">
      <c r="A468" s="7" t="n">
        <v>639411</v>
      </c>
      <c r="B468" s="10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1" t="n">
        <v>1</v>
      </c>
      <c r="G468" s="11" t="n">
        <v>1</v>
      </c>
      <c r="H468" s="8" t="n">
        <v>32.88</v>
      </c>
      <c r="I468" s="8" t="n">
        <v>32.88</v>
      </c>
      <c r="J468" s="8" t="n"/>
      <c r="K468" s="7" t="inlineStr">
        <is>
          <t>SEM COTAÇÃO</t>
        </is>
      </c>
      <c r="L468" s="8" t="n"/>
      <c r="M468" s="12" t="n"/>
      <c r="N468" s="7" t="inlineStr"/>
      <c r="O468" s="7" t="inlineStr"/>
    </row>
    <row r="469">
      <c r="A469" s="7" t="n">
        <v>639431</v>
      </c>
      <c r="B469" s="10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1" t="n">
        <v>1</v>
      </c>
      <c r="G469" s="11" t="n">
        <v>1</v>
      </c>
      <c r="H469" s="8" t="n">
        <v>24.39</v>
      </c>
      <c r="I469" s="8" t="n">
        <v>24.39</v>
      </c>
      <c r="J469" s="8" t="n"/>
      <c r="K469" s="7" t="inlineStr">
        <is>
          <t>SEM COTAÇÃO</t>
        </is>
      </c>
      <c r="L469" s="8" t="n"/>
      <c r="M469" s="12" t="n"/>
      <c r="N469" s="7" t="inlineStr"/>
      <c r="O469" s="7" t="inlineStr"/>
    </row>
    <row r="470">
      <c r="A470" s="7" t="n">
        <v>639441</v>
      </c>
      <c r="B470" s="10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1" t="n">
        <v>1</v>
      </c>
      <c r="G470" s="11" t="n">
        <v>1</v>
      </c>
      <c r="H470" s="8" t="n">
        <v>25.57</v>
      </c>
      <c r="I470" s="8" t="n">
        <v>25.57</v>
      </c>
      <c r="J470" s="8" t="n"/>
      <c r="K470" s="7" t="inlineStr">
        <is>
          <t>SEM COTAÇÃO</t>
        </is>
      </c>
      <c r="L470" s="8" t="n"/>
      <c r="M470" s="12" t="n"/>
      <c r="N470" s="7" t="inlineStr"/>
      <c r="O470" s="7" t="inlineStr"/>
    </row>
    <row r="471">
      <c r="A471" s="7" t="n">
        <v>639451</v>
      </c>
      <c r="B471" s="10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1" t="n">
        <v>1</v>
      </c>
      <c r="G471" s="11" t="n">
        <v>1</v>
      </c>
      <c r="H471" s="8" t="n">
        <v>25.57</v>
      </c>
      <c r="I471" s="8" t="n">
        <v>25.57</v>
      </c>
      <c r="J471" s="8" t="n"/>
      <c r="K471" s="7" t="inlineStr">
        <is>
          <t>SEM COTAÇÃO</t>
        </is>
      </c>
      <c r="L471" s="8" t="n"/>
      <c r="M471" s="12" t="n"/>
      <c r="N471" s="7" t="inlineStr"/>
      <c r="O471" s="7" t="inlineStr"/>
    </row>
    <row r="472">
      <c r="A472" s="7" t="n">
        <v>639461</v>
      </c>
      <c r="B472" s="10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1" t="n">
        <v>1</v>
      </c>
      <c r="G472" s="11" t="n">
        <v>1</v>
      </c>
      <c r="H472" s="8" t="n">
        <v>24.39</v>
      </c>
      <c r="I472" s="8" t="n">
        <v>24.39</v>
      </c>
      <c r="J472" s="8" t="n"/>
      <c r="K472" s="7" t="inlineStr">
        <is>
          <t>SEM COTAÇÃO</t>
        </is>
      </c>
      <c r="L472" s="8" t="n"/>
      <c r="M472" s="12" t="n"/>
      <c r="N472" s="7" t="inlineStr"/>
      <c r="O472" s="7" t="inlineStr"/>
    </row>
    <row r="473">
      <c r="A473" s="7" t="n">
        <v>639471</v>
      </c>
      <c r="B473" s="10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1" t="n">
        <v>1</v>
      </c>
      <c r="G473" s="11" t="n">
        <v>1</v>
      </c>
      <c r="H473" s="8" t="n">
        <v>21.84</v>
      </c>
      <c r="I473" s="8" t="n">
        <v>21.84</v>
      </c>
      <c r="J473" s="8" t="n"/>
      <c r="K473" s="7" t="inlineStr">
        <is>
          <t>SEM COTAÇÃO</t>
        </is>
      </c>
      <c r="L473" s="8" t="n"/>
      <c r="M473" s="12" t="n"/>
      <c r="N473" s="7" t="inlineStr"/>
      <c r="O473" s="7" t="inlineStr"/>
    </row>
    <row r="474">
      <c r="A474" s="7" t="n">
        <v>639491</v>
      </c>
      <c r="B474" s="10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1" t="n">
        <v>1</v>
      </c>
      <c r="G474" s="11" t="n">
        <v>1</v>
      </c>
      <c r="H474" s="8" t="n">
        <v>21.84</v>
      </c>
      <c r="I474" s="8" t="n">
        <v>21.84</v>
      </c>
      <c r="J474" s="8" t="n"/>
      <c r="K474" s="7" t="inlineStr">
        <is>
          <t>SEM COTAÇÃO</t>
        </is>
      </c>
      <c r="L474" s="8" t="n"/>
      <c r="M474" s="12" t="n"/>
      <c r="N474" s="7" t="inlineStr"/>
      <c r="O474" s="7" t="inlineStr"/>
    </row>
    <row r="475">
      <c r="A475" s="7" t="n">
        <v>639511</v>
      </c>
      <c r="B475" s="10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1" t="n">
        <v>1</v>
      </c>
      <c r="G475" s="11" t="n">
        <v>1</v>
      </c>
      <c r="H475" s="8" t="n">
        <v>36.57</v>
      </c>
      <c r="I475" s="8" t="n">
        <v>36.57</v>
      </c>
      <c r="J475" s="8" t="n"/>
      <c r="K475" s="7" t="inlineStr">
        <is>
          <t>SEM COTAÇÃO</t>
        </is>
      </c>
      <c r="L475" s="8" t="n"/>
      <c r="M475" s="12" t="n"/>
      <c r="N475" s="7" t="inlineStr"/>
      <c r="O475" s="7" t="inlineStr"/>
    </row>
    <row r="476">
      <c r="A476" s="7" t="n">
        <v>639521</v>
      </c>
      <c r="B476" s="10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1" t="n">
        <v>1</v>
      </c>
      <c r="G476" s="11" t="n">
        <v>1</v>
      </c>
      <c r="H476" s="8" t="n">
        <v>36.57</v>
      </c>
      <c r="I476" s="8" t="n">
        <v>36.57</v>
      </c>
      <c r="J476" s="8" t="n"/>
      <c r="K476" s="7" t="inlineStr">
        <is>
          <t>SEM COTAÇÃO</t>
        </is>
      </c>
      <c r="L476" s="8" t="n"/>
      <c r="M476" s="12" t="n"/>
      <c r="N476" s="7" t="inlineStr"/>
      <c r="O476" s="7" t="inlineStr"/>
    </row>
    <row r="477">
      <c r="A477" s="7" t="n">
        <v>639531</v>
      </c>
      <c r="B477" s="10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1" t="n">
        <v>1</v>
      </c>
      <c r="G477" s="11" t="n">
        <v>1</v>
      </c>
      <c r="H477" s="8" t="n">
        <v>24.87</v>
      </c>
      <c r="I477" s="8" t="n">
        <v>24.87</v>
      </c>
      <c r="J477" s="8" t="n"/>
      <c r="K477" s="7" t="inlineStr">
        <is>
          <t>SEM COTAÇÃO</t>
        </is>
      </c>
      <c r="L477" s="8" t="n"/>
      <c r="M477" s="12" t="n"/>
      <c r="N477" s="7" t="inlineStr"/>
      <c r="O477" s="7" t="inlineStr"/>
    </row>
    <row r="478">
      <c r="A478" s="7" t="n">
        <v>639541</v>
      </c>
      <c r="B478" s="10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1" t="n">
        <v>1</v>
      </c>
      <c r="G478" s="11" t="n">
        <v>1</v>
      </c>
      <c r="H478" s="8" t="n">
        <v>26.09</v>
      </c>
      <c r="I478" s="8" t="n">
        <v>26.09</v>
      </c>
      <c r="J478" s="8" t="n"/>
      <c r="K478" s="7" t="inlineStr">
        <is>
          <t>SEM COTAÇÃO</t>
        </is>
      </c>
      <c r="L478" s="8" t="n"/>
      <c r="M478" s="12" t="n"/>
      <c r="N478" s="7" t="inlineStr"/>
      <c r="O478" s="7" t="inlineStr"/>
    </row>
    <row r="479">
      <c r="A479" s="7" t="n">
        <v>639551</v>
      </c>
      <c r="B479" s="10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1" t="n">
        <v>1</v>
      </c>
      <c r="G479" s="11" t="n">
        <v>1</v>
      </c>
      <c r="H479" s="8" t="n">
        <v>24.87</v>
      </c>
      <c r="I479" s="8" t="n">
        <v>24.87</v>
      </c>
      <c r="J479" s="8" t="n"/>
      <c r="K479" s="7" t="inlineStr">
        <is>
          <t>SEM COTAÇÃO</t>
        </is>
      </c>
      <c r="L479" s="8" t="n"/>
      <c r="M479" s="12" t="n"/>
      <c r="N479" s="7" t="inlineStr"/>
      <c r="O479" s="7" t="inlineStr"/>
    </row>
    <row r="480">
      <c r="A480" s="7" t="n">
        <v>639581</v>
      </c>
      <c r="B480" s="10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1" t="n">
        <v>1</v>
      </c>
      <c r="G480" s="11" t="n">
        <v>1</v>
      </c>
      <c r="H480" s="8" t="n">
        <v>37.65</v>
      </c>
      <c r="I480" s="8" t="n">
        <v>37.65</v>
      </c>
      <c r="J480" s="8" t="n"/>
      <c r="K480" s="7" t="inlineStr">
        <is>
          <t>SEM COTAÇÃO</t>
        </is>
      </c>
      <c r="L480" s="8" t="n"/>
      <c r="M480" s="12" t="n"/>
      <c r="N480" s="7" t="inlineStr"/>
      <c r="O480" s="7" t="inlineStr"/>
    </row>
    <row r="481">
      <c r="A481" s="7" t="n">
        <v>639481</v>
      </c>
      <c r="B481" s="10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1" t="n">
        <v>1</v>
      </c>
      <c r="G481" s="11" t="n">
        <v>1</v>
      </c>
      <c r="H481" s="8" t="n">
        <v>21.84</v>
      </c>
      <c r="I481" s="8" t="n">
        <v>21.84</v>
      </c>
      <c r="J481" s="8" t="n"/>
      <c r="K481" s="7" t="inlineStr">
        <is>
          <t>SEM COTAÇÃO</t>
        </is>
      </c>
      <c r="L481" s="8" t="n"/>
      <c r="M481" s="12" t="n"/>
      <c r="N481" s="7" t="inlineStr"/>
      <c r="O481" s="7" t="inlineStr"/>
    </row>
    <row r="482">
      <c r="A482" s="7" t="n">
        <v>639591</v>
      </c>
      <c r="B482" s="10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1" t="n">
        <v>1</v>
      </c>
      <c r="G482" s="11" t="n">
        <v>1</v>
      </c>
      <c r="H482" s="8" t="n">
        <v>16.45</v>
      </c>
      <c r="I482" s="8" t="n">
        <v>16.45</v>
      </c>
      <c r="J482" s="8" t="n"/>
      <c r="K482" s="7" t="inlineStr">
        <is>
          <t>SEM COTAÇÃO</t>
        </is>
      </c>
      <c r="L482" s="8" t="n"/>
      <c r="M482" s="12" t="n"/>
      <c r="N482" s="7" t="inlineStr"/>
      <c r="O482" s="7" t="inlineStr"/>
    </row>
    <row r="483">
      <c r="A483" s="7" t="n">
        <v>639601</v>
      </c>
      <c r="B483" s="10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1" t="n">
        <v>1</v>
      </c>
      <c r="G483" s="11" t="n">
        <v>1</v>
      </c>
      <c r="H483" s="8" t="n">
        <v>16.45</v>
      </c>
      <c r="I483" s="8" t="n">
        <v>16.45</v>
      </c>
      <c r="J483" s="8" t="n"/>
      <c r="K483" s="7" t="inlineStr">
        <is>
          <t>SEM COTAÇÃO</t>
        </is>
      </c>
      <c r="L483" s="8" t="n"/>
      <c r="M483" s="12" t="n"/>
      <c r="N483" s="7" t="inlineStr"/>
      <c r="O483" s="7" t="inlineStr"/>
    </row>
    <row r="484">
      <c r="A484" s="7" t="n">
        <v>639611</v>
      </c>
      <c r="B484" s="10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1" t="n">
        <v>1</v>
      </c>
      <c r="G484" s="11" t="n">
        <v>1</v>
      </c>
      <c r="H484" s="8" t="n">
        <v>27.76</v>
      </c>
      <c r="I484" s="8" t="n">
        <v>27.76</v>
      </c>
      <c r="J484" s="8" t="n"/>
      <c r="K484" s="7" t="inlineStr">
        <is>
          <t>SEM COTAÇÃO</t>
        </is>
      </c>
      <c r="L484" s="8" t="n"/>
      <c r="M484" s="12" t="n"/>
      <c r="N484" s="7" t="inlineStr"/>
      <c r="O484" s="7" t="inlineStr"/>
    </row>
    <row r="485">
      <c r="A485" s="7" t="n">
        <v>639621</v>
      </c>
      <c r="B485" s="10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1" t="n">
        <v>1</v>
      </c>
      <c r="G485" s="11" t="n">
        <v>1</v>
      </c>
      <c r="H485" s="8" t="n">
        <v>27.76</v>
      </c>
      <c r="I485" s="8" t="n">
        <v>27.76</v>
      </c>
      <c r="J485" s="8" t="n"/>
      <c r="K485" s="7" t="inlineStr">
        <is>
          <t>SEM COTAÇÃO</t>
        </is>
      </c>
      <c r="L485" s="8" t="n"/>
      <c r="M485" s="12" t="n"/>
      <c r="N485" s="7" t="inlineStr"/>
      <c r="O485" s="7" t="inlineStr"/>
    </row>
    <row r="486">
      <c r="A486" s="7" t="n">
        <v>639631</v>
      </c>
      <c r="B486" s="10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1" t="n">
        <v>1</v>
      </c>
      <c r="G486" s="11" t="n">
        <v>1</v>
      </c>
      <c r="H486" s="8" t="n">
        <v>27.76</v>
      </c>
      <c r="I486" s="8" t="n">
        <v>27.76</v>
      </c>
      <c r="J486" s="8" t="n"/>
      <c r="K486" s="7" t="inlineStr">
        <is>
          <t>SEM COTAÇÃO</t>
        </is>
      </c>
      <c r="L486" s="8" t="n"/>
      <c r="M486" s="12" t="n"/>
      <c r="N486" s="7" t="inlineStr"/>
      <c r="O486" s="7" t="inlineStr"/>
    </row>
    <row r="487">
      <c r="A487" s="7" t="n">
        <v>639641</v>
      </c>
      <c r="B487" s="10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1" t="n">
        <v>1</v>
      </c>
      <c r="G487" s="11" t="n">
        <v>1</v>
      </c>
      <c r="H487" s="8" t="n">
        <v>26.45</v>
      </c>
      <c r="I487" s="8" t="n">
        <v>26.45</v>
      </c>
      <c r="J487" s="8" t="n"/>
      <c r="K487" s="7" t="inlineStr">
        <is>
          <t>SEM COTAÇÃO</t>
        </is>
      </c>
      <c r="L487" s="8" t="n"/>
      <c r="M487" s="12" t="n"/>
      <c r="N487" s="7" t="inlineStr"/>
      <c r="O487" s="7" t="inlineStr"/>
    </row>
    <row r="488">
      <c r="A488" s="7" t="n">
        <v>639651</v>
      </c>
      <c r="B488" s="10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1" t="n">
        <v>1</v>
      </c>
      <c r="G488" s="11" t="n">
        <v>1</v>
      </c>
      <c r="H488" s="8" t="n">
        <v>19.49</v>
      </c>
      <c r="I488" s="8" t="n">
        <v>19.49</v>
      </c>
      <c r="J488" s="8" t="n"/>
      <c r="K488" s="7" t="inlineStr">
        <is>
          <t>SEM COTAÇÃO</t>
        </is>
      </c>
      <c r="L488" s="8" t="n"/>
      <c r="M488" s="12" t="n"/>
      <c r="N488" s="7" t="inlineStr"/>
      <c r="O488" s="7" t="inlineStr"/>
    </row>
    <row r="489">
      <c r="A489" s="7" t="n">
        <v>639661</v>
      </c>
      <c r="B489" s="10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1" t="n">
        <v>1</v>
      </c>
      <c r="G489" s="11" t="n">
        <v>1</v>
      </c>
      <c r="H489" s="8" t="n">
        <v>19.49</v>
      </c>
      <c r="I489" s="8" t="n">
        <v>19.49</v>
      </c>
      <c r="J489" s="8" t="n"/>
      <c r="K489" s="7" t="inlineStr">
        <is>
          <t>SEM COTAÇÃO</t>
        </is>
      </c>
      <c r="L489" s="8" t="n"/>
      <c r="M489" s="12" t="n"/>
      <c r="N489" s="7" t="inlineStr"/>
      <c r="O489" s="7" t="inlineStr"/>
    </row>
    <row r="490">
      <c r="A490" s="7" t="n">
        <v>639671</v>
      </c>
      <c r="B490" s="10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1" t="n">
        <v>1</v>
      </c>
      <c r="G490" s="11" t="n">
        <v>1</v>
      </c>
      <c r="H490" s="8" t="n">
        <v>33.22</v>
      </c>
      <c r="I490" s="8" t="n">
        <v>33.22</v>
      </c>
      <c r="J490" s="8" t="n"/>
      <c r="K490" s="7" t="inlineStr">
        <is>
          <t>SEM COTAÇÃO</t>
        </is>
      </c>
      <c r="L490" s="8" t="n"/>
      <c r="M490" s="12" t="n"/>
      <c r="N490" s="7" t="inlineStr"/>
      <c r="O490" s="7" t="inlineStr"/>
    </row>
    <row r="491">
      <c r="A491" s="7" t="n">
        <v>639681</v>
      </c>
      <c r="B491" s="10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1" t="n">
        <v>1</v>
      </c>
      <c r="G491" s="11" t="n">
        <v>1</v>
      </c>
      <c r="H491" s="8" t="n">
        <v>29.03</v>
      </c>
      <c r="I491" s="8" t="n">
        <v>29.03</v>
      </c>
      <c r="J491" s="8" t="n"/>
      <c r="K491" s="7" t="inlineStr">
        <is>
          <t>SEM COTAÇÃO</t>
        </is>
      </c>
      <c r="L491" s="8" t="n"/>
      <c r="M491" s="12" t="n"/>
      <c r="N491" s="7" t="inlineStr"/>
      <c r="O491" s="7" t="inlineStr"/>
    </row>
    <row r="492">
      <c r="A492" s="7" t="n">
        <v>639691</v>
      </c>
      <c r="B492" s="10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1" t="n">
        <v>1</v>
      </c>
      <c r="G492" s="11" t="n">
        <v>1</v>
      </c>
      <c r="H492" s="8" t="n">
        <v>29.03</v>
      </c>
      <c r="I492" s="8" t="n">
        <v>29.03</v>
      </c>
      <c r="J492" s="8" t="n"/>
      <c r="K492" s="7" t="inlineStr">
        <is>
          <t>SEM COTAÇÃO</t>
        </is>
      </c>
      <c r="L492" s="8" t="n"/>
      <c r="M492" s="12" t="n"/>
      <c r="N492" s="7" t="inlineStr"/>
      <c r="O492" s="7" t="inlineStr"/>
    </row>
    <row r="493">
      <c r="A493" s="7" t="n">
        <v>639701</v>
      </c>
      <c r="B493" s="10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1" t="n">
        <v>2</v>
      </c>
      <c r="G493" s="11" t="n">
        <v>2</v>
      </c>
      <c r="H493" s="8" t="n">
        <v>89.05</v>
      </c>
      <c r="I493" s="8" t="n">
        <v>89.05</v>
      </c>
      <c r="J493" s="8" t="n"/>
      <c r="K493" s="7" t="inlineStr">
        <is>
          <t>SEM COTAÇÃO</t>
        </is>
      </c>
      <c r="L493" s="8" t="n"/>
      <c r="M493" s="12" t="n"/>
      <c r="N493" s="7" t="inlineStr"/>
      <c r="O493" s="7" t="inlineStr"/>
    </row>
    <row r="494">
      <c r="A494" s="7" t="n">
        <v>639711</v>
      </c>
      <c r="B494" s="10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1" t="n">
        <v>1</v>
      </c>
      <c r="G494" s="11" t="n">
        <v>1</v>
      </c>
      <c r="H494" s="8" t="n">
        <v>89.05</v>
      </c>
      <c r="I494" s="8" t="n">
        <v>89.05</v>
      </c>
      <c r="J494" s="8" t="n"/>
      <c r="K494" s="7" t="inlineStr">
        <is>
          <t>SEM COTAÇÃO</t>
        </is>
      </c>
      <c r="L494" s="8" t="n"/>
      <c r="M494" s="12" t="n"/>
      <c r="N494" s="7" t="inlineStr"/>
      <c r="O494" s="7" t="inlineStr"/>
    </row>
    <row r="495">
      <c r="A495" s="7" t="n">
        <v>597661</v>
      </c>
      <c r="B495" s="10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1" t="n">
        <v>1</v>
      </c>
      <c r="G495" s="11" t="n">
        <v>1</v>
      </c>
      <c r="H495" s="8" t="n">
        <v>26.95</v>
      </c>
      <c r="I495" s="8" t="n">
        <v>26.68</v>
      </c>
      <c r="J495" s="8" t="n"/>
      <c r="K495" s="7" t="inlineStr">
        <is>
          <t>SEM COTAÇÃO</t>
        </is>
      </c>
      <c r="L495" s="8" t="n"/>
      <c r="M495" s="12" t="n"/>
      <c r="N495" s="7" t="inlineStr"/>
      <c r="O495" s="7" t="inlineStr"/>
    </row>
    <row r="496">
      <c r="A496" s="7" t="n">
        <v>9703</v>
      </c>
      <c r="B496" s="10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1" t="n">
        <v>1</v>
      </c>
      <c r="G496" s="11" t="n">
        <v>1</v>
      </c>
      <c r="H496" s="8" t="n">
        <v>48.7</v>
      </c>
      <c r="I496" s="8" t="n">
        <v>42.64</v>
      </c>
      <c r="J496" s="8" t="n"/>
      <c r="K496" s="7" t="inlineStr">
        <is>
          <t>SEM COTAÇÃO</t>
        </is>
      </c>
      <c r="L496" s="8" t="n"/>
      <c r="M496" s="12" t="n"/>
      <c r="N496" s="7" t="inlineStr"/>
      <c r="O496" s="7" t="inlineStr"/>
    </row>
    <row r="497">
      <c r="A497" s="7" t="n">
        <v>613321</v>
      </c>
      <c r="B497" s="10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1" t="n">
        <v>53</v>
      </c>
      <c r="G497" s="11" t="n">
        <v>53</v>
      </c>
      <c r="H497" s="8" t="n">
        <v>2.7667</v>
      </c>
      <c r="I497" s="8" t="n">
        <v>2.59</v>
      </c>
      <c r="J497" s="8" t="n"/>
      <c r="K497" s="7" t="inlineStr">
        <is>
          <t>SEM COTAÇÃO</t>
        </is>
      </c>
      <c r="L497" s="8" t="n"/>
      <c r="M497" s="12" t="n"/>
      <c r="N497" s="7" t="inlineStr"/>
      <c r="O497" s="7" t="inlineStr"/>
    </row>
    <row r="498">
      <c r="A498" s="7" t="n">
        <v>559121</v>
      </c>
      <c r="B498" s="10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1" t="n">
        <v>4</v>
      </c>
      <c r="G498" s="11" t="n">
        <v>4</v>
      </c>
      <c r="H498" s="8" t="n">
        <v>8.85</v>
      </c>
      <c r="I498" s="8" t="n">
        <v>8.85</v>
      </c>
      <c r="J498" s="8" t="n"/>
      <c r="K498" s="7" t="inlineStr">
        <is>
          <t>SEM COTAÇÃO</t>
        </is>
      </c>
      <c r="L498" s="8" t="n"/>
      <c r="M498" s="12" t="n"/>
      <c r="N498" s="7" t="inlineStr"/>
      <c r="O498" s="7" t="inlineStr"/>
    </row>
    <row r="499">
      <c r="A499" s="7" t="n">
        <v>590381</v>
      </c>
      <c r="B499" s="10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1" t="n">
        <v>19</v>
      </c>
      <c r="G499" s="11" t="n">
        <v>19</v>
      </c>
      <c r="H499" s="8" t="n">
        <v>2.045</v>
      </c>
      <c r="I499" s="8" t="n">
        <v>1.7841</v>
      </c>
      <c r="J499" s="8" t="n"/>
      <c r="K499" s="7" t="inlineStr">
        <is>
          <t>SEM COTAÇÃO</t>
        </is>
      </c>
      <c r="L499" s="8" t="n"/>
      <c r="M499" s="12" t="n"/>
      <c r="N499" s="7" t="inlineStr"/>
      <c r="O499" s="7" t="inlineStr"/>
    </row>
    <row r="500">
      <c r="A500" s="7" t="n">
        <v>596541</v>
      </c>
      <c r="B500" s="10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1" t="n">
        <v>1</v>
      </c>
      <c r="G500" s="11" t="n">
        <v>1</v>
      </c>
      <c r="H500" s="8" t="n">
        <v>32.8</v>
      </c>
      <c r="I500" s="8" t="n">
        <v>30.2</v>
      </c>
      <c r="J500" s="8" t="n"/>
      <c r="K500" s="7" t="inlineStr">
        <is>
          <t>SEM COTAÇÃO</t>
        </is>
      </c>
      <c r="L500" s="8" t="n"/>
      <c r="M500" s="12" t="n"/>
      <c r="N500" s="7" t="inlineStr"/>
      <c r="O500" s="7" t="inlineStr"/>
    </row>
    <row r="501">
      <c r="A501" s="7" t="n">
        <v>351581</v>
      </c>
      <c r="B501" s="10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1" t="n">
        <v>2</v>
      </c>
      <c r="G501" s="11" t="n">
        <v>2</v>
      </c>
      <c r="H501" s="8" t="n">
        <v>4.96</v>
      </c>
      <c r="I501" s="8" t="n">
        <v>4.96</v>
      </c>
      <c r="J501" s="8" t="n"/>
      <c r="K501" s="7" t="inlineStr">
        <is>
          <t>SEM COTAÇÃO</t>
        </is>
      </c>
      <c r="L501" s="8" t="n"/>
      <c r="M501" s="12" t="n"/>
      <c r="N501" s="7" t="inlineStr"/>
      <c r="O501" s="7" t="inlineStr"/>
    </row>
    <row r="502">
      <c r="A502" s="7" t="n">
        <v>446981</v>
      </c>
      <c r="B502" s="10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1" t="n">
        <v>2</v>
      </c>
      <c r="G502" s="11" t="n">
        <v>2</v>
      </c>
      <c r="H502" s="8" t="n">
        <v>5.42</v>
      </c>
      <c r="I502" s="8" t="n">
        <v>5.42</v>
      </c>
      <c r="J502" s="13" t="n">
        <v>6.3</v>
      </c>
      <c r="K502" s="7" t="inlineStr">
        <is>
          <t>DIMEC</t>
        </is>
      </c>
      <c r="L502" s="8" t="n">
        <v>6.3</v>
      </c>
      <c r="M502" s="12">
        <f>L502/H502-1</f>
        <v/>
      </c>
      <c r="N502" s="14" t="inlineStr">
        <is>
          <t>ACIMA +16.2%</t>
        </is>
      </c>
      <c r="O502" s="7" t="inlineStr"/>
    </row>
    <row r="503">
      <c r="A503" s="7" t="n">
        <v>470461</v>
      </c>
      <c r="B503" s="10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1" t="n">
        <v>14</v>
      </c>
      <c r="G503" s="11" t="n">
        <v>14</v>
      </c>
      <c r="H503" s="8" t="n">
        <v>5.7</v>
      </c>
      <c r="I503" s="8" t="n">
        <v>5.7</v>
      </c>
      <c r="J503" s="8" t="n"/>
      <c r="K503" s="7" t="inlineStr">
        <is>
          <t>SEM COTAÇÃO</t>
        </is>
      </c>
      <c r="L503" s="8" t="n"/>
      <c r="M503" s="12" t="n"/>
      <c r="N503" s="7" t="inlineStr"/>
      <c r="O503" s="7" t="inlineStr"/>
    </row>
    <row r="504">
      <c r="A504" s="7" t="n">
        <v>212581</v>
      </c>
      <c r="B504" s="10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1" t="n">
        <v>2</v>
      </c>
      <c r="G504" s="11" t="n">
        <v>2</v>
      </c>
      <c r="H504" s="8" t="n">
        <v>5.53</v>
      </c>
      <c r="I504" s="8" t="n">
        <v>5.53</v>
      </c>
      <c r="J504" s="8" t="n"/>
      <c r="K504" s="7" t="inlineStr">
        <is>
          <t>SEM COTAÇÃO</t>
        </is>
      </c>
      <c r="L504" s="8" t="n"/>
      <c r="M504" s="12" t="n"/>
      <c r="N504" s="7" t="inlineStr"/>
      <c r="O504" s="7" t="inlineStr"/>
    </row>
    <row r="505">
      <c r="A505" s="7" t="n">
        <v>212561</v>
      </c>
      <c r="B505" s="10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1" t="n">
        <v>2</v>
      </c>
      <c r="G505" s="11" t="n">
        <v>2</v>
      </c>
      <c r="H505" s="8" t="n">
        <v>1.62</v>
      </c>
      <c r="I505" s="8" t="n">
        <v>1.62</v>
      </c>
      <c r="J505" s="13" t="n">
        <v>1.78</v>
      </c>
      <c r="K505" s="7" t="inlineStr">
        <is>
          <t>DIMEC</t>
        </is>
      </c>
      <c r="L505" s="8" t="n">
        <v>1.78</v>
      </c>
      <c r="M505" s="12">
        <f>L505/H505-1</f>
        <v/>
      </c>
      <c r="N505" s="14" t="inlineStr">
        <is>
          <t>ACIMA +9.9%</t>
        </is>
      </c>
      <c r="O505" s="7" t="inlineStr"/>
    </row>
    <row r="506">
      <c r="A506" s="7" t="n">
        <v>629261</v>
      </c>
      <c r="B506" s="10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1" t="n">
        <v>1</v>
      </c>
      <c r="G506" s="11" t="n">
        <v>1</v>
      </c>
      <c r="H506" s="8" t="n">
        <v>6.99</v>
      </c>
      <c r="I506" s="8" t="n">
        <v>6.99</v>
      </c>
      <c r="J506" s="8" t="n"/>
      <c r="K506" s="7" t="inlineStr">
        <is>
          <t>SEM COTAÇÃO</t>
        </is>
      </c>
      <c r="L506" s="8" t="n"/>
      <c r="M506" s="12" t="n"/>
      <c r="N506" s="7" t="inlineStr"/>
      <c r="O506" s="7" t="inlineStr"/>
    </row>
    <row r="507">
      <c r="A507" s="7" t="n">
        <v>337401</v>
      </c>
      <c r="B507" s="10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1" t="n">
        <v>12</v>
      </c>
      <c r="G507" s="11" t="n">
        <v>12</v>
      </c>
      <c r="H507" s="8" t="n">
        <v>2.41</v>
      </c>
      <c r="I507" s="8" t="n">
        <v>1.55</v>
      </c>
      <c r="J507" s="8" t="n"/>
      <c r="K507" s="7" t="inlineStr">
        <is>
          <t>SEM COTAÇÃO</t>
        </is>
      </c>
      <c r="L507" s="8" t="n"/>
      <c r="M507" s="12" t="n"/>
      <c r="N507" s="7" t="inlineStr"/>
      <c r="O507" s="7" t="inlineStr"/>
    </row>
    <row r="508">
      <c r="A508" s="7" t="n">
        <v>337421</v>
      </c>
      <c r="B508" s="10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1" t="n">
        <v>1</v>
      </c>
      <c r="G508" s="11" t="n">
        <v>1</v>
      </c>
      <c r="H508" s="8" t="n">
        <v>2.63</v>
      </c>
      <c r="I508" s="8" t="n">
        <v>2.22</v>
      </c>
      <c r="J508" s="8" t="n"/>
      <c r="K508" s="7" t="inlineStr">
        <is>
          <t>SEM COTAÇÃO</t>
        </is>
      </c>
      <c r="L508" s="8" t="n"/>
      <c r="M508" s="12" t="n"/>
      <c r="N508" s="7" t="inlineStr"/>
      <c r="O508" s="7" t="inlineStr"/>
    </row>
    <row r="509">
      <c r="A509" s="7" t="n">
        <v>618981</v>
      </c>
      <c r="B509" s="10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1" t="n">
        <v>7</v>
      </c>
      <c r="G509" s="11" t="n">
        <v>7</v>
      </c>
      <c r="H509" s="8" t="n">
        <v>5.76</v>
      </c>
      <c r="I509" s="8" t="n">
        <v>5.76</v>
      </c>
      <c r="J509" s="8" t="n"/>
      <c r="K509" s="7" t="inlineStr">
        <is>
          <t>SEM COTAÇÃO</t>
        </is>
      </c>
      <c r="L509" s="8" t="n"/>
      <c r="M509" s="12" t="n"/>
      <c r="N509" s="7" t="inlineStr"/>
      <c r="O509" s="7" t="inlineStr"/>
    </row>
    <row r="510">
      <c r="A510" s="7" t="n">
        <v>648211</v>
      </c>
      <c r="B510" s="10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1" t="n">
        <v>9</v>
      </c>
      <c r="G510" s="11" t="n">
        <v>9</v>
      </c>
      <c r="H510" s="8" t="n">
        <v>3.56</v>
      </c>
      <c r="I510" s="8" t="n">
        <v>3</v>
      </c>
      <c r="J510" s="8" t="n"/>
      <c r="K510" s="7" t="inlineStr">
        <is>
          <t>SEM COTAÇÃO</t>
        </is>
      </c>
      <c r="L510" s="8" t="n"/>
      <c r="M510" s="12" t="n"/>
      <c r="N510" s="7" t="inlineStr"/>
      <c r="O510" s="7" t="inlineStr"/>
    </row>
    <row r="511">
      <c r="A511" s="7" t="n">
        <v>114701</v>
      </c>
      <c r="B511" s="10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1" t="n">
        <v>1</v>
      </c>
      <c r="G511" s="11" t="n">
        <v>9</v>
      </c>
      <c r="H511" s="8" t="n">
        <v>10.6191</v>
      </c>
      <c r="I511" s="8" t="n">
        <v>10.1792</v>
      </c>
      <c r="J511" s="8" t="n"/>
      <c r="K511" s="7" t="inlineStr">
        <is>
          <t>SEM COTAÇÃO</t>
        </is>
      </c>
      <c r="L511" s="8" t="n"/>
      <c r="M511" s="12" t="n"/>
      <c r="N511" s="7" t="inlineStr"/>
      <c r="O511" s="7" t="inlineStr"/>
    </row>
    <row r="512">
      <c r="A512" s="7" t="n">
        <v>497121</v>
      </c>
      <c r="B512" s="10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1" t="n">
        <v>3</v>
      </c>
      <c r="G512" s="11" t="n">
        <v>3</v>
      </c>
      <c r="H512" s="8" t="n">
        <v>9.5167</v>
      </c>
      <c r="I512" s="8" t="n">
        <v>9.5167</v>
      </c>
      <c r="J512" s="8" t="n"/>
      <c r="K512" s="7" t="inlineStr">
        <is>
          <t>SEM COTAÇÃO</t>
        </is>
      </c>
      <c r="L512" s="8" t="n"/>
      <c r="M512" s="12" t="n"/>
      <c r="N512" s="7" t="inlineStr"/>
      <c r="O512" s="7" t="inlineStr"/>
    </row>
    <row r="513">
      <c r="A513" s="7" t="n">
        <v>114681</v>
      </c>
      <c r="B513" s="10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1" t="n">
        <v>1</v>
      </c>
      <c r="G513" s="11" t="n">
        <v>1</v>
      </c>
      <c r="H513" s="8" t="n">
        <v>24.88</v>
      </c>
      <c r="I513" s="8" t="n">
        <v>24.88</v>
      </c>
      <c r="J513" s="8" t="n"/>
      <c r="K513" s="7" t="inlineStr">
        <is>
          <t>SEM COTAÇÃO</t>
        </is>
      </c>
      <c r="L513" s="8" t="n"/>
      <c r="M513" s="12" t="n"/>
      <c r="N513" s="7" t="inlineStr"/>
      <c r="O513" s="7" t="inlineStr"/>
    </row>
    <row r="514">
      <c r="A514" s="7" t="n">
        <v>470701</v>
      </c>
      <c r="B514" s="10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1" t="n">
        <v>9</v>
      </c>
      <c r="G514" s="11" t="n">
        <v>9</v>
      </c>
      <c r="H514" s="8" t="n">
        <v>5.33</v>
      </c>
      <c r="I514" s="8" t="n">
        <v>5.19</v>
      </c>
      <c r="J514" s="8" t="n"/>
      <c r="K514" s="7" t="inlineStr">
        <is>
          <t>SEM COTAÇÃO</t>
        </is>
      </c>
      <c r="L514" s="8" t="n"/>
      <c r="M514" s="12" t="n"/>
      <c r="N514" s="7" t="inlineStr"/>
      <c r="O514" s="7" t="inlineStr"/>
    </row>
    <row r="515">
      <c r="A515" s="7" t="n">
        <v>180661</v>
      </c>
      <c r="B515" s="10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1" t="n">
        <v>2</v>
      </c>
      <c r="G515" s="11" t="n">
        <v>2</v>
      </c>
      <c r="H515" s="8" t="n">
        <v>25.98</v>
      </c>
      <c r="I515" s="8" t="n">
        <v>24.1833</v>
      </c>
      <c r="J515" s="8" t="n"/>
      <c r="K515" s="7" t="inlineStr">
        <is>
          <t>SEM COTAÇÃO</t>
        </is>
      </c>
      <c r="L515" s="8" t="n"/>
      <c r="M515" s="12" t="n"/>
      <c r="N515" s="7" t="inlineStr"/>
      <c r="O515" s="7" t="inlineStr"/>
    </row>
    <row r="516">
      <c r="A516" s="7" t="n">
        <v>210461</v>
      </c>
      <c r="B516" s="10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1" t="n">
        <v>31</v>
      </c>
      <c r="G516" s="11" t="n">
        <v>31</v>
      </c>
      <c r="H516" s="8" t="n">
        <v>2.34</v>
      </c>
      <c r="I516" s="8" t="n">
        <v>2.34</v>
      </c>
      <c r="J516" s="13" t="n">
        <v>2.34</v>
      </c>
      <c r="K516" s="7" t="inlineStr">
        <is>
          <t>DIMEC</t>
        </is>
      </c>
      <c r="L516" s="8" t="n">
        <v>2.34</v>
      </c>
      <c r="M516" s="12">
        <f>L516/H516-1</f>
        <v/>
      </c>
      <c r="N516" s="15" t="inlineStr">
        <is>
          <t>OK (≤ menor hist.)</t>
        </is>
      </c>
      <c r="O516" s="7" t="inlineStr"/>
    </row>
    <row r="517">
      <c r="A517" s="7" t="n">
        <v>54421</v>
      </c>
      <c r="B517" s="10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1" t="n">
        <v>4</v>
      </c>
      <c r="G517" s="11" t="n">
        <v>4</v>
      </c>
      <c r="H517" s="8" t="n">
        <v>76.89</v>
      </c>
      <c r="I517" s="8" t="n">
        <v>68.45999999999999</v>
      </c>
      <c r="J517" s="8" t="n"/>
      <c r="K517" s="7" t="inlineStr">
        <is>
          <t>SEM COTAÇÃO</t>
        </is>
      </c>
      <c r="L517" s="8" t="n"/>
      <c r="M517" s="12" t="n"/>
      <c r="N517" s="7" t="inlineStr"/>
      <c r="O517" s="7" t="inlineStr"/>
    </row>
    <row r="518">
      <c r="A518" s="7" t="n">
        <v>49061</v>
      </c>
      <c r="B518" s="10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1" t="n">
        <v>3</v>
      </c>
      <c r="G518" s="11" t="n">
        <v>3</v>
      </c>
      <c r="H518" s="8" t="n">
        <v>15.69</v>
      </c>
      <c r="I518" s="8" t="n">
        <v>14.3625</v>
      </c>
      <c r="J518" s="8" t="n"/>
      <c r="K518" s="7" t="inlineStr">
        <is>
          <t>SEM COTAÇÃO</t>
        </is>
      </c>
      <c r="L518" s="8" t="n"/>
      <c r="M518" s="12" t="n"/>
      <c r="N518" s="7" t="inlineStr"/>
      <c r="O518" s="7" t="inlineStr"/>
    </row>
    <row r="519">
      <c r="A519" s="7" t="n">
        <v>527641</v>
      </c>
      <c r="B519" s="10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1" t="n">
        <v>1</v>
      </c>
      <c r="G519" s="11" t="n">
        <v>1</v>
      </c>
      <c r="H519" s="8" t="n">
        <v>6.32</v>
      </c>
      <c r="I519" s="8" t="n">
        <v>6.32</v>
      </c>
      <c r="J519" s="8" t="n"/>
      <c r="K519" s="7" t="inlineStr">
        <is>
          <t>SEM COTAÇÃO</t>
        </is>
      </c>
      <c r="L519" s="8" t="n"/>
      <c r="M519" s="12" t="n"/>
      <c r="N519" s="7" t="inlineStr"/>
      <c r="O519" s="7" t="inlineStr"/>
    </row>
    <row r="520">
      <c r="A520" s="7" t="n">
        <v>49701</v>
      </c>
      <c r="B520" s="10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1" t="n">
        <v>4</v>
      </c>
      <c r="G520" s="11" t="n">
        <v>4</v>
      </c>
      <c r="H520" s="8" t="n">
        <v>5.33</v>
      </c>
      <c r="I520" s="8" t="n">
        <v>5.33</v>
      </c>
      <c r="J520" s="8" t="n"/>
      <c r="K520" s="7" t="inlineStr">
        <is>
          <t>SEM COTAÇÃO</t>
        </is>
      </c>
      <c r="L520" s="8" t="n"/>
      <c r="M520" s="12" t="n"/>
      <c r="N520" s="7" t="inlineStr"/>
      <c r="O520" s="7" t="inlineStr"/>
    </row>
    <row r="521">
      <c r="A521" s="7" t="n">
        <v>49581</v>
      </c>
      <c r="B521" s="10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1" t="n">
        <v>1</v>
      </c>
      <c r="G521" s="11" t="n">
        <v>1</v>
      </c>
      <c r="H521" s="8" t="n">
        <v>6.59</v>
      </c>
      <c r="I521" s="8" t="n">
        <v>6.59</v>
      </c>
      <c r="J521" s="13" t="n">
        <v>6.59</v>
      </c>
      <c r="K521" s="7" t="inlineStr">
        <is>
          <t>DIMEC</t>
        </is>
      </c>
      <c r="L521" s="8" t="n">
        <v>6.59</v>
      </c>
      <c r="M521" s="12">
        <f>L521/H521-1</f>
        <v/>
      </c>
      <c r="N521" s="15" t="inlineStr">
        <is>
          <t>OK (≤ menor hist.)</t>
        </is>
      </c>
      <c r="O521" s="7" t="inlineStr"/>
    </row>
    <row r="522">
      <c r="A522" s="7" t="n">
        <v>50061</v>
      </c>
      <c r="B522" s="10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1" t="n">
        <v>10</v>
      </c>
      <c r="G522" s="11" t="n">
        <v>10</v>
      </c>
      <c r="H522" s="8" t="n">
        <v>8.84</v>
      </c>
      <c r="I522" s="8" t="n">
        <v>8.84</v>
      </c>
      <c r="J522" s="13" t="n">
        <v>9.83</v>
      </c>
      <c r="K522" s="7" t="inlineStr">
        <is>
          <t>DIMEC</t>
        </is>
      </c>
      <c r="L522" s="8" t="n">
        <v>9.83</v>
      </c>
      <c r="M522" s="12">
        <f>L522/H522-1</f>
        <v/>
      </c>
      <c r="N522" s="14" t="inlineStr">
        <is>
          <t>ACIMA +11.2%</t>
        </is>
      </c>
      <c r="O522" s="7" t="inlineStr"/>
    </row>
    <row r="523">
      <c r="A523" s="7" t="n">
        <v>588821</v>
      </c>
      <c r="B523" s="10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1" t="n">
        <v>13</v>
      </c>
      <c r="G523" s="11" t="n">
        <v>13</v>
      </c>
      <c r="H523" s="8" t="n">
        <v>14.36</v>
      </c>
      <c r="I523" s="8" t="n">
        <v>12.9012</v>
      </c>
      <c r="J523" s="8" t="n"/>
      <c r="K523" s="7" t="inlineStr">
        <is>
          <t>SEM COTAÇÃO</t>
        </is>
      </c>
      <c r="L523" s="8" t="n"/>
      <c r="M523" s="12" t="n"/>
      <c r="N523" s="7" t="inlineStr"/>
      <c r="O523" s="7" t="inlineStr"/>
    </row>
    <row r="524">
      <c r="A524" s="7" t="n">
        <v>550701</v>
      </c>
      <c r="B524" s="10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1" t="n">
        <v>5</v>
      </c>
      <c r="G524" s="11" t="n">
        <v>5</v>
      </c>
      <c r="H524" s="8" t="n">
        <v>23.83</v>
      </c>
      <c r="I524" s="8" t="n">
        <v>23.4233</v>
      </c>
      <c r="J524" s="8" t="n"/>
      <c r="K524" s="7" t="inlineStr">
        <is>
          <t>SEM COTAÇÃO</t>
        </is>
      </c>
      <c r="L524" s="8" t="n"/>
      <c r="M524" s="12" t="n"/>
      <c r="N524" s="7" t="inlineStr"/>
      <c r="O524" s="7" t="inlineStr"/>
    </row>
    <row r="525">
      <c r="A525" s="7" t="n">
        <v>666671</v>
      </c>
      <c r="B525" s="10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1" t="n">
        <v>1</v>
      </c>
      <c r="G525" s="11" t="n">
        <v>1</v>
      </c>
      <c r="H525" s="8" t="n">
        <v>59.3</v>
      </c>
      <c r="I525" s="8" t="n">
        <v>59.3</v>
      </c>
      <c r="J525" s="8" t="n"/>
      <c r="K525" s="7" t="inlineStr">
        <is>
          <t>SEM COTAÇÃO</t>
        </is>
      </c>
      <c r="L525" s="8" t="n"/>
      <c r="M525" s="12" t="n"/>
      <c r="N525" s="7" t="inlineStr"/>
      <c r="O525" s="7" t="inlineStr"/>
    </row>
    <row r="526">
      <c r="A526" s="7" t="n">
        <v>632681</v>
      </c>
      <c r="B526" s="10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1" t="n">
        <v>1</v>
      </c>
      <c r="G526" s="11" t="n">
        <v>1</v>
      </c>
      <c r="H526" s="8" t="n">
        <v>30.24</v>
      </c>
      <c r="I526" s="8" t="n">
        <v>28.6</v>
      </c>
      <c r="J526" s="8" t="n"/>
      <c r="K526" s="7" t="inlineStr">
        <is>
          <t>SEM COTAÇÃO</t>
        </is>
      </c>
      <c r="L526" s="8" t="n"/>
      <c r="M526" s="12" t="n"/>
      <c r="N526" s="7" t="inlineStr"/>
      <c r="O526" s="7" t="inlineStr"/>
    </row>
    <row r="527">
      <c r="A527" s="7" t="n">
        <v>666701</v>
      </c>
      <c r="B527" s="10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1" t="n">
        <v>2</v>
      </c>
      <c r="G527" s="11" t="n">
        <v>2</v>
      </c>
      <c r="H527" s="8" t="n">
        <v>15.26</v>
      </c>
      <c r="I527" s="8" t="n">
        <v>13.89</v>
      </c>
      <c r="J527" s="8" t="n"/>
      <c r="K527" s="7" t="inlineStr">
        <is>
          <t>SEM COTAÇÃO</t>
        </is>
      </c>
      <c r="L527" s="8" t="n"/>
      <c r="M527" s="12" t="n"/>
      <c r="N527" s="7" t="inlineStr"/>
      <c r="O527" s="7" t="inlineStr"/>
    </row>
    <row r="528">
      <c r="A528" s="7" t="n">
        <v>666691</v>
      </c>
      <c r="B528" s="10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1" t="n">
        <v>2</v>
      </c>
      <c r="G528" s="11" t="n">
        <v>2</v>
      </c>
      <c r="H528" s="8" t="n">
        <v>26.77</v>
      </c>
      <c r="I528" s="8" t="n">
        <v>22.445</v>
      </c>
      <c r="J528" s="8" t="n"/>
      <c r="K528" s="7" t="inlineStr">
        <is>
          <t>SEM COTAÇÃO</t>
        </is>
      </c>
      <c r="L528" s="8" t="n"/>
      <c r="M528" s="12" t="n"/>
      <c r="N528" s="7" t="inlineStr"/>
      <c r="O528" s="7" t="inlineStr"/>
    </row>
    <row r="529">
      <c r="A529" s="7" t="n">
        <v>208141</v>
      </c>
      <c r="B529" s="10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1" t="n">
        <v>9</v>
      </c>
      <c r="G529" s="11" t="n">
        <v>9</v>
      </c>
      <c r="H529" s="8" t="n">
        <v>6.49</v>
      </c>
      <c r="I529" s="8" t="n">
        <v>6.49</v>
      </c>
      <c r="J529" s="13" t="n">
        <v>7.43</v>
      </c>
      <c r="K529" s="7" t="inlineStr">
        <is>
          <t>DIMEC</t>
        </is>
      </c>
      <c r="L529" s="8" t="n">
        <v>7.43</v>
      </c>
      <c r="M529" s="12">
        <f>L529/H529-1</f>
        <v/>
      </c>
      <c r="N529" s="14" t="inlineStr">
        <is>
          <t>ACIMA +14.5%</t>
        </is>
      </c>
      <c r="O529" s="7" t="inlineStr"/>
    </row>
    <row r="530">
      <c r="A530" s="7" t="n">
        <v>605681</v>
      </c>
      <c r="B530" s="10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1" t="n">
        <v>2</v>
      </c>
      <c r="G530" s="11" t="n">
        <v>2</v>
      </c>
      <c r="H530" s="8" t="n">
        <v>10.64</v>
      </c>
      <c r="I530" s="8" t="n">
        <v>10.64</v>
      </c>
      <c r="J530" s="8" t="n"/>
      <c r="K530" s="7" t="inlineStr">
        <is>
          <t>SEM COTAÇÃO</t>
        </is>
      </c>
      <c r="L530" s="8" t="n"/>
      <c r="M530" s="12" t="n"/>
      <c r="N530" s="7" t="inlineStr"/>
      <c r="O530" s="7" t="inlineStr"/>
    </row>
    <row r="531">
      <c r="A531" s="7" t="n">
        <v>557101</v>
      </c>
      <c r="B531" s="10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1" t="n">
        <v>8</v>
      </c>
      <c r="G531" s="11" t="n">
        <v>8</v>
      </c>
      <c r="H531" s="8" t="n">
        <v>12.55</v>
      </c>
      <c r="I531" s="8" t="n">
        <v>11.59</v>
      </c>
      <c r="J531" s="8" t="n"/>
      <c r="K531" s="7" t="inlineStr">
        <is>
          <t>SEM COTAÇÃO</t>
        </is>
      </c>
      <c r="L531" s="8" t="n"/>
      <c r="M531" s="12" t="n"/>
      <c r="N531" s="7" t="inlineStr"/>
      <c r="O531" s="7" t="inlineStr"/>
    </row>
    <row r="532">
      <c r="A532" s="7" t="n">
        <v>82401</v>
      </c>
      <c r="B532" s="10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1" t="n">
        <v>4</v>
      </c>
      <c r="G532" s="11" t="n">
        <v>4</v>
      </c>
      <c r="H532" s="8" t="n">
        <v>18.3167</v>
      </c>
      <c r="I532" s="8" t="n">
        <v>11.71</v>
      </c>
      <c r="J532" s="8" t="n"/>
      <c r="K532" s="7" t="inlineStr">
        <is>
          <t>SEM COTAÇÃO</t>
        </is>
      </c>
      <c r="L532" s="8" t="n"/>
      <c r="M532" s="12" t="n"/>
      <c r="N532" s="7" t="inlineStr"/>
      <c r="O532" s="7" t="inlineStr"/>
    </row>
    <row r="533">
      <c r="A533" s="7" t="n">
        <v>82381</v>
      </c>
      <c r="B533" s="10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1" t="n">
        <v>1</v>
      </c>
      <c r="G533" s="11" t="n">
        <v>1</v>
      </c>
      <c r="H533" s="8" t="n">
        <v>4.6556</v>
      </c>
      <c r="I533" s="8" t="n">
        <v>3.84</v>
      </c>
      <c r="J533" s="8" t="n"/>
      <c r="K533" s="7" t="inlineStr">
        <is>
          <t>SEM COTAÇÃO</t>
        </is>
      </c>
      <c r="L533" s="8" t="n"/>
      <c r="M533" s="12" t="n"/>
      <c r="N533" s="7" t="inlineStr"/>
      <c r="O533" s="7" t="inlineStr"/>
    </row>
    <row r="534">
      <c r="A534" s="7" t="n">
        <v>52641</v>
      </c>
      <c r="B534" s="10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1" t="n">
        <v>2</v>
      </c>
      <c r="G534" s="11" t="n">
        <v>2</v>
      </c>
      <c r="H534" s="8" t="n">
        <v>2.19</v>
      </c>
      <c r="I534" s="8" t="n">
        <v>2.11</v>
      </c>
      <c r="J534" s="8" t="n"/>
      <c r="K534" s="7" t="inlineStr">
        <is>
          <t>SEM COTAÇÃO</t>
        </is>
      </c>
      <c r="L534" s="8" t="n"/>
      <c r="M534" s="12" t="n"/>
      <c r="N534" s="7" t="inlineStr"/>
      <c r="O534" s="7" t="inlineStr"/>
    </row>
    <row r="535">
      <c r="A535" s="7" t="n">
        <v>50641</v>
      </c>
      <c r="B535" s="10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1" t="n">
        <v>5</v>
      </c>
      <c r="G535" s="11" t="n">
        <v>5</v>
      </c>
      <c r="H535" s="8" t="n">
        <v>1.8254</v>
      </c>
      <c r="I535" s="8" t="n">
        <v>1.8254</v>
      </c>
      <c r="J535" s="8" t="n"/>
      <c r="K535" s="7" t="inlineStr">
        <is>
          <t>SEM COTAÇÃO</t>
        </is>
      </c>
      <c r="L535" s="8" t="n"/>
      <c r="M535" s="12" t="n"/>
      <c r="N535" s="7" t="inlineStr"/>
      <c r="O535" s="7" t="inlineStr"/>
    </row>
    <row r="536">
      <c r="A536" s="7" t="n">
        <v>583821</v>
      </c>
      <c r="B536" s="10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1" t="n">
        <v>105</v>
      </c>
      <c r="G536" s="11" t="n">
        <v>105</v>
      </c>
      <c r="H536" s="8" t="n">
        <v>6.04</v>
      </c>
      <c r="I536" s="8" t="n">
        <v>6.04</v>
      </c>
      <c r="J536" s="8" t="n"/>
      <c r="K536" s="7" t="inlineStr">
        <is>
          <t>SEM COTAÇÃO</t>
        </is>
      </c>
      <c r="L536" s="8" t="n"/>
      <c r="M536" s="12" t="n"/>
      <c r="N536" s="7" t="inlineStr"/>
      <c r="O536" s="7" t="inlineStr"/>
    </row>
    <row r="537">
      <c r="A537" s="7" t="n">
        <v>3763</v>
      </c>
      <c r="B537" s="10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1" t="n">
        <v>6</v>
      </c>
      <c r="G537" s="11" t="n">
        <v>6</v>
      </c>
      <c r="H537" s="8" t="n">
        <v>6.75</v>
      </c>
      <c r="I537" s="8" t="n">
        <v>6.75</v>
      </c>
      <c r="J537" s="8" t="n"/>
      <c r="K537" s="7" t="inlineStr">
        <is>
          <t>SEM COTAÇÃO</t>
        </is>
      </c>
      <c r="L537" s="8" t="n"/>
      <c r="M537" s="12" t="n"/>
      <c r="N537" s="7" t="inlineStr"/>
      <c r="O537" s="7" t="inlineStr"/>
    </row>
    <row r="538">
      <c r="A538" s="7" t="n">
        <v>31103</v>
      </c>
      <c r="B538" s="10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1" t="n">
        <v>9</v>
      </c>
      <c r="G538" s="11" t="n">
        <v>9</v>
      </c>
      <c r="H538" s="8" t="n">
        <v>6.37</v>
      </c>
      <c r="I538" s="8" t="n">
        <v>5.76</v>
      </c>
      <c r="J538" s="8" t="n"/>
      <c r="K538" s="7" t="inlineStr">
        <is>
          <t>SEM COTAÇÃO</t>
        </is>
      </c>
      <c r="L538" s="8" t="n"/>
      <c r="M538" s="12" t="n"/>
      <c r="N538" s="7" t="inlineStr"/>
      <c r="O538" s="7" t="inlineStr"/>
    </row>
    <row r="539">
      <c r="A539" s="7" t="n">
        <v>254101</v>
      </c>
      <c r="B539" s="10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1" t="n">
        <v>70</v>
      </c>
      <c r="G539" s="11" t="n">
        <v>70</v>
      </c>
      <c r="H539" s="8" t="n">
        <v>22.91</v>
      </c>
      <c r="I539" s="8" t="n">
        <v>20.871</v>
      </c>
      <c r="J539" s="8" t="n"/>
      <c r="K539" s="7" t="inlineStr">
        <is>
          <t>SEM COTAÇÃO</t>
        </is>
      </c>
      <c r="L539" s="8" t="n"/>
      <c r="M539" s="12" t="n"/>
      <c r="N539" s="7" t="inlineStr"/>
      <c r="O539" s="7" t="inlineStr"/>
    </row>
    <row r="540">
      <c r="A540" s="7" t="n">
        <v>128081</v>
      </c>
      <c r="B540" s="10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1" t="n">
        <v>3</v>
      </c>
      <c r="G540" s="11" t="n">
        <v>3</v>
      </c>
      <c r="H540" s="8" t="n">
        <v>29.58</v>
      </c>
      <c r="I540" s="8" t="n">
        <v>26.87</v>
      </c>
      <c r="J540" s="8" t="n"/>
      <c r="K540" s="7" t="inlineStr">
        <is>
          <t>SEM COTAÇÃO</t>
        </is>
      </c>
      <c r="L540" s="8" t="n"/>
      <c r="M540" s="12" t="n"/>
      <c r="N540" s="7" t="inlineStr"/>
      <c r="O540" s="7" t="inlineStr"/>
    </row>
    <row r="541">
      <c r="A541" s="7" t="n">
        <v>593551</v>
      </c>
      <c r="B541" s="10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1" t="n">
        <v>2</v>
      </c>
      <c r="G541" s="11" t="n">
        <v>2</v>
      </c>
      <c r="H541" s="8" t="n">
        <v>48.14</v>
      </c>
      <c r="I541" s="8" t="n">
        <v>45.3867</v>
      </c>
      <c r="J541" s="8" t="n"/>
      <c r="K541" s="7" t="inlineStr">
        <is>
          <t>SEM COTAÇÃO</t>
        </is>
      </c>
      <c r="L541" s="8" t="n"/>
      <c r="M541" s="12" t="n"/>
      <c r="N541" s="7" t="inlineStr"/>
      <c r="O541" s="7" t="inlineStr"/>
    </row>
    <row r="542">
      <c r="A542" s="7" t="n">
        <v>538061</v>
      </c>
      <c r="B542" s="10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1" t="n">
        <v>24</v>
      </c>
      <c r="G542" s="11" t="n">
        <v>24</v>
      </c>
      <c r="H542" s="8" t="n">
        <v>3.05</v>
      </c>
      <c r="I542" s="8" t="n">
        <v>3.05</v>
      </c>
      <c r="J542" s="13" t="n">
        <v>3.23</v>
      </c>
      <c r="K542" s="7" t="inlineStr">
        <is>
          <t>DIMEC</t>
        </is>
      </c>
      <c r="L542" s="8" t="n">
        <v>3.23</v>
      </c>
      <c r="M542" s="12">
        <f>L542/H542-1</f>
        <v/>
      </c>
      <c r="N542" s="14" t="inlineStr">
        <is>
          <t>ACIMA +5.9%</t>
        </is>
      </c>
      <c r="O542" s="7" t="inlineStr"/>
    </row>
    <row r="543">
      <c r="A543" s="7" t="n">
        <v>538081</v>
      </c>
      <c r="B543" s="10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1" t="n">
        <v>13</v>
      </c>
      <c r="G543" s="11" t="n">
        <v>13</v>
      </c>
      <c r="H543" s="8" t="n">
        <v>2.29</v>
      </c>
      <c r="I543" s="8" t="n">
        <v>2.0758</v>
      </c>
      <c r="J543" s="8" t="n"/>
      <c r="K543" s="7" t="inlineStr">
        <is>
          <t>SEM COTAÇÃO</t>
        </is>
      </c>
      <c r="L543" s="8" t="n"/>
      <c r="M543" s="12" t="n"/>
      <c r="N543" s="7" t="inlineStr"/>
      <c r="O543" s="7" t="inlineStr"/>
    </row>
    <row r="544">
      <c r="A544" s="7" t="n">
        <v>550721</v>
      </c>
      <c r="B544" s="10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1" t="n">
        <v>3</v>
      </c>
      <c r="G544" s="11" t="n">
        <v>3</v>
      </c>
      <c r="H544" s="8" t="n">
        <v>41.2</v>
      </c>
      <c r="I544" s="8" t="n">
        <v>36.52</v>
      </c>
      <c r="J544" s="8" t="n"/>
      <c r="K544" s="7" t="inlineStr">
        <is>
          <t>SEM COTAÇÃO</t>
        </is>
      </c>
      <c r="L544" s="8" t="n"/>
      <c r="M544" s="12" t="n"/>
      <c r="N544" s="7" t="inlineStr"/>
      <c r="O544" s="7" t="inlineStr"/>
    </row>
    <row r="545">
      <c r="A545" s="7" t="n">
        <v>610631</v>
      </c>
      <c r="B545" s="10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1" t="n">
        <v>2</v>
      </c>
      <c r="G545" s="11" t="n">
        <v>2</v>
      </c>
      <c r="H545" s="8" t="n">
        <v>7.51</v>
      </c>
      <c r="I545" s="8" t="n">
        <v>7.51</v>
      </c>
      <c r="J545" s="8" t="n"/>
      <c r="K545" s="7" t="inlineStr">
        <is>
          <t>SEM COTAÇÃO</t>
        </is>
      </c>
      <c r="L545" s="8" t="n"/>
      <c r="M545" s="12" t="n"/>
      <c r="N545" s="7" t="inlineStr"/>
      <c r="O545" s="7" t="inlineStr"/>
    </row>
    <row r="546">
      <c r="A546" s="7" t="n">
        <v>619101</v>
      </c>
      <c r="B546" s="10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1" t="n">
        <v>7</v>
      </c>
      <c r="G546" s="11" t="n">
        <v>7</v>
      </c>
      <c r="H546" s="8" t="n">
        <v>4.3</v>
      </c>
      <c r="I546" s="8" t="n">
        <v>4.3</v>
      </c>
      <c r="J546" s="13" t="n">
        <v>4.3</v>
      </c>
      <c r="K546" s="7" t="inlineStr">
        <is>
          <t>DIMEC</t>
        </is>
      </c>
      <c r="L546" s="8" t="n">
        <v>4.3</v>
      </c>
      <c r="M546" s="12">
        <f>L546/H546-1</f>
        <v/>
      </c>
      <c r="N546" s="15" t="inlineStr">
        <is>
          <t>OK (≤ menor hist.)</t>
        </is>
      </c>
      <c r="O546" s="7" t="inlineStr"/>
    </row>
    <row r="547">
      <c r="A547" s="7" t="n">
        <v>538021</v>
      </c>
      <c r="B547" s="10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1" t="n">
        <v>1</v>
      </c>
      <c r="G547" s="11" t="n">
        <v>1</v>
      </c>
      <c r="H547" s="8" t="n">
        <v>23.99</v>
      </c>
      <c r="I547" s="8" t="n">
        <v>23.99</v>
      </c>
      <c r="J547" s="8" t="n"/>
      <c r="K547" s="7" t="inlineStr">
        <is>
          <t>SEM COTAÇÃO</t>
        </is>
      </c>
      <c r="L547" s="8" t="n"/>
      <c r="M547" s="12" t="n"/>
      <c r="N547" s="7" t="inlineStr"/>
      <c r="O547" s="7" t="inlineStr"/>
    </row>
    <row r="548">
      <c r="A548" s="7" t="n">
        <v>637791</v>
      </c>
      <c r="B548" s="10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1" t="n">
        <v>1</v>
      </c>
      <c r="G548" s="11" t="n">
        <v>1</v>
      </c>
      <c r="H548" s="8" t="n">
        <v>17.13</v>
      </c>
      <c r="I548" s="8" t="n">
        <v>17.13</v>
      </c>
      <c r="J548" s="8" t="n"/>
      <c r="K548" s="7" t="inlineStr">
        <is>
          <t>SEM COTAÇÃO</t>
        </is>
      </c>
      <c r="L548" s="8" t="n"/>
      <c r="M548" s="12" t="n"/>
      <c r="N548" s="7" t="inlineStr"/>
      <c r="O548" s="7" t="inlineStr"/>
    </row>
    <row r="549">
      <c r="A549" s="7" t="n">
        <v>114841</v>
      </c>
      <c r="B549" s="10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1" t="n">
        <v>1</v>
      </c>
      <c r="G549" s="11" t="n">
        <v>1</v>
      </c>
      <c r="H549" s="8" t="n">
        <v>61.69</v>
      </c>
      <c r="I549" s="8" t="n">
        <v>54.79</v>
      </c>
      <c r="J549" s="8" t="n"/>
      <c r="K549" s="7" t="inlineStr">
        <is>
          <t>SEM COTAÇÃO</t>
        </is>
      </c>
      <c r="L549" s="8" t="n"/>
      <c r="M549" s="12" t="n"/>
      <c r="N549" s="7" t="inlineStr"/>
      <c r="O549" s="7" t="inlineStr"/>
    </row>
    <row r="550">
      <c r="A550" s="7" t="n">
        <v>4743</v>
      </c>
      <c r="B550" s="10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1" t="n">
        <v>2</v>
      </c>
      <c r="G550" s="11" t="n">
        <v>2</v>
      </c>
      <c r="H550" s="8" t="n"/>
      <c r="I550" s="8" t="n"/>
      <c r="J550" s="8" t="n"/>
      <c r="K550" s="7" t="inlineStr">
        <is>
          <t>SEM COTAÇÃO</t>
        </is>
      </c>
      <c r="L550" s="8" t="n"/>
      <c r="M550" s="12" t="n"/>
      <c r="N550" s="7" t="inlineStr"/>
      <c r="O550" s="7" t="inlineStr"/>
    </row>
    <row r="551">
      <c r="A551" s="7" t="n">
        <v>210861</v>
      </c>
      <c r="B551" s="10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1" t="n">
        <v>6</v>
      </c>
      <c r="G551" s="11" t="n">
        <v>6</v>
      </c>
      <c r="H551" s="8" t="n">
        <v>25.4536</v>
      </c>
      <c r="I551" s="8" t="n">
        <v>24.008</v>
      </c>
      <c r="J551" s="8" t="n"/>
      <c r="K551" s="7" t="inlineStr">
        <is>
          <t>SEM COTAÇÃO</t>
        </is>
      </c>
      <c r="L551" s="8" t="n"/>
      <c r="M551" s="12" t="n"/>
      <c r="N551" s="7" t="inlineStr"/>
      <c r="O551" s="7" t="inlineStr"/>
    </row>
    <row r="552">
      <c r="A552" s="7" t="n">
        <v>211061</v>
      </c>
      <c r="B552" s="10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1" t="n">
        <v>1</v>
      </c>
      <c r="G552" s="11" t="n">
        <v>1</v>
      </c>
      <c r="H552" s="8" t="n">
        <v>15.66</v>
      </c>
      <c r="I552" s="8" t="n">
        <v>15.66</v>
      </c>
      <c r="J552" s="8" t="n"/>
      <c r="K552" s="7" t="inlineStr">
        <is>
          <t>SEM COTAÇÃO</t>
        </is>
      </c>
      <c r="L552" s="8" t="n"/>
      <c r="M552" s="12" t="n"/>
      <c r="N552" s="7" t="inlineStr"/>
      <c r="O552" s="7" t="inlineStr"/>
    </row>
    <row r="553">
      <c r="A553" s="7" t="n">
        <v>672761</v>
      </c>
      <c r="B553" s="10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1" t="n">
        <v>4</v>
      </c>
      <c r="G553" s="11" t="n">
        <v>4</v>
      </c>
      <c r="H553" s="8" t="n"/>
      <c r="I553" s="8" t="n"/>
      <c r="J553" s="8" t="n"/>
      <c r="K553" s="7" t="inlineStr">
        <is>
          <t>SEM COTAÇÃO</t>
        </is>
      </c>
      <c r="L553" s="8" t="n"/>
      <c r="M553" s="12" t="n"/>
      <c r="N553" s="7" t="inlineStr"/>
      <c r="O553" s="7" t="inlineStr"/>
    </row>
    <row r="554">
      <c r="A554" s="7" t="n">
        <v>203</v>
      </c>
      <c r="B554" s="10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1" t="n">
        <v>1</v>
      </c>
      <c r="G554" s="11" t="n">
        <v>1</v>
      </c>
      <c r="H554" s="8" t="n">
        <v>24.08</v>
      </c>
      <c r="I554" s="8" t="n">
        <v>24.08</v>
      </c>
      <c r="J554" s="8" t="n"/>
      <c r="K554" s="7" t="inlineStr">
        <is>
          <t>SEM COTAÇÃO</t>
        </is>
      </c>
      <c r="L554" s="8" t="n"/>
      <c r="M554" s="12" t="n"/>
      <c r="N554" s="7" t="inlineStr"/>
      <c r="O554" s="7" t="inlineStr"/>
    </row>
    <row r="555">
      <c r="A555" s="7" t="n">
        <v>48321</v>
      </c>
      <c r="B555" s="10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1" t="n">
        <v>9</v>
      </c>
      <c r="G555" s="11" t="n">
        <v>9</v>
      </c>
      <c r="H555" s="8" t="n">
        <v>11.36</v>
      </c>
      <c r="I555" s="8" t="n">
        <v>8.533300000000001</v>
      </c>
      <c r="J555" s="8" t="n"/>
      <c r="K555" s="7" t="inlineStr">
        <is>
          <t>SEM COTAÇÃO</t>
        </is>
      </c>
      <c r="L555" s="8" t="n"/>
      <c r="M555" s="12" t="n"/>
      <c r="N555" s="7" t="inlineStr"/>
      <c r="O555" s="7" t="inlineStr"/>
    </row>
    <row r="556">
      <c r="A556" s="7" t="n">
        <v>658391</v>
      </c>
      <c r="B556" s="10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1" t="n">
        <v>19</v>
      </c>
      <c r="G556" s="11" t="n">
        <v>19</v>
      </c>
      <c r="H556" s="8" t="n">
        <v>3.69</v>
      </c>
      <c r="I556" s="8" t="n">
        <v>3.69</v>
      </c>
      <c r="J556" s="8" t="n"/>
      <c r="K556" s="7" t="inlineStr">
        <is>
          <t>SEM COTAÇÃO</t>
        </is>
      </c>
      <c r="L556" s="8" t="n"/>
      <c r="M556" s="12" t="n"/>
      <c r="N556" s="7" t="inlineStr"/>
      <c r="O556" s="7" t="inlineStr"/>
    </row>
    <row r="557">
      <c r="A557" s="7" t="n">
        <v>652471</v>
      </c>
      <c r="B557" s="10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1" t="n">
        <v>2</v>
      </c>
      <c r="G557" s="11" t="n">
        <v>2</v>
      </c>
      <c r="H557" s="8" t="n">
        <v>6.99</v>
      </c>
      <c r="I557" s="8" t="n">
        <v>6.7</v>
      </c>
      <c r="J557" s="8" t="n"/>
      <c r="K557" s="7" t="inlineStr">
        <is>
          <t>SEM COTAÇÃO</t>
        </is>
      </c>
      <c r="L557" s="8" t="n"/>
      <c r="M557" s="12" t="n"/>
      <c r="N557" s="7" t="inlineStr"/>
      <c r="O557" s="7" t="inlineStr"/>
    </row>
    <row r="558">
      <c r="A558" s="7" t="n">
        <v>562921</v>
      </c>
      <c r="B558" s="10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1" t="n">
        <v>10</v>
      </c>
      <c r="G558" s="11" t="n">
        <v>10</v>
      </c>
      <c r="H558" s="8" t="n">
        <v>6.99</v>
      </c>
      <c r="I558" s="8" t="n">
        <v>6.7</v>
      </c>
      <c r="J558" s="8" t="n"/>
      <c r="K558" s="7" t="inlineStr">
        <is>
          <t>SEM COTAÇÃO</t>
        </is>
      </c>
      <c r="L558" s="8" t="n"/>
      <c r="M558" s="12" t="n"/>
      <c r="N558" s="7" t="inlineStr"/>
      <c r="O558" s="7" t="inlineStr"/>
    </row>
    <row r="559">
      <c r="A559" s="7" t="n">
        <v>658371</v>
      </c>
      <c r="B559" s="10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1" t="n">
        <v>16</v>
      </c>
      <c r="G559" s="11" t="n">
        <v>16</v>
      </c>
      <c r="H559" s="8" t="n">
        <v>3.69</v>
      </c>
      <c r="I559" s="8" t="n">
        <v>3.69</v>
      </c>
      <c r="J559" s="8" t="n"/>
      <c r="K559" s="7" t="inlineStr">
        <is>
          <t>SEM COTAÇÃO</t>
        </is>
      </c>
      <c r="L559" s="8" t="n"/>
      <c r="M559" s="12" t="n"/>
      <c r="N559" s="7" t="inlineStr"/>
      <c r="O559" s="7" t="inlineStr"/>
    </row>
    <row r="560">
      <c r="A560" s="7" t="n">
        <v>652551</v>
      </c>
      <c r="B560" s="10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1" t="n">
        <v>19</v>
      </c>
      <c r="G560" s="11" t="n">
        <v>19</v>
      </c>
      <c r="H560" s="8" t="n">
        <v>3.89</v>
      </c>
      <c r="I560" s="8" t="n">
        <v>3.59</v>
      </c>
      <c r="J560" s="8" t="n"/>
      <c r="K560" s="7" t="inlineStr">
        <is>
          <t>SEM COTAÇÃO</t>
        </is>
      </c>
      <c r="L560" s="8" t="n"/>
      <c r="M560" s="12" t="n"/>
      <c r="N560" s="7" t="inlineStr"/>
      <c r="O560" s="7" t="inlineStr"/>
    </row>
    <row r="561">
      <c r="A561" s="7" t="n">
        <v>58941</v>
      </c>
      <c r="B561" s="10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1" t="n">
        <v>2</v>
      </c>
      <c r="G561" s="11" t="n">
        <v>27</v>
      </c>
      <c r="H561" s="8" t="n">
        <v>1.8142</v>
      </c>
      <c r="I561" s="8" t="n">
        <v>1.8142</v>
      </c>
      <c r="J561" s="8" t="n"/>
      <c r="K561" s="7" t="inlineStr">
        <is>
          <t>SEM COTAÇÃO</t>
        </is>
      </c>
      <c r="L561" s="8" t="n"/>
      <c r="M561" s="12" t="n"/>
      <c r="N561" s="7" t="inlineStr"/>
      <c r="O561" s="7" t="inlineStr"/>
    </row>
    <row r="562">
      <c r="A562" s="7" t="n">
        <v>651951</v>
      </c>
      <c r="B562" s="10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1" t="n">
        <v>9</v>
      </c>
      <c r="G562" s="11" t="n">
        <v>9</v>
      </c>
      <c r="H562" s="8" t="n">
        <v>6.9158</v>
      </c>
      <c r="I562" s="8" t="n">
        <v>6.5517</v>
      </c>
      <c r="J562" s="8" t="n"/>
      <c r="K562" s="7" t="inlineStr">
        <is>
          <t>SEM COTAÇÃO</t>
        </is>
      </c>
      <c r="L562" s="8" t="n"/>
      <c r="M562" s="12" t="n"/>
      <c r="N562" s="7" t="inlineStr"/>
      <c r="O562" s="7" t="inlineStr"/>
    </row>
    <row r="563">
      <c r="A563" s="7" t="n">
        <v>631931</v>
      </c>
      <c r="B563" s="10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1" t="n">
        <v>3</v>
      </c>
      <c r="G563" s="11" t="n">
        <v>3</v>
      </c>
      <c r="H563" s="8" t="n">
        <v>2.81</v>
      </c>
      <c r="I563" s="8" t="n">
        <v>2.81</v>
      </c>
      <c r="J563" s="8" t="n"/>
      <c r="K563" s="7" t="inlineStr">
        <is>
          <t>SEM COTAÇÃO</t>
        </is>
      </c>
      <c r="L563" s="8" t="n"/>
      <c r="M563" s="12" t="n"/>
      <c r="N563" s="7" t="inlineStr"/>
      <c r="O563" s="7" t="inlineStr"/>
    </row>
    <row r="564">
      <c r="A564" s="7" t="n">
        <v>631951</v>
      </c>
      <c r="B564" s="10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1" t="n">
        <v>8</v>
      </c>
      <c r="G564" s="11" t="n">
        <v>8</v>
      </c>
      <c r="H564" s="8" t="n">
        <v>2.5</v>
      </c>
      <c r="I564" s="8" t="n">
        <v>2.35</v>
      </c>
      <c r="J564" s="8" t="n"/>
      <c r="K564" s="7" t="inlineStr">
        <is>
          <t>SEM COTAÇÃO</t>
        </is>
      </c>
      <c r="L564" s="8" t="n"/>
      <c r="M564" s="12" t="n"/>
      <c r="N564" s="7" t="inlineStr"/>
      <c r="O564" s="7" t="inlineStr"/>
    </row>
    <row r="565">
      <c r="A565" s="7" t="n">
        <v>631961</v>
      </c>
      <c r="B565" s="10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1" t="n">
        <v>6</v>
      </c>
      <c r="G565" s="11" t="n">
        <v>6</v>
      </c>
      <c r="H565" s="8" t="n">
        <v>2.5</v>
      </c>
      <c r="I565" s="8" t="n">
        <v>2.35</v>
      </c>
      <c r="J565" s="8" t="n"/>
      <c r="K565" s="7" t="inlineStr">
        <is>
          <t>SEM COTAÇÃO</t>
        </is>
      </c>
      <c r="L565" s="8" t="n"/>
      <c r="M565" s="12" t="n"/>
      <c r="N565" s="7" t="inlineStr"/>
      <c r="O565" s="7" t="inlineStr"/>
    </row>
    <row r="566">
      <c r="A566" s="7" t="n">
        <v>625451</v>
      </c>
      <c r="B566" s="10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1" t="n">
        <v>10</v>
      </c>
      <c r="G566" s="11" t="n">
        <v>10</v>
      </c>
      <c r="H566" s="8" t="n">
        <v>4.85</v>
      </c>
      <c r="I566" s="8" t="n">
        <v>4.69</v>
      </c>
      <c r="J566" s="8" t="n"/>
      <c r="K566" s="7" t="inlineStr">
        <is>
          <t>SEM COTAÇÃO</t>
        </is>
      </c>
      <c r="L566" s="8" t="n"/>
      <c r="M566" s="12" t="n"/>
      <c r="N566" s="7" t="inlineStr"/>
      <c r="O566" s="7" t="inlineStr"/>
    </row>
    <row r="567">
      <c r="A567" s="7" t="n">
        <v>642421</v>
      </c>
      <c r="B567" s="10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1" t="n">
        <v>4</v>
      </c>
      <c r="G567" s="11" t="n">
        <v>4</v>
      </c>
      <c r="H567" s="8" t="n">
        <v>4.85</v>
      </c>
      <c r="I567" s="8" t="n">
        <v>4.69</v>
      </c>
      <c r="J567" s="8" t="n"/>
      <c r="K567" s="7" t="inlineStr">
        <is>
          <t>SEM COTAÇÃO</t>
        </is>
      </c>
      <c r="L567" s="8" t="n"/>
      <c r="M567" s="12" t="n"/>
      <c r="N567" s="7" t="inlineStr"/>
      <c r="O567" s="7" t="inlineStr"/>
    </row>
    <row r="568">
      <c r="A568" s="7" t="n">
        <v>660611</v>
      </c>
      <c r="B568" s="10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1" t="n">
        <v>5</v>
      </c>
      <c r="G568" s="11" t="n">
        <v>5</v>
      </c>
      <c r="H568" s="8" t="n">
        <v>4.69</v>
      </c>
      <c r="I568" s="8" t="n">
        <v>4.69</v>
      </c>
      <c r="J568" s="8" t="n"/>
      <c r="K568" s="7" t="inlineStr">
        <is>
          <t>SEM COTAÇÃO</t>
        </is>
      </c>
      <c r="L568" s="8" t="n"/>
      <c r="M568" s="12" t="n"/>
      <c r="N568" s="7" t="inlineStr"/>
      <c r="O568" s="7" t="inlineStr"/>
    </row>
    <row r="569">
      <c r="A569" s="7" t="n">
        <v>625471</v>
      </c>
      <c r="B569" s="10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1" t="n">
        <v>3</v>
      </c>
      <c r="G569" s="11" t="n">
        <v>3</v>
      </c>
      <c r="H569" s="8" t="n">
        <v>5.25</v>
      </c>
      <c r="I569" s="8" t="n">
        <v>5.25</v>
      </c>
      <c r="J569" s="8" t="n"/>
      <c r="K569" s="7" t="inlineStr">
        <is>
          <t>SEM COTAÇÃO</t>
        </is>
      </c>
      <c r="L569" s="8" t="n"/>
      <c r="M569" s="12" t="n"/>
      <c r="N569" s="7" t="inlineStr"/>
      <c r="O569" s="7" t="inlineStr"/>
    </row>
    <row r="570">
      <c r="A570" s="7" t="n">
        <v>610421</v>
      </c>
      <c r="B570" s="10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1" t="n">
        <v>1</v>
      </c>
      <c r="G570" s="11" t="n">
        <v>1</v>
      </c>
      <c r="H570" s="8" t="n">
        <v>6.99</v>
      </c>
      <c r="I570" s="8" t="n">
        <v>6.99</v>
      </c>
      <c r="J570" s="8" t="n"/>
      <c r="K570" s="7" t="inlineStr">
        <is>
          <t>SEM COTAÇÃO</t>
        </is>
      </c>
      <c r="L570" s="8" t="n"/>
      <c r="M570" s="12" t="n"/>
      <c r="N570" s="7" t="inlineStr"/>
      <c r="O570" s="7" t="inlineStr"/>
    </row>
    <row r="571">
      <c r="A571" s="7" t="n">
        <v>571181</v>
      </c>
      <c r="B571" s="10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1" t="n">
        <v>10</v>
      </c>
      <c r="G571" s="11" t="n">
        <v>10</v>
      </c>
      <c r="H571" s="8" t="n">
        <v>3.89</v>
      </c>
      <c r="I571" s="8" t="n">
        <v>3.59</v>
      </c>
      <c r="J571" s="8" t="n"/>
      <c r="K571" s="7" t="inlineStr">
        <is>
          <t>SEM COTAÇÃO</t>
        </is>
      </c>
      <c r="L571" s="8" t="n"/>
      <c r="M571" s="12" t="n"/>
      <c r="N571" s="7" t="inlineStr"/>
      <c r="O571" s="7" t="inlineStr"/>
    </row>
    <row r="572">
      <c r="A572" s="7" t="n">
        <v>571201</v>
      </c>
      <c r="B572" s="10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1" t="n">
        <v>2</v>
      </c>
      <c r="G572" s="11" t="n">
        <v>2</v>
      </c>
      <c r="H572" s="8" t="n">
        <v>3.89</v>
      </c>
      <c r="I572" s="8" t="n">
        <v>3.59</v>
      </c>
      <c r="J572" s="8" t="n"/>
      <c r="K572" s="7" t="inlineStr">
        <is>
          <t>SEM COTAÇÃO</t>
        </is>
      </c>
      <c r="L572" s="8" t="n"/>
      <c r="M572" s="12" t="n"/>
      <c r="N572" s="7" t="inlineStr"/>
      <c r="O572" s="7" t="inlineStr"/>
    </row>
    <row r="573">
      <c r="A573" s="7" t="n">
        <v>625511</v>
      </c>
      <c r="B573" s="10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1" t="n">
        <v>1</v>
      </c>
      <c r="G573" s="11" t="n">
        <v>1</v>
      </c>
      <c r="H573" s="8" t="n">
        <v>1.3965</v>
      </c>
      <c r="I573" s="8" t="n">
        <v>1.3965</v>
      </c>
      <c r="J573" s="8" t="n"/>
      <c r="K573" s="7" t="inlineStr">
        <is>
          <t>SEM COTAÇÃO</t>
        </is>
      </c>
      <c r="L573" s="8" t="n"/>
      <c r="M573" s="12" t="n"/>
      <c r="N573" s="7" t="inlineStr"/>
      <c r="O573" s="7" t="inlineStr"/>
    </row>
    <row r="574">
      <c r="A574" s="7" t="n">
        <v>650181</v>
      </c>
      <c r="B574" s="10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1" t="n">
        <v>4</v>
      </c>
      <c r="G574" s="11" t="n">
        <v>4</v>
      </c>
      <c r="H574" s="8" t="n">
        <v>3.49</v>
      </c>
      <c r="I574" s="8" t="n">
        <v>3.25</v>
      </c>
      <c r="J574" s="8" t="n"/>
      <c r="K574" s="7" t="inlineStr">
        <is>
          <t>SEM COTAÇÃO</t>
        </is>
      </c>
      <c r="L574" s="8" t="n"/>
      <c r="M574" s="12" t="n"/>
      <c r="N574" s="7" t="inlineStr"/>
      <c r="O574" s="7" t="inlineStr"/>
    </row>
    <row r="575">
      <c r="A575" s="7" t="n">
        <v>652571</v>
      </c>
      <c r="B575" s="10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1" t="n">
        <v>2</v>
      </c>
      <c r="G575" s="11" t="n">
        <v>2</v>
      </c>
      <c r="H575" s="8" t="n">
        <v>3.49</v>
      </c>
      <c r="I575" s="8" t="n">
        <v>3.25</v>
      </c>
      <c r="J575" s="8" t="n"/>
      <c r="K575" s="7" t="inlineStr">
        <is>
          <t>SEM COTAÇÃO</t>
        </is>
      </c>
      <c r="L575" s="8" t="n"/>
      <c r="M575" s="12" t="n"/>
      <c r="N575" s="7" t="inlineStr"/>
      <c r="O575" s="7" t="inlineStr"/>
    </row>
    <row r="576">
      <c r="A576" s="7" t="n">
        <v>671401</v>
      </c>
      <c r="B576" s="10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1" t="n">
        <v>12</v>
      </c>
      <c r="G576" s="11" t="n">
        <v>12</v>
      </c>
      <c r="H576" s="8" t="n">
        <v>2.75</v>
      </c>
      <c r="I576" s="8" t="n">
        <v>2.278</v>
      </c>
      <c r="J576" s="8" t="n"/>
      <c r="K576" s="7" t="inlineStr">
        <is>
          <t>SEM COTAÇÃO</t>
        </is>
      </c>
      <c r="L576" s="8" t="n"/>
      <c r="M576" s="12" t="n"/>
      <c r="N576" s="7" t="inlineStr"/>
      <c r="O576" s="7" t="inlineStr"/>
    </row>
    <row r="577">
      <c r="A577" s="7" t="n">
        <v>671421</v>
      </c>
      <c r="B577" s="10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1" t="n">
        <v>4</v>
      </c>
      <c r="G577" s="11" t="n">
        <v>4</v>
      </c>
      <c r="H577" s="8" t="n">
        <v>3.49</v>
      </c>
      <c r="I577" s="8" t="n">
        <v>2.9398</v>
      </c>
      <c r="J577" s="8" t="n"/>
      <c r="K577" s="7" t="inlineStr">
        <is>
          <t>SEM COTAÇÃO</t>
        </is>
      </c>
      <c r="L577" s="8" t="n"/>
      <c r="M577" s="12" t="n"/>
      <c r="N577" s="7" t="inlineStr"/>
      <c r="O577" s="7" t="inlineStr"/>
    </row>
    <row r="578">
      <c r="A578" s="7" t="n">
        <v>671431</v>
      </c>
      <c r="B578" s="10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1" t="n">
        <v>1</v>
      </c>
      <c r="G578" s="11" t="n">
        <v>10</v>
      </c>
      <c r="H578" s="8" t="n">
        <v>0.585</v>
      </c>
      <c r="I578" s="8" t="n">
        <v>0.585</v>
      </c>
      <c r="J578" s="8" t="n"/>
      <c r="K578" s="7" t="inlineStr">
        <is>
          <t>SEM COTAÇÃO</t>
        </is>
      </c>
      <c r="L578" s="8" t="n"/>
      <c r="M578" s="12" t="n"/>
      <c r="N578" s="7" t="inlineStr"/>
      <c r="O578" s="7" t="inlineStr"/>
    </row>
    <row r="579">
      <c r="A579" s="7" t="n">
        <v>671821</v>
      </c>
      <c r="B579" s="10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1" t="n">
        <v>1</v>
      </c>
      <c r="G579" s="11" t="n">
        <v>3</v>
      </c>
      <c r="H579" s="8" t="n">
        <v>1.4025</v>
      </c>
      <c r="I579" s="8" t="n">
        <v>1.4025</v>
      </c>
      <c r="J579" s="8" t="n"/>
      <c r="K579" s="7" t="inlineStr">
        <is>
          <t>SEM COTAÇÃO</t>
        </is>
      </c>
      <c r="L579" s="8" t="n"/>
      <c r="M579" s="12" t="n"/>
      <c r="N579" s="7" t="inlineStr"/>
      <c r="O579" s="7" t="inlineStr"/>
    </row>
    <row r="580">
      <c r="A580" s="7" t="n">
        <v>653931</v>
      </c>
      <c r="B580" s="10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1" t="n">
        <v>2</v>
      </c>
      <c r="G580" s="11" t="n">
        <v>2</v>
      </c>
      <c r="H580" s="8" t="n">
        <v>5.56</v>
      </c>
      <c r="I580" s="8" t="n">
        <v>5.56</v>
      </c>
      <c r="J580" s="8" t="n"/>
      <c r="K580" s="7" t="inlineStr">
        <is>
          <t>SEM COTAÇÃO</t>
        </is>
      </c>
      <c r="L580" s="8" t="n"/>
      <c r="M580" s="12" t="n"/>
      <c r="N580" s="7" t="inlineStr"/>
      <c r="O580" s="7" t="inlineStr"/>
    </row>
    <row r="581">
      <c r="A581" s="7" t="n">
        <v>457961</v>
      </c>
      <c r="B581" s="10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1" t="n">
        <v>7</v>
      </c>
      <c r="G581" s="11" t="n">
        <v>7</v>
      </c>
      <c r="H581" s="8" t="n">
        <v>16.56</v>
      </c>
      <c r="I581" s="8" t="n">
        <v>14.3</v>
      </c>
      <c r="J581" s="8" t="n"/>
      <c r="K581" s="7" t="inlineStr">
        <is>
          <t>SEM COTAÇÃO</t>
        </is>
      </c>
      <c r="L581" s="8" t="n"/>
      <c r="M581" s="12" t="n"/>
      <c r="N581" s="7" t="inlineStr"/>
      <c r="O581" s="7" t="inlineStr"/>
    </row>
    <row r="582">
      <c r="A582" s="7" t="n">
        <v>17803</v>
      </c>
      <c r="B582" s="10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1" t="n">
        <v>2</v>
      </c>
      <c r="G582" s="11" t="n">
        <v>2</v>
      </c>
      <c r="H582" s="8" t="n">
        <v>5.55</v>
      </c>
      <c r="I582" s="8" t="n">
        <v>5.49</v>
      </c>
      <c r="J582" s="8" t="n"/>
      <c r="K582" s="7" t="inlineStr">
        <is>
          <t>SEM COTAÇÃO</t>
        </is>
      </c>
      <c r="L582" s="8" t="n"/>
      <c r="M582" s="12" t="n"/>
      <c r="N582" s="7" t="inlineStr"/>
      <c r="O582" s="7" t="inlineStr"/>
    </row>
    <row r="583">
      <c r="A583" s="7" t="n">
        <v>17903</v>
      </c>
      <c r="B583" s="10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1" t="n">
        <v>2</v>
      </c>
      <c r="G583" s="11" t="n">
        <v>2</v>
      </c>
      <c r="H583" s="8" t="n">
        <v>5.55</v>
      </c>
      <c r="I583" s="8" t="n">
        <v>5.49</v>
      </c>
      <c r="J583" s="8" t="n"/>
      <c r="K583" s="7" t="inlineStr">
        <is>
          <t>SEM COTAÇÃO</t>
        </is>
      </c>
      <c r="L583" s="8" t="n"/>
      <c r="M583" s="12" t="n"/>
      <c r="N583" s="7" t="inlineStr"/>
      <c r="O583" s="7" t="inlineStr"/>
    </row>
    <row r="584">
      <c r="A584" s="7" t="n">
        <v>18103</v>
      </c>
      <c r="B584" s="10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1" t="n">
        <v>6</v>
      </c>
      <c r="G584" s="11" t="n">
        <v>6</v>
      </c>
      <c r="H584" s="8" t="n">
        <v>5.55</v>
      </c>
      <c r="I584" s="8" t="n">
        <v>5.49</v>
      </c>
      <c r="J584" s="8" t="n"/>
      <c r="K584" s="7" t="inlineStr">
        <is>
          <t>SEM COTAÇÃO</t>
        </is>
      </c>
      <c r="L584" s="8" t="n"/>
      <c r="M584" s="12" t="n"/>
      <c r="N584" s="7" t="inlineStr"/>
      <c r="O584" s="7" t="inlineStr"/>
    </row>
    <row r="585">
      <c r="A585" s="7" t="n">
        <v>18203</v>
      </c>
      <c r="B585" s="10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1" t="n">
        <v>2</v>
      </c>
      <c r="G585" s="11" t="n">
        <v>2</v>
      </c>
      <c r="H585" s="8" t="n">
        <v>5.55</v>
      </c>
      <c r="I585" s="8" t="n">
        <v>5.49</v>
      </c>
      <c r="J585" s="8" t="n"/>
      <c r="K585" s="7" t="inlineStr">
        <is>
          <t>SEM COTAÇÃO</t>
        </is>
      </c>
      <c r="L585" s="8" t="n"/>
      <c r="M585" s="12" t="n"/>
      <c r="N585" s="7" t="inlineStr"/>
      <c r="O585" s="7" t="inlineStr"/>
    </row>
    <row r="586">
      <c r="A586" s="7" t="n">
        <v>18303</v>
      </c>
      <c r="B586" s="10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1" t="n">
        <v>1</v>
      </c>
      <c r="G586" s="11" t="n">
        <v>1</v>
      </c>
      <c r="H586" s="8" t="n">
        <v>5.55</v>
      </c>
      <c r="I586" s="8" t="n">
        <v>5.49</v>
      </c>
      <c r="J586" s="8" t="n"/>
      <c r="K586" s="7" t="inlineStr">
        <is>
          <t>SEM COTAÇÃO</t>
        </is>
      </c>
      <c r="L586" s="8" t="n"/>
      <c r="M586" s="12" t="n"/>
      <c r="N586" s="7" t="inlineStr"/>
      <c r="O586" s="7" t="inlineStr"/>
    </row>
    <row r="587">
      <c r="A587" s="7" t="n">
        <v>657111</v>
      </c>
      <c r="B587" s="10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1" t="n">
        <v>1</v>
      </c>
      <c r="G587" s="11" t="n">
        <v>1</v>
      </c>
      <c r="H587" s="8" t="n">
        <v>22.24</v>
      </c>
      <c r="I587" s="8" t="n">
        <v>22.24</v>
      </c>
      <c r="J587" s="8" t="n"/>
      <c r="K587" s="7" t="inlineStr">
        <is>
          <t>SEM COTAÇÃO</t>
        </is>
      </c>
      <c r="L587" s="8" t="n"/>
      <c r="M587" s="12" t="n"/>
      <c r="N587" s="7" t="inlineStr"/>
      <c r="O587" s="7" t="inlineStr"/>
    </row>
    <row r="588">
      <c r="A588" s="7" t="n">
        <v>657121</v>
      </c>
      <c r="B588" s="10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1" t="n">
        <v>1</v>
      </c>
      <c r="G588" s="11" t="n">
        <v>1</v>
      </c>
      <c r="H588" s="8" t="n">
        <v>22.24</v>
      </c>
      <c r="I588" s="8" t="n">
        <v>22.24</v>
      </c>
      <c r="J588" s="8" t="n"/>
      <c r="K588" s="7" t="inlineStr">
        <is>
          <t>SEM COTAÇÃO</t>
        </is>
      </c>
      <c r="L588" s="8" t="n"/>
      <c r="M588" s="12" t="n"/>
      <c r="N588" s="7" t="inlineStr"/>
      <c r="O588" s="7" t="inlineStr"/>
    </row>
    <row r="589">
      <c r="A589" s="7" t="n">
        <v>643441</v>
      </c>
      <c r="B589" s="10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1" t="n">
        <v>2</v>
      </c>
      <c r="G589" s="11" t="n">
        <v>2</v>
      </c>
      <c r="H589" s="8" t="n">
        <v>11.5</v>
      </c>
      <c r="I589" s="8" t="n">
        <v>11.5</v>
      </c>
      <c r="J589" s="8" t="n"/>
      <c r="K589" s="7" t="inlineStr">
        <is>
          <t>SEM COTAÇÃO</t>
        </is>
      </c>
      <c r="L589" s="8" t="n"/>
      <c r="M589" s="12" t="n"/>
      <c r="N589" s="7" t="inlineStr"/>
      <c r="O589" s="7" t="inlineStr"/>
    </row>
    <row r="590">
      <c r="A590" s="7" t="n">
        <v>666601</v>
      </c>
      <c r="B590" s="10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1" t="n">
        <v>1</v>
      </c>
      <c r="G590" s="11" t="n">
        <v>1</v>
      </c>
      <c r="H590" s="8" t="n">
        <v>141.12</v>
      </c>
      <c r="I590" s="8" t="n">
        <v>141.12</v>
      </c>
      <c r="J590" s="8" t="n"/>
      <c r="K590" s="7" t="inlineStr">
        <is>
          <t>SEM COTAÇÃO</t>
        </is>
      </c>
      <c r="L590" s="8" t="n"/>
      <c r="M590" s="12" t="n"/>
      <c r="N590" s="7" t="inlineStr"/>
      <c r="O590" s="7" t="inlineStr"/>
    </row>
    <row r="591">
      <c r="A591" s="7" t="n">
        <v>673261</v>
      </c>
      <c r="B591" s="10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1" t="n">
        <v>2</v>
      </c>
      <c r="G591" s="11" t="n">
        <v>2</v>
      </c>
      <c r="H591" s="8" t="n">
        <v>7.3</v>
      </c>
      <c r="I591" s="8" t="n">
        <v>7.3</v>
      </c>
      <c r="J591" s="8" t="n"/>
      <c r="K591" s="7" t="inlineStr">
        <is>
          <t>SEM COTAÇÃO</t>
        </is>
      </c>
      <c r="L591" s="8" t="n"/>
      <c r="M591" s="12" t="n"/>
      <c r="N591" s="7" t="inlineStr"/>
      <c r="O591" s="7" t="inlineStr"/>
    </row>
    <row r="592">
      <c r="A592" s="7" t="n">
        <v>643431</v>
      </c>
      <c r="B592" s="10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1" t="n">
        <v>1</v>
      </c>
      <c r="G592" s="11" t="n">
        <v>1</v>
      </c>
      <c r="H592" s="8" t="n">
        <v>7.99</v>
      </c>
      <c r="I592" s="8" t="n">
        <v>7.99</v>
      </c>
      <c r="J592" s="8" t="n"/>
      <c r="K592" s="7" t="inlineStr">
        <is>
          <t>SEM COTAÇÃO</t>
        </is>
      </c>
      <c r="L592" s="8" t="n"/>
      <c r="M592" s="12" t="n"/>
      <c r="N592" s="7" t="inlineStr"/>
      <c r="O592" s="7" t="inlineStr"/>
    </row>
    <row r="593">
      <c r="A593" s="7" t="n">
        <v>609311</v>
      </c>
      <c r="B593" s="10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1" t="n">
        <v>1</v>
      </c>
      <c r="G593" s="11" t="n">
        <v>1</v>
      </c>
      <c r="H593" s="8" t="n">
        <v>7.59</v>
      </c>
      <c r="I593" s="8" t="n">
        <v>7.59</v>
      </c>
      <c r="J593" s="8" t="n"/>
      <c r="K593" s="7" t="inlineStr">
        <is>
          <t>SEM COTAÇÃO</t>
        </is>
      </c>
      <c r="L593" s="8" t="n"/>
      <c r="M593" s="12" t="n"/>
      <c r="N593" s="7" t="inlineStr"/>
      <c r="O593" s="7" t="inlineStr"/>
    </row>
    <row r="594">
      <c r="A594" s="7" t="n">
        <v>673271</v>
      </c>
      <c r="B594" s="10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1" t="n">
        <v>2</v>
      </c>
      <c r="G594" s="11" t="n">
        <v>2</v>
      </c>
      <c r="H594" s="8" t="n">
        <v>7.76</v>
      </c>
      <c r="I594" s="8" t="n">
        <v>7.76</v>
      </c>
      <c r="J594" s="8" t="n"/>
      <c r="K594" s="7" t="inlineStr">
        <is>
          <t>SEM COTAÇÃO</t>
        </is>
      </c>
      <c r="L594" s="8" t="n"/>
      <c r="M594" s="12" t="n"/>
      <c r="N594" s="7" t="inlineStr"/>
      <c r="O594" s="7" t="inlineStr"/>
    </row>
    <row r="595">
      <c r="A595" s="7" t="n">
        <v>673281</v>
      </c>
      <c r="B595" s="10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1" t="n">
        <v>2</v>
      </c>
      <c r="G595" s="11" t="n">
        <v>2</v>
      </c>
      <c r="H595" s="8" t="n">
        <v>7.76</v>
      </c>
      <c r="I595" s="8" t="n">
        <v>7.76</v>
      </c>
      <c r="J595" s="8" t="n"/>
      <c r="K595" s="7" t="inlineStr">
        <is>
          <t>SEM COTAÇÃO</t>
        </is>
      </c>
      <c r="L595" s="8" t="n"/>
      <c r="M595" s="12" t="n"/>
      <c r="N595" s="7" t="inlineStr"/>
      <c r="O595" s="7" t="inlineStr"/>
    </row>
    <row r="596">
      <c r="A596" s="7" t="n">
        <v>609321</v>
      </c>
      <c r="B596" s="10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1" t="n">
        <v>1</v>
      </c>
      <c r="G596" s="11" t="n">
        <v>1</v>
      </c>
      <c r="H596" s="8" t="n">
        <v>7.59</v>
      </c>
      <c r="I596" s="8" t="n">
        <v>7.59</v>
      </c>
      <c r="J596" s="8" t="n"/>
      <c r="K596" s="7" t="inlineStr">
        <is>
          <t>SEM COTAÇÃO</t>
        </is>
      </c>
      <c r="L596" s="8" t="n"/>
      <c r="M596" s="12" t="n"/>
      <c r="N596" s="7" t="inlineStr"/>
      <c r="O596" s="7" t="inlineStr"/>
    </row>
    <row r="597">
      <c r="A597" s="7" t="n">
        <v>4753</v>
      </c>
      <c r="B597" s="10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1" t="n">
        <v>1</v>
      </c>
      <c r="G597" s="11" t="n">
        <v>19</v>
      </c>
      <c r="H597" s="8" t="n"/>
      <c r="I597" s="8" t="n"/>
      <c r="J597" s="8" t="n"/>
      <c r="K597" s="7" t="inlineStr">
        <is>
          <t>SEM COTAÇÃO</t>
        </is>
      </c>
      <c r="L597" s="8" t="n"/>
      <c r="M597" s="12" t="n"/>
      <c r="N597" s="7" t="inlineStr"/>
      <c r="O597" s="7" t="inlineStr"/>
    </row>
    <row r="598">
      <c r="A598" s="7" t="n">
        <v>661051</v>
      </c>
      <c r="B598" s="10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1" t="n">
        <v>6</v>
      </c>
      <c r="G598" s="11" t="n">
        <v>6</v>
      </c>
      <c r="H598" s="8" t="n">
        <v>2.3</v>
      </c>
      <c r="I598" s="8" t="n">
        <v>2.07</v>
      </c>
      <c r="J598" s="8" t="n"/>
      <c r="K598" s="7" t="inlineStr">
        <is>
          <t>SEM COTAÇÃO</t>
        </is>
      </c>
      <c r="L598" s="8" t="n"/>
      <c r="M598" s="12" t="n"/>
      <c r="N598" s="7" t="inlineStr"/>
      <c r="O598" s="7" t="inlineStr"/>
    </row>
    <row r="599">
      <c r="A599" s="7" t="n">
        <v>631971</v>
      </c>
      <c r="B599" s="10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1" t="n">
        <v>7</v>
      </c>
      <c r="G599" s="11" t="n">
        <v>7</v>
      </c>
      <c r="H599" s="8" t="n">
        <v>2.3</v>
      </c>
      <c r="I599" s="8" t="n">
        <v>2.07</v>
      </c>
      <c r="J599" s="8" t="n"/>
      <c r="K599" s="7" t="inlineStr">
        <is>
          <t>SEM COTAÇÃO</t>
        </is>
      </c>
      <c r="L599" s="8" t="n"/>
      <c r="M599" s="12" t="n"/>
      <c r="N599" s="7" t="inlineStr"/>
      <c r="O599" s="7" t="inlineStr"/>
    </row>
    <row r="600">
      <c r="A600" s="7" t="n">
        <v>661041</v>
      </c>
      <c r="B600" s="10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1" t="n">
        <v>4</v>
      </c>
      <c r="G600" s="11" t="n">
        <v>4</v>
      </c>
      <c r="H600" s="8" t="n">
        <v>2.07</v>
      </c>
      <c r="I600" s="8" t="n">
        <v>2.07</v>
      </c>
      <c r="J600" s="8" t="n"/>
      <c r="K600" s="7" t="inlineStr">
        <is>
          <t>SEM COTAÇÃO</t>
        </is>
      </c>
      <c r="L600" s="8" t="n"/>
      <c r="M600" s="12" t="n"/>
      <c r="N600" s="7" t="inlineStr"/>
      <c r="O600" s="7" t="inlineStr"/>
    </row>
    <row r="601">
      <c r="A601" s="7" t="n">
        <v>661081</v>
      </c>
      <c r="B601" s="10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1" t="n">
        <v>6</v>
      </c>
      <c r="G601" s="11" t="n">
        <v>6</v>
      </c>
      <c r="H601" s="8" t="n">
        <v>2.07</v>
      </c>
      <c r="I601" s="8" t="n">
        <v>2.07</v>
      </c>
      <c r="J601" s="8" t="n"/>
      <c r="K601" s="7" t="inlineStr">
        <is>
          <t>SEM COTAÇÃO</t>
        </is>
      </c>
      <c r="L601" s="8" t="n"/>
      <c r="M601" s="12" t="n"/>
      <c r="N601" s="7" t="inlineStr"/>
      <c r="O601" s="7" t="inlineStr"/>
    </row>
    <row r="602">
      <c r="A602" s="7" t="n">
        <v>650051</v>
      </c>
      <c r="B602" s="10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1" t="n">
        <v>2</v>
      </c>
      <c r="G602" s="11" t="n">
        <v>2</v>
      </c>
      <c r="H602" s="8" t="n">
        <v>2.07</v>
      </c>
      <c r="I602" s="8" t="n">
        <v>2.07</v>
      </c>
      <c r="J602" s="8" t="n"/>
      <c r="K602" s="7" t="inlineStr">
        <is>
          <t>SEM COTAÇÃO</t>
        </is>
      </c>
      <c r="L602" s="8" t="n"/>
      <c r="M602" s="12" t="n"/>
      <c r="N602" s="7" t="inlineStr"/>
      <c r="O602" s="7" t="inlineStr"/>
    </row>
    <row r="603">
      <c r="A603" s="7" t="n">
        <v>639371</v>
      </c>
      <c r="B603" s="10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1" t="n">
        <v>1</v>
      </c>
      <c r="G603" s="11" t="n">
        <v>1</v>
      </c>
      <c r="H603" s="8" t="n">
        <v>40.47</v>
      </c>
      <c r="I603" s="8" t="n">
        <v>40.47</v>
      </c>
      <c r="J603" s="8" t="n"/>
      <c r="K603" s="7" t="inlineStr">
        <is>
          <t>SEM COTAÇÃO</t>
        </is>
      </c>
      <c r="L603" s="8" t="n"/>
      <c r="M603" s="12" t="n"/>
      <c r="N603" s="7" t="inlineStr"/>
      <c r="O603" s="7" t="inlineStr"/>
    </row>
    <row r="604">
      <c r="A604" s="7" t="n">
        <v>639361</v>
      </c>
      <c r="B604" s="10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1" t="n">
        <v>1</v>
      </c>
      <c r="G604" s="11" t="n">
        <v>1</v>
      </c>
      <c r="H604" s="8" t="n">
        <v>32.65</v>
      </c>
      <c r="I604" s="8" t="n">
        <v>32.65</v>
      </c>
      <c r="J604" s="8" t="n"/>
      <c r="K604" s="7" t="inlineStr">
        <is>
          <t>SEM COTAÇÃO</t>
        </is>
      </c>
      <c r="L604" s="8" t="n"/>
      <c r="M604" s="12" t="n"/>
      <c r="N604" s="7" t="inlineStr"/>
      <c r="O604" s="7" t="inlineStr"/>
    </row>
    <row r="605">
      <c r="A605" s="7" t="n">
        <v>3893</v>
      </c>
      <c r="B605" s="10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1" t="n">
        <v>6</v>
      </c>
      <c r="G605" s="11" t="n">
        <v>6</v>
      </c>
      <c r="H605" s="8" t="n">
        <v>12.92</v>
      </c>
      <c r="I605" s="8" t="n">
        <v>12.92</v>
      </c>
      <c r="J605" s="13" t="n">
        <v>12.92</v>
      </c>
      <c r="K605" s="7" t="inlineStr">
        <is>
          <t>DIMEC</t>
        </is>
      </c>
      <c r="L605" s="8" t="n">
        <v>12.92</v>
      </c>
      <c r="M605" s="12">
        <f>L605/H605-1</f>
        <v/>
      </c>
      <c r="N605" s="15" t="inlineStr">
        <is>
          <t>OK (≤ menor hist.)</t>
        </is>
      </c>
      <c r="O605" s="7" t="inlineStr"/>
    </row>
    <row r="606">
      <c r="A606" s="7" t="n">
        <v>639571</v>
      </c>
      <c r="B606" s="10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1" t="n">
        <v>1</v>
      </c>
      <c r="G606" s="11" t="n">
        <v>4</v>
      </c>
      <c r="H606" s="8" t="n">
        <v>6.4635</v>
      </c>
      <c r="I606" s="8" t="n">
        <v>6.4635</v>
      </c>
      <c r="J606" s="8" t="n"/>
      <c r="K606" s="7" t="inlineStr">
        <is>
          <t>SEM COTAÇÃO</t>
        </is>
      </c>
      <c r="L606" s="8" t="n"/>
      <c r="M606" s="12" t="n"/>
      <c r="N606" s="7" t="inlineStr"/>
      <c r="O606" s="7" t="inlineStr"/>
    </row>
    <row r="607">
      <c r="A607" s="7" t="n">
        <v>674321</v>
      </c>
      <c r="B607" s="10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1" t="n">
        <v>1</v>
      </c>
      <c r="G607" s="11" t="n">
        <v>1</v>
      </c>
      <c r="H607" s="8" t="n">
        <v>10.63</v>
      </c>
      <c r="I607" s="8" t="n">
        <v>10.63</v>
      </c>
      <c r="J607" s="13" t="n">
        <v>10.63</v>
      </c>
      <c r="K607" s="7" t="inlineStr">
        <is>
          <t>DIMEC</t>
        </is>
      </c>
      <c r="L607" s="8" t="n">
        <v>10.63</v>
      </c>
      <c r="M607" s="12">
        <f>L607/H607-1</f>
        <v/>
      </c>
      <c r="N607" s="15" t="inlineStr">
        <is>
          <t>OK (≤ menor hist.)</t>
        </is>
      </c>
      <c r="O607" s="7" t="inlineStr"/>
    </row>
    <row r="608">
      <c r="A608" s="7" t="n">
        <v>670271</v>
      </c>
      <c r="B608" s="10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1" t="n">
        <v>2</v>
      </c>
      <c r="G608" s="11" t="n">
        <v>2</v>
      </c>
      <c r="H608" s="8" t="n">
        <v>49.25</v>
      </c>
      <c r="I608" s="8" t="n">
        <v>49.25</v>
      </c>
      <c r="J608" s="8" t="n"/>
      <c r="K608" s="7" t="inlineStr">
        <is>
          <t>SEM COTAÇÃO</t>
        </is>
      </c>
      <c r="L608" s="8" t="n"/>
      <c r="M608" s="12" t="n"/>
      <c r="N608" s="7" t="inlineStr"/>
      <c r="O608" s="7" t="inlineStr"/>
    </row>
    <row r="609">
      <c r="A609" s="7" t="n">
        <v>563101</v>
      </c>
      <c r="B609" s="10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1" t="n">
        <v>1</v>
      </c>
      <c r="G609" s="11" t="n">
        <v>1</v>
      </c>
      <c r="H609" s="8" t="n"/>
      <c r="I609" s="8" t="n"/>
      <c r="J609" s="8" t="n"/>
      <c r="K609" s="7" t="inlineStr">
        <is>
          <t>SEM COTAÇÃO</t>
        </is>
      </c>
      <c r="L609" s="8" t="n"/>
      <c r="M609" s="12" t="n"/>
      <c r="N609" s="7" t="inlineStr"/>
      <c r="O609" s="7" t="inlineStr"/>
    </row>
    <row r="610">
      <c r="A610" s="7" t="n">
        <v>584281</v>
      </c>
      <c r="B610" s="10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1" t="n">
        <v>1</v>
      </c>
      <c r="G610" s="11" t="n">
        <v>26</v>
      </c>
      <c r="H610" s="8" t="n">
        <v>2.6317</v>
      </c>
      <c r="I610" s="8" t="n">
        <v>2.6317</v>
      </c>
      <c r="J610" s="8" t="n"/>
      <c r="K610" s="7" t="inlineStr">
        <is>
          <t>SEM COTAÇÃO</t>
        </is>
      </c>
      <c r="L610" s="8" t="n"/>
      <c r="M610" s="12" t="n"/>
      <c r="N610" s="7" t="inlineStr"/>
      <c r="O610" s="7" t="inlineStr"/>
    </row>
    <row r="611">
      <c r="A611" s="7" t="n">
        <v>533301</v>
      </c>
      <c r="B611" s="10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1" t="n">
        <v>1</v>
      </c>
      <c r="G611" s="11" t="n">
        <v>26</v>
      </c>
      <c r="H611" s="8" t="n">
        <v>13.3991</v>
      </c>
      <c r="I611" s="8" t="n">
        <v>12.17</v>
      </c>
      <c r="J611" s="8" t="n"/>
      <c r="K611" s="7" t="inlineStr">
        <is>
          <t>SEM COTAÇÃO</t>
        </is>
      </c>
      <c r="L611" s="8" t="n"/>
      <c r="M611" s="12" t="n"/>
      <c r="N611" s="7" t="inlineStr"/>
      <c r="O611" s="7" t="inlineStr"/>
    </row>
    <row r="612">
      <c r="A612" s="7" t="n">
        <v>625531</v>
      </c>
      <c r="B612" s="10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1" t="n">
        <v>14</v>
      </c>
      <c r="G612" s="11" t="n">
        <v>14</v>
      </c>
      <c r="H612" s="8" t="n">
        <v>1.02</v>
      </c>
      <c r="I612" s="8" t="n">
        <v>1.02</v>
      </c>
      <c r="J612" s="8" t="n"/>
      <c r="K612" s="7" t="inlineStr">
        <is>
          <t>SEM COTAÇÃO</t>
        </is>
      </c>
      <c r="L612" s="8" t="n"/>
      <c r="M612" s="12" t="n"/>
      <c r="N612" s="7" t="inlineStr"/>
      <c r="O612" s="7" t="inlineStr"/>
    </row>
    <row r="613">
      <c r="A613" s="7" t="n">
        <v>579981</v>
      </c>
      <c r="B613" s="10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1" t="n">
        <v>51</v>
      </c>
      <c r="G613" s="11" t="n">
        <v>51</v>
      </c>
      <c r="H613" s="8" t="n"/>
      <c r="I613" s="8" t="n"/>
      <c r="J613" s="8" t="n"/>
      <c r="K613" s="7" t="inlineStr">
        <is>
          <t>SEM COTAÇÃO</t>
        </is>
      </c>
      <c r="L613" s="8" t="n"/>
      <c r="M613" s="12" t="n"/>
      <c r="N613" s="7" t="inlineStr"/>
      <c r="O613" s="7" t="inlineStr"/>
    </row>
    <row r="614">
      <c r="A614" s="7" t="n">
        <v>639221</v>
      </c>
      <c r="B614" s="10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1" t="n">
        <v>1</v>
      </c>
      <c r="G614" s="11" t="n">
        <v>10</v>
      </c>
      <c r="H614" s="8" t="n">
        <v>1.6392</v>
      </c>
      <c r="I614" s="8" t="n">
        <v>1.4768</v>
      </c>
      <c r="J614" s="8" t="n"/>
      <c r="K614" s="7" t="inlineStr">
        <is>
          <t>SEM COTAÇÃO</t>
        </is>
      </c>
      <c r="L614" s="8" t="n"/>
      <c r="M614" s="12" t="n"/>
      <c r="N614" s="7" t="inlineStr"/>
      <c r="O614" s="7" t="inlineStr"/>
    </row>
    <row r="615">
      <c r="A615" s="7" t="n">
        <v>538001</v>
      </c>
      <c r="B615" s="10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1" t="n">
        <v>277</v>
      </c>
      <c r="G615" s="11" t="n">
        <v>554</v>
      </c>
      <c r="H615" s="8" t="n"/>
      <c r="I615" s="8" t="n"/>
      <c r="J615" s="8" t="n"/>
      <c r="K615" s="7" t="inlineStr">
        <is>
          <t>SEM COTAÇÃO</t>
        </is>
      </c>
      <c r="L615" s="8" t="n"/>
      <c r="M615" s="12" t="n"/>
      <c r="N615" s="7" t="inlineStr"/>
      <c r="O615" s="7" t="inlineStr"/>
    </row>
    <row r="616">
      <c r="A616" s="7" t="n">
        <v>1014</v>
      </c>
      <c r="B616" s="10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1" t="n">
        <v>1</v>
      </c>
      <c r="G616" s="11" t="n">
        <v>1</v>
      </c>
      <c r="H616" s="8" t="n"/>
      <c r="I616" s="8" t="n"/>
      <c r="J616" s="8" t="n"/>
      <c r="K616" s="7" t="inlineStr">
        <is>
          <t>SEM COTAÇÃO</t>
        </is>
      </c>
      <c r="L616" s="8" t="n"/>
      <c r="M616" s="12" t="n"/>
      <c r="N616" s="7" t="inlineStr"/>
      <c r="O616" s="7" t="inlineStr"/>
    </row>
    <row r="617">
      <c r="A617" s="7" t="n">
        <v>623401</v>
      </c>
      <c r="B617" s="10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1" t="n">
        <v>14</v>
      </c>
      <c r="G617" s="11" t="n">
        <v>14</v>
      </c>
      <c r="H617" s="8" t="n">
        <v>1.6327</v>
      </c>
      <c r="I617" s="8" t="n">
        <v>1.6327</v>
      </c>
      <c r="J617" s="8" t="n"/>
      <c r="K617" s="7" t="inlineStr">
        <is>
          <t>SEM COTAÇÃO</t>
        </is>
      </c>
      <c r="L617" s="8" t="n"/>
      <c r="M617" s="12" t="n"/>
      <c r="N617" s="7" t="inlineStr"/>
      <c r="O617" s="7" t="inlineStr"/>
    </row>
    <row r="618">
      <c r="A618" s="7" t="n">
        <v>623381</v>
      </c>
      <c r="B618" s="10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1" t="n">
        <v>4</v>
      </c>
      <c r="G618" s="11" t="n">
        <v>11</v>
      </c>
      <c r="H618" s="8" t="n">
        <v>11.0531</v>
      </c>
      <c r="I618" s="8" t="n">
        <v>3.6119</v>
      </c>
      <c r="J618" s="8" t="n"/>
      <c r="K618" s="7" t="inlineStr">
        <is>
          <t>SEM COTAÇÃO</t>
        </is>
      </c>
      <c r="L618" s="8" t="n"/>
      <c r="M618" s="12" t="n"/>
      <c r="N618" s="7" t="inlineStr"/>
      <c r="O618" s="7" t="inlineStr"/>
    </row>
    <row r="619">
      <c r="A619" s="7" t="n">
        <v>600281</v>
      </c>
      <c r="B619" s="10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1" t="n">
        <v>1</v>
      </c>
      <c r="G619" s="11" t="n">
        <v>1</v>
      </c>
      <c r="H619" s="8" t="n">
        <v>5.555</v>
      </c>
      <c r="I619" s="8" t="n">
        <v>5.555</v>
      </c>
      <c r="J619" s="8" t="n"/>
      <c r="K619" s="7" t="inlineStr">
        <is>
          <t>SEM COTAÇÃO</t>
        </is>
      </c>
      <c r="L619" s="8" t="n"/>
      <c r="M619" s="12" t="n"/>
      <c r="N619" s="7" t="inlineStr"/>
      <c r="O619" s="7" t="inlineStr"/>
    </row>
    <row r="620">
      <c r="A620" s="7" t="n">
        <v>478041</v>
      </c>
      <c r="B620" s="10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1" t="n">
        <v>1</v>
      </c>
      <c r="G620" s="11" t="n">
        <v>1</v>
      </c>
      <c r="H620" s="8" t="n">
        <v>82.04000000000001</v>
      </c>
      <c r="I620" s="8" t="n">
        <v>74</v>
      </c>
      <c r="J620" s="8" t="n"/>
      <c r="K620" s="7" t="inlineStr">
        <is>
          <t>SEM COTAÇÃO</t>
        </is>
      </c>
      <c r="L620" s="8" t="n"/>
      <c r="M620" s="12" t="n"/>
      <c r="N620" s="7" t="inlineStr"/>
      <c r="O620" s="7" t="inlineStr"/>
    </row>
    <row r="621">
      <c r="A621" s="7" t="n">
        <v>477961</v>
      </c>
      <c r="B621" s="10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1" t="n">
        <v>1</v>
      </c>
      <c r="G621" s="11" t="n">
        <v>1</v>
      </c>
      <c r="H621" s="8" t="n">
        <v>89.44</v>
      </c>
      <c r="I621" s="8" t="n">
        <v>79.81999999999999</v>
      </c>
      <c r="J621" s="8" t="n"/>
      <c r="K621" s="7" t="inlineStr">
        <is>
          <t>SEM COTAÇÃO</t>
        </is>
      </c>
      <c r="L621" s="8" t="n"/>
      <c r="M621" s="12" t="n"/>
      <c r="N621" s="7" t="inlineStr"/>
      <c r="O621" s="7" t="inlineStr"/>
    </row>
    <row r="622">
      <c r="A622" s="7" t="n">
        <v>477941</v>
      </c>
      <c r="B622" s="10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1" t="n">
        <v>1</v>
      </c>
      <c r="G622" s="11" t="n">
        <v>1</v>
      </c>
      <c r="H622" s="8" t="n">
        <v>76.45</v>
      </c>
      <c r="I622" s="8" t="n">
        <v>70.33</v>
      </c>
      <c r="J622" s="8" t="n"/>
      <c r="K622" s="7" t="inlineStr">
        <is>
          <t>SEM COTAÇÃO</t>
        </is>
      </c>
      <c r="L622" s="8" t="n"/>
      <c r="M622" s="12" t="n"/>
      <c r="N622" s="7" t="inlineStr"/>
      <c r="O622" s="7" t="inlineStr"/>
    </row>
    <row r="623">
      <c r="A623" s="7" t="n">
        <v>194</v>
      </c>
      <c r="B623" s="10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1" t="n">
        <v>2</v>
      </c>
      <c r="G623" s="11" t="n">
        <v>2</v>
      </c>
      <c r="H623" s="8" t="n">
        <v>3.58</v>
      </c>
      <c r="I623" s="8" t="n">
        <v>3.58</v>
      </c>
      <c r="J623" s="13" t="n">
        <v>3.58</v>
      </c>
      <c r="K623" s="7" t="inlineStr">
        <is>
          <t>DIMEC</t>
        </is>
      </c>
      <c r="L623" s="8" t="n">
        <v>3.58</v>
      </c>
      <c r="M623" s="12">
        <f>L623/H623-1</f>
        <v/>
      </c>
      <c r="N623" s="15" t="inlineStr">
        <is>
          <t>OK (≤ menor hist.)</t>
        </is>
      </c>
      <c r="O623" s="7" t="inlineStr"/>
    </row>
    <row r="624">
      <c r="A624" s="7" t="n">
        <v>705901</v>
      </c>
      <c r="B624" s="10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1" t="n">
        <v>2</v>
      </c>
      <c r="G624" s="11" t="n">
        <v>20</v>
      </c>
      <c r="H624" s="8" t="n">
        <v>2.0075</v>
      </c>
      <c r="I624" s="8" t="n">
        <v>2.0075</v>
      </c>
      <c r="J624" s="8" t="n"/>
      <c r="K624" s="7" t="inlineStr">
        <is>
          <t>SEM COTAÇÃO</t>
        </is>
      </c>
      <c r="L624" s="8" t="n"/>
      <c r="M624" s="12" t="n"/>
      <c r="N624" s="7" t="inlineStr"/>
      <c r="O624" s="7" t="inlineStr"/>
    </row>
    <row r="625">
      <c r="A625" s="7" t="n">
        <v>706101</v>
      </c>
      <c r="B625" s="10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1" t="n">
        <v>1</v>
      </c>
      <c r="G625" s="11" t="n">
        <v>2</v>
      </c>
      <c r="H625" s="8" t="n">
        <v>2.0075</v>
      </c>
      <c r="I625" s="8" t="n">
        <v>2.0075</v>
      </c>
      <c r="J625" s="8" t="n"/>
      <c r="K625" s="7" t="inlineStr">
        <is>
          <t>SEM COTAÇÃO</t>
        </is>
      </c>
      <c r="L625" s="8" t="n"/>
      <c r="M625" s="12" t="n"/>
      <c r="N625" s="7" t="inlineStr"/>
      <c r="O625" s="7" t="inlineStr"/>
    </row>
    <row r="626">
      <c r="A626" s="7" t="n">
        <v>294981</v>
      </c>
      <c r="B626" s="10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1" t="n">
        <v>1</v>
      </c>
      <c r="G626" s="11" t="n">
        <v>1</v>
      </c>
      <c r="H626" s="8" t="n">
        <v>5.63</v>
      </c>
      <c r="I626" s="8" t="n">
        <v>5.63</v>
      </c>
      <c r="J626" s="13" t="n">
        <v>5.63</v>
      </c>
      <c r="K626" s="7" t="inlineStr">
        <is>
          <t>DIMEC</t>
        </is>
      </c>
      <c r="L626" s="8" t="n">
        <v>5.63</v>
      </c>
      <c r="M626" s="12">
        <f>L626/H626-1</f>
        <v/>
      </c>
      <c r="N626" s="15" t="inlineStr">
        <is>
          <t>OK (≤ menor hist.)</t>
        </is>
      </c>
      <c r="O626" s="7" t="inlineStr"/>
    </row>
    <row r="627">
      <c r="A627" s="7" t="n">
        <v>704101</v>
      </c>
      <c r="B627" s="10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1" t="n">
        <v>1</v>
      </c>
      <c r="G627" s="11" t="n">
        <v>1</v>
      </c>
      <c r="H627" s="8" t="n">
        <v>4.585</v>
      </c>
      <c r="I627" s="8" t="n">
        <v>4.585</v>
      </c>
      <c r="J627" s="8" t="n"/>
      <c r="K627" s="7" t="inlineStr">
        <is>
          <t>SEM COTAÇÃO</t>
        </is>
      </c>
      <c r="L627" s="8" t="n"/>
      <c r="M627" s="12" t="n"/>
      <c r="N627" s="7" t="inlineStr"/>
      <c r="O627" s="7" t="inlineStr"/>
    </row>
    <row r="628">
      <c r="A628" s="7" t="n">
        <v>584321</v>
      </c>
      <c r="B628" s="10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1" t="n">
        <v>7</v>
      </c>
      <c r="G628" s="11" t="n">
        <v>7</v>
      </c>
      <c r="H628" s="8" t="n">
        <v>11.0709</v>
      </c>
      <c r="I628" s="8" t="n">
        <v>8.776199999999999</v>
      </c>
      <c r="J628" s="8" t="n"/>
      <c r="K628" s="7" t="inlineStr">
        <is>
          <t>SEM COTAÇÃO</t>
        </is>
      </c>
      <c r="L628" s="8" t="n"/>
      <c r="M628" s="12" t="n"/>
      <c r="N628" s="7" t="inlineStr"/>
      <c r="O628" s="7" t="inlineStr"/>
    </row>
    <row r="629">
      <c r="A629" s="7" t="n">
        <v>584301</v>
      </c>
      <c r="B629" s="10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1" t="n">
        <v>8</v>
      </c>
      <c r="G629" s="11" t="n">
        <v>8</v>
      </c>
      <c r="H629" s="8" t="n">
        <v>11.07</v>
      </c>
      <c r="I629" s="8" t="n">
        <v>8.99</v>
      </c>
      <c r="J629" s="8" t="n"/>
      <c r="K629" s="7" t="inlineStr">
        <is>
          <t>SEM COTAÇÃO</t>
        </is>
      </c>
      <c r="L629" s="8" t="n"/>
      <c r="M629" s="12" t="n"/>
      <c r="N629" s="7" t="inlineStr"/>
      <c r="O629" s="7" t="inlineStr"/>
    </row>
    <row r="630">
      <c r="A630" s="7" t="n">
        <v>71481</v>
      </c>
      <c r="B630" s="10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1" t="n">
        <v>1</v>
      </c>
      <c r="G630" s="11" t="n">
        <v>1</v>
      </c>
      <c r="H630" s="8" t="n">
        <v>50.565</v>
      </c>
      <c r="I630" s="8" t="n">
        <v>50.565</v>
      </c>
      <c r="J630" s="13" t="n">
        <v>62.18</v>
      </c>
      <c r="K630" s="7" t="inlineStr">
        <is>
          <t>DIMEC</t>
        </is>
      </c>
      <c r="L630" s="8" t="n">
        <v>62.18</v>
      </c>
      <c r="M630" s="12">
        <f>L630/H630-1</f>
        <v/>
      </c>
      <c r="N630" s="14" t="inlineStr">
        <is>
          <t>ACIMA +23.0%</t>
        </is>
      </c>
      <c r="O630" s="7" t="inlineStr"/>
    </row>
    <row r="631">
      <c r="A631" s="7" t="n">
        <v>705401</v>
      </c>
      <c r="B631" s="10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1" t="n">
        <v>1</v>
      </c>
      <c r="G631" s="11" t="n">
        <v>2</v>
      </c>
      <c r="H631" s="8" t="n"/>
      <c r="I631" s="8" t="n"/>
      <c r="J631" s="8" t="n"/>
      <c r="K631" s="7" t="inlineStr">
        <is>
          <t>SEM COTAÇÃO</t>
        </is>
      </c>
      <c r="L631" s="8" t="n"/>
      <c r="M631" s="12" t="n"/>
      <c r="N631" s="7" t="inlineStr"/>
      <c r="O631" s="7" t="inlineStr"/>
    </row>
    <row r="632">
      <c r="A632" s="7" t="n">
        <v>606351</v>
      </c>
      <c r="B632" s="10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1" t="n">
        <v>2</v>
      </c>
      <c r="G632" s="11" t="n">
        <v>2</v>
      </c>
      <c r="H632" s="8" t="n">
        <v>18.74</v>
      </c>
      <c r="I632" s="8" t="n">
        <v>14.1583</v>
      </c>
      <c r="J632" s="8" t="n"/>
      <c r="K632" s="7" t="inlineStr">
        <is>
          <t>SEM COTAÇÃO</t>
        </is>
      </c>
      <c r="L632" s="8" t="n"/>
      <c r="M632" s="12" t="n"/>
      <c r="N632" s="7" t="inlineStr"/>
      <c r="O632" s="7" t="inlineStr"/>
    </row>
    <row r="633">
      <c r="A633" s="7" t="n">
        <v>603911</v>
      </c>
      <c r="B633" s="10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1" t="n">
        <v>2</v>
      </c>
      <c r="G633" s="11" t="n">
        <v>2</v>
      </c>
      <c r="H633" s="8" t="n">
        <v>30.52</v>
      </c>
      <c r="I633" s="8" t="n">
        <v>16.4217</v>
      </c>
      <c r="J633" s="8" t="n"/>
      <c r="K633" s="7" t="inlineStr">
        <is>
          <t>SEM COTAÇÃO</t>
        </is>
      </c>
      <c r="L633" s="8" t="n"/>
      <c r="M633" s="12" t="n"/>
      <c r="N633" s="7" t="inlineStr"/>
      <c r="O633" s="7" t="inlineStr"/>
    </row>
    <row r="634">
      <c r="A634" s="7" t="n">
        <v>560341</v>
      </c>
      <c r="B634" s="10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1" t="n">
        <v>3</v>
      </c>
      <c r="G634" s="11" t="n">
        <v>3</v>
      </c>
      <c r="H634" s="8" t="n">
        <v>8.99</v>
      </c>
      <c r="I634" s="8" t="n">
        <v>8.99</v>
      </c>
      <c r="J634" s="8" t="n"/>
      <c r="K634" s="7" t="inlineStr">
        <is>
          <t>SEM COTAÇÃO</t>
        </is>
      </c>
      <c r="L634" s="8" t="n"/>
      <c r="M634" s="12" t="n"/>
      <c r="N634" s="7" t="inlineStr"/>
      <c r="O634" s="7" t="inlineStr"/>
    </row>
    <row r="635">
      <c r="A635" s="7" t="n">
        <v>5103</v>
      </c>
      <c r="B635" s="10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1" t="n">
        <v>1</v>
      </c>
      <c r="G635" s="11" t="n">
        <v>1</v>
      </c>
      <c r="H635" s="8" t="n">
        <v>13.49</v>
      </c>
      <c r="I635" s="8" t="n">
        <v>13.49</v>
      </c>
      <c r="J635" s="8" t="n"/>
      <c r="K635" s="7" t="inlineStr">
        <is>
          <t>SEM COTAÇÃO</t>
        </is>
      </c>
      <c r="L635" s="8" t="n"/>
      <c r="M635" s="12" t="n"/>
      <c r="N635" s="7" t="inlineStr"/>
      <c r="O635" s="7" t="inlineStr"/>
    </row>
    <row r="636">
      <c r="A636" s="7" t="n">
        <v>647231</v>
      </c>
      <c r="B636" s="10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1" t="n">
        <v>1</v>
      </c>
      <c r="G636" s="11" t="n">
        <v>1</v>
      </c>
      <c r="H636" s="8" t="n">
        <v>14.99</v>
      </c>
      <c r="I636" s="8" t="n">
        <v>14.99</v>
      </c>
      <c r="J636" s="8" t="n"/>
      <c r="K636" s="7" t="inlineStr">
        <is>
          <t>SEM COTAÇÃO</t>
        </is>
      </c>
      <c r="L636" s="8" t="n"/>
      <c r="M636" s="12" t="n"/>
      <c r="N636" s="7" t="inlineStr"/>
      <c r="O636" s="7" t="inlineStr"/>
    </row>
    <row r="637">
      <c r="A637" s="7" t="n">
        <v>654621</v>
      </c>
      <c r="B637" s="10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1" t="n">
        <v>1</v>
      </c>
      <c r="G637" s="11" t="n">
        <v>1</v>
      </c>
      <c r="H637" s="8" t="n">
        <v>17.15</v>
      </c>
      <c r="I637" s="8" t="n">
        <v>17.15</v>
      </c>
      <c r="J637" s="8" t="n"/>
      <c r="K637" s="7" t="inlineStr">
        <is>
          <t>SEM COTAÇÃO</t>
        </is>
      </c>
      <c r="L637" s="8" t="n"/>
      <c r="M637" s="12" t="n"/>
      <c r="N637" s="7" t="inlineStr"/>
      <c r="O637" s="7" t="inlineStr"/>
    </row>
    <row r="638">
      <c r="A638" s="7" t="n">
        <v>600551</v>
      </c>
      <c r="B638" s="10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1" t="n">
        <v>1</v>
      </c>
      <c r="G638" s="11" t="n">
        <v>1</v>
      </c>
      <c r="H638" s="8" t="n">
        <v>34.35</v>
      </c>
      <c r="I638" s="8" t="n">
        <v>31.035</v>
      </c>
      <c r="J638" s="8" t="n"/>
      <c r="K638" s="7" t="inlineStr">
        <is>
          <t>SEM COTAÇÃO</t>
        </is>
      </c>
      <c r="L638" s="8" t="n"/>
      <c r="M638" s="12" t="n"/>
      <c r="N638" s="7" t="inlineStr"/>
      <c r="O638" s="7" t="inlineStr"/>
    </row>
    <row r="639">
      <c r="A639" s="7" t="n">
        <v>539701</v>
      </c>
      <c r="B639" s="10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1" t="n">
        <v>4</v>
      </c>
      <c r="G639" s="11" t="n">
        <v>4</v>
      </c>
      <c r="H639" s="8" t="n">
        <v>36.48</v>
      </c>
      <c r="I639" s="8" t="n">
        <v>30.8</v>
      </c>
      <c r="J639" s="8" t="n"/>
      <c r="K639" s="7" t="inlineStr">
        <is>
          <t>SEM COTAÇÃO</t>
        </is>
      </c>
      <c r="L639" s="8" t="n"/>
      <c r="M639" s="12" t="n"/>
      <c r="N639" s="7" t="inlineStr"/>
      <c r="O639" s="7" t="inlineStr"/>
    </row>
    <row r="640">
      <c r="A640" s="7" t="n">
        <v>594131</v>
      </c>
      <c r="B640" s="10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1" t="n">
        <v>9</v>
      </c>
      <c r="G640" s="11" t="n">
        <v>9</v>
      </c>
      <c r="H640" s="8" t="n">
        <v>53.72</v>
      </c>
      <c r="I640" s="8" t="n">
        <v>42.77</v>
      </c>
      <c r="J640" s="8" t="n"/>
      <c r="K640" s="7" t="inlineStr">
        <is>
          <t>SEM COTAÇÃO</t>
        </is>
      </c>
      <c r="L640" s="8" t="n"/>
      <c r="M640" s="12" t="n"/>
      <c r="N640" s="7" t="inlineStr"/>
      <c r="O640" s="7" t="inlineStr"/>
    </row>
    <row r="641">
      <c r="A641" s="7" t="n">
        <v>630551</v>
      </c>
      <c r="B641" s="10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1" t="n">
        <v>3</v>
      </c>
      <c r="G641" s="11" t="n">
        <v>3</v>
      </c>
      <c r="H641" s="8" t="n">
        <v>25.82</v>
      </c>
      <c r="I641" s="8" t="n">
        <v>25.82</v>
      </c>
      <c r="J641" s="8" t="n"/>
      <c r="K641" s="7" t="inlineStr">
        <is>
          <t>SEM COTAÇÃO</t>
        </is>
      </c>
      <c r="L641" s="8" t="n"/>
      <c r="M641" s="12" t="n"/>
      <c r="N641" s="7" t="inlineStr"/>
      <c r="O641" s="7" t="inlineStr"/>
    </row>
    <row r="642">
      <c r="A642" s="7" t="n">
        <v>596481</v>
      </c>
      <c r="B642" s="10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1" t="n">
        <v>8</v>
      </c>
      <c r="G642" s="11" t="n">
        <v>8</v>
      </c>
      <c r="H642" s="8" t="n">
        <v>8.56</v>
      </c>
      <c r="I642" s="8" t="n">
        <v>8.48</v>
      </c>
      <c r="J642" s="13" t="n">
        <v>8.9</v>
      </c>
      <c r="K642" s="7" t="inlineStr">
        <is>
          <t>DIMEC</t>
        </is>
      </c>
      <c r="L642" s="8" t="n">
        <v>8.9</v>
      </c>
      <c r="M642" s="12">
        <f>L642/H642-1</f>
        <v/>
      </c>
      <c r="N642" s="14" t="inlineStr">
        <is>
          <t>ACIMA +4.0%</t>
        </is>
      </c>
      <c r="O642" s="7" t="inlineStr"/>
    </row>
    <row r="643">
      <c r="A643" s="7" t="n">
        <v>603521</v>
      </c>
      <c r="B643" s="10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1" t="n">
        <v>1</v>
      </c>
      <c r="G643" s="11" t="n">
        <v>1</v>
      </c>
      <c r="H643" s="8" t="n">
        <v>25.77</v>
      </c>
      <c r="I643" s="8" t="n">
        <v>25.77</v>
      </c>
      <c r="J643" s="8" t="n"/>
      <c r="K643" s="7" t="inlineStr">
        <is>
          <t>SEM COTAÇÃO</t>
        </is>
      </c>
      <c r="L643" s="8" t="n"/>
      <c r="M643" s="12" t="n"/>
      <c r="N643" s="7" t="inlineStr"/>
      <c r="O643" s="7" t="inlineStr"/>
    </row>
    <row r="644">
      <c r="A644" s="7" t="n">
        <v>603531</v>
      </c>
      <c r="B644" s="10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1" t="n">
        <v>1</v>
      </c>
      <c r="G644" s="11" t="n">
        <v>1</v>
      </c>
      <c r="H644" s="8" t="n">
        <v>25.77</v>
      </c>
      <c r="I644" s="8" t="n">
        <v>25.77</v>
      </c>
      <c r="J644" s="8" t="n"/>
      <c r="K644" s="7" t="inlineStr">
        <is>
          <t>SEM COTAÇÃO</t>
        </is>
      </c>
      <c r="L644" s="8" t="n"/>
      <c r="M644" s="12" t="n"/>
      <c r="N644" s="7" t="inlineStr"/>
      <c r="O644" s="7" t="inlineStr"/>
    </row>
    <row r="645">
      <c r="A645" s="7" t="n">
        <v>643401</v>
      </c>
      <c r="B645" s="10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1" t="n">
        <v>1</v>
      </c>
      <c r="G645" s="11" t="n">
        <v>1</v>
      </c>
      <c r="H645" s="8" t="n">
        <v>81.90000000000001</v>
      </c>
      <c r="I645" s="8" t="n">
        <v>81.90000000000001</v>
      </c>
      <c r="J645" s="8" t="n"/>
      <c r="K645" s="7" t="inlineStr">
        <is>
          <t>SEM COTAÇÃO</t>
        </is>
      </c>
      <c r="L645" s="8" t="n"/>
      <c r="M645" s="12" t="n"/>
      <c r="N645" s="7" t="inlineStr"/>
      <c r="O645" s="7" t="inlineStr"/>
    </row>
    <row r="646">
      <c r="A646" s="7" t="n">
        <v>643391</v>
      </c>
      <c r="B646" s="10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1" t="n">
        <v>1</v>
      </c>
      <c r="G646" s="11" t="n">
        <v>1</v>
      </c>
      <c r="H646" s="8" t="n">
        <v>70.405</v>
      </c>
      <c r="I646" s="8" t="n">
        <v>70.405</v>
      </c>
      <c r="J646" s="8" t="n"/>
      <c r="K646" s="7" t="inlineStr">
        <is>
          <t>SEM COTAÇÃO</t>
        </is>
      </c>
      <c r="L646" s="8" t="n"/>
      <c r="M646" s="12" t="n"/>
      <c r="N646" s="7" t="inlineStr"/>
      <c r="O646" s="7" t="inlineStr"/>
    </row>
    <row r="647">
      <c r="A647" s="7" t="n">
        <v>643381</v>
      </c>
      <c r="B647" s="10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1" t="n">
        <v>1</v>
      </c>
      <c r="G647" s="11" t="n">
        <v>1</v>
      </c>
      <c r="H647" s="8" t="n">
        <v>70.405</v>
      </c>
      <c r="I647" s="8" t="n">
        <v>70.405</v>
      </c>
      <c r="J647" s="8" t="n"/>
      <c r="K647" s="7" t="inlineStr">
        <is>
          <t>SEM COTAÇÃO</t>
        </is>
      </c>
      <c r="L647" s="8" t="n"/>
      <c r="M647" s="12" t="n"/>
      <c r="N647" s="7" t="inlineStr"/>
      <c r="O647" s="7" t="inlineStr"/>
    </row>
    <row r="648">
      <c r="A648" s="7" t="n">
        <v>76701</v>
      </c>
      <c r="B648" s="10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1" t="n">
        <v>6</v>
      </c>
      <c r="G648" s="11" t="n">
        <v>6</v>
      </c>
      <c r="H648" s="8" t="n">
        <v>1.45</v>
      </c>
      <c r="I648" s="8" t="n">
        <v>1.34</v>
      </c>
      <c r="J648" s="8" t="n"/>
      <c r="K648" s="7" t="inlineStr">
        <is>
          <t>SEM COTAÇÃO</t>
        </is>
      </c>
      <c r="L648" s="8" t="n"/>
      <c r="M648" s="12" t="n"/>
      <c r="N648" s="7" t="inlineStr"/>
      <c r="O648" s="7" t="inlineStr"/>
    </row>
    <row r="649">
      <c r="A649" s="7" t="n">
        <v>76421</v>
      </c>
      <c r="B649" s="10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1" t="n">
        <v>1</v>
      </c>
      <c r="G649" s="11" t="n">
        <v>1</v>
      </c>
      <c r="H649" s="8" t="n">
        <v>2.69</v>
      </c>
      <c r="I649" s="8" t="n">
        <v>2.47</v>
      </c>
      <c r="J649" s="8" t="n"/>
      <c r="K649" s="7" t="inlineStr">
        <is>
          <t>SEM COTAÇÃO</t>
        </is>
      </c>
      <c r="L649" s="8" t="n"/>
      <c r="M649" s="12" t="n"/>
      <c r="N649" s="7" t="inlineStr"/>
      <c r="O649" s="7" t="inlineStr"/>
    </row>
    <row r="650">
      <c r="A650" s="7" t="n">
        <v>74721</v>
      </c>
      <c r="B650" s="10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1" t="n">
        <v>3</v>
      </c>
      <c r="G650" s="11" t="n">
        <v>3</v>
      </c>
      <c r="H650" s="8" t="n">
        <v>4.04</v>
      </c>
      <c r="I650" s="8" t="n">
        <v>4.04</v>
      </c>
      <c r="J650" s="13" t="n">
        <v>4.04</v>
      </c>
      <c r="K650" s="7" t="inlineStr">
        <is>
          <t>DIMEC</t>
        </is>
      </c>
      <c r="L650" s="8" t="n">
        <v>4.04</v>
      </c>
      <c r="M650" s="12">
        <f>L650/H650-1</f>
        <v/>
      </c>
      <c r="N650" s="15" t="inlineStr">
        <is>
          <t>OK (≤ menor hist.)</t>
        </is>
      </c>
      <c r="O650" s="7" t="inlineStr"/>
    </row>
    <row r="651">
      <c r="A651" s="7" t="n">
        <v>84261</v>
      </c>
      <c r="B651" s="10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1" t="n">
        <v>2</v>
      </c>
      <c r="G651" s="11" t="n">
        <v>2</v>
      </c>
      <c r="H651" s="8" t="n">
        <v>4.6</v>
      </c>
      <c r="I651" s="8" t="n">
        <v>4.6</v>
      </c>
      <c r="J651" s="8" t="n"/>
      <c r="K651" s="7" t="inlineStr">
        <is>
          <t>SEM COTAÇÃO</t>
        </is>
      </c>
      <c r="L651" s="8" t="n"/>
      <c r="M651" s="12" t="n"/>
      <c r="N651" s="7" t="inlineStr"/>
      <c r="O651" s="7" t="inlineStr"/>
    </row>
    <row r="652">
      <c r="A652" s="7" t="n">
        <v>84281</v>
      </c>
      <c r="B652" s="10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1" t="n">
        <v>3</v>
      </c>
      <c r="G652" s="11" t="n">
        <v>3</v>
      </c>
      <c r="H652" s="8" t="n">
        <v>3</v>
      </c>
      <c r="I652" s="8" t="n">
        <v>3</v>
      </c>
      <c r="J652" s="13" t="n">
        <v>3.62</v>
      </c>
      <c r="K652" s="7" t="inlineStr">
        <is>
          <t>DIMEC</t>
        </is>
      </c>
      <c r="L652" s="8" t="n">
        <v>3.62</v>
      </c>
      <c r="M652" s="12">
        <f>L652/H652-1</f>
        <v/>
      </c>
      <c r="N652" s="14" t="inlineStr">
        <is>
          <t>ACIMA +20.7%</t>
        </is>
      </c>
      <c r="O652" s="7" t="inlineStr"/>
    </row>
    <row r="653">
      <c r="A653" s="7" t="n">
        <v>551981</v>
      </c>
      <c r="B653" s="10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1" t="n">
        <v>1</v>
      </c>
      <c r="G653" s="11" t="n">
        <v>1</v>
      </c>
      <c r="H653" s="8" t="n">
        <v>25</v>
      </c>
      <c r="I653" s="8" t="n">
        <v>25</v>
      </c>
      <c r="J653" s="8" t="n"/>
      <c r="K653" s="7" t="inlineStr">
        <is>
          <t>SEM COTAÇÃO</t>
        </is>
      </c>
      <c r="L653" s="8" t="n"/>
      <c r="M653" s="12" t="n"/>
      <c r="N653" s="7" t="inlineStr"/>
      <c r="O653" s="7" t="inlineStr"/>
    </row>
    <row r="654">
      <c r="A654" s="7" t="n">
        <v>565741</v>
      </c>
      <c r="B654" s="10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1" t="n">
        <v>1</v>
      </c>
      <c r="G654" s="11" t="n">
        <v>1</v>
      </c>
      <c r="H654" s="8" t="n">
        <v>26.92</v>
      </c>
      <c r="I654" s="8" t="n">
        <v>26.92</v>
      </c>
      <c r="J654" s="8" t="n"/>
      <c r="K654" s="7" t="inlineStr">
        <is>
          <t>SEM COTAÇÃO</t>
        </is>
      </c>
      <c r="L654" s="8" t="n"/>
      <c r="M654" s="12" t="n"/>
      <c r="N654" s="7" t="inlineStr"/>
      <c r="O654" s="7" t="inlineStr"/>
    </row>
    <row r="655">
      <c r="A655" s="7" t="n">
        <v>653061</v>
      </c>
      <c r="B655" s="10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1" t="n">
        <v>2</v>
      </c>
      <c r="G655" s="11" t="n">
        <v>2</v>
      </c>
      <c r="H655" s="8" t="n"/>
      <c r="I655" s="8" t="n"/>
      <c r="J655" s="8" t="n"/>
      <c r="K655" s="7" t="inlineStr">
        <is>
          <t>SEM COTAÇÃO</t>
        </is>
      </c>
      <c r="L655" s="8" t="n"/>
      <c r="M655" s="12" t="n"/>
      <c r="N655" s="7" t="inlineStr"/>
      <c r="O655" s="7" t="inlineStr"/>
    </row>
    <row r="656">
      <c r="A656" s="7" t="n">
        <v>662881</v>
      </c>
      <c r="B656" s="10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1" t="n">
        <v>1</v>
      </c>
      <c r="G656" s="11" t="n">
        <v>1</v>
      </c>
      <c r="H656" s="8" t="n"/>
      <c r="I656" s="8" t="n"/>
      <c r="J656" s="8" t="n"/>
      <c r="K656" s="7" t="inlineStr">
        <is>
          <t>SEM COTAÇÃO</t>
        </is>
      </c>
      <c r="L656" s="8" t="n"/>
      <c r="M656" s="12" t="n"/>
      <c r="N656" s="7" t="inlineStr"/>
      <c r="O656" s="7" t="inlineStr"/>
    </row>
    <row r="657">
      <c r="A657" s="7" t="n">
        <v>655461</v>
      </c>
      <c r="B657" s="10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1" t="n">
        <v>1</v>
      </c>
      <c r="G657" s="11" t="n">
        <v>1</v>
      </c>
      <c r="H657" s="8" t="n">
        <v>13.9</v>
      </c>
      <c r="I657" s="8" t="n">
        <v>13.9</v>
      </c>
      <c r="J657" s="8" t="n"/>
      <c r="K657" s="7" t="inlineStr">
        <is>
          <t>SEM COTAÇÃO</t>
        </is>
      </c>
      <c r="L657" s="8" t="n"/>
      <c r="M657" s="12" t="n"/>
      <c r="N657" s="7" t="inlineStr"/>
      <c r="O657" s="7" t="inlineStr"/>
    </row>
    <row r="658">
      <c r="A658" s="7" t="n">
        <v>658111</v>
      </c>
      <c r="B658" s="10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1" t="n">
        <v>1</v>
      </c>
      <c r="G658" s="11" t="n">
        <v>1</v>
      </c>
      <c r="H658" s="8" t="n">
        <v>14.99</v>
      </c>
      <c r="I658" s="8" t="n">
        <v>14.99</v>
      </c>
      <c r="J658" s="8" t="n"/>
      <c r="K658" s="7" t="inlineStr">
        <is>
          <t>SEM COTAÇÃO</t>
        </is>
      </c>
      <c r="L658" s="8" t="n"/>
      <c r="M658" s="12" t="n"/>
      <c r="N658" s="7" t="inlineStr"/>
      <c r="O658" s="7" t="inlineStr"/>
    </row>
    <row r="659">
      <c r="A659" s="7" t="n">
        <v>640131</v>
      </c>
      <c r="B659" s="10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1" t="n">
        <v>1</v>
      </c>
      <c r="G659" s="11" t="n">
        <v>1</v>
      </c>
      <c r="H659" s="8" t="n">
        <v>16.9042</v>
      </c>
      <c r="I659" s="8" t="n">
        <v>16.9042</v>
      </c>
      <c r="J659" s="8" t="n"/>
      <c r="K659" s="7" t="inlineStr">
        <is>
          <t>SEM COTAÇÃO</t>
        </is>
      </c>
      <c r="L659" s="8" t="n"/>
      <c r="M659" s="12" t="n"/>
      <c r="N659" s="7" t="inlineStr"/>
      <c r="O659" s="7" t="inlineStr"/>
    </row>
    <row r="660">
      <c r="A660" s="7" t="n">
        <v>660441</v>
      </c>
      <c r="B660" s="10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1" t="n">
        <v>1</v>
      </c>
      <c r="G660" s="11" t="n">
        <v>1</v>
      </c>
      <c r="H660" s="8" t="n"/>
      <c r="I660" s="8" t="n"/>
      <c r="J660" s="8" t="n"/>
      <c r="K660" s="7" t="inlineStr">
        <is>
          <t>SEM COTAÇÃO</t>
        </is>
      </c>
      <c r="L660" s="8" t="n"/>
      <c r="M660" s="12" t="n"/>
      <c r="N660" s="7" t="inlineStr"/>
      <c r="O660" s="7" t="inlineStr"/>
    </row>
    <row r="661">
      <c r="A661" s="7" t="n">
        <v>653371</v>
      </c>
      <c r="B661" s="10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1" t="n">
        <v>1</v>
      </c>
      <c r="G661" s="11" t="n">
        <v>1</v>
      </c>
      <c r="H661" s="8" t="n">
        <v>14.9</v>
      </c>
      <c r="I661" s="8" t="n">
        <v>14.9</v>
      </c>
      <c r="J661" s="8" t="n"/>
      <c r="K661" s="7" t="inlineStr">
        <is>
          <t>SEM COTAÇÃO</t>
        </is>
      </c>
      <c r="L661" s="8" t="n"/>
      <c r="M661" s="12" t="n"/>
      <c r="N661" s="7" t="inlineStr"/>
      <c r="O661" s="7" t="inlineStr"/>
    </row>
    <row r="662">
      <c r="A662" s="7" t="n">
        <v>1123</v>
      </c>
      <c r="B662" s="10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1" t="n">
        <v>1</v>
      </c>
      <c r="G662" s="11" t="n">
        <v>1</v>
      </c>
      <c r="H662" s="8" t="n"/>
      <c r="I662" s="8" t="n"/>
      <c r="J662" s="8" t="n"/>
      <c r="K662" s="7" t="inlineStr">
        <is>
          <t>SEM COTAÇÃO</t>
        </is>
      </c>
      <c r="L662" s="8" t="n"/>
      <c r="M662" s="12" t="n"/>
      <c r="N662" s="7" t="inlineStr"/>
      <c r="O662" s="7" t="inlineStr"/>
    </row>
    <row r="663">
      <c r="A663" s="7" t="n">
        <v>705301</v>
      </c>
      <c r="B663" s="10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1" t="n">
        <v>5</v>
      </c>
      <c r="G663" s="11" t="n">
        <v>5</v>
      </c>
      <c r="H663" s="8" t="n"/>
      <c r="I663" s="8" t="n"/>
      <c r="J663" s="8" t="n"/>
      <c r="K663" s="7" t="inlineStr">
        <is>
          <t>SEM COTAÇÃO</t>
        </is>
      </c>
      <c r="L663" s="8" t="n"/>
      <c r="M663" s="12" t="n"/>
      <c r="N663" s="7" t="inlineStr"/>
      <c r="O663" s="7" t="inlineStr"/>
    </row>
    <row r="664">
      <c r="A664" s="7" t="n">
        <v>83221</v>
      </c>
      <c r="B664" s="10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1" t="n">
        <v>11</v>
      </c>
      <c r="G664" s="11" t="n">
        <v>11</v>
      </c>
      <c r="H664" s="8" t="n">
        <v>3.49</v>
      </c>
      <c r="I664" s="8" t="n">
        <v>3.13</v>
      </c>
      <c r="J664" s="8" t="n"/>
      <c r="K664" s="7" t="inlineStr">
        <is>
          <t>SEM COTAÇÃO</t>
        </is>
      </c>
      <c r="L664" s="8" t="n"/>
      <c r="M664" s="12" t="n"/>
      <c r="N664" s="7" t="inlineStr"/>
      <c r="O664" s="7" t="inlineStr"/>
    </row>
    <row r="665">
      <c r="A665" s="7" t="n">
        <v>85541</v>
      </c>
      <c r="B665" s="10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1" t="n">
        <v>1</v>
      </c>
      <c r="G665" s="11" t="n">
        <v>1</v>
      </c>
      <c r="H665" s="8" t="n">
        <v>6.29</v>
      </c>
      <c r="I665" s="8" t="n">
        <v>6.29</v>
      </c>
      <c r="J665" s="8" t="n"/>
      <c r="K665" s="7" t="inlineStr">
        <is>
          <t>SEM COTAÇÃO</t>
        </is>
      </c>
      <c r="L665" s="8" t="n"/>
      <c r="M665" s="12" t="n"/>
      <c r="N665" s="7" t="inlineStr"/>
      <c r="O665" s="7" t="inlineStr"/>
    </row>
    <row r="666">
      <c r="A666" s="7" t="n">
        <v>83241</v>
      </c>
      <c r="B666" s="10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1" t="n">
        <v>2</v>
      </c>
      <c r="G666" s="11" t="n">
        <v>2</v>
      </c>
      <c r="H666" s="8" t="n">
        <v>5.11</v>
      </c>
      <c r="I666" s="8" t="n">
        <v>5.11</v>
      </c>
      <c r="J666" s="8" t="n"/>
      <c r="K666" s="7" t="inlineStr">
        <is>
          <t>SEM COTAÇÃO</t>
        </is>
      </c>
      <c r="L666" s="8" t="n"/>
      <c r="M666" s="12" t="n"/>
      <c r="N666" s="7" t="inlineStr"/>
      <c r="O666" s="7" t="inlineStr"/>
    </row>
    <row r="667">
      <c r="A667" s="7" t="n">
        <v>83701</v>
      </c>
      <c r="B667" s="10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1" t="n">
        <v>1</v>
      </c>
      <c r="G667" s="11" t="n">
        <v>1</v>
      </c>
      <c r="H667" s="8" t="n">
        <v>12.07</v>
      </c>
      <c r="I667" s="8" t="n">
        <v>12.07</v>
      </c>
      <c r="J667" s="8" t="n"/>
      <c r="K667" s="7" t="inlineStr">
        <is>
          <t>SEM COTAÇÃO</t>
        </is>
      </c>
      <c r="L667" s="8" t="n"/>
      <c r="M667" s="12" t="n"/>
      <c r="N667" s="7" t="inlineStr"/>
      <c r="O667" s="7" t="inlineStr"/>
    </row>
    <row r="668">
      <c r="A668" s="7" t="n">
        <v>83341</v>
      </c>
      <c r="B668" s="10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1" t="n">
        <v>1</v>
      </c>
      <c r="G668" s="11" t="n">
        <v>1</v>
      </c>
      <c r="H668" s="8" t="n">
        <v>7.2967</v>
      </c>
      <c r="I668" s="8" t="n">
        <v>7.2967</v>
      </c>
      <c r="J668" s="8" t="n"/>
      <c r="K668" s="7" t="inlineStr">
        <is>
          <t>SEM COTAÇÃO</t>
        </is>
      </c>
      <c r="L668" s="8" t="n"/>
      <c r="M668" s="12" t="n"/>
      <c r="N668" s="7" t="inlineStr"/>
      <c r="O668" s="7" t="inlineStr"/>
    </row>
    <row r="669">
      <c r="A669" s="7" t="n">
        <v>20981</v>
      </c>
      <c r="B669" s="10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1" t="n">
        <v>3</v>
      </c>
      <c r="G669" s="11" t="n">
        <v>3</v>
      </c>
      <c r="H669" s="8" t="n">
        <v>8.720000000000001</v>
      </c>
      <c r="I669" s="8" t="n">
        <v>8.720000000000001</v>
      </c>
      <c r="J669" s="8" t="n"/>
      <c r="K669" s="7" t="inlineStr">
        <is>
          <t>SEM COTAÇÃO</t>
        </is>
      </c>
      <c r="L669" s="8" t="n"/>
      <c r="M669" s="12" t="n"/>
      <c r="N669" s="7" t="inlineStr"/>
      <c r="O669" s="7" t="inlineStr"/>
    </row>
    <row r="670">
      <c r="A670" s="7" t="n">
        <v>20941</v>
      </c>
      <c r="B670" s="10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1" t="n">
        <v>1</v>
      </c>
      <c r="G670" s="11" t="n">
        <v>1</v>
      </c>
      <c r="H670" s="8" t="n">
        <v>8.73</v>
      </c>
      <c r="I670" s="8" t="n">
        <v>8.73</v>
      </c>
      <c r="J670" s="8" t="n"/>
      <c r="K670" s="7" t="inlineStr">
        <is>
          <t>SEM COTAÇÃO</t>
        </is>
      </c>
      <c r="L670" s="8" t="n"/>
      <c r="M670" s="12" t="n"/>
      <c r="N670" s="7" t="inlineStr"/>
      <c r="O670" s="7" t="inlineStr"/>
    </row>
    <row r="671">
      <c r="A671" s="7" t="n">
        <v>210221</v>
      </c>
      <c r="B671" s="10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1" t="n">
        <v>3</v>
      </c>
      <c r="G671" s="11" t="n">
        <v>3</v>
      </c>
      <c r="H671" s="8" t="n">
        <v>17.03</v>
      </c>
      <c r="I671" s="8" t="n">
        <v>16.38</v>
      </c>
      <c r="J671" s="8" t="n"/>
      <c r="K671" s="7" t="inlineStr">
        <is>
          <t>SEM COTAÇÃO</t>
        </is>
      </c>
      <c r="L671" s="8" t="n"/>
      <c r="M671" s="12" t="n"/>
      <c r="N671" s="7" t="inlineStr"/>
      <c r="O671" s="7" t="inlineStr"/>
    </row>
    <row r="672">
      <c r="A672" s="7" t="n">
        <v>600501</v>
      </c>
      <c r="B672" s="10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1" t="n">
        <v>2</v>
      </c>
      <c r="G672" s="11" t="n">
        <v>2</v>
      </c>
      <c r="H672" s="8" t="n">
        <v>7.61</v>
      </c>
      <c r="I672" s="8" t="n">
        <v>7.61</v>
      </c>
      <c r="J672" s="8" t="n"/>
      <c r="K672" s="7" t="inlineStr">
        <is>
          <t>SEM COTAÇÃO</t>
        </is>
      </c>
      <c r="L672" s="8" t="n"/>
      <c r="M672" s="12" t="n"/>
      <c r="N672" s="7" t="inlineStr"/>
      <c r="O672" s="7" t="inlineStr"/>
    </row>
    <row r="673">
      <c r="A673" s="7" t="n">
        <v>638841</v>
      </c>
      <c r="B673" s="10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1" t="n">
        <v>1</v>
      </c>
      <c r="G673" s="11" t="n">
        <v>1</v>
      </c>
      <c r="H673" s="8" t="n">
        <v>0.9</v>
      </c>
      <c r="I673" s="8" t="n">
        <v>0.9</v>
      </c>
      <c r="J673" s="8" t="n"/>
      <c r="K673" s="7" t="inlineStr">
        <is>
          <t>SEM COTAÇÃO</t>
        </is>
      </c>
      <c r="L673" s="8" t="n"/>
      <c r="M673" s="12" t="n"/>
      <c r="N673" s="7" t="inlineStr"/>
      <c r="O673" s="7" t="inlineStr"/>
    </row>
    <row r="674">
      <c r="A674" s="7" t="n">
        <v>54</v>
      </c>
      <c r="B674" s="10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1" t="n">
        <v>1</v>
      </c>
      <c r="G674" s="11" t="n">
        <v>1</v>
      </c>
      <c r="H674" s="8" t="n"/>
      <c r="I674" s="8" t="n"/>
      <c r="J674" s="8" t="n"/>
      <c r="K674" s="7" t="inlineStr">
        <is>
          <t>SEM COTAÇÃO</t>
        </is>
      </c>
      <c r="L674" s="8" t="n"/>
      <c r="M674" s="12" t="n"/>
      <c r="N674" s="7" t="inlineStr"/>
      <c r="O674" s="7" t="inlineStr"/>
    </row>
    <row r="675">
      <c r="A675" s="7" t="n">
        <v>593191</v>
      </c>
      <c r="B675" s="10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1" t="n">
        <v>1</v>
      </c>
      <c r="G675" s="11" t="n">
        <v>1</v>
      </c>
      <c r="H675" s="8" t="n">
        <v>13.69</v>
      </c>
      <c r="I675" s="8" t="n">
        <v>13.69</v>
      </c>
      <c r="J675" s="8" t="n"/>
      <c r="K675" s="7" t="inlineStr">
        <is>
          <t>SEM COTAÇÃO</t>
        </is>
      </c>
      <c r="L675" s="8" t="n"/>
      <c r="M675" s="12" t="n"/>
      <c r="N675" s="7" t="inlineStr"/>
      <c r="O675" s="7" t="inlineStr"/>
    </row>
    <row r="676">
      <c r="A676" s="7" t="n">
        <v>574941</v>
      </c>
      <c r="B676" s="10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1" t="n">
        <v>9</v>
      </c>
      <c r="G676" s="11" t="n">
        <v>9</v>
      </c>
      <c r="H676" s="8" t="n">
        <v>4.7917</v>
      </c>
      <c r="I676" s="8" t="n">
        <v>3.9492</v>
      </c>
      <c r="J676" s="8" t="n"/>
      <c r="K676" s="7" t="inlineStr">
        <is>
          <t>SEM COTAÇÃO</t>
        </is>
      </c>
      <c r="L676" s="8" t="n"/>
      <c r="M676" s="12" t="n"/>
      <c r="N676" s="7" t="inlineStr"/>
      <c r="O676" s="7" t="inlineStr"/>
    </row>
    <row r="677">
      <c r="A677" s="7" t="n">
        <v>575241</v>
      </c>
      <c r="B677" s="10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1" t="n">
        <v>5</v>
      </c>
      <c r="G677" s="11" t="n">
        <v>5</v>
      </c>
      <c r="H677" s="8" t="n">
        <v>4.8717</v>
      </c>
      <c r="I677" s="8" t="n">
        <v>4.8717</v>
      </c>
      <c r="J677" s="8" t="n"/>
      <c r="K677" s="7" t="inlineStr">
        <is>
          <t>SEM COTAÇÃO</t>
        </is>
      </c>
      <c r="L677" s="8" t="n"/>
      <c r="M677" s="12" t="n"/>
      <c r="N677" s="7" t="inlineStr"/>
      <c r="O677" s="7" t="inlineStr"/>
    </row>
    <row r="678">
      <c r="A678" s="7" t="n">
        <v>625091</v>
      </c>
      <c r="B678" s="10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1" t="n">
        <v>2</v>
      </c>
      <c r="G678" s="11" t="n">
        <v>2</v>
      </c>
      <c r="H678" s="8" t="n">
        <v>4.03</v>
      </c>
      <c r="I678" s="8" t="n">
        <v>4</v>
      </c>
      <c r="J678" s="8" t="n"/>
      <c r="K678" s="7" t="inlineStr">
        <is>
          <t>SEM COTAÇÃO</t>
        </is>
      </c>
      <c r="L678" s="8" t="n"/>
      <c r="M678" s="12" t="n"/>
      <c r="N678" s="7" t="inlineStr"/>
      <c r="O678" s="7" t="inlineStr"/>
    </row>
    <row r="679">
      <c r="A679" s="7" t="n">
        <v>625111</v>
      </c>
      <c r="B679" s="10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1" t="n">
        <v>4</v>
      </c>
      <c r="G679" s="11" t="n">
        <v>4</v>
      </c>
      <c r="H679" s="8" t="n">
        <v>2.53</v>
      </c>
      <c r="I679" s="8" t="n">
        <v>2.5033</v>
      </c>
      <c r="J679" s="8" t="n"/>
      <c r="K679" s="7" t="inlineStr">
        <is>
          <t>SEM COTAÇÃO</t>
        </is>
      </c>
      <c r="L679" s="8" t="n"/>
      <c r="M679" s="12" t="n"/>
      <c r="N679" s="7" t="inlineStr"/>
      <c r="O679" s="7" t="inlineStr"/>
    </row>
    <row r="680">
      <c r="A680" s="7" t="n">
        <v>638861</v>
      </c>
      <c r="B680" s="10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1" t="n">
        <v>1</v>
      </c>
      <c r="G680" s="11" t="n">
        <v>1</v>
      </c>
      <c r="H680" s="8" t="n">
        <v>21.8583</v>
      </c>
      <c r="I680" s="8" t="n">
        <v>21.8583</v>
      </c>
      <c r="J680" s="8" t="n"/>
      <c r="K680" s="7" t="inlineStr">
        <is>
          <t>SEM COTAÇÃO</t>
        </is>
      </c>
      <c r="L680" s="8" t="n"/>
      <c r="M680" s="12" t="n"/>
      <c r="N680" s="7" t="inlineStr"/>
      <c r="O680" s="7" t="inlineStr"/>
    </row>
    <row r="681">
      <c r="A681" s="7" t="n">
        <v>595941</v>
      </c>
      <c r="B681" s="10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1" t="n">
        <v>2</v>
      </c>
      <c r="G681" s="11" t="n">
        <v>2</v>
      </c>
      <c r="H681" s="8" t="n">
        <v>8.92</v>
      </c>
      <c r="I681" s="8" t="n">
        <v>8.92</v>
      </c>
      <c r="J681" s="8" t="n"/>
      <c r="K681" s="7" t="inlineStr">
        <is>
          <t>SEM COTAÇÃO</t>
        </is>
      </c>
      <c r="L681" s="8" t="n"/>
      <c r="M681" s="12" t="n"/>
      <c r="N681" s="7" t="inlineStr"/>
      <c r="O681" s="7" t="inlineStr"/>
    </row>
    <row r="682">
      <c r="A682" s="7" t="n">
        <v>633321</v>
      </c>
      <c r="B682" s="10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1" t="n">
        <v>5</v>
      </c>
      <c r="G682" s="11" t="n">
        <v>5</v>
      </c>
      <c r="H682" s="8" t="n">
        <v>12.2375</v>
      </c>
      <c r="I682" s="8" t="n">
        <v>12.2375</v>
      </c>
      <c r="J682" s="8" t="n"/>
      <c r="K682" s="7" t="inlineStr">
        <is>
          <t>SEM COTAÇÃO</t>
        </is>
      </c>
      <c r="L682" s="8" t="n"/>
      <c r="M682" s="12" t="n"/>
      <c r="N682" s="7" t="inlineStr"/>
      <c r="O682" s="7" t="inlineStr"/>
    </row>
    <row r="683">
      <c r="A683" s="7" t="n">
        <v>633311</v>
      </c>
      <c r="B683" s="10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1" t="n">
        <v>2</v>
      </c>
      <c r="G683" s="11" t="n">
        <v>2</v>
      </c>
      <c r="H683" s="8" t="n">
        <v>12.2375</v>
      </c>
      <c r="I683" s="8" t="n">
        <v>12.2375</v>
      </c>
      <c r="J683" s="8" t="n"/>
      <c r="K683" s="7" t="inlineStr">
        <is>
          <t>SEM COTAÇÃO</t>
        </is>
      </c>
      <c r="L683" s="8" t="n"/>
      <c r="M683" s="12" t="n"/>
      <c r="N683" s="7" t="inlineStr"/>
      <c r="O683" s="7" t="inlineStr"/>
    </row>
    <row r="684">
      <c r="A684" s="7" t="n">
        <v>633301</v>
      </c>
      <c r="B684" s="10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1" t="n">
        <v>1</v>
      </c>
      <c r="G684" s="11" t="n">
        <v>1</v>
      </c>
      <c r="H684" s="8" t="n">
        <v>12.655</v>
      </c>
      <c r="I684" s="8" t="n">
        <v>12.655</v>
      </c>
      <c r="J684" s="8" t="n"/>
      <c r="K684" s="7" t="inlineStr">
        <is>
          <t>SEM COTAÇÃO</t>
        </is>
      </c>
      <c r="L684" s="8" t="n"/>
      <c r="M684" s="12" t="n"/>
      <c r="N684" s="7" t="inlineStr"/>
      <c r="O684" s="7" t="inlineStr"/>
    </row>
    <row r="685">
      <c r="A685" s="7" t="n">
        <v>651721</v>
      </c>
      <c r="B685" s="10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1" t="n">
        <v>1</v>
      </c>
      <c r="G685" s="11" t="n">
        <v>1</v>
      </c>
      <c r="H685" s="8" t="n">
        <v>10.39</v>
      </c>
      <c r="I685" s="8" t="n">
        <v>10.39</v>
      </c>
      <c r="J685" s="8" t="n"/>
      <c r="K685" s="7" t="inlineStr">
        <is>
          <t>SEM COTAÇÃO</t>
        </is>
      </c>
      <c r="L685" s="8" t="n"/>
      <c r="M685" s="12" t="n"/>
      <c r="N685" s="7" t="inlineStr"/>
      <c r="O685" s="7" t="inlineStr"/>
    </row>
    <row r="686">
      <c r="A686" s="7" t="n">
        <v>600621</v>
      </c>
      <c r="B686" s="10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1" t="n">
        <v>5</v>
      </c>
      <c r="G686" s="11" t="n">
        <v>5</v>
      </c>
      <c r="H686" s="8" t="n">
        <v>3.76</v>
      </c>
      <c r="I686" s="8" t="n">
        <v>3.76</v>
      </c>
      <c r="J686" s="8" t="n"/>
      <c r="K686" s="7" t="inlineStr">
        <is>
          <t>SEM COTAÇÃO</t>
        </is>
      </c>
      <c r="L686" s="8" t="n"/>
      <c r="M686" s="12" t="n"/>
      <c r="N686" s="7" t="inlineStr"/>
      <c r="O686" s="7" t="inlineStr"/>
    </row>
    <row r="687">
      <c r="A687" s="7" t="n">
        <v>617091</v>
      </c>
      <c r="B687" s="10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1" t="n">
        <v>2</v>
      </c>
      <c r="G687" s="11" t="n">
        <v>4</v>
      </c>
      <c r="H687" s="8" t="n">
        <v>2.9633</v>
      </c>
      <c r="I687" s="8" t="n">
        <v>2.9633</v>
      </c>
      <c r="J687" s="8" t="n"/>
      <c r="K687" s="7" t="inlineStr">
        <is>
          <t>SEM COTAÇÃO</t>
        </is>
      </c>
      <c r="L687" s="8" t="n"/>
      <c r="M687" s="12" t="n"/>
      <c r="N687" s="7" t="inlineStr"/>
      <c r="O687" s="7" t="inlineStr"/>
    </row>
    <row r="688">
      <c r="A688" s="7" t="n">
        <v>594581</v>
      </c>
      <c r="B688" s="10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1" t="n">
        <v>1</v>
      </c>
      <c r="G688" s="11" t="n">
        <v>1</v>
      </c>
      <c r="H688" s="8" t="n">
        <v>7.65</v>
      </c>
      <c r="I688" s="8" t="n">
        <v>7.65</v>
      </c>
      <c r="J688" s="8" t="n"/>
      <c r="K688" s="7" t="inlineStr">
        <is>
          <t>SEM COTAÇÃO</t>
        </is>
      </c>
      <c r="L688" s="8" t="n"/>
      <c r="M688" s="12" t="n"/>
      <c r="N688" s="7" t="inlineStr"/>
      <c r="O688" s="7" t="inlineStr"/>
    </row>
    <row r="689">
      <c r="A689" s="7" t="n">
        <v>626701</v>
      </c>
      <c r="B689" s="10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1" t="n">
        <v>1</v>
      </c>
      <c r="G689" s="11" t="n">
        <v>1</v>
      </c>
      <c r="H689" s="8" t="n">
        <v>11.6</v>
      </c>
      <c r="I689" s="8" t="n">
        <v>11.6</v>
      </c>
      <c r="J689" s="8" t="n"/>
      <c r="K689" s="7" t="inlineStr">
        <is>
          <t>SEM COTAÇÃO</t>
        </is>
      </c>
      <c r="L689" s="8" t="n"/>
      <c r="M689" s="12" t="n"/>
      <c r="N689" s="7" t="inlineStr"/>
      <c r="O689" s="7" t="inlineStr"/>
    </row>
    <row r="690">
      <c r="A690" s="7" t="n">
        <v>593341</v>
      </c>
      <c r="B690" s="10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1" t="n">
        <v>1</v>
      </c>
      <c r="G690" s="11" t="n">
        <v>1</v>
      </c>
      <c r="H690" s="8" t="n">
        <v>7.58</v>
      </c>
      <c r="I690" s="8" t="n">
        <v>7.58</v>
      </c>
      <c r="J690" s="8" t="n"/>
      <c r="K690" s="7" t="inlineStr">
        <is>
          <t>SEM COTAÇÃO</t>
        </is>
      </c>
      <c r="L690" s="8" t="n"/>
      <c r="M690" s="12" t="n"/>
      <c r="N690" s="7" t="inlineStr"/>
      <c r="O690" s="7" t="inlineStr"/>
    </row>
    <row r="691">
      <c r="A691" s="7" t="n">
        <v>593501</v>
      </c>
      <c r="B691" s="10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1" t="n">
        <v>3</v>
      </c>
      <c r="G691" s="11" t="n">
        <v>3</v>
      </c>
      <c r="H691" s="8" t="n">
        <v>8.59</v>
      </c>
      <c r="I691" s="8" t="n">
        <v>8.529999999999999</v>
      </c>
      <c r="J691" s="8" t="n"/>
      <c r="K691" s="7" t="inlineStr">
        <is>
          <t>SEM COTAÇÃO</t>
        </is>
      </c>
      <c r="L691" s="8" t="n"/>
      <c r="M691" s="12" t="n"/>
      <c r="N691" s="7" t="inlineStr"/>
      <c r="O691" s="7" t="inlineStr"/>
    </row>
    <row r="692">
      <c r="A692" s="7" t="n">
        <v>2443</v>
      </c>
      <c r="B692" s="10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1" t="n">
        <v>1</v>
      </c>
      <c r="G692" s="11" t="n">
        <v>1</v>
      </c>
      <c r="H692" s="8" t="n">
        <v>14.95</v>
      </c>
      <c r="I692" s="8" t="n">
        <v>14.95</v>
      </c>
      <c r="J692" s="8" t="n"/>
      <c r="K692" s="7" t="inlineStr">
        <is>
          <t>SEM COTAÇÃO</t>
        </is>
      </c>
      <c r="L692" s="8" t="n"/>
      <c r="M692" s="12" t="n"/>
      <c r="N692" s="7" t="inlineStr"/>
      <c r="O692" s="7" t="inlineStr"/>
    </row>
    <row r="693">
      <c r="A693" s="7" t="n">
        <v>649541</v>
      </c>
      <c r="B693" s="10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1" t="n">
        <v>1</v>
      </c>
      <c r="G693" s="11" t="n">
        <v>1</v>
      </c>
      <c r="H693" s="8" t="n">
        <v>24.36</v>
      </c>
      <c r="I693" s="8" t="n">
        <v>24.35</v>
      </c>
      <c r="J693" s="8" t="n"/>
      <c r="K693" s="7" t="inlineStr">
        <is>
          <t>SEM COTAÇÃO</t>
        </is>
      </c>
      <c r="L693" s="8" t="n"/>
      <c r="M693" s="12" t="n"/>
      <c r="N693" s="7" t="inlineStr"/>
      <c r="O693" s="7" t="inlineStr"/>
    </row>
    <row r="694">
      <c r="A694" s="7" t="n">
        <v>611171</v>
      </c>
      <c r="B694" s="10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1" t="n">
        <v>1</v>
      </c>
      <c r="G694" s="11" t="n">
        <v>1</v>
      </c>
      <c r="H694" s="8" t="n">
        <v>2.67</v>
      </c>
      <c r="I694" s="8" t="n">
        <v>2.67</v>
      </c>
      <c r="J694" s="8" t="n"/>
      <c r="K694" s="7" t="inlineStr">
        <is>
          <t>SEM COTAÇÃO</t>
        </is>
      </c>
      <c r="L694" s="8" t="n"/>
      <c r="M694" s="12" t="n"/>
      <c r="N694" s="7" t="inlineStr"/>
      <c r="O694" s="7" t="inlineStr"/>
    </row>
    <row r="695">
      <c r="A695" s="7" t="n">
        <v>612041</v>
      </c>
      <c r="B695" s="10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1" t="n">
        <v>3</v>
      </c>
      <c r="G695" s="11" t="n">
        <v>3</v>
      </c>
      <c r="H695" s="8" t="n">
        <v>4.74</v>
      </c>
      <c r="I695" s="8" t="n">
        <v>4.74</v>
      </c>
      <c r="J695" s="8" t="n"/>
      <c r="K695" s="7" t="inlineStr">
        <is>
          <t>SEM COTAÇÃO</t>
        </is>
      </c>
      <c r="L695" s="8" t="n"/>
      <c r="M695" s="12" t="n"/>
      <c r="N695" s="7" t="inlineStr"/>
      <c r="O695" s="7" t="inlineStr"/>
    </row>
    <row r="696">
      <c r="A696" s="7" t="n">
        <v>653981</v>
      </c>
      <c r="B696" s="10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1" t="n">
        <v>1</v>
      </c>
      <c r="G696" s="11" t="n">
        <v>1</v>
      </c>
      <c r="H696" s="8" t="n">
        <v>14.32</v>
      </c>
      <c r="I696" s="8" t="n">
        <v>10.775</v>
      </c>
      <c r="J696" s="8" t="n"/>
      <c r="K696" s="7" t="inlineStr">
        <is>
          <t>SEM COTAÇÃO</t>
        </is>
      </c>
      <c r="L696" s="8" t="n"/>
      <c r="M696" s="12" t="n"/>
      <c r="N696" s="7" t="inlineStr"/>
      <c r="O696" s="7" t="inlineStr"/>
    </row>
    <row r="697">
      <c r="A697" s="7" t="n">
        <v>13203</v>
      </c>
      <c r="B697" s="10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1" t="n">
        <v>14</v>
      </c>
      <c r="G697" s="11" t="n">
        <v>14</v>
      </c>
      <c r="H697" s="8" t="n">
        <v>4.08</v>
      </c>
      <c r="I697" s="8" t="n">
        <v>4.08</v>
      </c>
      <c r="J697" s="8" t="n"/>
      <c r="K697" s="7" t="inlineStr">
        <is>
          <t>SEM COTAÇÃO</t>
        </is>
      </c>
      <c r="L697" s="8" t="n"/>
      <c r="M697" s="12" t="n"/>
      <c r="N697" s="7" t="inlineStr"/>
      <c r="O697" s="7" t="inlineStr"/>
    </row>
    <row r="698">
      <c r="A698" s="7" t="n">
        <v>86481</v>
      </c>
      <c r="B698" s="10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1" t="n">
        <v>1</v>
      </c>
      <c r="G698" s="11" t="n">
        <v>1</v>
      </c>
      <c r="H698" s="8" t="n">
        <v>9.4</v>
      </c>
      <c r="I698" s="8" t="n">
        <v>9.35</v>
      </c>
      <c r="J698" s="13" t="n">
        <v>9.789999999999999</v>
      </c>
      <c r="K698" s="7" t="inlineStr">
        <is>
          <t>DIMEC</t>
        </is>
      </c>
      <c r="L698" s="8" t="n">
        <v>9.789999999999999</v>
      </c>
      <c r="M698" s="12">
        <f>L698/H698-1</f>
        <v/>
      </c>
      <c r="N698" s="14" t="inlineStr">
        <is>
          <t>ACIMA +4.1%</t>
        </is>
      </c>
      <c r="O698" s="7" t="inlineStr"/>
    </row>
    <row r="699">
      <c r="A699" s="7" t="n">
        <v>565021</v>
      </c>
      <c r="B699" s="10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1" t="n">
        <v>9</v>
      </c>
      <c r="G699" s="11" t="n">
        <v>9</v>
      </c>
      <c r="H699" s="8" t="n">
        <v>1.484</v>
      </c>
      <c r="I699" s="8" t="n">
        <v>1.484</v>
      </c>
      <c r="J699" s="8" t="n"/>
      <c r="K699" s="7" t="inlineStr">
        <is>
          <t>SEM COTAÇÃO</t>
        </is>
      </c>
      <c r="L699" s="8" t="n"/>
      <c r="M699" s="12" t="n"/>
      <c r="N699" s="7" t="inlineStr"/>
      <c r="O699" s="7" t="inlineStr"/>
    </row>
    <row r="700">
      <c r="A700" s="7" t="n">
        <v>567441</v>
      </c>
      <c r="B700" s="10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1" t="n">
        <v>9</v>
      </c>
      <c r="G700" s="11" t="n">
        <v>9</v>
      </c>
      <c r="H700" s="8" t="n">
        <v>2.002</v>
      </c>
      <c r="I700" s="8" t="n">
        <v>2.002</v>
      </c>
      <c r="J700" s="8" t="n"/>
      <c r="K700" s="7" t="inlineStr">
        <is>
          <t>SEM COTAÇÃO</t>
        </is>
      </c>
      <c r="L700" s="8" t="n"/>
      <c r="M700" s="12" t="n"/>
      <c r="N700" s="7" t="inlineStr"/>
      <c r="O700" s="7" t="inlineStr"/>
    </row>
    <row r="701">
      <c r="A701" s="7" t="n">
        <v>629481</v>
      </c>
      <c r="B701" s="10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1" t="n">
        <v>1</v>
      </c>
      <c r="G701" s="11" t="n">
        <v>1</v>
      </c>
      <c r="H701" s="8" t="n">
        <v>19.87</v>
      </c>
      <c r="I701" s="8" t="n">
        <v>19.87</v>
      </c>
      <c r="J701" s="8" t="n"/>
      <c r="K701" s="7" t="inlineStr">
        <is>
          <t>SEM COTAÇÃO</t>
        </is>
      </c>
      <c r="L701" s="8" t="n"/>
      <c r="M701" s="12" t="n"/>
      <c r="N701" s="7" t="inlineStr"/>
      <c r="O701" s="7" t="inlineStr"/>
    </row>
    <row r="702">
      <c r="A702" s="7" t="n">
        <v>629511</v>
      </c>
      <c r="B702" s="10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1" t="n">
        <v>1</v>
      </c>
      <c r="G702" s="11" t="n">
        <v>1</v>
      </c>
      <c r="H702" s="8" t="n">
        <v>16.9</v>
      </c>
      <c r="I702" s="8" t="n">
        <v>16.9</v>
      </c>
      <c r="J702" s="8" t="n"/>
      <c r="K702" s="7" t="inlineStr">
        <is>
          <t>SEM COTAÇÃO</t>
        </is>
      </c>
      <c r="L702" s="8" t="n"/>
      <c r="M702" s="12" t="n"/>
      <c r="N702" s="7" t="inlineStr"/>
      <c r="O702" s="7" t="inlineStr"/>
    </row>
    <row r="703">
      <c r="A703" s="7" t="n">
        <v>664091</v>
      </c>
      <c r="B703" s="10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1" t="n">
        <v>1</v>
      </c>
      <c r="G703" s="11" t="n">
        <v>1</v>
      </c>
      <c r="H703" s="8" t="n">
        <v>41.76</v>
      </c>
      <c r="I703" s="8" t="n">
        <v>41.76</v>
      </c>
      <c r="J703" s="8" t="n"/>
      <c r="K703" s="7" t="inlineStr">
        <is>
          <t>SEM COTAÇÃO</t>
        </is>
      </c>
      <c r="L703" s="8" t="n"/>
      <c r="M703" s="12" t="n"/>
      <c r="N703" s="7" t="inlineStr"/>
      <c r="O703" s="7" t="inlineStr"/>
    </row>
    <row r="704">
      <c r="A704" s="7" t="n">
        <v>664141</v>
      </c>
      <c r="B704" s="10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1" t="n">
        <v>1</v>
      </c>
      <c r="G704" s="11" t="n">
        <v>1</v>
      </c>
      <c r="H704" s="8" t="n">
        <v>24.35</v>
      </c>
      <c r="I704" s="8" t="n">
        <v>24.35</v>
      </c>
      <c r="J704" s="8" t="n"/>
      <c r="K704" s="7" t="inlineStr">
        <is>
          <t>SEM COTAÇÃO</t>
        </is>
      </c>
      <c r="L704" s="8" t="n"/>
      <c r="M704" s="12" t="n"/>
      <c r="N704" s="7" t="inlineStr"/>
      <c r="O704" s="7" t="inlineStr"/>
    </row>
    <row r="705">
      <c r="A705" s="7" t="n">
        <v>630661</v>
      </c>
      <c r="B705" s="10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1" t="n">
        <v>1</v>
      </c>
      <c r="G705" s="11" t="n">
        <v>1</v>
      </c>
      <c r="H705" s="8" t="n">
        <v>26.85</v>
      </c>
      <c r="I705" s="8" t="n">
        <v>26.85</v>
      </c>
      <c r="J705" s="13" t="n">
        <v>28.48981</v>
      </c>
      <c r="K705" s="7" t="inlineStr">
        <is>
          <t>DIMEC</t>
        </is>
      </c>
      <c r="L705" s="8" t="n">
        <v>28.48981</v>
      </c>
      <c r="M705" s="12">
        <f>L705/H705-1</f>
        <v/>
      </c>
      <c r="N705" s="14" t="inlineStr">
        <is>
          <t>ACIMA +6.1%</t>
        </is>
      </c>
      <c r="O705" s="7" t="inlineStr"/>
    </row>
    <row r="706">
      <c r="A706" s="7" t="n">
        <v>562141</v>
      </c>
      <c r="B706" s="10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1" t="n">
        <v>1</v>
      </c>
      <c r="G706" s="11" t="n">
        <v>1</v>
      </c>
      <c r="H706" s="8" t="n"/>
      <c r="I706" s="8" t="n"/>
      <c r="J706" s="8" t="n"/>
      <c r="K706" s="7" t="inlineStr">
        <is>
          <t>SEM COTAÇÃO</t>
        </is>
      </c>
      <c r="L706" s="8" t="n"/>
      <c r="M706" s="12" t="n"/>
      <c r="N706" s="7" t="inlineStr"/>
      <c r="O706" s="7" t="inlineStr"/>
    </row>
    <row r="707">
      <c r="A707" s="7" t="n">
        <v>599521</v>
      </c>
      <c r="B707" s="10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1" t="n">
        <v>1</v>
      </c>
      <c r="G707" s="11" t="n">
        <v>1</v>
      </c>
      <c r="H707" s="8" t="n"/>
      <c r="I707" s="8" t="n"/>
      <c r="J707" s="8" t="n"/>
      <c r="K707" s="7" t="inlineStr">
        <is>
          <t>SEM COTAÇÃO</t>
        </is>
      </c>
      <c r="L707" s="8" t="n"/>
      <c r="M707" s="12" t="n"/>
      <c r="N707" s="7" t="inlineStr"/>
      <c r="O707" s="7" t="inlineStr"/>
    </row>
    <row r="708">
      <c r="A708" s="7" t="n">
        <v>599451</v>
      </c>
      <c r="B708" s="10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1" t="n">
        <v>1</v>
      </c>
      <c r="G708" s="11" t="n">
        <v>1</v>
      </c>
      <c r="H708" s="8" t="n"/>
      <c r="I708" s="8" t="n"/>
      <c r="J708" s="8" t="n"/>
      <c r="K708" s="7" t="inlineStr">
        <is>
          <t>SEM COTAÇÃO</t>
        </is>
      </c>
      <c r="L708" s="8" t="n"/>
      <c r="M708" s="12" t="n"/>
      <c r="N708" s="7" t="inlineStr"/>
      <c r="O708" s="7" t="inlineStr"/>
    </row>
    <row r="709">
      <c r="A709" s="7" t="n">
        <v>599531</v>
      </c>
      <c r="B709" s="10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1" t="n">
        <v>1</v>
      </c>
      <c r="G709" s="11" t="n">
        <v>1</v>
      </c>
      <c r="H709" s="8" t="n"/>
      <c r="I709" s="8" t="n"/>
      <c r="J709" s="8" t="n"/>
      <c r="K709" s="7" t="inlineStr">
        <is>
          <t>SEM COTAÇÃO</t>
        </is>
      </c>
      <c r="L709" s="8" t="n"/>
      <c r="M709" s="12" t="n"/>
      <c r="N709" s="7" t="inlineStr"/>
      <c r="O709" s="7" t="inlineStr"/>
    </row>
    <row r="710">
      <c r="A710" s="7" t="n">
        <v>599511</v>
      </c>
      <c r="B710" s="10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1" t="n">
        <v>1</v>
      </c>
      <c r="G710" s="11" t="n">
        <v>1</v>
      </c>
      <c r="H710" s="8" t="n"/>
      <c r="I710" s="8" t="n"/>
      <c r="J710" s="8" t="n"/>
      <c r="K710" s="7" t="inlineStr">
        <is>
          <t>SEM COTAÇÃO</t>
        </is>
      </c>
      <c r="L710" s="8" t="n"/>
      <c r="M710" s="12" t="n"/>
      <c r="N710" s="7" t="inlineStr"/>
      <c r="O710" s="7" t="inlineStr"/>
    </row>
    <row r="711">
      <c r="A711" s="7" t="n">
        <v>599491</v>
      </c>
      <c r="B711" s="10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1" t="n">
        <v>1</v>
      </c>
      <c r="G711" s="11" t="n">
        <v>1</v>
      </c>
      <c r="H711" s="8" t="n"/>
      <c r="I711" s="8" t="n"/>
      <c r="J711" s="8" t="n"/>
      <c r="K711" s="7" t="inlineStr">
        <is>
          <t>SEM COTAÇÃO</t>
        </is>
      </c>
      <c r="L711" s="8" t="n"/>
      <c r="M711" s="12" t="n"/>
      <c r="N711" s="7" t="inlineStr"/>
      <c r="O711" s="7" t="inlineStr"/>
    </row>
    <row r="712">
      <c r="A712" s="7" t="n">
        <v>595011</v>
      </c>
      <c r="B712" s="10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1" t="n">
        <v>1</v>
      </c>
      <c r="G712" s="11" t="n">
        <v>1</v>
      </c>
      <c r="H712" s="8" t="n">
        <v>4.45</v>
      </c>
      <c r="I712" s="8" t="n">
        <v>4.45</v>
      </c>
      <c r="J712" s="8" t="n"/>
      <c r="K712" s="7" t="inlineStr">
        <is>
          <t>SEM COTAÇÃO</t>
        </is>
      </c>
      <c r="L712" s="8" t="n"/>
      <c r="M712" s="12" t="n"/>
      <c r="N712" s="7" t="inlineStr"/>
      <c r="O712" s="7" t="inlineStr"/>
    </row>
    <row r="713">
      <c r="A713" s="7" t="n">
        <v>595001</v>
      </c>
      <c r="B713" s="10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1" t="n">
        <v>1</v>
      </c>
      <c r="G713" s="11" t="n">
        <v>1</v>
      </c>
      <c r="H713" s="8" t="n">
        <v>7.05</v>
      </c>
      <c r="I713" s="8" t="n">
        <v>7.05</v>
      </c>
      <c r="J713" s="8" t="n"/>
      <c r="K713" s="7" t="inlineStr">
        <is>
          <t>SEM COTAÇÃO</t>
        </is>
      </c>
      <c r="L713" s="8" t="n"/>
      <c r="M713" s="12" t="n"/>
      <c r="N713" s="7" t="inlineStr"/>
      <c r="O713" s="7" t="inlineStr"/>
    </row>
    <row r="714">
      <c r="A714" s="7" t="n">
        <v>637421</v>
      </c>
      <c r="B714" s="10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1" t="n">
        <v>1</v>
      </c>
      <c r="G714" s="11" t="n">
        <v>1</v>
      </c>
      <c r="H714" s="8" t="n">
        <v>18.22</v>
      </c>
      <c r="I714" s="8" t="n">
        <v>18.22</v>
      </c>
      <c r="J714" s="8" t="n"/>
      <c r="K714" s="7" t="inlineStr">
        <is>
          <t>SEM COTAÇÃO</t>
        </is>
      </c>
      <c r="L714" s="8" t="n"/>
      <c r="M714" s="12" t="n"/>
      <c r="N714" s="7" t="inlineStr"/>
      <c r="O714" s="7" t="inlineStr"/>
    </row>
    <row r="715">
      <c r="A715" s="7" t="n">
        <v>626121</v>
      </c>
      <c r="B715" s="10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1" t="n">
        <v>1</v>
      </c>
      <c r="G715" s="11" t="n">
        <v>1</v>
      </c>
      <c r="H715" s="8" t="n">
        <v>10.94</v>
      </c>
      <c r="I715" s="8" t="n">
        <v>10.94</v>
      </c>
      <c r="J715" s="8" t="n"/>
      <c r="K715" s="7" t="inlineStr">
        <is>
          <t>SEM COTAÇÃO</t>
        </is>
      </c>
      <c r="L715" s="8" t="n"/>
      <c r="M715" s="12" t="n"/>
      <c r="N715" s="7" t="inlineStr"/>
      <c r="O715" s="7" t="inlineStr"/>
    </row>
    <row r="716">
      <c r="A716" s="7" t="n">
        <v>617281</v>
      </c>
      <c r="B716" s="10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1" t="n">
        <v>2</v>
      </c>
      <c r="G716" s="11" t="n">
        <v>2</v>
      </c>
      <c r="H716" s="8" t="n">
        <v>18.88</v>
      </c>
      <c r="I716" s="8" t="n">
        <v>18.88</v>
      </c>
      <c r="J716" s="8" t="n"/>
      <c r="K716" s="7" t="inlineStr">
        <is>
          <t>SEM COTAÇÃO</t>
        </is>
      </c>
      <c r="L716" s="8" t="n"/>
      <c r="M716" s="12" t="n"/>
      <c r="N716" s="7" t="inlineStr"/>
      <c r="O716" s="7" t="inlineStr"/>
    </row>
    <row r="717">
      <c r="A717" s="7" t="n">
        <v>619111</v>
      </c>
      <c r="B717" s="10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1" t="n">
        <v>2</v>
      </c>
      <c r="G717" s="11" t="n">
        <v>2</v>
      </c>
      <c r="H717" s="8" t="n">
        <v>5.05</v>
      </c>
      <c r="I717" s="8" t="n">
        <v>5.03</v>
      </c>
      <c r="J717" s="8" t="n"/>
      <c r="K717" s="7" t="inlineStr">
        <is>
          <t>SEM COTAÇÃO</t>
        </is>
      </c>
      <c r="L717" s="8" t="n"/>
      <c r="M717" s="12" t="n"/>
      <c r="N717" s="7" t="inlineStr"/>
      <c r="O717" s="7" t="inlineStr"/>
    </row>
    <row r="718">
      <c r="A718" s="7" t="n">
        <v>603141</v>
      </c>
      <c r="B718" s="10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1" t="n">
        <v>5</v>
      </c>
      <c r="G718" s="11" t="n">
        <v>5</v>
      </c>
      <c r="H718" s="8" t="n">
        <v>5.95</v>
      </c>
      <c r="I718" s="8" t="n">
        <v>5.95</v>
      </c>
      <c r="J718" s="8" t="n"/>
      <c r="K718" s="7" t="inlineStr">
        <is>
          <t>SEM COTAÇÃO</t>
        </is>
      </c>
      <c r="L718" s="8" t="n"/>
      <c r="M718" s="12" t="n"/>
      <c r="N718" s="7" t="inlineStr"/>
      <c r="O718" s="7" t="inlineStr"/>
    </row>
    <row r="719">
      <c r="A719" s="7" t="n">
        <v>647471</v>
      </c>
      <c r="B719" s="10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1" t="n">
        <v>1</v>
      </c>
      <c r="G719" s="11" t="n">
        <v>1</v>
      </c>
      <c r="H719" s="8" t="n">
        <v>13.4</v>
      </c>
      <c r="I719" s="8" t="n">
        <v>13.4</v>
      </c>
      <c r="J719" s="8" t="n"/>
      <c r="K719" s="7" t="inlineStr">
        <is>
          <t>SEM COTAÇÃO</t>
        </is>
      </c>
      <c r="L719" s="8" t="n"/>
      <c r="M719" s="12" t="n"/>
      <c r="N719" s="7" t="inlineStr"/>
      <c r="O719" s="7" t="inlineStr"/>
    </row>
    <row r="720">
      <c r="A720" s="7" t="n">
        <v>647441</v>
      </c>
      <c r="B720" s="10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1" t="n">
        <v>1</v>
      </c>
      <c r="G720" s="11" t="n">
        <v>1</v>
      </c>
      <c r="H720" s="8" t="n">
        <v>26.6</v>
      </c>
      <c r="I720" s="8" t="n">
        <v>26.6</v>
      </c>
      <c r="J720" s="8" t="n"/>
      <c r="K720" s="7" t="inlineStr">
        <is>
          <t>SEM COTAÇÃO</t>
        </is>
      </c>
      <c r="L720" s="8" t="n"/>
      <c r="M720" s="12" t="n"/>
      <c r="N720" s="7" t="inlineStr"/>
      <c r="O720" s="7" t="inlineStr"/>
    </row>
    <row r="721">
      <c r="A721" s="7" t="n">
        <v>647461</v>
      </c>
      <c r="B721" s="10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1" t="n">
        <v>1</v>
      </c>
      <c r="G721" s="11" t="n">
        <v>1</v>
      </c>
      <c r="H721" s="8" t="n">
        <v>13.4</v>
      </c>
      <c r="I721" s="8" t="n">
        <v>13.4</v>
      </c>
      <c r="J721" s="8" t="n"/>
      <c r="K721" s="7" t="inlineStr">
        <is>
          <t>SEM COTAÇÃO</t>
        </is>
      </c>
      <c r="L721" s="8" t="n"/>
      <c r="M721" s="12" t="n"/>
      <c r="N721" s="7" t="inlineStr"/>
      <c r="O721" s="7" t="inlineStr"/>
    </row>
    <row r="722">
      <c r="A722" s="7" t="n">
        <v>647431</v>
      </c>
      <c r="B722" s="10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1" t="n">
        <v>1</v>
      </c>
      <c r="G722" s="11" t="n">
        <v>1</v>
      </c>
      <c r="H722" s="8" t="n">
        <v>26.6</v>
      </c>
      <c r="I722" s="8" t="n">
        <v>26.6</v>
      </c>
      <c r="J722" s="8" t="n"/>
      <c r="K722" s="7" t="inlineStr">
        <is>
          <t>SEM COTAÇÃO</t>
        </is>
      </c>
      <c r="L722" s="8" t="n"/>
      <c r="M722" s="12" t="n"/>
      <c r="N722" s="7" t="inlineStr"/>
      <c r="O722" s="7" t="inlineStr"/>
    </row>
    <row r="723">
      <c r="A723" s="7" t="n">
        <v>647481</v>
      </c>
      <c r="B723" s="10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1" t="n">
        <v>1</v>
      </c>
      <c r="G723" s="11" t="n">
        <v>1</v>
      </c>
      <c r="H723" s="8" t="n">
        <v>13.4</v>
      </c>
      <c r="I723" s="8" t="n">
        <v>13.4</v>
      </c>
      <c r="J723" s="8" t="n"/>
      <c r="K723" s="7" t="inlineStr">
        <is>
          <t>SEM COTAÇÃO</t>
        </is>
      </c>
      <c r="L723" s="8" t="n"/>
      <c r="M723" s="12" t="n"/>
      <c r="N723" s="7" t="inlineStr"/>
      <c r="O723" s="7" t="inlineStr"/>
    </row>
    <row r="724">
      <c r="A724" s="7" t="n">
        <v>647451</v>
      </c>
      <c r="B724" s="10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1" t="n">
        <v>1</v>
      </c>
      <c r="G724" s="11" t="n">
        <v>1</v>
      </c>
      <c r="H724" s="8" t="n">
        <v>26.6</v>
      </c>
      <c r="I724" s="8" t="n">
        <v>26.6</v>
      </c>
      <c r="J724" s="8" t="n"/>
      <c r="K724" s="7" t="inlineStr">
        <is>
          <t>SEM COTAÇÃO</t>
        </is>
      </c>
      <c r="L724" s="8" t="n"/>
      <c r="M724" s="12" t="n"/>
      <c r="N724" s="7" t="inlineStr"/>
      <c r="O724" s="7" t="inlineStr"/>
    </row>
    <row r="725">
      <c r="A725" s="7" t="n">
        <v>636021</v>
      </c>
      <c r="B725" s="10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1" t="n">
        <v>1</v>
      </c>
      <c r="G725" s="11" t="n">
        <v>1</v>
      </c>
      <c r="H725" s="8" t="n">
        <v>87.33</v>
      </c>
      <c r="I725" s="8" t="n">
        <v>87.33</v>
      </c>
      <c r="J725" s="8" t="n"/>
      <c r="K725" s="7" t="inlineStr">
        <is>
          <t>SEM COTAÇÃO</t>
        </is>
      </c>
      <c r="L725" s="8" t="n"/>
      <c r="M725" s="12" t="n"/>
      <c r="N725" s="7" t="inlineStr"/>
      <c r="O725" s="7" t="inlineStr"/>
    </row>
    <row r="726">
      <c r="A726" s="7" t="n">
        <v>669751</v>
      </c>
      <c r="B726" s="10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1" t="n">
        <v>2</v>
      </c>
      <c r="G726" s="11" t="n">
        <v>2</v>
      </c>
      <c r="H726" s="8" t="n">
        <v>93.34</v>
      </c>
      <c r="I726" s="8" t="n">
        <v>88.84999999999999</v>
      </c>
      <c r="J726" s="8" t="n"/>
      <c r="K726" s="7" t="inlineStr">
        <is>
          <t>SEM COTAÇÃO</t>
        </is>
      </c>
      <c r="L726" s="8" t="n"/>
      <c r="M726" s="12" t="n"/>
      <c r="N726" s="7" t="inlineStr"/>
      <c r="O726" s="7" t="inlineStr"/>
    </row>
    <row r="727">
      <c r="A727" s="7" t="n">
        <v>631111</v>
      </c>
      <c r="B727" s="10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1" t="n">
        <v>1</v>
      </c>
      <c r="G727" s="11" t="n">
        <v>1</v>
      </c>
      <c r="H727" s="8" t="n">
        <v>36.69</v>
      </c>
      <c r="I727" s="8" t="n">
        <v>36.69</v>
      </c>
      <c r="J727" s="8" t="n"/>
      <c r="K727" s="7" t="inlineStr">
        <is>
          <t>SEM COTAÇÃO</t>
        </is>
      </c>
      <c r="L727" s="8" t="n"/>
      <c r="M727" s="12" t="n"/>
      <c r="N727" s="7" t="inlineStr"/>
      <c r="O727" s="7" t="inlineStr"/>
    </row>
    <row r="728">
      <c r="A728" s="7" t="n">
        <v>653331</v>
      </c>
      <c r="B728" s="10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1" t="n">
        <v>7</v>
      </c>
      <c r="G728" s="11" t="n">
        <v>7</v>
      </c>
      <c r="H728" s="8" t="n">
        <v>78.95999999999999</v>
      </c>
      <c r="I728" s="8" t="n">
        <v>66.325</v>
      </c>
      <c r="J728" s="8" t="n"/>
      <c r="K728" s="7" t="inlineStr">
        <is>
          <t>SEM COTAÇÃO</t>
        </is>
      </c>
      <c r="L728" s="8" t="n"/>
      <c r="M728" s="12" t="n"/>
      <c r="N728" s="7" t="inlineStr"/>
      <c r="O728" s="7" t="inlineStr"/>
    </row>
    <row r="729">
      <c r="A729" s="7" t="n">
        <v>637261</v>
      </c>
      <c r="B729" s="10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1" t="n">
        <v>2</v>
      </c>
      <c r="G729" s="11" t="n">
        <v>2</v>
      </c>
      <c r="H729" s="8" t="n">
        <v>103.71</v>
      </c>
      <c r="I729" s="8" t="n">
        <v>89.84</v>
      </c>
      <c r="J729" s="8" t="n"/>
      <c r="K729" s="7" t="inlineStr">
        <is>
          <t>SEM COTAÇÃO</t>
        </is>
      </c>
      <c r="L729" s="8" t="n"/>
      <c r="M729" s="12" t="n"/>
      <c r="N729" s="7" t="inlineStr"/>
      <c r="O729" s="7" t="inlineStr"/>
    </row>
    <row r="730">
      <c r="A730" s="7" t="n">
        <v>624291</v>
      </c>
      <c r="B730" s="10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1" t="n">
        <v>1</v>
      </c>
      <c r="G730" s="11" t="n">
        <v>1</v>
      </c>
      <c r="H730" s="8" t="n">
        <v>65.59</v>
      </c>
      <c r="I730" s="8" t="n">
        <v>65.59</v>
      </c>
      <c r="J730" s="8" t="n"/>
      <c r="K730" s="7" t="inlineStr">
        <is>
          <t>SEM COTAÇÃO</t>
        </is>
      </c>
      <c r="L730" s="8" t="n"/>
      <c r="M730" s="12" t="n"/>
      <c r="N730" s="7" t="inlineStr"/>
      <c r="O730" s="7" t="inlineStr"/>
    </row>
    <row r="731">
      <c r="A731" s="7" t="n">
        <v>654251</v>
      </c>
      <c r="B731" s="10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1" t="n">
        <v>4</v>
      </c>
      <c r="G731" s="11" t="n">
        <v>4</v>
      </c>
      <c r="H731" s="8" t="n">
        <v>37.81</v>
      </c>
      <c r="I731" s="8" t="n">
        <v>35.07</v>
      </c>
      <c r="J731" s="8" t="n"/>
      <c r="K731" s="7" t="inlineStr">
        <is>
          <t>SEM COTAÇÃO</t>
        </is>
      </c>
      <c r="L731" s="8" t="n"/>
      <c r="M731" s="12" t="n"/>
      <c r="N731" s="7" t="inlineStr"/>
      <c r="O731" s="7" t="inlineStr"/>
    </row>
    <row r="732">
      <c r="A732" s="7" t="n">
        <v>590291</v>
      </c>
      <c r="B732" s="10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1" t="n">
        <v>1</v>
      </c>
      <c r="G732" s="11" t="n">
        <v>4</v>
      </c>
      <c r="H732" s="8" t="n">
        <v>5.6725</v>
      </c>
      <c r="I732" s="8" t="n">
        <v>5.6725</v>
      </c>
      <c r="J732" s="8" t="n"/>
      <c r="K732" s="7" t="inlineStr">
        <is>
          <t>SEM COTAÇÃO</t>
        </is>
      </c>
      <c r="L732" s="8" t="n"/>
      <c r="M732" s="12" t="n"/>
      <c r="N732" s="7" t="inlineStr"/>
      <c r="O732" s="7" t="inlineStr"/>
    </row>
    <row r="733">
      <c r="A733" s="7" t="n">
        <v>662251</v>
      </c>
      <c r="B733" s="10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1" t="n">
        <v>2</v>
      </c>
      <c r="G733" s="11" t="n">
        <v>2</v>
      </c>
      <c r="H733" s="8" t="n">
        <v>7.99</v>
      </c>
      <c r="I733" s="8" t="n">
        <v>7.99</v>
      </c>
      <c r="J733" s="8" t="n"/>
      <c r="K733" s="7" t="inlineStr">
        <is>
          <t>SEM COTAÇÃO</t>
        </is>
      </c>
      <c r="L733" s="8" t="n"/>
      <c r="M733" s="12" t="n"/>
      <c r="N733" s="7" t="inlineStr"/>
      <c r="O733" s="7" t="inlineStr"/>
    </row>
    <row r="734">
      <c r="A734" s="7" t="n">
        <v>293601</v>
      </c>
      <c r="B734" s="10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1" t="n">
        <v>19</v>
      </c>
      <c r="G734" s="11" t="n">
        <v>19</v>
      </c>
      <c r="H734" s="8" t="n">
        <v>21.23</v>
      </c>
      <c r="I734" s="8" t="n">
        <v>13.7043</v>
      </c>
      <c r="J734" s="8" t="n"/>
      <c r="K734" s="7" t="inlineStr">
        <is>
          <t>SEM COTAÇÃO</t>
        </is>
      </c>
      <c r="L734" s="8" t="n"/>
      <c r="M734" s="12" t="n"/>
      <c r="N734" s="7" t="inlineStr"/>
      <c r="O734" s="7" t="inlineStr"/>
    </row>
    <row r="735">
      <c r="A735" s="7" t="n">
        <v>363</v>
      </c>
      <c r="B735" s="10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1" t="n">
        <v>1</v>
      </c>
      <c r="G735" s="11" t="n">
        <v>1</v>
      </c>
      <c r="H735" s="8" t="n">
        <v>90.42</v>
      </c>
      <c r="I735" s="8" t="n">
        <v>80.845</v>
      </c>
      <c r="J735" s="8" t="n"/>
      <c r="K735" s="7" t="inlineStr">
        <is>
          <t>SEM COTAÇÃO</t>
        </is>
      </c>
      <c r="L735" s="8" t="n"/>
      <c r="M735" s="12" t="n"/>
      <c r="N735" s="7" t="inlineStr"/>
      <c r="O735" s="7" t="inlineStr"/>
    </row>
    <row r="736">
      <c r="A736" s="7" t="n">
        <v>383</v>
      </c>
      <c r="B736" s="10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1" t="n">
        <v>4</v>
      </c>
      <c r="G736" s="11" t="n">
        <v>4</v>
      </c>
      <c r="H736" s="8" t="n">
        <v>102.75</v>
      </c>
      <c r="I736" s="8" t="n">
        <v>85.77</v>
      </c>
      <c r="J736" s="8" t="n"/>
      <c r="K736" s="7" t="inlineStr">
        <is>
          <t>SEM COTAÇÃO</t>
        </is>
      </c>
      <c r="L736" s="8" t="n"/>
      <c r="M736" s="12" t="n"/>
      <c r="N736" s="7" t="inlineStr"/>
      <c r="O736" s="7" t="inlineStr"/>
    </row>
    <row r="737">
      <c r="A737" s="7" t="n">
        <v>1301</v>
      </c>
      <c r="B737" s="10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1" t="n">
        <v>21</v>
      </c>
      <c r="G737" s="11" t="n">
        <v>21</v>
      </c>
      <c r="H737" s="8" t="n">
        <v>8</v>
      </c>
      <c r="I737" s="8" t="n">
        <v>7.69</v>
      </c>
      <c r="J737" s="13" t="n">
        <v>8.76</v>
      </c>
      <c r="K737" s="7" t="inlineStr">
        <is>
          <t>DIMEC</t>
        </is>
      </c>
      <c r="L737" s="8" t="n">
        <v>8.76</v>
      </c>
      <c r="M737" s="12">
        <f>L737/H737-1</f>
        <v/>
      </c>
      <c r="N737" s="14" t="inlineStr">
        <is>
          <t>ACIMA +9.5%</t>
        </is>
      </c>
      <c r="O737" s="7" t="inlineStr"/>
    </row>
    <row r="738">
      <c r="A738" s="7" t="n">
        <v>532281</v>
      </c>
      <c r="B738" s="10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1" t="n">
        <v>3</v>
      </c>
      <c r="G738" s="11" t="n">
        <v>3</v>
      </c>
      <c r="H738" s="8" t="n">
        <v>8.640000000000001</v>
      </c>
      <c r="I738" s="8" t="n">
        <v>8.539999999999999</v>
      </c>
      <c r="J738" s="8" t="n"/>
      <c r="K738" s="7" t="inlineStr">
        <is>
          <t>SEM COTAÇÃO</t>
        </is>
      </c>
      <c r="L738" s="8" t="n"/>
      <c r="M738" s="12" t="n"/>
      <c r="N738" s="7" t="inlineStr"/>
      <c r="O738" s="7" t="inlineStr"/>
    </row>
    <row r="739">
      <c r="A739" s="7" t="n">
        <v>627811</v>
      </c>
      <c r="B739" s="10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1" t="n">
        <v>48</v>
      </c>
      <c r="G739" s="11" t="n">
        <v>48</v>
      </c>
      <c r="H739" s="8" t="n">
        <v>8.390000000000001</v>
      </c>
      <c r="I739" s="8" t="n">
        <v>7.69</v>
      </c>
      <c r="J739" s="8" t="n"/>
      <c r="K739" s="7" t="inlineStr">
        <is>
          <t>SEM COTAÇÃO</t>
        </is>
      </c>
      <c r="L739" s="8" t="n"/>
      <c r="M739" s="12" t="n"/>
      <c r="N739" s="7" t="inlineStr"/>
      <c r="O739" s="7" t="inlineStr"/>
    </row>
    <row r="740">
      <c r="A740" s="7" t="n">
        <v>92221</v>
      </c>
      <c r="B740" s="10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1" t="n">
        <v>2</v>
      </c>
      <c r="G740" s="11" t="n">
        <v>2</v>
      </c>
      <c r="H740" s="8" t="n">
        <v>4.1</v>
      </c>
      <c r="I740" s="8" t="n">
        <v>4.1</v>
      </c>
      <c r="J740" s="13" t="n">
        <v>4.28</v>
      </c>
      <c r="K740" s="7" t="inlineStr">
        <is>
          <t>DIMEC</t>
        </is>
      </c>
      <c r="L740" s="8" t="n">
        <v>4.28</v>
      </c>
      <c r="M740" s="12">
        <f>L740/H740-1</f>
        <v/>
      </c>
      <c r="N740" s="14" t="inlineStr">
        <is>
          <t>ACIMA +4.4%</t>
        </is>
      </c>
      <c r="O740" s="7" t="inlineStr"/>
    </row>
    <row r="741">
      <c r="A741" s="7" t="n">
        <v>92021</v>
      </c>
      <c r="B741" s="10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1" t="n">
        <v>4</v>
      </c>
      <c r="G741" s="11" t="n">
        <v>4</v>
      </c>
      <c r="H741" s="8" t="n">
        <v>4.81</v>
      </c>
      <c r="I741" s="8" t="n">
        <v>4.81</v>
      </c>
      <c r="J741" s="13" t="n">
        <v>6.16</v>
      </c>
      <c r="K741" s="7" t="inlineStr">
        <is>
          <t>DIMEC</t>
        </is>
      </c>
      <c r="L741" s="8" t="n">
        <v>6.16</v>
      </c>
      <c r="M741" s="12">
        <f>L741/H741-1</f>
        <v/>
      </c>
      <c r="N741" s="14" t="inlineStr">
        <is>
          <t>ACIMA +28.1%</t>
        </is>
      </c>
      <c r="O741" s="7" t="inlineStr"/>
    </row>
    <row r="742">
      <c r="A742" s="7" t="n">
        <v>451561</v>
      </c>
      <c r="B742" s="10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1" t="n">
        <v>89</v>
      </c>
      <c r="G742" s="11" t="n">
        <v>89</v>
      </c>
      <c r="H742" s="8" t="n">
        <v>4.59</v>
      </c>
      <c r="I742" s="8" t="n">
        <v>4.4</v>
      </c>
      <c r="J742" s="8" t="n"/>
      <c r="K742" s="7" t="inlineStr">
        <is>
          <t>SEM COTAÇÃO</t>
        </is>
      </c>
      <c r="L742" s="8" t="n"/>
      <c r="M742" s="12" t="n"/>
      <c r="N742" s="7" t="inlineStr"/>
      <c r="O742" s="7" t="inlineStr"/>
    </row>
    <row r="743">
      <c r="A743" s="7" t="n">
        <v>96181</v>
      </c>
      <c r="B743" s="10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1" t="n">
        <v>36</v>
      </c>
      <c r="G743" s="11" t="n">
        <v>36</v>
      </c>
      <c r="H743" s="8" t="n">
        <v>20.1267</v>
      </c>
      <c r="I743" s="8" t="n">
        <v>17.7656</v>
      </c>
      <c r="J743" s="13" t="n">
        <v>22.49</v>
      </c>
      <c r="K743" s="7" t="inlineStr">
        <is>
          <t>DIMEC</t>
        </is>
      </c>
      <c r="L743" s="8" t="n">
        <v>22.49</v>
      </c>
      <c r="M743" s="12">
        <f>L743/H743-1</f>
        <v/>
      </c>
      <c r="N743" s="14" t="inlineStr">
        <is>
          <t>ACIMA +11.7%</t>
        </is>
      </c>
      <c r="O743" s="7" t="inlineStr"/>
    </row>
    <row r="744">
      <c r="A744" s="7" t="n">
        <v>95101</v>
      </c>
      <c r="B744" s="10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1" t="n">
        <v>153</v>
      </c>
      <c r="G744" s="11" t="n">
        <v>153</v>
      </c>
      <c r="H744" s="8" t="n">
        <v>5.1338</v>
      </c>
      <c r="I744" s="8" t="n">
        <v>5.1338</v>
      </c>
      <c r="J744" s="13" t="n">
        <v>5.99</v>
      </c>
      <c r="K744" s="7" t="inlineStr">
        <is>
          <t>DIMEC</t>
        </is>
      </c>
      <c r="L744" s="8" t="n">
        <v>5.99</v>
      </c>
      <c r="M744" s="12">
        <f>L744/H744-1</f>
        <v/>
      </c>
      <c r="N744" s="14" t="inlineStr">
        <is>
          <t>ACIMA +16.7%</t>
        </is>
      </c>
      <c r="O744" s="7" t="inlineStr"/>
    </row>
    <row r="745">
      <c r="A745" s="7" t="n">
        <v>95121</v>
      </c>
      <c r="B745" s="10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1" t="n">
        <v>1</v>
      </c>
      <c r="G745" s="11" t="n">
        <v>1</v>
      </c>
      <c r="H745" s="8" t="n">
        <v>8.57</v>
      </c>
      <c r="I745" s="8" t="n">
        <v>7.375</v>
      </c>
      <c r="J745" s="13" t="n">
        <v>10.49</v>
      </c>
      <c r="K745" s="7" t="inlineStr">
        <is>
          <t>DIMEC</t>
        </is>
      </c>
      <c r="L745" s="8" t="n">
        <v>10.49</v>
      </c>
      <c r="M745" s="12">
        <f>L745/H745-1</f>
        <v/>
      </c>
      <c r="N745" s="14" t="inlineStr">
        <is>
          <t>ACIMA +22.4%</t>
        </is>
      </c>
      <c r="O745" s="7" t="inlineStr"/>
    </row>
    <row r="746">
      <c r="A746" s="7" t="n">
        <v>35203</v>
      </c>
      <c r="B746" s="10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1" t="n">
        <v>2</v>
      </c>
      <c r="G746" s="11" t="n">
        <v>2</v>
      </c>
      <c r="H746" s="8" t="n">
        <v>12.97</v>
      </c>
      <c r="I746" s="8" t="n">
        <v>12.97</v>
      </c>
      <c r="J746" s="8" t="n"/>
      <c r="K746" s="7" t="inlineStr">
        <is>
          <t>SEM COTAÇÃO</t>
        </is>
      </c>
      <c r="L746" s="8" t="n"/>
      <c r="M746" s="12" t="n"/>
      <c r="N746" s="7" t="inlineStr"/>
      <c r="O746" s="7" t="inlineStr"/>
    </row>
    <row r="747">
      <c r="A747" s="7" t="n">
        <v>653431</v>
      </c>
      <c r="B747" s="10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1" t="n">
        <v>2</v>
      </c>
      <c r="G747" s="11" t="n">
        <v>2</v>
      </c>
      <c r="H747" s="8" t="n">
        <v>8.220000000000001</v>
      </c>
      <c r="I747" s="8" t="n">
        <v>8.220000000000001</v>
      </c>
      <c r="J747" s="8" t="n"/>
      <c r="K747" s="7" t="inlineStr">
        <is>
          <t>SEM COTAÇÃO</t>
        </is>
      </c>
      <c r="L747" s="8" t="n"/>
      <c r="M747" s="12" t="n"/>
      <c r="N747" s="7" t="inlineStr"/>
      <c r="O747" s="7" t="inlineStr"/>
    </row>
    <row r="748">
      <c r="A748" s="7" t="n">
        <v>592041</v>
      </c>
      <c r="B748" s="10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1" t="n">
        <v>1</v>
      </c>
      <c r="G748" s="11" t="n">
        <v>14</v>
      </c>
      <c r="H748" s="8" t="n">
        <v>5.9067</v>
      </c>
      <c r="I748" s="8" t="n">
        <v>5.9067</v>
      </c>
      <c r="J748" s="8" t="n"/>
      <c r="K748" s="7" t="inlineStr">
        <is>
          <t>SEM COTAÇÃO</t>
        </is>
      </c>
      <c r="L748" s="8" t="n"/>
      <c r="M748" s="12" t="n"/>
      <c r="N748" s="7" t="inlineStr"/>
      <c r="O748" s="7" t="inlineStr"/>
    </row>
    <row r="749">
      <c r="A749" s="7" t="n">
        <v>13103</v>
      </c>
      <c r="B749" s="10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1" t="n">
        <v>8</v>
      </c>
      <c r="G749" s="11" t="n">
        <v>8</v>
      </c>
      <c r="H749" s="8" t="n">
        <v>3.93</v>
      </c>
      <c r="I749" s="8" t="n">
        <v>3.93</v>
      </c>
      <c r="J749" s="8" t="n"/>
      <c r="K749" s="7" t="inlineStr">
        <is>
          <t>SEM COTAÇÃO</t>
        </is>
      </c>
      <c r="L749" s="8" t="n"/>
      <c r="M749" s="12" t="n"/>
      <c r="N749" s="7" t="inlineStr"/>
      <c r="O749" s="7" t="inlineStr"/>
    </row>
    <row r="750">
      <c r="A750" s="7" t="n">
        <v>34603</v>
      </c>
      <c r="B750" s="10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1" t="n">
        <v>2</v>
      </c>
      <c r="G750" s="11" t="n">
        <v>2</v>
      </c>
      <c r="H750" s="8" t="n">
        <v>3.42</v>
      </c>
      <c r="I750" s="8" t="n">
        <v>3.42</v>
      </c>
      <c r="J750" s="8" t="n"/>
      <c r="K750" s="7" t="inlineStr">
        <is>
          <t>SEM COTAÇÃO</t>
        </is>
      </c>
      <c r="L750" s="8" t="n"/>
      <c r="M750" s="12" t="n"/>
      <c r="N750" s="7" t="inlineStr"/>
      <c r="O750" s="7" t="inlineStr"/>
    </row>
    <row r="751">
      <c r="A751" s="7" t="n">
        <v>609571</v>
      </c>
      <c r="B751" s="10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1" t="n">
        <v>1</v>
      </c>
      <c r="G751" s="11" t="n">
        <v>1</v>
      </c>
      <c r="H751" s="8" t="n">
        <v>5.2</v>
      </c>
      <c r="I751" s="8" t="n">
        <v>5.2</v>
      </c>
      <c r="J751" s="8" t="n"/>
      <c r="K751" s="7" t="inlineStr">
        <is>
          <t>SEM COTAÇÃO</t>
        </is>
      </c>
      <c r="L751" s="8" t="n"/>
      <c r="M751" s="12" t="n"/>
      <c r="N751" s="7" t="inlineStr"/>
      <c r="O751" s="7" t="inlineStr"/>
    </row>
    <row r="752">
      <c r="A752" s="7" t="n">
        <v>334</v>
      </c>
      <c r="B752" s="10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1" t="n">
        <v>1</v>
      </c>
      <c r="G752" s="11" t="n">
        <v>71</v>
      </c>
      <c r="H752" s="8" t="n">
        <v>0.1003</v>
      </c>
      <c r="I752" s="8" t="n">
        <v>0.1003</v>
      </c>
      <c r="J752" s="8" t="n"/>
      <c r="K752" s="7" t="inlineStr">
        <is>
          <t>SEM COTAÇÃO</t>
        </is>
      </c>
      <c r="L752" s="8" t="n"/>
      <c r="M752" s="12" t="n"/>
      <c r="N752" s="7" t="inlineStr"/>
      <c r="O752" s="7" t="inlineStr"/>
    </row>
    <row r="753">
      <c r="A753" s="7" t="n">
        <v>639211</v>
      </c>
      <c r="B753" s="10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1" t="n">
        <v>1</v>
      </c>
      <c r="G753" s="11" t="n">
        <v>1</v>
      </c>
      <c r="H753" s="8" t="n">
        <v>0.5946</v>
      </c>
      <c r="I753" s="8" t="n">
        <v>0.5946</v>
      </c>
      <c r="J753" s="8" t="n"/>
      <c r="K753" s="7" t="inlineStr">
        <is>
          <t>SEM COTAÇÃO</t>
        </is>
      </c>
      <c r="L753" s="8" t="n"/>
      <c r="M753" s="12" t="n"/>
      <c r="N753" s="7" t="inlineStr"/>
      <c r="O753" s="7" t="inlineStr"/>
    </row>
    <row r="754">
      <c r="A754" s="7" t="n">
        <v>639201</v>
      </c>
      <c r="B754" s="10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1" t="n">
        <v>1</v>
      </c>
      <c r="G754" s="11" t="n">
        <v>1</v>
      </c>
      <c r="H754" s="8" t="n">
        <v>0.5946</v>
      </c>
      <c r="I754" s="8" t="n">
        <v>0.5946</v>
      </c>
      <c r="J754" s="8" t="n"/>
      <c r="K754" s="7" t="inlineStr">
        <is>
          <t>SEM COTAÇÃO</t>
        </is>
      </c>
      <c r="L754" s="8" t="n"/>
      <c r="M754" s="12" t="n"/>
      <c r="N754" s="7" t="inlineStr"/>
      <c r="O754" s="7" t="inlineStr"/>
    </row>
    <row r="755">
      <c r="A755" s="7" t="n">
        <v>555121</v>
      </c>
      <c r="B755" s="10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1" t="n">
        <v>1</v>
      </c>
      <c r="G755" s="11" t="n">
        <v>13</v>
      </c>
      <c r="H755" s="8" t="n">
        <v>0.28</v>
      </c>
      <c r="I755" s="8" t="n">
        <v>0.25</v>
      </c>
      <c r="J755" s="8" t="n"/>
      <c r="K755" s="7" t="inlineStr">
        <is>
          <t>SEM COTAÇÃO</t>
        </is>
      </c>
      <c r="L755" s="8" t="n"/>
      <c r="M755" s="12" t="n"/>
      <c r="N755" s="7" t="inlineStr"/>
      <c r="O755" s="7" t="inlineStr"/>
    </row>
    <row r="756">
      <c r="A756" s="7" t="n">
        <v>706001</v>
      </c>
      <c r="B756" s="10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1" t="n">
        <v>2</v>
      </c>
      <c r="G756" s="11" t="n">
        <v>21</v>
      </c>
      <c r="H756" s="8" t="n">
        <v>2.0075</v>
      </c>
      <c r="I756" s="8" t="n">
        <v>2.0075</v>
      </c>
      <c r="J756" s="8" t="n"/>
      <c r="K756" s="7" t="inlineStr">
        <is>
          <t>SEM COTAÇÃO</t>
        </is>
      </c>
      <c r="L756" s="8" t="n"/>
      <c r="M756" s="12" t="n"/>
      <c r="N756" s="7" t="inlineStr"/>
      <c r="O756" s="7" t="inlineStr"/>
    </row>
    <row r="757">
      <c r="A757" s="7" t="n">
        <v>542801</v>
      </c>
      <c r="B757" s="10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1" t="n">
        <v>3</v>
      </c>
      <c r="G757" s="11" t="n">
        <v>70</v>
      </c>
      <c r="H757" s="8" t="n">
        <v>1.4757</v>
      </c>
      <c r="I757" s="8" t="n">
        <v>1.103</v>
      </c>
      <c r="J757" s="8" t="n"/>
      <c r="K757" s="7" t="inlineStr">
        <is>
          <t>SEM COTAÇÃO</t>
        </is>
      </c>
      <c r="L757" s="8" t="n"/>
      <c r="M757" s="12" t="n"/>
      <c r="N757" s="7" t="inlineStr"/>
      <c r="O757" s="7" t="inlineStr"/>
    </row>
    <row r="758">
      <c r="A758" s="7" t="n">
        <v>705501</v>
      </c>
      <c r="B758" s="10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1" t="n">
        <v>7</v>
      </c>
      <c r="G758" s="11" t="n">
        <v>7</v>
      </c>
      <c r="H758" s="8" t="n">
        <v>2.99</v>
      </c>
      <c r="I758" s="8" t="n">
        <v>2.99</v>
      </c>
      <c r="J758" s="8" t="n"/>
      <c r="K758" s="7" t="inlineStr">
        <is>
          <t>SEM COTAÇÃO</t>
        </is>
      </c>
      <c r="L758" s="8" t="n"/>
      <c r="M758" s="12" t="n"/>
      <c r="N758" s="7" t="inlineStr"/>
      <c r="O758" s="7" t="inlineStr"/>
    </row>
    <row r="759">
      <c r="A759" s="7" t="n">
        <v>650211</v>
      </c>
      <c r="B759" s="10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1" t="n">
        <v>20</v>
      </c>
      <c r="G759" s="11" t="n">
        <v>20</v>
      </c>
      <c r="H759" s="8" t="n">
        <v>3.49</v>
      </c>
      <c r="I759" s="8" t="n">
        <v>3.49</v>
      </c>
      <c r="J759" s="8" t="n"/>
      <c r="K759" s="7" t="inlineStr">
        <is>
          <t>SEM COTAÇÃO</t>
        </is>
      </c>
      <c r="L759" s="8" t="n"/>
      <c r="M759" s="12" t="n"/>
      <c r="N759" s="7" t="inlineStr"/>
      <c r="O759" s="7" t="inlineStr"/>
    </row>
    <row r="760">
      <c r="A760" s="7" t="n">
        <v>656811</v>
      </c>
      <c r="B760" s="10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1" t="n">
        <v>8</v>
      </c>
      <c r="G760" s="11" t="n">
        <v>8</v>
      </c>
      <c r="H760" s="8" t="n">
        <v>3.4</v>
      </c>
      <c r="I760" s="8" t="n">
        <v>3.4</v>
      </c>
      <c r="J760" s="8" t="n"/>
      <c r="K760" s="7" t="inlineStr">
        <is>
          <t>SEM COTAÇÃO</t>
        </is>
      </c>
      <c r="L760" s="8" t="n"/>
      <c r="M760" s="12" t="n"/>
      <c r="N760" s="7" t="inlineStr"/>
      <c r="O760" s="7" t="inlineStr"/>
    </row>
    <row r="761">
      <c r="A761" s="7" t="n">
        <v>656851</v>
      </c>
      <c r="B761" s="10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1" t="n">
        <v>16</v>
      </c>
      <c r="G761" s="11" t="n">
        <v>16</v>
      </c>
      <c r="H761" s="8" t="n">
        <v>3.4</v>
      </c>
      <c r="I761" s="8" t="n">
        <v>3.4</v>
      </c>
      <c r="J761" s="8" t="n"/>
      <c r="K761" s="7" t="inlineStr">
        <is>
          <t>SEM COTAÇÃO</t>
        </is>
      </c>
      <c r="L761" s="8" t="n"/>
      <c r="M761" s="12" t="n"/>
      <c r="N761" s="7" t="inlineStr"/>
      <c r="O761" s="7" t="inlineStr"/>
    </row>
    <row r="762">
      <c r="A762" s="7" t="n">
        <v>658401</v>
      </c>
      <c r="B762" s="10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1" t="n">
        <v>13</v>
      </c>
      <c r="G762" s="11" t="n">
        <v>13</v>
      </c>
      <c r="H762" s="8" t="n">
        <v>3.4</v>
      </c>
      <c r="I762" s="8" t="n">
        <v>3.4</v>
      </c>
      <c r="J762" s="8" t="n"/>
      <c r="K762" s="7" t="inlineStr">
        <is>
          <t>SEM COTAÇÃO</t>
        </is>
      </c>
      <c r="L762" s="8" t="n"/>
      <c r="M762" s="12" t="n"/>
      <c r="N762" s="7" t="inlineStr"/>
      <c r="O762" s="7" t="inlineStr"/>
    </row>
    <row r="763">
      <c r="A763" s="7" t="n">
        <v>650201</v>
      </c>
      <c r="B763" s="10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1" t="n">
        <v>1</v>
      </c>
      <c r="G763" s="11" t="n">
        <v>1</v>
      </c>
      <c r="H763" s="8" t="n">
        <v>2.9908</v>
      </c>
      <c r="I763" s="8" t="n">
        <v>2.9908</v>
      </c>
      <c r="J763" s="8" t="n"/>
      <c r="K763" s="7" t="inlineStr">
        <is>
          <t>SEM COTAÇÃO</t>
        </is>
      </c>
      <c r="L763" s="8" t="n"/>
      <c r="M763" s="12" t="n"/>
      <c r="N763" s="7" t="inlineStr"/>
      <c r="O763" s="7" t="inlineStr"/>
    </row>
    <row r="764">
      <c r="A764" s="7" t="n">
        <v>658411</v>
      </c>
      <c r="B764" s="10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1" t="n">
        <v>5</v>
      </c>
      <c r="G764" s="11" t="n">
        <v>5</v>
      </c>
      <c r="H764" s="8" t="n">
        <v>1.07</v>
      </c>
      <c r="I764" s="8" t="n">
        <v>1.07</v>
      </c>
      <c r="J764" s="8" t="n"/>
      <c r="K764" s="7" t="inlineStr">
        <is>
          <t>SEM COTAÇÃO</t>
        </is>
      </c>
      <c r="L764" s="8" t="n"/>
      <c r="M764" s="12" t="n"/>
      <c r="N764" s="7" t="inlineStr"/>
      <c r="O764" s="7" t="inlineStr"/>
    </row>
    <row r="765">
      <c r="A765" s="7" t="n">
        <v>652581</v>
      </c>
      <c r="B765" s="10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1" t="n">
        <v>2</v>
      </c>
      <c r="G765" s="11" t="n">
        <v>2</v>
      </c>
      <c r="H765" s="8" t="n">
        <v>1.1</v>
      </c>
      <c r="I765" s="8" t="n">
        <v>1.02</v>
      </c>
      <c r="J765" s="8" t="n"/>
      <c r="K765" s="7" t="inlineStr">
        <is>
          <t>SEM COTAÇÃO</t>
        </is>
      </c>
      <c r="L765" s="8" t="n"/>
      <c r="M765" s="12" t="n"/>
      <c r="N765" s="7" t="inlineStr"/>
      <c r="O765" s="7" t="inlineStr"/>
    </row>
    <row r="766">
      <c r="A766" s="7" t="n">
        <v>706201</v>
      </c>
      <c r="B766" s="10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1" t="n">
        <v>3</v>
      </c>
      <c r="G766" s="11" t="n">
        <v>28</v>
      </c>
      <c r="H766" s="8" t="n">
        <v>2.0075</v>
      </c>
      <c r="I766" s="8" t="n">
        <v>2.0075</v>
      </c>
      <c r="J766" s="8" t="n"/>
      <c r="K766" s="7" t="inlineStr">
        <is>
          <t>SEM COTAÇÃO</t>
        </is>
      </c>
      <c r="L766" s="8" t="n"/>
      <c r="M766" s="12" t="n"/>
      <c r="N766" s="7" t="inlineStr"/>
      <c r="O766" s="7" t="inlineStr"/>
    </row>
    <row r="767">
      <c r="A767" s="7" t="n">
        <v>353</v>
      </c>
      <c r="B767" s="10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1" t="n">
        <v>1</v>
      </c>
      <c r="G767" s="11" t="n">
        <v>1</v>
      </c>
      <c r="H767" s="8" t="n"/>
      <c r="I767" s="8" t="n"/>
      <c r="J767" s="8" t="n"/>
      <c r="K767" s="7" t="inlineStr">
        <is>
          <t>SEM COTAÇÃO</t>
        </is>
      </c>
      <c r="L767" s="8" t="n"/>
      <c r="M767" s="12" t="n"/>
      <c r="N767" s="7" t="inlineStr"/>
      <c r="O767" s="7" t="inlineStr"/>
    </row>
    <row r="768">
      <c r="A768" s="7" t="n">
        <v>658811</v>
      </c>
      <c r="B768" s="10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1" t="n">
        <v>1</v>
      </c>
      <c r="G768" s="11" t="n">
        <v>3</v>
      </c>
      <c r="H768" s="8" t="n">
        <v>1.6215</v>
      </c>
      <c r="I768" s="8" t="n">
        <v>1.6215</v>
      </c>
      <c r="J768" s="8" t="n"/>
      <c r="K768" s="7" t="inlineStr">
        <is>
          <t>SEM COTAÇÃO</t>
        </is>
      </c>
      <c r="L768" s="8" t="n"/>
      <c r="M768" s="12" t="n"/>
      <c r="N768" s="7" t="inlineStr"/>
      <c r="O768" s="7" t="inlineStr"/>
    </row>
    <row r="769">
      <c r="A769" s="7" t="n">
        <v>671831</v>
      </c>
      <c r="B769" s="10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1" t="n">
        <v>1</v>
      </c>
      <c r="G769" s="11" t="n">
        <v>7</v>
      </c>
      <c r="H769" s="8" t="n">
        <v>2.5257</v>
      </c>
      <c r="I769" s="8" t="n">
        <v>2.5257</v>
      </c>
      <c r="J769" s="8" t="n"/>
      <c r="K769" s="7" t="inlineStr">
        <is>
          <t>SEM COTAÇÃO</t>
        </is>
      </c>
      <c r="L769" s="8" t="n"/>
      <c r="M769" s="12" t="n"/>
      <c r="N769" s="7" t="inlineStr"/>
      <c r="O769" s="7" t="inlineStr"/>
    </row>
    <row r="770">
      <c r="A770" s="7" t="n">
        <v>660051</v>
      </c>
      <c r="B770" s="10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1" t="n">
        <v>1</v>
      </c>
      <c r="G770" s="11" t="n">
        <v>1</v>
      </c>
      <c r="H770" s="8" t="n">
        <v>13.79</v>
      </c>
      <c r="I770" s="8" t="n">
        <v>13.27</v>
      </c>
      <c r="J770" s="8" t="n"/>
      <c r="K770" s="7" t="inlineStr">
        <is>
          <t>SEM COTAÇÃO</t>
        </is>
      </c>
      <c r="L770" s="8" t="n"/>
      <c r="M770" s="12" t="n"/>
      <c r="N770" s="7" t="inlineStr"/>
      <c r="O770" s="7" t="inlineStr"/>
    </row>
    <row r="771">
      <c r="A771" s="7" t="n">
        <v>629761</v>
      </c>
      <c r="B771" s="10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1" t="n">
        <v>1</v>
      </c>
      <c r="G771" s="11" t="n">
        <v>1</v>
      </c>
      <c r="H771" s="8" t="n">
        <v>14.97</v>
      </c>
      <c r="I771" s="8" t="n">
        <v>14.97</v>
      </c>
      <c r="J771" s="8" t="n"/>
      <c r="K771" s="7" t="inlineStr">
        <is>
          <t>SEM COTAÇÃO</t>
        </is>
      </c>
      <c r="L771" s="8" t="n"/>
      <c r="M771" s="12" t="n"/>
      <c r="N771" s="7" t="inlineStr"/>
      <c r="O771" s="7" t="inlineStr"/>
    </row>
    <row r="772">
      <c r="A772" s="7" t="n">
        <v>629771</v>
      </c>
      <c r="B772" s="10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1" t="n">
        <v>1</v>
      </c>
      <c r="G772" s="11" t="n">
        <v>1</v>
      </c>
      <c r="H772" s="8" t="n">
        <v>14.49</v>
      </c>
      <c r="I772" s="8" t="n">
        <v>14.49</v>
      </c>
      <c r="J772" s="8" t="n"/>
      <c r="K772" s="7" t="inlineStr">
        <is>
          <t>SEM COTAÇÃO</t>
        </is>
      </c>
      <c r="L772" s="8" t="n"/>
      <c r="M772" s="12" t="n"/>
      <c r="N772" s="7" t="inlineStr"/>
      <c r="O772" s="7" t="inlineStr"/>
    </row>
    <row r="773">
      <c r="A773" s="7" t="n">
        <v>580001</v>
      </c>
      <c r="B773" s="10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1" t="n">
        <v>1</v>
      </c>
      <c r="G773" s="11" t="n">
        <v>1</v>
      </c>
      <c r="H773" s="8" t="n">
        <v>5.7692</v>
      </c>
      <c r="I773" s="8" t="n">
        <v>5.7692</v>
      </c>
      <c r="J773" s="8" t="n"/>
      <c r="K773" s="7" t="inlineStr">
        <is>
          <t>SEM COTAÇÃO</t>
        </is>
      </c>
      <c r="L773" s="8" t="n"/>
      <c r="M773" s="12" t="n"/>
      <c r="N773" s="7" t="inlineStr"/>
      <c r="O773" s="7" t="inlineStr"/>
    </row>
    <row r="774">
      <c r="A774" s="7" t="n">
        <v>625441</v>
      </c>
      <c r="B774" s="10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1" t="n">
        <v>11</v>
      </c>
      <c r="G774" s="11" t="n">
        <v>11</v>
      </c>
      <c r="H774" s="8" t="n">
        <v>6.99</v>
      </c>
      <c r="I774" s="8" t="n">
        <v>6.99</v>
      </c>
      <c r="J774" s="8" t="n"/>
      <c r="K774" s="7" t="inlineStr">
        <is>
          <t>SEM COTAÇÃO</t>
        </is>
      </c>
      <c r="L774" s="8" t="n"/>
      <c r="M774" s="12" t="n"/>
      <c r="N774" s="7" t="inlineStr"/>
      <c r="O774" s="7" t="inlineStr"/>
    </row>
    <row r="775">
      <c r="A775" s="7" t="n">
        <v>580021</v>
      </c>
      <c r="B775" s="10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1" t="n">
        <v>2</v>
      </c>
      <c r="G775" s="11" t="n">
        <v>19</v>
      </c>
      <c r="H775" s="8" t="n">
        <v>6.6956</v>
      </c>
      <c r="I775" s="8" t="n">
        <v>6.6956</v>
      </c>
      <c r="J775" s="8" t="n"/>
      <c r="K775" s="7" t="inlineStr">
        <is>
          <t>SEM COTAÇÃO</t>
        </is>
      </c>
      <c r="L775" s="8" t="n"/>
      <c r="M775" s="12" t="n"/>
      <c r="N775" s="7" t="inlineStr"/>
      <c r="O775" s="7" t="inlineStr"/>
    </row>
    <row r="776">
      <c r="A776" s="7" t="n">
        <v>554961</v>
      </c>
      <c r="B776" s="10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1" t="n">
        <v>1</v>
      </c>
      <c r="G776" s="11" t="n">
        <v>2</v>
      </c>
      <c r="H776" s="8" t="n">
        <v>7.0688</v>
      </c>
      <c r="I776" s="8" t="n">
        <v>7.0688</v>
      </c>
      <c r="J776" s="8" t="n"/>
      <c r="K776" s="7" t="inlineStr">
        <is>
          <t>SEM COTAÇÃO</t>
        </is>
      </c>
      <c r="L776" s="8" t="n"/>
      <c r="M776" s="12" t="n"/>
      <c r="N776" s="7" t="inlineStr"/>
      <c r="O776" s="7" t="inlineStr"/>
    </row>
    <row r="777">
      <c r="A777" s="7" t="n">
        <v>555041</v>
      </c>
      <c r="B777" s="10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1" t="n">
        <v>2</v>
      </c>
      <c r="G777" s="11" t="n">
        <v>23</v>
      </c>
      <c r="H777" s="8" t="n">
        <v>6.695</v>
      </c>
      <c r="I777" s="8" t="n">
        <v>6.5644</v>
      </c>
      <c r="J777" s="8" t="n"/>
      <c r="K777" s="7" t="inlineStr">
        <is>
          <t>SEM COTAÇÃO</t>
        </is>
      </c>
      <c r="L777" s="8" t="n"/>
      <c r="M777" s="12" t="n"/>
      <c r="N777" s="7" t="inlineStr"/>
      <c r="O777" s="7" t="inlineStr"/>
    </row>
    <row r="778">
      <c r="A778" s="7" t="n">
        <v>605861</v>
      </c>
      <c r="B778" s="10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1" t="n">
        <v>6</v>
      </c>
      <c r="G778" s="11" t="n">
        <v>6</v>
      </c>
      <c r="H778" s="8" t="n">
        <v>7.99</v>
      </c>
      <c r="I778" s="8" t="n">
        <v>7.99</v>
      </c>
      <c r="J778" s="8" t="n"/>
      <c r="K778" s="7" t="inlineStr">
        <is>
          <t>SEM COTAÇÃO</t>
        </is>
      </c>
      <c r="L778" s="8" t="n"/>
      <c r="M778" s="12" t="n"/>
      <c r="N778" s="7" t="inlineStr"/>
      <c r="O778" s="7" t="inlineStr"/>
    </row>
    <row r="779">
      <c r="A779" s="7" t="n">
        <v>643221</v>
      </c>
      <c r="B779" s="10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1" t="n">
        <v>12</v>
      </c>
      <c r="G779" s="11" t="n">
        <v>12</v>
      </c>
      <c r="H779" s="8" t="n">
        <v>6.99</v>
      </c>
      <c r="I779" s="8" t="n">
        <v>6.7</v>
      </c>
      <c r="J779" s="8" t="n"/>
      <c r="K779" s="7" t="inlineStr">
        <is>
          <t>SEM COTAÇÃO</t>
        </is>
      </c>
      <c r="L779" s="8" t="n"/>
      <c r="M779" s="12" t="n"/>
      <c r="N779" s="7" t="inlineStr"/>
      <c r="O779" s="7" t="inlineStr"/>
    </row>
    <row r="780">
      <c r="A780" s="7" t="n">
        <v>605841</v>
      </c>
      <c r="B780" s="10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1" t="n">
        <v>8</v>
      </c>
      <c r="G780" s="11" t="n">
        <v>8</v>
      </c>
      <c r="H780" s="8" t="n">
        <v>8.49</v>
      </c>
      <c r="I780" s="8" t="n">
        <v>7.99</v>
      </c>
      <c r="J780" s="8" t="n"/>
      <c r="K780" s="7" t="inlineStr">
        <is>
          <t>SEM COTAÇÃO</t>
        </is>
      </c>
      <c r="L780" s="8" t="n"/>
      <c r="M780" s="12" t="n"/>
      <c r="N780" s="7" t="inlineStr"/>
      <c r="O780" s="7" t="inlineStr"/>
    </row>
    <row r="781">
      <c r="A781" s="7" t="n">
        <v>605871</v>
      </c>
      <c r="B781" s="10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1" t="n">
        <v>5</v>
      </c>
      <c r="G781" s="11" t="n">
        <v>5</v>
      </c>
      <c r="H781" s="8" t="n">
        <v>8.49</v>
      </c>
      <c r="I781" s="8" t="n">
        <v>7.99</v>
      </c>
      <c r="J781" s="8" t="n"/>
      <c r="K781" s="7" t="inlineStr">
        <is>
          <t>SEM COTAÇÃO</t>
        </is>
      </c>
      <c r="L781" s="8" t="n"/>
      <c r="M781" s="12" t="n"/>
      <c r="N781" s="7" t="inlineStr"/>
      <c r="O781" s="7" t="inlineStr"/>
    </row>
    <row r="782">
      <c r="A782" s="7" t="n">
        <v>583981</v>
      </c>
      <c r="B782" s="10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1" t="n">
        <v>4</v>
      </c>
      <c r="G782" s="11" t="n">
        <v>4</v>
      </c>
      <c r="H782" s="8" t="n">
        <v>4.99</v>
      </c>
      <c r="I782" s="8" t="n">
        <v>4.99</v>
      </c>
      <c r="J782" s="8" t="n"/>
      <c r="K782" s="7" t="inlineStr">
        <is>
          <t>SEM COTAÇÃO</t>
        </is>
      </c>
      <c r="L782" s="8" t="n"/>
      <c r="M782" s="12" t="n"/>
      <c r="N782" s="7" t="inlineStr"/>
      <c r="O782" s="7" t="inlineStr"/>
    </row>
    <row r="783">
      <c r="A783" s="7" t="n">
        <v>671721</v>
      </c>
      <c r="B783" s="10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1" t="n">
        <v>3</v>
      </c>
      <c r="G783" s="11" t="n">
        <v>5</v>
      </c>
      <c r="H783" s="8" t="n">
        <v>8.3408</v>
      </c>
      <c r="I783" s="8" t="n">
        <v>8.3408</v>
      </c>
      <c r="J783" s="8" t="n"/>
      <c r="K783" s="7" t="inlineStr">
        <is>
          <t>SEM COTAÇÃO</t>
        </is>
      </c>
      <c r="L783" s="8" t="n"/>
      <c r="M783" s="12" t="n"/>
      <c r="N783" s="7" t="inlineStr"/>
      <c r="O783" s="7" t="inlineStr"/>
    </row>
    <row r="784">
      <c r="A784" s="7" t="n">
        <v>671741</v>
      </c>
      <c r="B784" s="10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1" t="n">
        <v>1</v>
      </c>
      <c r="G784" s="11" t="n">
        <v>4</v>
      </c>
      <c r="H784" s="8" t="n">
        <v>6.4994</v>
      </c>
      <c r="I784" s="8" t="n">
        <v>6.4994</v>
      </c>
      <c r="J784" s="8" t="n"/>
      <c r="K784" s="7" t="inlineStr">
        <is>
          <t>SEM COTAÇÃO</t>
        </is>
      </c>
      <c r="L784" s="8" t="n"/>
      <c r="M784" s="12" t="n"/>
      <c r="N784" s="7" t="inlineStr"/>
      <c r="O784" s="7" t="inlineStr"/>
    </row>
    <row r="785">
      <c r="A785" s="7" t="n">
        <v>545841</v>
      </c>
      <c r="B785" s="10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1" t="n">
        <v>4</v>
      </c>
      <c r="G785" s="11" t="n">
        <v>4</v>
      </c>
      <c r="H785" s="8" t="n">
        <v>5.66</v>
      </c>
      <c r="I785" s="8" t="n">
        <v>5.66</v>
      </c>
      <c r="J785" s="8" t="n"/>
      <c r="K785" s="7" t="inlineStr">
        <is>
          <t>SEM COTAÇÃO</t>
        </is>
      </c>
      <c r="L785" s="8" t="n"/>
      <c r="M785" s="12" t="n"/>
      <c r="N785" s="7" t="inlineStr"/>
      <c r="O785" s="7" t="inlineStr"/>
    </row>
    <row r="786">
      <c r="A786" s="7" t="n">
        <v>592021</v>
      </c>
      <c r="B786" s="10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1" t="n">
        <v>3</v>
      </c>
      <c r="G786" s="11" t="n">
        <v>62</v>
      </c>
      <c r="H786" s="8" t="n">
        <v>2.41</v>
      </c>
      <c r="I786" s="8" t="n">
        <v>2.3627</v>
      </c>
      <c r="J786" s="8" t="n"/>
      <c r="K786" s="7" t="inlineStr">
        <is>
          <t>SEM COTAÇÃO</t>
        </is>
      </c>
      <c r="L786" s="8" t="n"/>
      <c r="M786" s="12" t="n"/>
      <c r="N786" s="7" t="inlineStr"/>
      <c r="O786" s="7" t="inlineStr"/>
    </row>
    <row r="787">
      <c r="A787" s="7" t="n">
        <v>655651</v>
      </c>
      <c r="B787" s="10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1" t="n">
        <v>6</v>
      </c>
      <c r="G787" s="11" t="n">
        <v>6</v>
      </c>
      <c r="H787" s="8" t="n">
        <v>10.21</v>
      </c>
      <c r="I787" s="8" t="n">
        <v>10.21</v>
      </c>
      <c r="J787" s="8" t="n"/>
      <c r="K787" s="7" t="inlineStr">
        <is>
          <t>SEM COTAÇÃO</t>
        </is>
      </c>
      <c r="L787" s="8" t="n"/>
      <c r="M787" s="12" t="n"/>
      <c r="N787" s="7" t="inlineStr"/>
      <c r="O787" s="7" t="inlineStr"/>
    </row>
    <row r="788">
      <c r="A788" s="7" t="n">
        <v>654631</v>
      </c>
      <c r="B788" s="10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1" t="n">
        <v>1</v>
      </c>
      <c r="G788" s="11" t="n">
        <v>1</v>
      </c>
      <c r="H788" s="8" t="n">
        <v>18.96</v>
      </c>
      <c r="I788" s="8" t="n">
        <v>18.96</v>
      </c>
      <c r="J788" s="8" t="n"/>
      <c r="K788" s="7" t="inlineStr">
        <is>
          <t>SEM COTAÇÃO</t>
        </is>
      </c>
      <c r="L788" s="8" t="n"/>
      <c r="M788" s="12" t="n"/>
      <c r="N788" s="7" t="inlineStr"/>
      <c r="O788" s="7" t="inlineStr"/>
    </row>
    <row r="789">
      <c r="A789" s="7" t="n">
        <v>663361</v>
      </c>
      <c r="B789" s="10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1" t="n">
        <v>1</v>
      </c>
      <c r="G789" s="11" t="n">
        <v>1</v>
      </c>
      <c r="H789" s="8" t="n">
        <v>6.1</v>
      </c>
      <c r="I789" s="8" t="n">
        <v>6.1</v>
      </c>
      <c r="J789" s="8" t="n"/>
      <c r="K789" s="7" t="inlineStr">
        <is>
          <t>SEM COTAÇÃO</t>
        </is>
      </c>
      <c r="L789" s="8" t="n"/>
      <c r="M789" s="12" t="n"/>
      <c r="N789" s="7" t="inlineStr"/>
      <c r="O789" s="7" t="inlineStr"/>
    </row>
    <row r="790">
      <c r="A790" s="7" t="n">
        <v>663371</v>
      </c>
      <c r="B790" s="10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1" t="n">
        <v>1</v>
      </c>
      <c r="G790" s="11" t="n">
        <v>1</v>
      </c>
      <c r="H790" s="8" t="n">
        <v>6.1</v>
      </c>
      <c r="I790" s="8" t="n">
        <v>6.1</v>
      </c>
      <c r="J790" s="8" t="n"/>
      <c r="K790" s="7" t="inlineStr">
        <is>
          <t>SEM COTAÇÃO</t>
        </is>
      </c>
      <c r="L790" s="8" t="n"/>
      <c r="M790" s="12" t="n"/>
      <c r="N790" s="7" t="inlineStr"/>
      <c r="O790" s="7" t="inlineStr"/>
    </row>
    <row r="791">
      <c r="A791" s="7" t="n">
        <v>663421</v>
      </c>
      <c r="B791" s="10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1" t="n">
        <v>4</v>
      </c>
      <c r="G791" s="11" t="n">
        <v>4</v>
      </c>
      <c r="H791" s="8" t="n">
        <v>10.8</v>
      </c>
      <c r="I791" s="8" t="n">
        <v>10.8</v>
      </c>
      <c r="J791" s="8" t="n"/>
      <c r="K791" s="7" t="inlineStr">
        <is>
          <t>SEM COTAÇÃO</t>
        </is>
      </c>
      <c r="L791" s="8" t="n"/>
      <c r="M791" s="12" t="n"/>
      <c r="N791" s="7" t="inlineStr"/>
      <c r="O791" s="7" t="inlineStr"/>
    </row>
    <row r="792">
      <c r="A792" s="7" t="n">
        <v>524</v>
      </c>
      <c r="B792" s="10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1" t="n">
        <v>1</v>
      </c>
      <c r="G792" s="11" t="n">
        <v>1</v>
      </c>
      <c r="H792" s="8" t="n"/>
      <c r="I792" s="8" t="n"/>
      <c r="J792" s="8" t="n"/>
      <c r="K792" s="7" t="inlineStr">
        <is>
          <t>SEM COTAÇÃO</t>
        </is>
      </c>
      <c r="L792" s="8" t="n"/>
      <c r="M792" s="12" t="n"/>
      <c r="N792" s="7" t="inlineStr"/>
      <c r="O792" s="7" t="inlineStr"/>
    </row>
    <row r="793">
      <c r="A793" s="7" t="n">
        <v>654431</v>
      </c>
      <c r="B793" s="10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1" t="n">
        <v>3</v>
      </c>
      <c r="G793" s="11" t="n">
        <v>3</v>
      </c>
      <c r="H793" s="8" t="n">
        <v>7.03</v>
      </c>
      <c r="I793" s="8" t="n">
        <v>6.76</v>
      </c>
      <c r="J793" s="8" t="n"/>
      <c r="K793" s="7" t="inlineStr">
        <is>
          <t>SEM COTAÇÃO</t>
        </is>
      </c>
      <c r="L793" s="8" t="n"/>
      <c r="M793" s="12" t="n"/>
      <c r="N793" s="7" t="inlineStr"/>
      <c r="O793" s="7" t="inlineStr"/>
    </row>
    <row r="794">
      <c r="A794" s="7" t="n">
        <v>654441</v>
      </c>
      <c r="B794" s="10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1" t="n">
        <v>1</v>
      </c>
      <c r="G794" s="11" t="n">
        <v>1</v>
      </c>
      <c r="H794" s="8" t="n">
        <v>6.76</v>
      </c>
      <c r="I794" s="8" t="n">
        <v>6.76</v>
      </c>
      <c r="J794" s="8" t="n"/>
      <c r="K794" s="7" t="inlineStr">
        <is>
          <t>SEM COTAÇÃO</t>
        </is>
      </c>
      <c r="L794" s="8" t="n"/>
      <c r="M794" s="12" t="n"/>
      <c r="N794" s="7" t="inlineStr"/>
      <c r="O794" s="7" t="inlineStr"/>
    </row>
    <row r="795">
      <c r="A795" s="7" t="n">
        <v>663381</v>
      </c>
      <c r="B795" s="10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1" t="n">
        <v>1</v>
      </c>
      <c r="G795" s="11" t="n">
        <v>1</v>
      </c>
      <c r="H795" s="8" t="n">
        <v>6.35</v>
      </c>
      <c r="I795" s="8" t="n">
        <v>6.35</v>
      </c>
      <c r="J795" s="8" t="n"/>
      <c r="K795" s="7" t="inlineStr">
        <is>
          <t>SEM COTAÇÃO</t>
        </is>
      </c>
      <c r="L795" s="8" t="n"/>
      <c r="M795" s="12" t="n"/>
      <c r="N795" s="7" t="inlineStr"/>
      <c r="O795" s="7" t="inlineStr"/>
    </row>
    <row r="796">
      <c r="A796" s="7" t="n">
        <v>539381</v>
      </c>
      <c r="B796" s="10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1" t="n">
        <v>1</v>
      </c>
      <c r="G796" s="11" t="n">
        <v>1</v>
      </c>
      <c r="H796" s="8" t="n">
        <v>12.47</v>
      </c>
      <c r="I796" s="8" t="n">
        <v>12.47</v>
      </c>
      <c r="J796" s="8" t="n"/>
      <c r="K796" s="7" t="inlineStr">
        <is>
          <t>SEM COTAÇÃO</t>
        </is>
      </c>
      <c r="L796" s="8" t="n"/>
      <c r="M796" s="12" t="n"/>
      <c r="N796" s="7" t="inlineStr"/>
      <c r="O796" s="7" t="inlineStr"/>
    </row>
    <row r="797">
      <c r="A797" s="7" t="n">
        <v>654501</v>
      </c>
      <c r="B797" s="10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1" t="n">
        <v>1</v>
      </c>
      <c r="G797" s="11" t="n">
        <v>1</v>
      </c>
      <c r="H797" s="8" t="n">
        <v>10.73</v>
      </c>
      <c r="I797" s="8" t="n">
        <v>10.73</v>
      </c>
      <c r="J797" s="8" t="n"/>
      <c r="K797" s="7" t="inlineStr">
        <is>
          <t>SEM COTAÇÃO</t>
        </is>
      </c>
      <c r="L797" s="8" t="n"/>
      <c r="M797" s="12" t="n"/>
      <c r="N797" s="7" t="inlineStr"/>
      <c r="O797" s="7" t="inlineStr"/>
    </row>
    <row r="798">
      <c r="A798" s="7" t="n">
        <v>963</v>
      </c>
      <c r="B798" s="10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1" t="n">
        <v>5</v>
      </c>
      <c r="G798" s="11" t="n">
        <v>5</v>
      </c>
      <c r="H798" s="8" t="n">
        <v>44.74</v>
      </c>
      <c r="I798" s="8" t="n">
        <v>35.88</v>
      </c>
      <c r="J798" s="8" t="n"/>
      <c r="K798" s="7" t="inlineStr">
        <is>
          <t>SEM COTAÇÃO</t>
        </is>
      </c>
      <c r="L798" s="8" t="n"/>
      <c r="M798" s="12" t="n"/>
      <c r="N798" s="7" t="inlineStr"/>
      <c r="O798" s="7" t="inlineStr"/>
    </row>
    <row r="799">
      <c r="A799" s="7" t="n">
        <v>632071</v>
      </c>
      <c r="B799" s="10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1" t="n">
        <v>1</v>
      </c>
      <c r="G799" s="11" t="n">
        <v>1</v>
      </c>
      <c r="H799" s="8" t="n">
        <v>83.09</v>
      </c>
      <c r="I799" s="8" t="n">
        <v>76.59</v>
      </c>
      <c r="J799" s="8" t="n"/>
      <c r="K799" s="7" t="inlineStr">
        <is>
          <t>SEM COTAÇÃO</t>
        </is>
      </c>
      <c r="L799" s="8" t="n"/>
      <c r="M799" s="12" t="n"/>
      <c r="N799" s="7" t="inlineStr"/>
      <c r="O799" s="7" t="inlineStr"/>
    </row>
    <row r="800">
      <c r="A800" s="7" t="n">
        <v>628631</v>
      </c>
      <c r="B800" s="10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1" t="n">
        <v>1</v>
      </c>
      <c r="G800" s="11" t="n">
        <v>1</v>
      </c>
      <c r="H800" s="8" t="n">
        <v>28.13</v>
      </c>
      <c r="I800" s="8" t="n">
        <v>28.13</v>
      </c>
      <c r="J800" s="8" t="n"/>
      <c r="K800" s="7" t="inlineStr">
        <is>
          <t>SEM COTAÇÃO</t>
        </is>
      </c>
      <c r="L800" s="8" t="n"/>
      <c r="M800" s="12" t="n"/>
      <c r="N800" s="7" t="inlineStr"/>
      <c r="O800" s="7" t="inlineStr"/>
    </row>
    <row r="801">
      <c r="A801" s="7" t="n">
        <v>594261</v>
      </c>
      <c r="B801" s="10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1" t="n">
        <v>2</v>
      </c>
      <c r="G801" s="11" t="n">
        <v>2</v>
      </c>
      <c r="H801" s="8" t="n">
        <v>24.85</v>
      </c>
      <c r="I801" s="8" t="n">
        <v>16.73</v>
      </c>
      <c r="J801" s="8" t="n"/>
      <c r="K801" s="7" t="inlineStr">
        <is>
          <t>SEM COTAÇÃO</t>
        </is>
      </c>
      <c r="L801" s="8" t="n"/>
      <c r="M801" s="12" t="n"/>
      <c r="N801" s="7" t="inlineStr"/>
      <c r="O801" s="7" t="inlineStr"/>
    </row>
    <row r="802">
      <c r="A802" s="7" t="n">
        <v>608901</v>
      </c>
      <c r="B802" s="10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1" t="n">
        <v>11</v>
      </c>
      <c r="G802" s="11" t="n">
        <v>11</v>
      </c>
      <c r="H802" s="8" t="n">
        <v>1.75</v>
      </c>
      <c r="I802" s="8" t="n">
        <v>1.75</v>
      </c>
      <c r="J802" s="8" t="n"/>
      <c r="K802" s="7" t="inlineStr">
        <is>
          <t>SEM COTAÇÃO</t>
        </is>
      </c>
      <c r="L802" s="8" t="n"/>
      <c r="M802" s="12" t="n"/>
      <c r="N802" s="7" t="inlineStr"/>
      <c r="O802" s="7" t="inlineStr"/>
    </row>
    <row r="803">
      <c r="A803" s="7" t="n">
        <v>608881</v>
      </c>
      <c r="B803" s="10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1" t="n">
        <v>7</v>
      </c>
      <c r="G803" s="11" t="n">
        <v>7</v>
      </c>
      <c r="H803" s="8" t="n">
        <v>1.96</v>
      </c>
      <c r="I803" s="8" t="n">
        <v>1.68</v>
      </c>
      <c r="J803" s="13" t="n">
        <v>2.01</v>
      </c>
      <c r="K803" s="7" t="inlineStr">
        <is>
          <t>DIMEC</t>
        </is>
      </c>
      <c r="L803" s="8" t="n">
        <v>2.01</v>
      </c>
      <c r="M803" s="12">
        <f>L803/H803-1</f>
        <v/>
      </c>
      <c r="N803" s="14" t="inlineStr">
        <is>
          <t>ACIMA +2.6%</t>
        </is>
      </c>
      <c r="O803" s="7" t="inlineStr"/>
    </row>
    <row r="804">
      <c r="A804" s="7" t="n">
        <v>558961</v>
      </c>
      <c r="B804" s="10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1" t="n">
        <v>1</v>
      </c>
      <c r="G804" s="11" t="n">
        <v>1</v>
      </c>
      <c r="H804" s="8" t="n">
        <v>7.32</v>
      </c>
      <c r="I804" s="8" t="n">
        <v>7.32</v>
      </c>
      <c r="J804" s="8" t="n"/>
      <c r="K804" s="7" t="inlineStr">
        <is>
          <t>SEM COTAÇÃO</t>
        </is>
      </c>
      <c r="L804" s="8" t="n"/>
      <c r="M804" s="12" t="n"/>
      <c r="N804" s="7" t="inlineStr"/>
      <c r="O804" s="7" t="inlineStr"/>
    </row>
    <row r="805">
      <c r="A805" s="7" t="n">
        <v>98201</v>
      </c>
      <c r="B805" s="10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1" t="n">
        <v>1</v>
      </c>
      <c r="G805" s="11" t="n">
        <v>1</v>
      </c>
      <c r="H805" s="8" t="n">
        <v>9.56</v>
      </c>
      <c r="I805" s="8" t="n">
        <v>9.19</v>
      </c>
      <c r="J805" s="13" t="n">
        <v>12.91</v>
      </c>
      <c r="K805" s="7" t="inlineStr">
        <is>
          <t>DIMEC</t>
        </is>
      </c>
      <c r="L805" s="8" t="n">
        <v>12.91</v>
      </c>
      <c r="M805" s="12">
        <f>L805/H805-1</f>
        <v/>
      </c>
      <c r="N805" s="14" t="inlineStr">
        <is>
          <t>ACIMA +35.0%</t>
        </is>
      </c>
      <c r="O805" s="7" t="inlineStr"/>
    </row>
    <row r="806">
      <c r="A806" s="7" t="n">
        <v>98221</v>
      </c>
      <c r="B806" s="10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1" t="n">
        <v>5</v>
      </c>
      <c r="G806" s="11" t="n">
        <v>5</v>
      </c>
      <c r="H806" s="8" t="n">
        <v>7.1221</v>
      </c>
      <c r="I806" s="8" t="n">
        <v>7.1221</v>
      </c>
      <c r="J806" s="8" t="n"/>
      <c r="K806" s="7" t="inlineStr">
        <is>
          <t>SEM COTAÇÃO</t>
        </is>
      </c>
      <c r="L806" s="8" t="n"/>
      <c r="M806" s="12" t="n"/>
      <c r="N806" s="7" t="inlineStr"/>
      <c r="O806" s="7" t="inlineStr"/>
    </row>
    <row r="807">
      <c r="A807" s="7" t="n">
        <v>98081</v>
      </c>
      <c r="B807" s="10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1" t="n">
        <v>1</v>
      </c>
      <c r="G807" s="11" t="n">
        <v>1</v>
      </c>
      <c r="H807" s="8" t="n">
        <v>7.94</v>
      </c>
      <c r="I807" s="8" t="n">
        <v>7.94</v>
      </c>
      <c r="J807" s="8" t="n"/>
      <c r="K807" s="7" t="inlineStr">
        <is>
          <t>SEM COTAÇÃO</t>
        </is>
      </c>
      <c r="L807" s="8" t="n"/>
      <c r="M807" s="12" t="n"/>
      <c r="N807" s="7" t="inlineStr"/>
      <c r="O807" s="7" t="inlineStr"/>
    </row>
    <row r="808">
      <c r="A808" s="7" t="n">
        <v>127341</v>
      </c>
      <c r="B808" s="10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1" t="n">
        <v>5</v>
      </c>
      <c r="G808" s="11" t="n">
        <v>5</v>
      </c>
      <c r="H808" s="8" t="n">
        <v>7.49</v>
      </c>
      <c r="I808" s="8" t="n">
        <v>7.49</v>
      </c>
      <c r="J808" s="8" t="n"/>
      <c r="K808" s="7" t="inlineStr">
        <is>
          <t>SEM COTAÇÃO</t>
        </is>
      </c>
      <c r="L808" s="8" t="n"/>
      <c r="M808" s="12" t="n"/>
      <c r="N808" s="7" t="inlineStr"/>
      <c r="O808" s="7" t="inlineStr"/>
    </row>
    <row r="809">
      <c r="A809" s="7" t="n">
        <v>127321</v>
      </c>
      <c r="B809" s="10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1" t="n">
        <v>7</v>
      </c>
      <c r="G809" s="11" t="n">
        <v>7</v>
      </c>
      <c r="H809" s="8" t="n">
        <v>7.49</v>
      </c>
      <c r="I809" s="8" t="n">
        <v>7.49</v>
      </c>
      <c r="J809" s="13" t="n">
        <v>9.44</v>
      </c>
      <c r="K809" s="7" t="inlineStr">
        <is>
          <t>DIMEC</t>
        </is>
      </c>
      <c r="L809" s="8" t="n">
        <v>9.44</v>
      </c>
      <c r="M809" s="12">
        <f>L809/H809-1</f>
        <v/>
      </c>
      <c r="N809" s="14" t="inlineStr">
        <is>
          <t>ACIMA +26.0%</t>
        </is>
      </c>
      <c r="O809" s="7" t="inlineStr"/>
    </row>
    <row r="810">
      <c r="A810" s="7" t="n">
        <v>452301</v>
      </c>
      <c r="B810" s="10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1" t="n">
        <v>78</v>
      </c>
      <c r="G810" s="11" t="n">
        <v>78</v>
      </c>
      <c r="H810" s="8" t="n">
        <v>7.49</v>
      </c>
      <c r="I810" s="8" t="n">
        <v>6.99</v>
      </c>
      <c r="J810" s="8" t="n"/>
      <c r="K810" s="7" t="inlineStr">
        <is>
          <t>SEM COTAÇÃO</t>
        </is>
      </c>
      <c r="L810" s="8" t="n"/>
      <c r="M810" s="12" t="n"/>
      <c r="N810" s="7" t="inlineStr"/>
      <c r="O810" s="7" t="inlineStr"/>
    </row>
    <row r="811">
      <c r="A811" s="7" t="n">
        <v>508201</v>
      </c>
      <c r="B811" s="10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1" t="n">
        <v>30</v>
      </c>
      <c r="G811" s="11" t="n">
        <v>30</v>
      </c>
      <c r="H811" s="8" t="n">
        <v>4.99</v>
      </c>
      <c r="I811" s="8" t="n">
        <v>4.99</v>
      </c>
      <c r="J811" s="8" t="n"/>
      <c r="K811" s="7" t="inlineStr">
        <is>
          <t>SEM COTAÇÃO</t>
        </is>
      </c>
      <c r="L811" s="8" t="n"/>
      <c r="M811" s="12" t="n"/>
      <c r="N811" s="7" t="inlineStr"/>
      <c r="O811" s="7" t="inlineStr"/>
    </row>
    <row r="812">
      <c r="A812" s="7" t="n">
        <v>507241</v>
      </c>
      <c r="B812" s="10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1" t="n">
        <v>21</v>
      </c>
      <c r="G812" s="11" t="n">
        <v>21</v>
      </c>
      <c r="H812" s="8" t="n">
        <v>6.99</v>
      </c>
      <c r="I812" s="8" t="n">
        <v>6.99</v>
      </c>
      <c r="J812" s="8" t="n"/>
      <c r="K812" s="7" t="inlineStr">
        <is>
          <t>SEM COTAÇÃO</t>
        </is>
      </c>
      <c r="L812" s="8" t="n"/>
      <c r="M812" s="12" t="n"/>
      <c r="N812" s="7" t="inlineStr"/>
      <c r="O812" s="7" t="inlineStr"/>
    </row>
    <row r="813">
      <c r="A813" s="7" t="n">
        <v>565441</v>
      </c>
      <c r="B813" s="10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1" t="n">
        <v>20</v>
      </c>
      <c r="G813" s="11" t="n">
        <v>20</v>
      </c>
      <c r="H813" s="8" t="n">
        <v>4.99</v>
      </c>
      <c r="I813" s="8" t="n">
        <v>4.99</v>
      </c>
      <c r="J813" s="8" t="n"/>
      <c r="K813" s="7" t="inlineStr">
        <is>
          <t>SEM COTAÇÃO</t>
        </is>
      </c>
      <c r="L813" s="8" t="n"/>
      <c r="M813" s="12" t="n"/>
      <c r="N813" s="7" t="inlineStr"/>
      <c r="O813" s="7" t="inlineStr"/>
    </row>
    <row r="814">
      <c r="A814" s="7" t="n">
        <v>398201</v>
      </c>
      <c r="B814" s="10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1" t="n">
        <v>8</v>
      </c>
      <c r="G814" s="11" t="n">
        <v>8</v>
      </c>
      <c r="H814" s="8" t="n">
        <v>9.99</v>
      </c>
      <c r="I814" s="8" t="n">
        <v>9.99</v>
      </c>
      <c r="J814" s="8" t="n"/>
      <c r="K814" s="7" t="inlineStr">
        <is>
          <t>SEM COTAÇÃO</t>
        </is>
      </c>
      <c r="L814" s="8" t="n"/>
      <c r="M814" s="12" t="n"/>
      <c r="N814" s="7" t="inlineStr"/>
      <c r="O814" s="7" t="inlineStr"/>
    </row>
    <row r="815">
      <c r="A815" s="7" t="n">
        <v>567801</v>
      </c>
      <c r="B815" s="10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1" t="n">
        <v>3</v>
      </c>
      <c r="G815" s="11" t="n">
        <v>3</v>
      </c>
      <c r="H815" s="8" t="n">
        <v>15.39</v>
      </c>
      <c r="I815" s="8" t="n">
        <v>15.39</v>
      </c>
      <c r="J815" s="8" t="n"/>
      <c r="K815" s="7" t="inlineStr">
        <is>
          <t>SEM COTAÇÃO</t>
        </is>
      </c>
      <c r="L815" s="8" t="n"/>
      <c r="M815" s="12" t="n"/>
      <c r="N815" s="7" t="inlineStr"/>
      <c r="O815" s="7" t="inlineStr"/>
    </row>
    <row r="816">
      <c r="A816" s="7" t="n">
        <v>554881</v>
      </c>
      <c r="B816" s="10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1" t="n">
        <v>2</v>
      </c>
      <c r="G816" s="11" t="n">
        <v>22</v>
      </c>
      <c r="H816" s="8" t="n">
        <v>3.4358</v>
      </c>
      <c r="I816" s="8" t="n">
        <v>3.4358</v>
      </c>
      <c r="J816" s="8" t="n"/>
      <c r="K816" s="7" t="inlineStr">
        <is>
          <t>SEM COTAÇÃO</t>
        </is>
      </c>
      <c r="L816" s="8" t="n"/>
      <c r="M816" s="12" t="n"/>
      <c r="N816" s="7" t="inlineStr"/>
      <c r="O816" s="7" t="inlineStr"/>
    </row>
    <row r="817">
      <c r="A817" s="7" t="n">
        <v>583161</v>
      </c>
      <c r="B817" s="10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1" t="n">
        <v>1</v>
      </c>
      <c r="G817" s="11" t="n">
        <v>1</v>
      </c>
      <c r="H817" s="8" t="n"/>
      <c r="I817" s="8" t="n"/>
      <c r="J817" s="8" t="n"/>
      <c r="K817" s="7" t="inlineStr">
        <is>
          <t>SEM COTAÇÃO</t>
        </is>
      </c>
      <c r="L817" s="8" t="n"/>
      <c r="M817" s="12" t="n"/>
      <c r="N817" s="7" t="inlineStr"/>
      <c r="O817" s="7" t="inlineStr"/>
    </row>
    <row r="818">
      <c r="A818" s="7" t="n">
        <v>497001</v>
      </c>
      <c r="B818" s="10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1" t="n">
        <v>6</v>
      </c>
      <c r="G818" s="11" t="n">
        <v>6</v>
      </c>
      <c r="H818" s="8" t="n">
        <v>11.1433</v>
      </c>
      <c r="I818" s="8" t="n">
        <v>10.5133</v>
      </c>
      <c r="J818" s="8" t="n"/>
      <c r="K818" s="7" t="inlineStr">
        <is>
          <t>SEM COTAÇÃO</t>
        </is>
      </c>
      <c r="L818" s="8" t="n"/>
      <c r="M818" s="12" t="n"/>
      <c r="N818" s="7" t="inlineStr"/>
      <c r="O818" s="7" t="inlineStr"/>
    </row>
    <row r="819">
      <c r="A819" s="7" t="n">
        <v>100221</v>
      </c>
      <c r="B819" s="10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1" t="n">
        <v>17</v>
      </c>
      <c r="G819" s="11" t="n">
        <v>17</v>
      </c>
      <c r="H819" s="8" t="n">
        <v>9.49</v>
      </c>
      <c r="I819" s="8" t="n">
        <v>9.49</v>
      </c>
      <c r="J819" s="8" t="n"/>
      <c r="K819" s="7" t="inlineStr">
        <is>
          <t>SEM COTAÇÃO</t>
        </is>
      </c>
      <c r="L819" s="8" t="n"/>
      <c r="M819" s="12" t="n"/>
      <c r="N819" s="7" t="inlineStr"/>
      <c r="O819" s="7" t="inlineStr"/>
    </row>
    <row r="820">
      <c r="A820" s="7" t="n">
        <v>31303</v>
      </c>
      <c r="B820" s="10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1" t="n">
        <v>2</v>
      </c>
      <c r="G820" s="11" t="n">
        <v>2</v>
      </c>
      <c r="H820" s="8" t="n">
        <v>28.9</v>
      </c>
      <c r="I820" s="8" t="n">
        <v>28.9</v>
      </c>
      <c r="J820" s="8" t="n"/>
      <c r="K820" s="7" t="inlineStr">
        <is>
          <t>SEM COTAÇÃO</t>
        </is>
      </c>
      <c r="L820" s="8" t="n"/>
      <c r="M820" s="12" t="n"/>
      <c r="N820" s="7" t="inlineStr"/>
      <c r="O820" s="7" t="inlineStr"/>
    </row>
    <row r="821">
      <c r="A821" s="7" t="n">
        <v>632771</v>
      </c>
      <c r="B821" s="10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1" t="n">
        <v>2</v>
      </c>
      <c r="G821" s="11" t="n">
        <v>2</v>
      </c>
      <c r="H821" s="8" t="n">
        <v>67.45999999999999</v>
      </c>
      <c r="I821" s="8" t="n">
        <v>55.654</v>
      </c>
      <c r="J821" s="8" t="n"/>
      <c r="K821" s="7" t="inlineStr">
        <is>
          <t>SEM COTAÇÃO</t>
        </is>
      </c>
      <c r="L821" s="8" t="n"/>
      <c r="M821" s="12" t="n"/>
      <c r="N821" s="7" t="inlineStr"/>
      <c r="O821" s="7" t="inlineStr"/>
    </row>
    <row r="822">
      <c r="A822" s="7" t="n">
        <v>106721</v>
      </c>
      <c r="B822" s="10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1" t="n">
        <v>1</v>
      </c>
      <c r="G822" s="11" t="n">
        <v>1</v>
      </c>
      <c r="H822" s="8" t="n">
        <v>29.9</v>
      </c>
      <c r="I822" s="8" t="n">
        <v>29.9</v>
      </c>
      <c r="J822" s="8" t="n"/>
      <c r="K822" s="7" t="inlineStr">
        <is>
          <t>SEM COTAÇÃO</t>
        </is>
      </c>
      <c r="L822" s="8" t="n"/>
      <c r="M822" s="12" t="n"/>
      <c r="N822" s="7" t="inlineStr"/>
      <c r="O822" s="7" t="inlineStr"/>
    </row>
    <row r="823">
      <c r="A823" s="7" t="n">
        <v>106641</v>
      </c>
      <c r="B823" s="10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1" t="n">
        <v>1</v>
      </c>
      <c r="G823" s="11" t="n">
        <v>1</v>
      </c>
      <c r="H823" s="8" t="n">
        <v>3.04</v>
      </c>
      <c r="I823" s="8" t="n">
        <v>2.5</v>
      </c>
      <c r="J823" s="8" t="n"/>
      <c r="K823" s="7" t="inlineStr">
        <is>
          <t>SEM COTAÇÃO</t>
        </is>
      </c>
      <c r="L823" s="8" t="n"/>
      <c r="M823" s="12" t="n"/>
      <c r="N823" s="7" t="inlineStr"/>
      <c r="O823" s="7" t="inlineStr"/>
    </row>
    <row r="824">
      <c r="A824" s="7" t="n">
        <v>3863</v>
      </c>
      <c r="B824" s="10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1" t="n">
        <v>1</v>
      </c>
      <c r="G824" s="11" t="n">
        <v>1</v>
      </c>
      <c r="H824" s="8" t="n">
        <v>11.84</v>
      </c>
      <c r="I824" s="8" t="n">
        <v>11.84</v>
      </c>
      <c r="J824" s="8" t="n"/>
      <c r="K824" s="7" t="inlineStr">
        <is>
          <t>SEM COTAÇÃO</t>
        </is>
      </c>
      <c r="L824" s="8" t="n"/>
      <c r="M824" s="12" t="n"/>
      <c r="N824" s="7" t="inlineStr"/>
      <c r="O824" s="7" t="inlineStr"/>
    </row>
    <row r="825">
      <c r="A825" s="7" t="n">
        <v>161441</v>
      </c>
      <c r="B825" s="10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1" t="n">
        <v>6</v>
      </c>
      <c r="G825" s="11" t="n">
        <v>6</v>
      </c>
      <c r="H825" s="8" t="n">
        <v>21.37</v>
      </c>
      <c r="I825" s="8" t="n">
        <v>18.9119</v>
      </c>
      <c r="J825" s="8" t="n"/>
      <c r="K825" s="7" t="inlineStr">
        <is>
          <t>SEM COTAÇÃO</t>
        </is>
      </c>
      <c r="L825" s="8" t="n"/>
      <c r="M825" s="12" t="n"/>
      <c r="N825" s="7" t="inlineStr"/>
      <c r="O825" s="7" t="inlineStr"/>
    </row>
    <row r="826">
      <c r="A826" s="7" t="n">
        <v>108901</v>
      </c>
      <c r="B826" s="10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1" t="n">
        <v>7</v>
      </c>
      <c r="G826" s="11" t="n">
        <v>7</v>
      </c>
      <c r="H826" s="8" t="n">
        <v>64.98999999999999</v>
      </c>
      <c r="I826" s="8" t="n">
        <v>43.94</v>
      </c>
      <c r="J826" s="13" t="n">
        <v>45.8</v>
      </c>
      <c r="K826" s="7" t="inlineStr">
        <is>
          <t>DIMEC</t>
        </is>
      </c>
      <c r="L826" s="8" t="n">
        <v>45.8</v>
      </c>
      <c r="M826" s="12">
        <f>L826/H826-1</f>
        <v/>
      </c>
      <c r="N826" s="15" t="inlineStr">
        <is>
          <t>OK (≤ últ. compra)</t>
        </is>
      </c>
      <c r="O826" s="7" t="inlineStr"/>
    </row>
    <row r="827">
      <c r="A827" s="7" t="n">
        <v>1103</v>
      </c>
      <c r="B827" s="10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1" t="n">
        <v>5</v>
      </c>
      <c r="G827" s="11" t="n">
        <v>5</v>
      </c>
      <c r="H827" s="8" t="n">
        <v>31.9</v>
      </c>
      <c r="I827" s="8" t="n">
        <v>23.13</v>
      </c>
      <c r="J827" s="13" t="n">
        <v>25.38</v>
      </c>
      <c r="K827" s="7" t="inlineStr">
        <is>
          <t>DIMEC</t>
        </is>
      </c>
      <c r="L827" s="8" t="n">
        <v>25.38</v>
      </c>
      <c r="M827" s="12">
        <f>L827/H827-1</f>
        <v/>
      </c>
      <c r="N827" s="15" t="inlineStr">
        <is>
          <t>OK (≤ últ. compra)</t>
        </is>
      </c>
      <c r="O827" s="7" t="inlineStr"/>
    </row>
    <row r="828">
      <c r="A828" s="7" t="n">
        <v>642321</v>
      </c>
      <c r="B828" s="10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1" t="n">
        <v>7</v>
      </c>
      <c r="G828" s="11" t="n">
        <v>7</v>
      </c>
      <c r="H828" s="8" t="n">
        <v>3.504</v>
      </c>
      <c r="I828" s="8" t="n">
        <v>3.3733</v>
      </c>
      <c r="J828" s="8" t="n"/>
      <c r="K828" s="7" t="inlineStr">
        <is>
          <t>SEM COTAÇÃO</t>
        </is>
      </c>
      <c r="L828" s="8" t="n"/>
      <c r="M828" s="12" t="n"/>
      <c r="N828" s="7" t="inlineStr"/>
      <c r="O828" s="7" t="inlineStr"/>
    </row>
    <row r="829">
      <c r="A829" s="7" t="n">
        <v>592351</v>
      </c>
      <c r="B829" s="10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1" t="n">
        <v>1</v>
      </c>
      <c r="G829" s="11" t="n">
        <v>13</v>
      </c>
      <c r="H829" s="8" t="n">
        <v>7.3838</v>
      </c>
      <c r="I829" s="8" t="n">
        <v>7.3838</v>
      </c>
      <c r="J829" s="8" t="n"/>
      <c r="K829" s="7" t="inlineStr">
        <is>
          <t>SEM COTAÇÃO</t>
        </is>
      </c>
      <c r="L829" s="8" t="n"/>
      <c r="M829" s="12" t="n"/>
      <c r="N829" s="7" t="inlineStr"/>
      <c r="O829" s="7" t="inlineStr"/>
    </row>
    <row r="830">
      <c r="A830" s="7" t="n">
        <v>292821</v>
      </c>
      <c r="B830" s="10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1" t="n">
        <v>1</v>
      </c>
      <c r="G830" s="11" t="n">
        <v>1</v>
      </c>
      <c r="H830" s="8" t="n">
        <v>35.89</v>
      </c>
      <c r="I830" s="8" t="n">
        <v>35.89</v>
      </c>
      <c r="J830" s="8" t="n"/>
      <c r="K830" s="7" t="inlineStr">
        <is>
          <t>SEM COTAÇÃO</t>
        </is>
      </c>
      <c r="L830" s="8" t="n"/>
      <c r="M830" s="12" t="n"/>
      <c r="N830" s="7" t="inlineStr"/>
      <c r="O830" s="7" t="inlineStr"/>
    </row>
    <row r="831">
      <c r="A831" s="7" t="n">
        <v>614911</v>
      </c>
      <c r="B831" s="10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1" t="n">
        <v>6</v>
      </c>
      <c r="G831" s="11" t="n">
        <v>6</v>
      </c>
      <c r="H831" s="8" t="n">
        <v>14.107</v>
      </c>
      <c r="I831" s="8" t="n">
        <v>14.0517</v>
      </c>
      <c r="J831" s="8" t="n"/>
      <c r="K831" s="7" t="inlineStr">
        <is>
          <t>SEM COTAÇÃO</t>
        </is>
      </c>
      <c r="L831" s="8" t="n"/>
      <c r="M831" s="12" t="n"/>
      <c r="N831" s="7" t="inlineStr"/>
      <c r="O831" s="7" t="inlineStr"/>
    </row>
    <row r="832">
      <c r="A832" s="7" t="n">
        <v>614901</v>
      </c>
      <c r="B832" s="10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1" t="n">
        <v>9</v>
      </c>
      <c r="G832" s="11" t="n">
        <v>9</v>
      </c>
      <c r="H832" s="8" t="n">
        <v>14.9942</v>
      </c>
      <c r="I832" s="8" t="n">
        <v>14.0525</v>
      </c>
      <c r="J832" s="8" t="n"/>
      <c r="K832" s="7" t="inlineStr">
        <is>
          <t>SEM COTAÇÃO</t>
        </is>
      </c>
      <c r="L832" s="8" t="n"/>
      <c r="M832" s="12" t="n"/>
      <c r="N832" s="7" t="inlineStr"/>
      <c r="O832" s="7" t="inlineStr"/>
    </row>
    <row r="833">
      <c r="A833" s="7" t="n">
        <v>102361</v>
      </c>
      <c r="B833" s="10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1" t="n">
        <v>3</v>
      </c>
      <c r="G833" s="11" t="n">
        <v>3</v>
      </c>
      <c r="H833" s="8" t="n">
        <v>57.705</v>
      </c>
      <c r="I833" s="8" t="n">
        <v>54.26</v>
      </c>
      <c r="J833" s="8" t="n"/>
      <c r="K833" s="7" t="inlineStr">
        <is>
          <t>SEM COTAÇÃO</t>
        </is>
      </c>
      <c r="L833" s="8" t="n"/>
      <c r="M833" s="12" t="n"/>
      <c r="N833" s="7" t="inlineStr"/>
      <c r="O833" s="7" t="inlineStr"/>
    </row>
    <row r="834">
      <c r="A834" s="7" t="n">
        <v>112001</v>
      </c>
      <c r="B834" s="10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1" t="n">
        <v>1</v>
      </c>
      <c r="G834" s="11" t="n">
        <v>1</v>
      </c>
      <c r="H834" s="8" t="n">
        <v>2.12</v>
      </c>
      <c r="I834" s="8" t="n">
        <v>2.12</v>
      </c>
      <c r="J834" s="8" t="n"/>
      <c r="K834" s="7" t="inlineStr">
        <is>
          <t>SEM COTAÇÃO</t>
        </is>
      </c>
      <c r="L834" s="8" t="n"/>
      <c r="M834" s="12" t="n"/>
      <c r="N834" s="7" t="inlineStr"/>
      <c r="O834" s="7" t="inlineStr"/>
    </row>
    <row r="835">
      <c r="A835" s="7" t="n">
        <v>113481</v>
      </c>
      <c r="B835" s="10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1" t="n">
        <v>2</v>
      </c>
      <c r="G835" s="11" t="n">
        <v>2</v>
      </c>
      <c r="H835" s="8" t="n">
        <v>3.8294</v>
      </c>
      <c r="I835" s="8" t="n">
        <v>3.8294</v>
      </c>
      <c r="J835" s="8" t="n"/>
      <c r="K835" s="7" t="inlineStr">
        <is>
          <t>SEM COTAÇÃO</t>
        </is>
      </c>
      <c r="L835" s="8" t="n"/>
      <c r="M835" s="12" t="n"/>
      <c r="N835" s="7" t="inlineStr"/>
      <c r="O835" s="7" t="inlineStr"/>
    </row>
    <row r="836">
      <c r="A836" s="7" t="n">
        <v>631621</v>
      </c>
      <c r="B836" s="10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1" t="n">
        <v>7</v>
      </c>
      <c r="G836" s="11" t="n">
        <v>7</v>
      </c>
      <c r="H836" s="8" t="n">
        <v>7.78</v>
      </c>
      <c r="I836" s="8" t="n">
        <v>6.5788</v>
      </c>
      <c r="J836" s="13" t="n">
        <v>7.78</v>
      </c>
      <c r="K836" s="7" t="inlineStr">
        <is>
          <t>DIMEC</t>
        </is>
      </c>
      <c r="L836" s="8" t="n">
        <v>7.78</v>
      </c>
      <c r="M836" s="12">
        <f>L836/H836-1</f>
        <v/>
      </c>
      <c r="N836" s="15" t="inlineStr">
        <is>
          <t>OK (≤ últ. compra)</t>
        </is>
      </c>
      <c r="O836" s="7" t="inlineStr"/>
    </row>
    <row r="837">
      <c r="A837" s="7" t="n">
        <v>146381</v>
      </c>
      <c r="B837" s="10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1" t="n">
        <v>1</v>
      </c>
      <c r="G837" s="11" t="n">
        <v>1</v>
      </c>
      <c r="H837" s="8" t="n">
        <v>5.6</v>
      </c>
      <c r="I837" s="8" t="n">
        <v>5.6</v>
      </c>
      <c r="J837" s="13" t="n">
        <v>7.45</v>
      </c>
      <c r="K837" s="7" t="inlineStr">
        <is>
          <t>DIMEC</t>
        </is>
      </c>
      <c r="L837" s="8" t="n">
        <v>7.45</v>
      </c>
      <c r="M837" s="12">
        <f>L837/H837-1</f>
        <v/>
      </c>
      <c r="N837" s="14" t="inlineStr">
        <is>
          <t>ACIMA +33.0%</t>
        </is>
      </c>
      <c r="O837" s="7" t="inlineStr"/>
    </row>
    <row r="838">
      <c r="A838" s="7" t="n">
        <v>646641</v>
      </c>
      <c r="B838" s="10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1" t="n">
        <v>5</v>
      </c>
      <c r="G838" s="11" t="n">
        <v>5</v>
      </c>
      <c r="H838" s="8" t="n">
        <v>8.9</v>
      </c>
      <c r="I838" s="8" t="n">
        <v>8.9</v>
      </c>
      <c r="J838" s="13" t="n">
        <v>9.18</v>
      </c>
      <c r="K838" s="7" t="inlineStr">
        <is>
          <t>DIMEC</t>
        </is>
      </c>
      <c r="L838" s="8" t="n">
        <v>9.18</v>
      </c>
      <c r="M838" s="12">
        <f>L838/H838-1</f>
        <v/>
      </c>
      <c r="N838" s="14" t="inlineStr">
        <is>
          <t>ACIMA +3.1%</t>
        </is>
      </c>
      <c r="O838" s="7" t="inlineStr"/>
    </row>
    <row r="839">
      <c r="A839" s="7" t="n">
        <v>560161</v>
      </c>
      <c r="B839" s="10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1" t="n">
        <v>1</v>
      </c>
      <c r="G839" s="11" t="n">
        <v>1</v>
      </c>
      <c r="H839" s="8" t="n">
        <v>4.93</v>
      </c>
      <c r="I839" s="8" t="n">
        <v>4.93</v>
      </c>
      <c r="J839" s="13" t="n">
        <v>5.39</v>
      </c>
      <c r="K839" s="7" t="inlineStr">
        <is>
          <t>DIMEC</t>
        </is>
      </c>
      <c r="L839" s="8" t="n">
        <v>5.39</v>
      </c>
      <c r="M839" s="12">
        <f>L839/H839-1</f>
        <v/>
      </c>
      <c r="N839" s="14" t="inlineStr">
        <is>
          <t>ACIMA +9.3%</t>
        </is>
      </c>
      <c r="O839" s="7" t="inlineStr"/>
    </row>
    <row r="840">
      <c r="A840" s="7" t="n">
        <v>619951</v>
      </c>
      <c r="B840" s="10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1" t="n">
        <v>6</v>
      </c>
      <c r="G840" s="11" t="n">
        <v>6</v>
      </c>
      <c r="H840" s="8" t="n">
        <v>13.61</v>
      </c>
      <c r="I840" s="8" t="n">
        <v>13.61</v>
      </c>
      <c r="J840" s="13" t="n">
        <v>13.61</v>
      </c>
      <c r="K840" s="7" t="inlineStr">
        <is>
          <t>DIMEC</t>
        </is>
      </c>
      <c r="L840" s="8" t="n">
        <v>13.61</v>
      </c>
      <c r="M840" s="12">
        <f>L840/H840-1</f>
        <v/>
      </c>
      <c r="N840" s="15" t="inlineStr">
        <is>
          <t>OK (≤ menor hist.)</t>
        </is>
      </c>
      <c r="O840" s="7" t="inlineStr"/>
    </row>
    <row r="841">
      <c r="A841" s="7" t="n">
        <v>118421</v>
      </c>
      <c r="B841" s="10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1" t="n">
        <v>1</v>
      </c>
      <c r="G841" s="11" t="n">
        <v>1</v>
      </c>
      <c r="H841" s="8" t="n">
        <v>7.91</v>
      </c>
      <c r="I841" s="8" t="n">
        <v>7.91</v>
      </c>
      <c r="J841" s="8" t="n"/>
      <c r="K841" s="7" t="inlineStr">
        <is>
          <t>SEM COTAÇÃO</t>
        </is>
      </c>
      <c r="L841" s="8" t="n"/>
      <c r="M841" s="12" t="n"/>
      <c r="N841" s="7" t="inlineStr"/>
      <c r="O841" s="7" t="inlineStr"/>
    </row>
    <row r="842">
      <c r="A842" s="7" t="n">
        <v>119981</v>
      </c>
      <c r="B842" s="10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1" t="n">
        <v>1</v>
      </c>
      <c r="G842" s="11" t="n">
        <v>1</v>
      </c>
      <c r="H842" s="8" t="n">
        <v>6.99</v>
      </c>
      <c r="I842" s="8" t="n">
        <v>6.99</v>
      </c>
      <c r="J842" s="8" t="n"/>
      <c r="K842" s="7" t="inlineStr">
        <is>
          <t>SEM COTAÇÃO</t>
        </is>
      </c>
      <c r="L842" s="8" t="n"/>
      <c r="M842" s="12" t="n"/>
      <c r="N842" s="7" t="inlineStr"/>
      <c r="O842" s="7" t="inlineStr"/>
    </row>
    <row r="843">
      <c r="A843" s="7" t="n">
        <v>630561</v>
      </c>
      <c r="B843" s="10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1" t="n">
        <v>1</v>
      </c>
      <c r="G843" s="11" t="n">
        <v>1</v>
      </c>
      <c r="H843" s="8" t="n">
        <v>21.59</v>
      </c>
      <c r="I843" s="8" t="n">
        <v>21.59</v>
      </c>
      <c r="J843" s="8" t="n"/>
      <c r="K843" s="7" t="inlineStr">
        <is>
          <t>SEM COTAÇÃO</t>
        </is>
      </c>
      <c r="L843" s="8" t="n"/>
      <c r="M843" s="12" t="n"/>
      <c r="N843" s="7" t="inlineStr"/>
      <c r="O843" s="7" t="inlineStr"/>
    </row>
    <row r="844">
      <c r="A844" s="7" t="n">
        <v>123581</v>
      </c>
      <c r="B844" s="10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1" t="n">
        <v>7</v>
      </c>
      <c r="G844" s="11" t="n">
        <v>7</v>
      </c>
      <c r="H844" s="8" t="n">
        <v>4.99</v>
      </c>
      <c r="I844" s="8" t="n">
        <v>4.05</v>
      </c>
      <c r="J844" s="8" t="n"/>
      <c r="K844" s="7" t="inlineStr">
        <is>
          <t>SEM COTAÇÃO</t>
        </is>
      </c>
      <c r="L844" s="8" t="n"/>
      <c r="M844" s="12" t="n"/>
      <c r="N844" s="7" t="inlineStr"/>
      <c r="O844" s="7" t="inlineStr"/>
    </row>
    <row r="845">
      <c r="A845" s="7" t="n">
        <v>124681</v>
      </c>
      <c r="B845" s="10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1" t="n">
        <v>1</v>
      </c>
      <c r="G845" s="11" t="n">
        <v>1</v>
      </c>
      <c r="H845" s="8" t="n">
        <v>16.4233</v>
      </c>
      <c r="I845" s="8" t="n">
        <v>13.6767</v>
      </c>
      <c r="J845" s="13" t="n">
        <v>20.44</v>
      </c>
      <c r="K845" s="7" t="inlineStr">
        <is>
          <t>DIMEC</t>
        </is>
      </c>
      <c r="L845" s="8" t="n">
        <v>20.44</v>
      </c>
      <c r="M845" s="12">
        <f>L845/H845-1</f>
        <v/>
      </c>
      <c r="N845" s="14" t="inlineStr">
        <is>
          <t>ACIMA +24.5%</t>
        </is>
      </c>
      <c r="O845" s="7" t="inlineStr"/>
    </row>
    <row r="846">
      <c r="A846" s="7" t="n">
        <v>129761</v>
      </c>
      <c r="B846" s="10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1" t="n">
        <v>4</v>
      </c>
      <c r="G846" s="11" t="n">
        <v>4</v>
      </c>
      <c r="H846" s="8" t="n">
        <v>6.74</v>
      </c>
      <c r="I846" s="8" t="n">
        <v>6.74</v>
      </c>
      <c r="J846" s="8" t="n"/>
      <c r="K846" s="7" t="inlineStr">
        <is>
          <t>SEM COTAÇÃO</t>
        </is>
      </c>
      <c r="L846" s="8" t="n"/>
      <c r="M846" s="12" t="n"/>
      <c r="N846" s="7" t="inlineStr"/>
      <c r="O846" s="7" t="inlineStr"/>
    </row>
    <row r="847">
      <c r="A847" s="7" t="n">
        <v>132801</v>
      </c>
      <c r="B847" s="10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1" t="n">
        <v>34</v>
      </c>
      <c r="G847" s="11" t="n">
        <v>34</v>
      </c>
      <c r="H847" s="8" t="n">
        <v>2.63</v>
      </c>
      <c r="I847" s="8" t="n">
        <v>2.49</v>
      </c>
      <c r="J847" s="13" t="n">
        <v>2.63</v>
      </c>
      <c r="K847" s="7" t="inlineStr">
        <is>
          <t>DIMEC</t>
        </is>
      </c>
      <c r="L847" s="8" t="n">
        <v>2.63</v>
      </c>
      <c r="M847" s="12">
        <f>L847/H847-1</f>
        <v/>
      </c>
      <c r="N847" s="15" t="inlineStr">
        <is>
          <t>OK (≤ últ. compra)</t>
        </is>
      </c>
      <c r="O847" s="7" t="inlineStr"/>
    </row>
    <row r="848">
      <c r="A848" s="7" t="n">
        <v>134641</v>
      </c>
      <c r="B848" s="10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1" t="n">
        <v>13</v>
      </c>
      <c r="G848" s="11" t="n">
        <v>13</v>
      </c>
      <c r="H848" s="8" t="n">
        <v>3.71</v>
      </c>
      <c r="I848" s="8" t="n">
        <v>3.71</v>
      </c>
      <c r="J848" s="8" t="n"/>
      <c r="K848" s="7" t="inlineStr">
        <is>
          <t>SEM COTAÇÃO</t>
        </is>
      </c>
      <c r="L848" s="8" t="n"/>
      <c r="M848" s="12" t="n"/>
      <c r="N848" s="7" t="inlineStr"/>
      <c r="O848" s="7" t="inlineStr"/>
    </row>
    <row r="849">
      <c r="A849" s="7" t="n">
        <v>134601</v>
      </c>
      <c r="B849" s="10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1" t="n">
        <v>4</v>
      </c>
      <c r="G849" s="11" t="n">
        <v>4</v>
      </c>
      <c r="H849" s="8" t="n">
        <v>5.48</v>
      </c>
      <c r="I849" s="8" t="n">
        <v>5.48</v>
      </c>
      <c r="J849" s="13" t="n">
        <v>5.58</v>
      </c>
      <c r="K849" s="7" t="inlineStr">
        <is>
          <t>DIMEC</t>
        </is>
      </c>
      <c r="L849" s="8" t="n">
        <v>5.58</v>
      </c>
      <c r="M849" s="12">
        <f>L849/H849-1</f>
        <v/>
      </c>
      <c r="N849" s="14" t="inlineStr">
        <is>
          <t>ACIMA +1.8%</t>
        </is>
      </c>
      <c r="O849" s="7" t="inlineStr"/>
    </row>
    <row r="850">
      <c r="A850" s="7" t="n">
        <v>4093</v>
      </c>
      <c r="B850" s="10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1" t="n">
        <v>2</v>
      </c>
      <c r="G850" s="11" t="n">
        <v>2</v>
      </c>
      <c r="H850" s="8" t="n">
        <v>3.36</v>
      </c>
      <c r="I850" s="8" t="n">
        <v>3.36</v>
      </c>
      <c r="J850" s="13" t="n">
        <v>4.25</v>
      </c>
      <c r="K850" s="7" t="inlineStr">
        <is>
          <t>DIMEC</t>
        </is>
      </c>
      <c r="L850" s="8" t="n">
        <v>4.25</v>
      </c>
      <c r="M850" s="12">
        <f>L850/H850-1</f>
        <v/>
      </c>
      <c r="N850" s="14" t="inlineStr">
        <is>
          <t>ACIMA +26.5%</t>
        </is>
      </c>
      <c r="O850" s="7" t="inlineStr"/>
    </row>
    <row r="851">
      <c r="A851" s="7" t="n">
        <v>134661</v>
      </c>
      <c r="B851" s="10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1" t="n">
        <v>1</v>
      </c>
      <c r="G851" s="11" t="n">
        <v>1</v>
      </c>
      <c r="H851" s="8" t="n">
        <v>2.53</v>
      </c>
      <c r="I851" s="8" t="n">
        <v>2.53</v>
      </c>
      <c r="J851" s="13" t="n">
        <v>2.55</v>
      </c>
      <c r="K851" s="7" t="inlineStr">
        <is>
          <t>DIMEC</t>
        </is>
      </c>
      <c r="L851" s="8" t="n">
        <v>2.55</v>
      </c>
      <c r="M851" s="12">
        <f>L851/H851-1</f>
        <v/>
      </c>
      <c r="N851" s="14" t="inlineStr">
        <is>
          <t>ACIMA +0.8%</t>
        </is>
      </c>
      <c r="O851" s="7" t="inlineStr"/>
    </row>
    <row r="852">
      <c r="A852" s="7" t="n">
        <v>132761</v>
      </c>
      <c r="B852" s="10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1" t="n">
        <v>3</v>
      </c>
      <c r="G852" s="11" t="n">
        <v>3</v>
      </c>
      <c r="H852" s="8" t="n">
        <v>3.15</v>
      </c>
      <c r="I852" s="8" t="n">
        <v>2.99</v>
      </c>
      <c r="J852" s="8" t="n"/>
      <c r="K852" s="7" t="inlineStr">
        <is>
          <t>SEM COTAÇÃO</t>
        </is>
      </c>
      <c r="L852" s="8" t="n"/>
      <c r="M852" s="12" t="n"/>
      <c r="N852" s="7" t="inlineStr"/>
      <c r="O852" s="7" t="inlineStr"/>
    </row>
    <row r="853">
      <c r="A853" s="7" t="n">
        <v>134621</v>
      </c>
      <c r="B853" s="10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1" t="n">
        <v>3</v>
      </c>
      <c r="G853" s="11" t="n">
        <v>3</v>
      </c>
      <c r="H853" s="8" t="n">
        <v>3.63</v>
      </c>
      <c r="I853" s="8" t="n">
        <v>3.63</v>
      </c>
      <c r="J853" s="8" t="n"/>
      <c r="K853" s="7" t="inlineStr">
        <is>
          <t>SEM COTAÇÃO</t>
        </is>
      </c>
      <c r="L853" s="8" t="n"/>
      <c r="M853" s="12" t="n"/>
      <c r="N853" s="7" t="inlineStr"/>
      <c r="O853" s="7" t="inlineStr"/>
    </row>
    <row r="854">
      <c r="A854" s="7" t="n">
        <v>135981</v>
      </c>
      <c r="B854" s="10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1" t="n">
        <v>14</v>
      </c>
      <c r="G854" s="11" t="n">
        <v>14</v>
      </c>
      <c r="H854" s="8" t="n">
        <v>6.19</v>
      </c>
      <c r="I854" s="8" t="n">
        <v>5.99</v>
      </c>
      <c r="J854" s="13" t="n">
        <v>6.43</v>
      </c>
      <c r="K854" s="7" t="inlineStr">
        <is>
          <t>DIMEC</t>
        </is>
      </c>
      <c r="L854" s="8" t="n">
        <v>6.43</v>
      </c>
      <c r="M854" s="12">
        <f>L854/H854-1</f>
        <v/>
      </c>
      <c r="N854" s="14" t="inlineStr">
        <is>
          <t>ACIMA +3.9%</t>
        </is>
      </c>
      <c r="O854" s="7" t="inlineStr"/>
    </row>
    <row r="855">
      <c r="A855" s="7" t="n">
        <v>136341</v>
      </c>
      <c r="B855" s="10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1" t="n">
        <v>2</v>
      </c>
      <c r="G855" s="11" t="n">
        <v>2</v>
      </c>
      <c r="H855" s="8" t="n">
        <v>5.29</v>
      </c>
      <c r="I855" s="8" t="n">
        <v>5.29</v>
      </c>
      <c r="J855" s="8" t="n"/>
      <c r="K855" s="7" t="inlineStr">
        <is>
          <t>SEM COTAÇÃO</t>
        </is>
      </c>
      <c r="L855" s="8" t="n"/>
      <c r="M855" s="12" t="n"/>
      <c r="N855" s="7" t="inlineStr"/>
      <c r="O855" s="7" t="inlineStr"/>
    </row>
    <row r="856">
      <c r="A856" s="7" t="n">
        <v>136261</v>
      </c>
      <c r="B856" s="10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1" t="n">
        <v>1</v>
      </c>
      <c r="G856" s="11" t="n">
        <v>1</v>
      </c>
      <c r="H856" s="8" t="n">
        <v>5.99</v>
      </c>
      <c r="I856" s="8" t="n">
        <v>5.99</v>
      </c>
      <c r="J856" s="13" t="n">
        <v>7.42</v>
      </c>
      <c r="K856" s="7" t="inlineStr">
        <is>
          <t>DIMEC</t>
        </is>
      </c>
      <c r="L856" s="8" t="n">
        <v>7.42</v>
      </c>
      <c r="M856" s="12">
        <f>L856/H856-1</f>
        <v/>
      </c>
      <c r="N856" s="14" t="inlineStr">
        <is>
          <t>ACIMA +23.9%</t>
        </is>
      </c>
      <c r="O856" s="7" t="inlineStr"/>
    </row>
    <row r="857">
      <c r="A857" s="7" t="n">
        <v>142821</v>
      </c>
      <c r="B857" s="10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1" t="n">
        <v>2</v>
      </c>
      <c r="G857" s="11" t="n">
        <v>2</v>
      </c>
      <c r="H857" s="8" t="n">
        <v>29.87</v>
      </c>
      <c r="I857" s="8" t="n">
        <v>29.87</v>
      </c>
      <c r="J857" s="13" t="n">
        <v>46.94</v>
      </c>
      <c r="K857" s="7" t="inlineStr">
        <is>
          <t>DIMEC</t>
        </is>
      </c>
      <c r="L857" s="8" t="n">
        <v>46.94</v>
      </c>
      <c r="M857" s="12">
        <f>L857/H857-1</f>
        <v/>
      </c>
      <c r="N857" s="14" t="inlineStr">
        <is>
          <t>ACIMA +57.1%</t>
        </is>
      </c>
      <c r="O857" s="7" t="inlineStr"/>
    </row>
    <row r="858">
      <c r="A858" s="7" t="n">
        <v>147241</v>
      </c>
      <c r="B858" s="10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1" t="n">
        <v>47</v>
      </c>
      <c r="G858" s="11" t="n">
        <v>47</v>
      </c>
      <c r="H858" s="8" t="n">
        <v>6.09</v>
      </c>
      <c r="I858" s="8" t="n">
        <v>5.58</v>
      </c>
      <c r="J858" s="8" t="n"/>
      <c r="K858" s="7" t="inlineStr">
        <is>
          <t>SEM COTAÇÃO</t>
        </is>
      </c>
      <c r="L858" s="8" t="n"/>
      <c r="M858" s="12" t="n"/>
      <c r="N858" s="7" t="inlineStr"/>
      <c r="O858" s="7" t="inlineStr"/>
    </row>
    <row r="859">
      <c r="A859" s="7" t="n">
        <v>638801</v>
      </c>
      <c r="B859" s="10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1" t="n">
        <v>2</v>
      </c>
      <c r="G859" s="11" t="n">
        <v>2</v>
      </c>
      <c r="H859" s="8" t="n">
        <v>10.334</v>
      </c>
      <c r="I859" s="8" t="n">
        <v>10.334</v>
      </c>
      <c r="J859" s="8" t="n"/>
      <c r="K859" s="7" t="inlineStr">
        <is>
          <t>SEM COTAÇÃO</t>
        </is>
      </c>
      <c r="L859" s="8" t="n"/>
      <c r="M859" s="12" t="n"/>
      <c r="N859" s="7" t="inlineStr"/>
      <c r="O859" s="7" t="inlineStr"/>
    </row>
    <row r="860">
      <c r="A860" s="7" t="n">
        <v>146661</v>
      </c>
      <c r="B860" s="10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1" t="n">
        <v>3</v>
      </c>
      <c r="G860" s="11" t="n">
        <v>3</v>
      </c>
      <c r="H860" s="8" t="n">
        <v>6.69</v>
      </c>
      <c r="I860" s="8" t="n">
        <v>6.18</v>
      </c>
      <c r="J860" s="13" t="n">
        <v>8.4</v>
      </c>
      <c r="K860" s="7" t="inlineStr">
        <is>
          <t>DIMEC</t>
        </is>
      </c>
      <c r="L860" s="8" t="n">
        <v>8.4</v>
      </c>
      <c r="M860" s="12">
        <f>L860/H860-1</f>
        <v/>
      </c>
      <c r="N860" s="14" t="inlineStr">
        <is>
          <t>ACIMA +25.6%</t>
        </is>
      </c>
      <c r="O860" s="7" t="inlineStr"/>
    </row>
    <row r="861">
      <c r="A861" s="7" t="n">
        <v>4923</v>
      </c>
      <c r="B861" s="10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1" t="n">
        <v>2</v>
      </c>
      <c r="G861" s="11" t="n">
        <v>2</v>
      </c>
      <c r="H861" s="8" t="n">
        <v>13.28</v>
      </c>
      <c r="I861" s="8" t="n">
        <v>13.28</v>
      </c>
      <c r="J861" s="8" t="n"/>
      <c r="K861" s="7" t="inlineStr">
        <is>
          <t>SEM COTAÇÃO</t>
        </is>
      </c>
      <c r="L861" s="8" t="n"/>
      <c r="M861" s="12" t="n"/>
      <c r="N861" s="7" t="inlineStr"/>
      <c r="O861" s="7" t="inlineStr"/>
    </row>
    <row r="862">
      <c r="A862" s="7" t="n">
        <v>150021</v>
      </c>
      <c r="B862" s="10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1" t="n">
        <v>1</v>
      </c>
      <c r="G862" s="11" t="n">
        <v>1</v>
      </c>
      <c r="H862" s="8" t="n">
        <v>5.52</v>
      </c>
      <c r="I862" s="8" t="n">
        <v>5.52</v>
      </c>
      <c r="J862" s="8" t="n"/>
      <c r="K862" s="7" t="inlineStr">
        <is>
          <t>SEM COTAÇÃO</t>
        </is>
      </c>
      <c r="L862" s="8" t="n"/>
      <c r="M862" s="12" t="n"/>
      <c r="N862" s="7" t="inlineStr"/>
      <c r="O862" s="7" t="inlineStr"/>
    </row>
    <row r="863">
      <c r="A863" s="7" t="n">
        <v>152261</v>
      </c>
      <c r="B863" s="10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1" t="n">
        <v>1</v>
      </c>
      <c r="G863" s="11" t="n">
        <v>1</v>
      </c>
      <c r="H863" s="8" t="n">
        <v>8.93</v>
      </c>
      <c r="I863" s="8" t="n">
        <v>8.77</v>
      </c>
      <c r="J863" s="13" t="n">
        <v>8.949999999999999</v>
      </c>
      <c r="K863" s="7" t="inlineStr">
        <is>
          <t>DIMEC</t>
        </is>
      </c>
      <c r="L863" s="8" t="n">
        <v>8.949999999999999</v>
      </c>
      <c r="M863" s="12">
        <f>L863/H863-1</f>
        <v/>
      </c>
      <c r="N863" s="14" t="inlineStr">
        <is>
          <t>ACIMA +0.2%</t>
        </is>
      </c>
      <c r="O863" s="7" t="inlineStr"/>
    </row>
    <row r="864">
      <c r="A864" s="7" t="n">
        <v>323981</v>
      </c>
      <c r="B864" s="10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1" t="n">
        <v>19</v>
      </c>
      <c r="G864" s="11" t="n">
        <v>19</v>
      </c>
      <c r="H864" s="8" t="n">
        <v>2.02</v>
      </c>
      <c r="I864" s="8" t="n">
        <v>2.02</v>
      </c>
      <c r="J864" s="13" t="n">
        <v>2.08</v>
      </c>
      <c r="K864" s="7" t="inlineStr">
        <is>
          <t>DIMEC</t>
        </is>
      </c>
      <c r="L864" s="8" t="n">
        <v>2.08</v>
      </c>
      <c r="M864" s="12">
        <f>L864/H864-1</f>
        <v/>
      </c>
      <c r="N864" s="14" t="inlineStr">
        <is>
          <t>ACIMA +3.0%</t>
        </is>
      </c>
      <c r="O864" s="7" t="inlineStr"/>
    </row>
    <row r="865">
      <c r="A865" s="7" t="n">
        <v>511621</v>
      </c>
      <c r="B865" s="10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1" t="n">
        <v>1</v>
      </c>
      <c r="G865" s="11" t="n">
        <v>1</v>
      </c>
      <c r="H865" s="8" t="n">
        <v>3.2</v>
      </c>
      <c r="I865" s="8" t="n">
        <v>3.2</v>
      </c>
      <c r="J865" s="13" t="n">
        <v>3.2</v>
      </c>
      <c r="K865" s="7" t="inlineStr">
        <is>
          <t>DIMEC</t>
        </is>
      </c>
      <c r="L865" s="8" t="n">
        <v>3.2</v>
      </c>
      <c r="M865" s="12">
        <f>L865/H865-1</f>
        <v/>
      </c>
      <c r="N865" s="15" t="inlineStr">
        <is>
          <t>OK (≤ menor hist.)</t>
        </is>
      </c>
      <c r="O865" s="7" t="inlineStr"/>
    </row>
    <row r="866">
      <c r="A866" s="7" t="n">
        <v>644271</v>
      </c>
      <c r="B866" s="10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1" t="n">
        <v>1</v>
      </c>
      <c r="G866" s="11" t="n">
        <v>1</v>
      </c>
      <c r="H866" s="8" t="n">
        <v>2.72</v>
      </c>
      <c r="I866" s="8" t="n">
        <v>2.72</v>
      </c>
      <c r="J866" s="8" t="n"/>
      <c r="K866" s="7" t="inlineStr">
        <is>
          <t>SEM COTAÇÃO</t>
        </is>
      </c>
      <c r="L866" s="8" t="n"/>
      <c r="M866" s="12" t="n"/>
      <c r="N866" s="7" t="inlineStr"/>
      <c r="O866" s="7" t="inlineStr"/>
    </row>
    <row r="867">
      <c r="A867" s="7" t="n">
        <v>651091</v>
      </c>
      <c r="B867" s="10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1" t="n">
        <v>2</v>
      </c>
      <c r="G867" s="11" t="n">
        <v>2</v>
      </c>
      <c r="H867" s="8" t="n">
        <v>14.9512</v>
      </c>
      <c r="I867" s="8" t="n">
        <v>14.9512</v>
      </c>
      <c r="J867" s="8" t="n"/>
      <c r="K867" s="7" t="inlineStr">
        <is>
          <t>SEM COTAÇÃO</t>
        </is>
      </c>
      <c r="L867" s="8" t="n"/>
      <c r="M867" s="12" t="n"/>
      <c r="N867" s="7" t="inlineStr"/>
      <c r="O867" s="7" t="inlineStr"/>
    </row>
    <row r="868">
      <c r="A868" s="7" t="n">
        <v>162341</v>
      </c>
      <c r="B868" s="10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1" t="n">
        <v>2</v>
      </c>
      <c r="G868" s="11" t="n">
        <v>2</v>
      </c>
      <c r="H868" s="8" t="n">
        <v>14.865</v>
      </c>
      <c r="I868" s="8" t="n">
        <v>14.865</v>
      </c>
      <c r="J868" s="8" t="n"/>
      <c r="K868" s="7" t="inlineStr">
        <is>
          <t>SEM COTAÇÃO</t>
        </is>
      </c>
      <c r="L868" s="8" t="n"/>
      <c r="M868" s="12" t="n"/>
      <c r="N868" s="7" t="inlineStr"/>
      <c r="O868" s="7" t="inlineStr"/>
    </row>
    <row r="869">
      <c r="A869" s="7" t="n">
        <v>666781</v>
      </c>
      <c r="B869" s="10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1" t="n">
        <v>11</v>
      </c>
      <c r="G869" s="11" t="n">
        <v>11</v>
      </c>
      <c r="H869" s="8" t="n">
        <v>8.2287</v>
      </c>
      <c r="I869" s="8" t="n">
        <v>3.572</v>
      </c>
      <c r="J869" s="8" t="n"/>
      <c r="K869" s="7" t="inlineStr">
        <is>
          <t>SEM COTAÇÃO</t>
        </is>
      </c>
      <c r="L869" s="8" t="n"/>
      <c r="M869" s="12" t="n"/>
      <c r="N869" s="7" t="inlineStr"/>
      <c r="O869" s="7" t="inlineStr"/>
    </row>
    <row r="870">
      <c r="A870" s="7" t="n">
        <v>164041</v>
      </c>
      <c r="B870" s="10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1" t="n">
        <v>1</v>
      </c>
      <c r="G870" s="11" t="n">
        <v>1</v>
      </c>
      <c r="H870" s="8" t="n">
        <v>7.18</v>
      </c>
      <c r="I870" s="8" t="n">
        <v>7.18</v>
      </c>
      <c r="J870" s="8" t="n"/>
      <c r="K870" s="7" t="inlineStr">
        <is>
          <t>SEM COTAÇÃO</t>
        </is>
      </c>
      <c r="L870" s="8" t="n"/>
      <c r="M870" s="12" t="n"/>
      <c r="N870" s="7" t="inlineStr"/>
      <c r="O870" s="7" t="inlineStr"/>
    </row>
    <row r="871">
      <c r="A871" s="7" t="n">
        <v>666791</v>
      </c>
      <c r="B871" s="10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1" t="n">
        <v>8</v>
      </c>
      <c r="G871" s="11" t="n">
        <v>8</v>
      </c>
      <c r="H871" s="8" t="n">
        <v>18.565</v>
      </c>
      <c r="I871" s="8" t="n">
        <v>6.9973</v>
      </c>
      <c r="J871" s="8" t="n"/>
      <c r="K871" s="7" t="inlineStr">
        <is>
          <t>SEM COTAÇÃO</t>
        </is>
      </c>
      <c r="L871" s="8" t="n"/>
      <c r="M871" s="12" t="n"/>
      <c r="N871" s="7" t="inlineStr"/>
      <c r="O871" s="7" t="inlineStr"/>
    </row>
    <row r="872">
      <c r="A872" s="7" t="n">
        <v>597761</v>
      </c>
      <c r="B872" s="10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1" t="n">
        <v>1</v>
      </c>
      <c r="G872" s="11" t="n">
        <v>1</v>
      </c>
      <c r="H872" s="8" t="n">
        <v>6.71</v>
      </c>
      <c r="I872" s="8" t="n">
        <v>6.71</v>
      </c>
      <c r="J872" s="8" t="n"/>
      <c r="K872" s="7" t="inlineStr">
        <is>
          <t>SEM COTAÇÃO</t>
        </is>
      </c>
      <c r="L872" s="8" t="n"/>
      <c r="M872" s="12" t="n"/>
      <c r="N872" s="7" t="inlineStr"/>
      <c r="O872" s="7" t="inlineStr"/>
    </row>
    <row r="873">
      <c r="A873" s="7" t="n">
        <v>597771</v>
      </c>
      <c r="B873" s="10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1" t="n">
        <v>1</v>
      </c>
      <c r="G873" s="11" t="n">
        <v>1</v>
      </c>
      <c r="H873" s="8" t="n">
        <v>14.57</v>
      </c>
      <c r="I873" s="8" t="n">
        <v>14.57</v>
      </c>
      <c r="J873" s="8" t="n"/>
      <c r="K873" s="7" t="inlineStr">
        <is>
          <t>SEM COTAÇÃO</t>
        </is>
      </c>
      <c r="L873" s="8" t="n"/>
      <c r="M873" s="12" t="n"/>
      <c r="N873" s="7" t="inlineStr"/>
      <c r="O873" s="7" t="inlineStr"/>
    </row>
    <row r="874">
      <c r="A874" s="7" t="n">
        <v>171281</v>
      </c>
      <c r="B874" s="10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1" t="n">
        <v>4</v>
      </c>
      <c r="G874" s="11" t="n">
        <v>4</v>
      </c>
      <c r="H874" s="8" t="n">
        <v>2.12</v>
      </c>
      <c r="I874" s="8" t="n">
        <v>2.12</v>
      </c>
      <c r="J874" s="13" t="n">
        <v>2.23</v>
      </c>
      <c r="K874" s="7" t="inlineStr">
        <is>
          <t>DIMEC</t>
        </is>
      </c>
      <c r="L874" s="8" t="n">
        <v>2.23</v>
      </c>
      <c r="M874" s="12">
        <f>L874/H874-1</f>
        <v/>
      </c>
      <c r="N874" s="14" t="inlineStr">
        <is>
          <t>ACIMA +5.2%</t>
        </is>
      </c>
      <c r="O874" s="7" t="inlineStr"/>
    </row>
    <row r="875">
      <c r="A875" s="7" t="n">
        <v>171341</v>
      </c>
      <c r="B875" s="10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1" t="n">
        <v>1</v>
      </c>
      <c r="G875" s="11" t="n">
        <v>1</v>
      </c>
      <c r="H875" s="8" t="n">
        <v>4.18</v>
      </c>
      <c r="I875" s="8" t="n">
        <v>3.83</v>
      </c>
      <c r="J875" s="8" t="n"/>
      <c r="K875" s="7" t="inlineStr">
        <is>
          <t>SEM COTAÇÃO</t>
        </is>
      </c>
      <c r="L875" s="8" t="n"/>
      <c r="M875" s="12" t="n"/>
      <c r="N875" s="7" t="inlineStr"/>
      <c r="O875" s="7" t="inlineStr"/>
    </row>
    <row r="876">
      <c r="A876" s="7" t="n">
        <v>176641</v>
      </c>
      <c r="B876" s="10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1" t="n">
        <v>1</v>
      </c>
      <c r="G876" s="11" t="n">
        <v>1</v>
      </c>
      <c r="H876" s="8" t="n">
        <v>7.02</v>
      </c>
      <c r="I876" s="8" t="n">
        <v>7.02</v>
      </c>
      <c r="J876" s="8" t="n"/>
      <c r="K876" s="7" t="inlineStr">
        <is>
          <t>SEM COTAÇÃO</t>
        </is>
      </c>
      <c r="L876" s="8" t="n"/>
      <c r="M876" s="12" t="n"/>
      <c r="N876" s="7" t="inlineStr"/>
      <c r="O876" s="7" t="inlineStr"/>
    </row>
    <row r="877">
      <c r="A877" s="7" t="n">
        <v>651111</v>
      </c>
      <c r="B877" s="10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1" t="n">
        <v>1</v>
      </c>
      <c r="G877" s="11" t="n">
        <v>1</v>
      </c>
      <c r="H877" s="8" t="n">
        <v>14.0725</v>
      </c>
      <c r="I877" s="8" t="n">
        <v>14.0725</v>
      </c>
      <c r="J877" s="13" t="n">
        <v>17.29</v>
      </c>
      <c r="K877" s="7" t="inlineStr">
        <is>
          <t>DIMEC</t>
        </is>
      </c>
      <c r="L877" s="8" t="n">
        <v>17.29</v>
      </c>
      <c r="M877" s="12">
        <f>L877/H877-1</f>
        <v/>
      </c>
      <c r="N877" s="14" t="inlineStr">
        <is>
          <t>ACIMA +22.9%</t>
        </is>
      </c>
      <c r="O877" s="7" t="inlineStr"/>
    </row>
    <row r="878">
      <c r="A878" s="7" t="n">
        <v>182141</v>
      </c>
      <c r="B878" s="10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1" t="n">
        <v>6</v>
      </c>
      <c r="G878" s="11" t="n">
        <v>6</v>
      </c>
      <c r="H878" s="8" t="n">
        <v>4.7842</v>
      </c>
      <c r="I878" s="8" t="n">
        <v>4.7842</v>
      </c>
      <c r="J878" s="8" t="n"/>
      <c r="K878" s="7" t="inlineStr">
        <is>
          <t>SEM COTAÇÃO</t>
        </is>
      </c>
      <c r="L878" s="8" t="n"/>
      <c r="M878" s="12" t="n"/>
      <c r="N878" s="7" t="inlineStr"/>
      <c r="O878" s="7" t="inlineStr"/>
    </row>
    <row r="879">
      <c r="A879" s="7" t="n">
        <v>189601</v>
      </c>
      <c r="B879" s="10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1" t="n">
        <v>7</v>
      </c>
      <c r="G879" s="11" t="n">
        <v>7</v>
      </c>
      <c r="H879" s="8" t="n">
        <v>15.376</v>
      </c>
      <c r="I879" s="8" t="n">
        <v>13.0614</v>
      </c>
      <c r="J879" s="13" t="n">
        <v>17.18</v>
      </c>
      <c r="K879" s="7" t="inlineStr">
        <is>
          <t>DIMEC</t>
        </is>
      </c>
      <c r="L879" s="8" t="n">
        <v>17.18</v>
      </c>
      <c r="M879" s="12">
        <f>L879/H879-1</f>
        <v/>
      </c>
      <c r="N879" s="14" t="inlineStr">
        <is>
          <t>ACIMA +11.7%</t>
        </is>
      </c>
      <c r="O879" s="7" t="inlineStr"/>
    </row>
    <row r="880">
      <c r="A880" s="7" t="n">
        <v>189641</v>
      </c>
      <c r="B880" s="10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1" t="n">
        <v>7</v>
      </c>
      <c r="G880" s="11" t="n">
        <v>7</v>
      </c>
      <c r="H880" s="8" t="n">
        <v>13.045</v>
      </c>
      <c r="I880" s="8" t="n">
        <v>13.045</v>
      </c>
      <c r="J880" s="13" t="n">
        <v>17</v>
      </c>
      <c r="K880" s="7" t="inlineStr">
        <is>
          <t>DIMEC</t>
        </is>
      </c>
      <c r="L880" s="8" t="n">
        <v>17</v>
      </c>
      <c r="M880" s="12">
        <f>L880/H880-1</f>
        <v/>
      </c>
      <c r="N880" s="14" t="inlineStr">
        <is>
          <t>ACIMA +30.3%</t>
        </is>
      </c>
      <c r="O880" s="7" t="inlineStr"/>
    </row>
    <row r="881">
      <c r="A881" s="7" t="n">
        <v>189681</v>
      </c>
      <c r="B881" s="10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1" t="n">
        <v>6</v>
      </c>
      <c r="G881" s="11" t="n">
        <v>6</v>
      </c>
      <c r="H881" s="8" t="n">
        <v>4.1567</v>
      </c>
      <c r="I881" s="8" t="n">
        <v>4.1567</v>
      </c>
      <c r="J881" s="13" t="n">
        <v>5.44</v>
      </c>
      <c r="K881" s="7" t="inlineStr">
        <is>
          <t>DIMEC</t>
        </is>
      </c>
      <c r="L881" s="8" t="n">
        <v>5.44</v>
      </c>
      <c r="M881" s="12">
        <f>L881/H881-1</f>
        <v/>
      </c>
      <c r="N881" s="14" t="inlineStr">
        <is>
          <t>ACIMA +30.9%</t>
        </is>
      </c>
      <c r="O881" s="7" t="inlineStr"/>
    </row>
    <row r="882">
      <c r="A882" s="7" t="n">
        <v>611741</v>
      </c>
      <c r="B882" s="10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1" t="n">
        <v>2</v>
      </c>
      <c r="G882" s="11" t="n">
        <v>2</v>
      </c>
      <c r="H882" s="8" t="n">
        <v>10.12</v>
      </c>
      <c r="I882" s="8" t="n">
        <v>10.12</v>
      </c>
      <c r="J882" s="8" t="n"/>
      <c r="K882" s="7" t="inlineStr">
        <is>
          <t>SEM COTAÇÃO</t>
        </is>
      </c>
      <c r="L882" s="8" t="n"/>
      <c r="M882" s="12" t="n"/>
      <c r="N882" s="7" t="inlineStr"/>
      <c r="O882" s="7" t="inlineStr"/>
    </row>
    <row r="883">
      <c r="A883" s="7" t="n">
        <v>135661</v>
      </c>
      <c r="B883" s="10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1" t="n">
        <v>8</v>
      </c>
      <c r="G883" s="11" t="n">
        <v>8</v>
      </c>
      <c r="H883" s="8" t="n">
        <v>21.67</v>
      </c>
      <c r="I883" s="8" t="n">
        <v>18.21</v>
      </c>
      <c r="J883" s="8" t="n"/>
      <c r="K883" s="7" t="inlineStr">
        <is>
          <t>SEM COTAÇÃO</t>
        </is>
      </c>
      <c r="L883" s="8" t="n"/>
      <c r="M883" s="12" t="n"/>
      <c r="N883" s="7" t="inlineStr"/>
      <c r="O883" s="7" t="inlineStr"/>
    </row>
    <row r="884">
      <c r="A884" s="7" t="n">
        <v>661331</v>
      </c>
      <c r="B884" s="10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1" t="n">
        <v>5</v>
      </c>
      <c r="G884" s="11" t="n">
        <v>5</v>
      </c>
      <c r="H884" s="8" t="n">
        <v>34.36</v>
      </c>
      <c r="I884" s="8" t="n">
        <v>26.64</v>
      </c>
      <c r="J884" s="8" t="n"/>
      <c r="K884" s="7" t="inlineStr">
        <is>
          <t>SEM COTAÇÃO</t>
        </is>
      </c>
      <c r="L884" s="8" t="n"/>
      <c r="M884" s="12" t="n"/>
      <c r="N884" s="7" t="inlineStr"/>
      <c r="O884" s="7" t="inlineStr"/>
    </row>
    <row r="885">
      <c r="A885" s="7" t="n">
        <v>674291</v>
      </c>
      <c r="B885" s="10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1" t="n">
        <v>17</v>
      </c>
      <c r="G885" s="11" t="n">
        <v>17</v>
      </c>
      <c r="H885" s="8" t="n">
        <v>22.805</v>
      </c>
      <c r="I885" s="8" t="n">
        <v>18.8279</v>
      </c>
      <c r="J885" s="8" t="n"/>
      <c r="K885" s="7" t="inlineStr">
        <is>
          <t>SEM COTAÇÃO</t>
        </is>
      </c>
      <c r="L885" s="8" t="n"/>
      <c r="M885" s="12" t="n"/>
      <c r="N885" s="7" t="inlineStr"/>
      <c r="O885" s="7" t="inlineStr"/>
    </row>
    <row r="886">
      <c r="A886" s="7" t="n">
        <v>3083</v>
      </c>
      <c r="B886" s="10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1" t="n">
        <v>15</v>
      </c>
      <c r="G886" s="11" t="n">
        <v>15</v>
      </c>
      <c r="H886" s="8" t="n">
        <v>4.1947</v>
      </c>
      <c r="I886" s="8" t="n">
        <v>3.17</v>
      </c>
      <c r="J886" s="8" t="n"/>
      <c r="K886" s="7" t="inlineStr">
        <is>
          <t>SEM COTAÇÃO</t>
        </is>
      </c>
      <c r="L886" s="8" t="n"/>
      <c r="M886" s="12" t="n"/>
      <c r="N886" s="7" t="inlineStr"/>
      <c r="O886" s="7" t="inlineStr"/>
    </row>
    <row r="887">
      <c r="A887" s="7" t="n">
        <v>607711</v>
      </c>
      <c r="B887" s="10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1" t="n">
        <v>1</v>
      </c>
      <c r="G887" s="11" t="n">
        <v>1</v>
      </c>
      <c r="H887" s="8" t="n">
        <v>0.57</v>
      </c>
      <c r="I887" s="8" t="n">
        <v>0.57</v>
      </c>
      <c r="J887" s="8" t="n"/>
      <c r="K887" s="7" t="inlineStr">
        <is>
          <t>SEM COTAÇÃO</t>
        </is>
      </c>
      <c r="L887" s="8" t="n"/>
      <c r="M887" s="12" t="n"/>
      <c r="N887" s="7" t="inlineStr"/>
      <c r="O887" s="7" t="inlineStr"/>
    </row>
    <row r="888">
      <c r="A888" s="7" t="n">
        <v>583581</v>
      </c>
      <c r="B888" s="10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1" t="n">
        <v>68</v>
      </c>
      <c r="G888" s="11" t="n">
        <v>68</v>
      </c>
      <c r="H888" s="8" t="n">
        <v>3.1</v>
      </c>
      <c r="I888" s="8" t="n">
        <v>2.6765</v>
      </c>
      <c r="J888" s="8" t="n"/>
      <c r="K888" s="7" t="inlineStr">
        <is>
          <t>SEM COTAÇÃO</t>
        </is>
      </c>
      <c r="L888" s="8" t="n"/>
      <c r="M888" s="12" t="n"/>
      <c r="N888" s="7" t="inlineStr"/>
      <c r="O888" s="7" t="inlineStr"/>
    </row>
    <row r="889">
      <c r="A889" s="7" t="n">
        <v>3213</v>
      </c>
      <c r="B889" s="10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1" t="n">
        <v>1</v>
      </c>
      <c r="G889" s="11" t="n">
        <v>1</v>
      </c>
      <c r="H889" s="8" t="n"/>
      <c r="I889" s="8" t="n"/>
      <c r="J889" s="8" t="n"/>
      <c r="K889" s="7" t="inlineStr">
        <is>
          <t>SEM COTAÇÃO</t>
        </is>
      </c>
      <c r="L889" s="8" t="n"/>
      <c r="M889" s="12" t="n"/>
      <c r="N889" s="7" t="inlineStr"/>
      <c r="O889" s="7" t="inlineStr"/>
    </row>
    <row r="890">
      <c r="A890" s="7" t="n">
        <v>587241</v>
      </c>
      <c r="B890" s="10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1" t="n">
        <v>10</v>
      </c>
      <c r="G890" s="11" t="n">
        <v>39</v>
      </c>
      <c r="H890" s="8" t="n">
        <v>2.9117</v>
      </c>
      <c r="I890" s="8" t="n">
        <v>2.5085</v>
      </c>
      <c r="J890" s="8" t="n"/>
      <c r="K890" s="7" t="inlineStr">
        <is>
          <t>SEM COTAÇÃO</t>
        </is>
      </c>
      <c r="L890" s="8" t="n"/>
      <c r="M890" s="12" t="n"/>
      <c r="N890" s="7" t="inlineStr"/>
      <c r="O890" s="7" t="inlineStr"/>
    </row>
    <row r="891">
      <c r="A891" s="7" t="n">
        <v>4303</v>
      </c>
      <c r="B891" s="10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1" t="n">
        <v>4</v>
      </c>
      <c r="G891" s="11" t="n">
        <v>4</v>
      </c>
      <c r="H891" s="8" t="n">
        <v>6.1</v>
      </c>
      <c r="I891" s="8" t="n">
        <v>5.5033</v>
      </c>
      <c r="J891" s="8" t="n"/>
      <c r="K891" s="7" t="inlineStr">
        <is>
          <t>SEM COTAÇÃO</t>
        </is>
      </c>
      <c r="L891" s="8" t="n"/>
      <c r="M891" s="12" t="n"/>
      <c r="N891" s="7" t="inlineStr"/>
      <c r="O891" s="7" t="inlineStr"/>
    </row>
    <row r="892">
      <c r="A892" s="7" t="n">
        <v>399321</v>
      </c>
      <c r="B892" s="10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1" t="n">
        <v>1</v>
      </c>
      <c r="G892" s="11" t="n">
        <v>1</v>
      </c>
      <c r="H892" s="8" t="n">
        <v>23.005</v>
      </c>
      <c r="I892" s="8" t="n">
        <v>23.005</v>
      </c>
      <c r="J892" s="8" t="n"/>
      <c r="K892" s="7" t="inlineStr">
        <is>
          <t>SEM COTAÇÃO</t>
        </is>
      </c>
      <c r="L892" s="8" t="n"/>
      <c r="M892" s="12" t="n"/>
      <c r="N892" s="7" t="inlineStr"/>
      <c r="O892" s="7" t="inlineStr"/>
    </row>
    <row r="893">
      <c r="A893" s="7" t="n">
        <v>674281</v>
      </c>
      <c r="B893" s="10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1" t="n">
        <v>1</v>
      </c>
      <c r="G893" s="11" t="n">
        <v>1</v>
      </c>
      <c r="H893" s="8" t="n">
        <v>16.785</v>
      </c>
      <c r="I893" s="8" t="n">
        <v>16.785</v>
      </c>
      <c r="J893" s="8" t="n"/>
      <c r="K893" s="7" t="inlineStr">
        <is>
          <t>SEM COTAÇÃO</t>
        </is>
      </c>
      <c r="L893" s="8" t="n"/>
      <c r="M893" s="12" t="n"/>
      <c r="N893" s="7" t="inlineStr"/>
      <c r="O893" s="7" t="inlineStr"/>
    </row>
    <row r="894">
      <c r="A894" s="7" t="n">
        <v>515861</v>
      </c>
      <c r="B894" s="10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1" t="n">
        <v>1</v>
      </c>
      <c r="G894" s="11" t="n">
        <v>1</v>
      </c>
      <c r="H894" s="8" t="n">
        <v>16.785</v>
      </c>
      <c r="I894" s="8" t="n">
        <v>16.785</v>
      </c>
      <c r="J894" s="8" t="n"/>
      <c r="K894" s="7" t="inlineStr">
        <is>
          <t>SEM COTAÇÃO</t>
        </is>
      </c>
      <c r="L894" s="8" t="n"/>
      <c r="M894" s="12" t="n"/>
      <c r="N894" s="7" t="inlineStr"/>
      <c r="O894" s="7" t="inlineStr"/>
    </row>
    <row r="895">
      <c r="A895" s="7" t="n">
        <v>643691</v>
      </c>
      <c r="B895" s="10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1" t="n">
        <v>3</v>
      </c>
      <c r="G895" s="11" t="n">
        <v>3</v>
      </c>
      <c r="H895" s="8" t="n">
        <v>7.81</v>
      </c>
      <c r="I895" s="8" t="n">
        <v>7.81</v>
      </c>
      <c r="J895" s="8" t="n"/>
      <c r="K895" s="7" t="inlineStr">
        <is>
          <t>SEM COTAÇÃO</t>
        </is>
      </c>
      <c r="L895" s="8" t="n"/>
      <c r="M895" s="12" t="n"/>
      <c r="N895" s="7" t="inlineStr"/>
      <c r="O895" s="7" t="inlineStr"/>
    </row>
    <row r="896">
      <c r="A896" s="7" t="n">
        <v>677101</v>
      </c>
      <c r="B896" s="10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1" t="n">
        <v>2</v>
      </c>
      <c r="G896" s="11" t="n">
        <v>2</v>
      </c>
      <c r="H896" s="8" t="n">
        <v>24.54</v>
      </c>
      <c r="I896" s="8" t="n">
        <v>24.54</v>
      </c>
      <c r="J896" s="8" t="n"/>
      <c r="K896" s="7" t="inlineStr">
        <is>
          <t>SEM COTAÇÃO</t>
        </is>
      </c>
      <c r="L896" s="8" t="n"/>
      <c r="M896" s="12" t="n"/>
      <c r="N896" s="7" t="inlineStr"/>
      <c r="O896" s="7" t="inlineStr"/>
    </row>
    <row r="897">
      <c r="A897" s="7" t="n">
        <v>677201</v>
      </c>
      <c r="B897" s="10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1" t="n">
        <v>1</v>
      </c>
      <c r="G897" s="11" t="n">
        <v>1</v>
      </c>
      <c r="H897" s="8" t="n">
        <v>24.72</v>
      </c>
      <c r="I897" s="8" t="n">
        <v>24.72</v>
      </c>
      <c r="J897" s="8" t="n"/>
      <c r="K897" s="7" t="inlineStr">
        <is>
          <t>SEM COTAÇÃO</t>
        </is>
      </c>
      <c r="L897" s="8" t="n"/>
      <c r="M897" s="12" t="n"/>
      <c r="N897" s="7" t="inlineStr"/>
      <c r="O897" s="7" t="inlineStr"/>
    </row>
    <row r="898">
      <c r="A898" s="7" t="n">
        <v>643701</v>
      </c>
      <c r="B898" s="10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1" t="n">
        <v>4</v>
      </c>
      <c r="G898" s="11" t="n">
        <v>4</v>
      </c>
      <c r="H898" s="8" t="n">
        <v>7.81</v>
      </c>
      <c r="I898" s="8" t="n">
        <v>7.81</v>
      </c>
      <c r="J898" s="8" t="n"/>
      <c r="K898" s="7" t="inlineStr">
        <is>
          <t>SEM COTAÇÃO</t>
        </is>
      </c>
      <c r="L898" s="8" t="n"/>
      <c r="M898" s="12" t="n"/>
      <c r="N898" s="7" t="inlineStr"/>
      <c r="O898" s="7" t="inlineStr"/>
    </row>
    <row r="899">
      <c r="A899" s="7" t="n">
        <v>643711</v>
      </c>
      <c r="B899" s="10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1" t="n">
        <v>2</v>
      </c>
      <c r="G899" s="11" t="n">
        <v>2</v>
      </c>
      <c r="H899" s="8" t="n">
        <v>7.81</v>
      </c>
      <c r="I899" s="8" t="n">
        <v>7.81</v>
      </c>
      <c r="J899" s="8" t="n"/>
      <c r="K899" s="7" t="inlineStr">
        <is>
          <t>SEM COTAÇÃO</t>
        </is>
      </c>
      <c r="L899" s="8" t="n"/>
      <c r="M899" s="12" t="n"/>
      <c r="N899" s="7" t="inlineStr"/>
      <c r="O899" s="7" t="inlineStr"/>
    </row>
    <row r="900">
      <c r="A900" s="7" t="n">
        <v>614151</v>
      </c>
      <c r="B900" s="10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1" t="n">
        <v>1</v>
      </c>
      <c r="G900" s="11" t="n">
        <v>1</v>
      </c>
      <c r="H900" s="8" t="n">
        <v>12.54</v>
      </c>
      <c r="I900" s="8" t="n">
        <v>12.54</v>
      </c>
      <c r="J900" s="8" t="n"/>
      <c r="K900" s="7" t="inlineStr">
        <is>
          <t>SEM COTAÇÃO</t>
        </is>
      </c>
      <c r="L900" s="8" t="n"/>
      <c r="M900" s="12" t="n"/>
      <c r="N900" s="7" t="inlineStr"/>
      <c r="O900" s="7" t="inlineStr"/>
    </row>
    <row r="901">
      <c r="A901" s="7" t="n">
        <v>614101</v>
      </c>
      <c r="B901" s="10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1" t="n">
        <v>1</v>
      </c>
      <c r="G901" s="11" t="n">
        <v>1</v>
      </c>
      <c r="H901" s="8" t="n">
        <v>12.54</v>
      </c>
      <c r="I901" s="8" t="n">
        <v>12.54</v>
      </c>
      <c r="J901" s="8" t="n"/>
      <c r="K901" s="7" t="inlineStr">
        <is>
          <t>SEM COTAÇÃO</t>
        </is>
      </c>
      <c r="L901" s="8" t="n"/>
      <c r="M901" s="12" t="n"/>
      <c r="N901" s="7" t="inlineStr"/>
      <c r="O901" s="7" t="inlineStr"/>
    </row>
    <row r="902">
      <c r="A902" s="7" t="n">
        <v>616541</v>
      </c>
      <c r="B902" s="10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1" t="n">
        <v>4</v>
      </c>
      <c r="G902" s="11" t="n">
        <v>4</v>
      </c>
      <c r="H902" s="8" t="n">
        <v>10.57</v>
      </c>
      <c r="I902" s="8" t="n">
        <v>10.5</v>
      </c>
      <c r="J902" s="8" t="n"/>
      <c r="K902" s="7" t="inlineStr">
        <is>
          <t>SEM COTAÇÃO</t>
        </is>
      </c>
      <c r="L902" s="8" t="n"/>
      <c r="M902" s="12" t="n"/>
      <c r="N902" s="7" t="inlineStr"/>
      <c r="O902" s="7" t="inlineStr"/>
    </row>
    <row r="903">
      <c r="A903" s="7" t="n">
        <v>616601</v>
      </c>
      <c r="B903" s="10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1" t="n">
        <v>4</v>
      </c>
      <c r="G903" s="11" t="n">
        <v>4</v>
      </c>
      <c r="H903" s="8" t="n">
        <v>12.09</v>
      </c>
      <c r="I903" s="8" t="n">
        <v>10.5</v>
      </c>
      <c r="J903" s="8" t="n"/>
      <c r="K903" s="7" t="inlineStr">
        <is>
          <t>SEM COTAÇÃO</t>
        </is>
      </c>
      <c r="L903" s="8" t="n"/>
      <c r="M903" s="12" t="n"/>
      <c r="N903" s="7" t="inlineStr"/>
      <c r="O903" s="7" t="inlineStr"/>
    </row>
    <row r="904">
      <c r="A904" s="7" t="n">
        <v>616611</v>
      </c>
      <c r="B904" s="10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1" t="n">
        <v>3</v>
      </c>
      <c r="G904" s="11" t="n">
        <v>3</v>
      </c>
      <c r="H904" s="8" t="n">
        <v>10.5</v>
      </c>
      <c r="I904" s="8" t="n">
        <v>10.5</v>
      </c>
      <c r="J904" s="8" t="n"/>
      <c r="K904" s="7" t="inlineStr">
        <is>
          <t>SEM COTAÇÃO</t>
        </is>
      </c>
      <c r="L904" s="8" t="n"/>
      <c r="M904" s="12" t="n"/>
      <c r="N904" s="7" t="inlineStr"/>
      <c r="O904" s="7" t="inlineStr"/>
    </row>
    <row r="905">
      <c r="A905" s="7" t="n">
        <v>688301</v>
      </c>
      <c r="B905" s="10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1" t="n">
        <v>3</v>
      </c>
      <c r="G905" s="11" t="n">
        <v>3</v>
      </c>
      <c r="H905" s="8" t="n">
        <v>14.02</v>
      </c>
      <c r="I905" s="8" t="n">
        <v>14.02</v>
      </c>
      <c r="J905" s="8" t="n"/>
      <c r="K905" s="7" t="inlineStr">
        <is>
          <t>SEM COTAÇÃO</t>
        </is>
      </c>
      <c r="L905" s="8" t="n"/>
      <c r="M905" s="12" t="n"/>
      <c r="N905" s="7" t="inlineStr"/>
      <c r="O905" s="7" t="inlineStr"/>
    </row>
    <row r="906">
      <c r="A906" s="7" t="n">
        <v>602301</v>
      </c>
      <c r="B906" s="10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1" t="n">
        <v>1</v>
      </c>
      <c r="G906" s="11" t="n">
        <v>1</v>
      </c>
      <c r="H906" s="8" t="n">
        <v>10.32</v>
      </c>
      <c r="I906" s="8" t="n">
        <v>10.32</v>
      </c>
      <c r="J906" s="8" t="n"/>
      <c r="K906" s="7" t="inlineStr">
        <is>
          <t>SEM COTAÇÃO</t>
        </is>
      </c>
      <c r="L906" s="8" t="n"/>
      <c r="M906" s="12" t="n"/>
      <c r="N906" s="7" t="inlineStr"/>
      <c r="O906" s="7" t="inlineStr"/>
    </row>
    <row r="907">
      <c r="A907" s="7" t="n">
        <v>602321</v>
      </c>
      <c r="B907" s="10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1" t="n">
        <v>1</v>
      </c>
      <c r="G907" s="11" t="n">
        <v>1</v>
      </c>
      <c r="H907" s="8" t="n">
        <v>8.949999999999999</v>
      </c>
      <c r="I907" s="8" t="n">
        <v>8.949999999999999</v>
      </c>
      <c r="J907" s="8" t="n"/>
      <c r="K907" s="7" t="inlineStr">
        <is>
          <t>SEM COTAÇÃO</t>
        </is>
      </c>
      <c r="L907" s="8" t="n"/>
      <c r="M907" s="12" t="n"/>
      <c r="N907" s="7" t="inlineStr"/>
      <c r="O907" s="7" t="inlineStr"/>
    </row>
    <row r="908">
      <c r="A908" s="7" t="n">
        <v>602311</v>
      </c>
      <c r="B908" s="10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1" t="n">
        <v>2</v>
      </c>
      <c r="G908" s="11" t="n">
        <v>2</v>
      </c>
      <c r="H908" s="8" t="n">
        <v>11.53</v>
      </c>
      <c r="I908" s="8" t="n">
        <v>11.53</v>
      </c>
      <c r="J908" s="8" t="n"/>
      <c r="K908" s="7" t="inlineStr">
        <is>
          <t>SEM COTAÇÃO</t>
        </is>
      </c>
      <c r="L908" s="8" t="n"/>
      <c r="M908" s="12" t="n"/>
      <c r="N908" s="7" t="inlineStr"/>
      <c r="O908" s="7" t="inlineStr"/>
    </row>
    <row r="909">
      <c r="A909" s="7" t="n">
        <v>602291</v>
      </c>
      <c r="B909" s="10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1" t="n">
        <v>3</v>
      </c>
      <c r="G909" s="11" t="n">
        <v>3</v>
      </c>
      <c r="H909" s="8" t="n">
        <v>11.12</v>
      </c>
      <c r="I909" s="8" t="n">
        <v>11.12</v>
      </c>
      <c r="J909" s="8" t="n"/>
      <c r="K909" s="7" t="inlineStr">
        <is>
          <t>SEM COTAÇÃO</t>
        </is>
      </c>
      <c r="L909" s="8" t="n"/>
      <c r="M909" s="12" t="n"/>
      <c r="N909" s="7" t="inlineStr"/>
      <c r="O909" s="7" t="inlineStr"/>
    </row>
    <row r="910">
      <c r="A910" s="7" t="n">
        <v>644531</v>
      </c>
      <c r="B910" s="10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1" t="n">
        <v>2</v>
      </c>
      <c r="G910" s="11" t="n">
        <v>2</v>
      </c>
      <c r="H910" s="8" t="n">
        <v>26.36</v>
      </c>
      <c r="I910" s="8" t="n">
        <v>26.36</v>
      </c>
      <c r="J910" s="8" t="n"/>
      <c r="K910" s="7" t="inlineStr">
        <is>
          <t>SEM COTAÇÃO</t>
        </is>
      </c>
      <c r="L910" s="8" t="n"/>
      <c r="M910" s="12" t="n"/>
      <c r="N910" s="7" t="inlineStr"/>
      <c r="O910" s="7" t="inlineStr"/>
    </row>
    <row r="911">
      <c r="A911" s="7" t="n">
        <v>638471</v>
      </c>
      <c r="B911" s="10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1" t="n">
        <v>1</v>
      </c>
      <c r="G911" s="11" t="n">
        <v>1</v>
      </c>
      <c r="H911" s="8" t="n">
        <v>26.36</v>
      </c>
      <c r="I911" s="8" t="n">
        <v>26.36</v>
      </c>
      <c r="J911" s="8" t="n"/>
      <c r="K911" s="7" t="inlineStr">
        <is>
          <t>SEM COTAÇÃO</t>
        </is>
      </c>
      <c r="L911" s="8" t="n"/>
      <c r="M911" s="12" t="n"/>
      <c r="N911" s="7" t="inlineStr"/>
      <c r="O911" s="7" t="inlineStr"/>
    </row>
    <row r="912">
      <c r="A912" s="7" t="n">
        <v>638491</v>
      </c>
      <c r="B912" s="10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1" t="n">
        <v>1</v>
      </c>
      <c r="G912" s="11" t="n">
        <v>1</v>
      </c>
      <c r="H912" s="8" t="n">
        <v>26.36</v>
      </c>
      <c r="I912" s="8" t="n">
        <v>26.36</v>
      </c>
      <c r="J912" s="8" t="n"/>
      <c r="K912" s="7" t="inlineStr">
        <is>
          <t>SEM COTAÇÃO</t>
        </is>
      </c>
      <c r="L912" s="8" t="n"/>
      <c r="M912" s="12" t="n"/>
      <c r="N912" s="7" t="inlineStr"/>
      <c r="O912" s="7" t="inlineStr"/>
    </row>
    <row r="913">
      <c r="A913" s="7" t="n">
        <v>644601</v>
      </c>
      <c r="B913" s="10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1" t="n">
        <v>2</v>
      </c>
      <c r="G913" s="11" t="n">
        <v>2</v>
      </c>
      <c r="H913" s="8" t="n">
        <v>26.36</v>
      </c>
      <c r="I913" s="8" t="n">
        <v>26.36</v>
      </c>
      <c r="J913" s="8" t="n"/>
      <c r="K913" s="7" t="inlineStr">
        <is>
          <t>SEM COTAÇÃO</t>
        </is>
      </c>
      <c r="L913" s="8" t="n"/>
      <c r="M913" s="12" t="n"/>
      <c r="N913" s="7" t="inlineStr"/>
      <c r="O913" s="7" t="inlineStr"/>
    </row>
    <row r="914">
      <c r="A914" s="7" t="n">
        <v>602181</v>
      </c>
      <c r="B914" s="10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1" t="n">
        <v>1</v>
      </c>
      <c r="G914" s="11" t="n">
        <v>1</v>
      </c>
      <c r="H914" s="8" t="n">
        <v>54.9</v>
      </c>
      <c r="I914" s="8" t="n">
        <v>54.9</v>
      </c>
      <c r="J914" s="8" t="n"/>
      <c r="K914" s="7" t="inlineStr">
        <is>
          <t>SEM COTAÇÃO</t>
        </is>
      </c>
      <c r="L914" s="8" t="n"/>
      <c r="M914" s="12" t="n"/>
      <c r="N914" s="7" t="inlineStr"/>
      <c r="O914" s="7" t="inlineStr"/>
    </row>
    <row r="915">
      <c r="A915" s="7" t="n">
        <v>634731</v>
      </c>
      <c r="B915" s="10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1" t="n">
        <v>1</v>
      </c>
      <c r="G915" s="11" t="n">
        <v>1</v>
      </c>
      <c r="H915" s="8" t="n">
        <v>27.03</v>
      </c>
      <c r="I915" s="8" t="n">
        <v>27.03</v>
      </c>
      <c r="J915" s="8" t="n"/>
      <c r="K915" s="7" t="inlineStr">
        <is>
          <t>SEM COTAÇÃO</t>
        </is>
      </c>
      <c r="L915" s="8" t="n"/>
      <c r="M915" s="12" t="n"/>
      <c r="N915" s="7" t="inlineStr"/>
      <c r="O915" s="7" t="inlineStr"/>
    </row>
    <row r="916">
      <c r="A916" s="7" t="n">
        <v>4233</v>
      </c>
      <c r="B916" s="10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1" t="n">
        <v>2</v>
      </c>
      <c r="G916" s="11" t="n">
        <v>2</v>
      </c>
      <c r="H916" s="8" t="n">
        <v>23.14</v>
      </c>
      <c r="I916" s="8" t="n">
        <v>23.14</v>
      </c>
      <c r="J916" s="8" t="n"/>
      <c r="K916" s="7" t="inlineStr">
        <is>
          <t>SEM COTAÇÃO</t>
        </is>
      </c>
      <c r="L916" s="8" t="n"/>
      <c r="M916" s="12" t="n"/>
      <c r="N916" s="7" t="inlineStr"/>
      <c r="O916" s="7" t="inlineStr"/>
    </row>
    <row r="917">
      <c r="A917" s="7" t="n">
        <v>655971</v>
      </c>
      <c r="B917" s="10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1" t="n">
        <v>1</v>
      </c>
      <c r="G917" s="11" t="n">
        <v>1</v>
      </c>
      <c r="H917" s="8" t="n">
        <v>28.23</v>
      </c>
      <c r="I917" s="8" t="n">
        <v>28.23</v>
      </c>
      <c r="J917" s="8" t="n"/>
      <c r="K917" s="7" t="inlineStr">
        <is>
          <t>SEM COTAÇÃO</t>
        </is>
      </c>
      <c r="L917" s="8" t="n"/>
      <c r="M917" s="12" t="n"/>
      <c r="N917" s="7" t="inlineStr"/>
      <c r="O917" s="7" t="inlineStr"/>
    </row>
    <row r="918">
      <c r="A918" s="7" t="n">
        <v>597681</v>
      </c>
      <c r="B918" s="10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1" t="n">
        <v>1</v>
      </c>
      <c r="G918" s="11" t="n">
        <v>1</v>
      </c>
      <c r="H918" s="8" t="n">
        <v>55.51</v>
      </c>
      <c r="I918" s="8" t="n">
        <v>55.51</v>
      </c>
      <c r="J918" s="8" t="n"/>
      <c r="K918" s="7" t="inlineStr">
        <is>
          <t>SEM COTAÇÃO</t>
        </is>
      </c>
      <c r="L918" s="8" t="n"/>
      <c r="M918" s="12" t="n"/>
      <c r="N918" s="7" t="inlineStr"/>
      <c r="O918" s="7" t="inlineStr"/>
    </row>
    <row r="919">
      <c r="A919" s="7" t="n">
        <v>44781</v>
      </c>
      <c r="B919" s="10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1" t="n">
        <v>1</v>
      </c>
      <c r="G919" s="11" t="n">
        <v>1</v>
      </c>
      <c r="H919" s="8" t="n">
        <v>4.71</v>
      </c>
      <c r="I919" s="8" t="n">
        <v>4.71</v>
      </c>
      <c r="J919" s="8" t="n"/>
      <c r="K919" s="7" t="inlineStr">
        <is>
          <t>SEM COTAÇÃO</t>
        </is>
      </c>
      <c r="L919" s="8" t="n"/>
      <c r="M919" s="12" t="n"/>
      <c r="N919" s="7" t="inlineStr"/>
      <c r="O919" s="7" t="inlineStr"/>
    </row>
    <row r="920">
      <c r="A920" s="7" t="n">
        <v>64</v>
      </c>
      <c r="B920" s="10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1" t="n">
        <v>7</v>
      </c>
      <c r="G920" s="11" t="n">
        <v>7</v>
      </c>
      <c r="H920" s="8" t="n"/>
      <c r="I920" s="8" t="n"/>
      <c r="J920" s="8" t="n"/>
      <c r="K920" s="7" t="inlineStr">
        <is>
          <t>SEM COTAÇÃO</t>
        </is>
      </c>
      <c r="L920" s="8" t="n"/>
      <c r="M920" s="12" t="n"/>
      <c r="N920" s="7" t="inlineStr"/>
      <c r="O920" s="7" t="inlineStr"/>
    </row>
    <row r="921">
      <c r="A921" s="7" t="n">
        <v>74</v>
      </c>
      <c r="B921" s="10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1" t="n">
        <v>2</v>
      </c>
      <c r="G921" s="11" t="n">
        <v>2</v>
      </c>
      <c r="H921" s="8" t="n"/>
      <c r="I921" s="8" t="n"/>
      <c r="J921" s="8" t="n"/>
      <c r="K921" s="7" t="inlineStr">
        <is>
          <t>SEM COTAÇÃO</t>
        </is>
      </c>
      <c r="L921" s="8" t="n"/>
      <c r="M921" s="12" t="n"/>
      <c r="N921" s="7" t="inlineStr"/>
      <c r="O921" s="7" t="inlineStr"/>
    </row>
    <row r="922">
      <c r="A922" s="7" t="n">
        <v>608801</v>
      </c>
      <c r="B922" s="10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1" t="n">
        <v>1</v>
      </c>
      <c r="G922" s="11" t="n">
        <v>1</v>
      </c>
      <c r="H922" s="8" t="n">
        <v>0.4716</v>
      </c>
      <c r="I922" s="8" t="n">
        <v>0.4716</v>
      </c>
      <c r="J922" s="8" t="n"/>
      <c r="K922" s="7" t="inlineStr">
        <is>
          <t>SEM COTAÇÃO</t>
        </is>
      </c>
      <c r="L922" s="8" t="n"/>
      <c r="M922" s="12" t="n"/>
      <c r="N922" s="7" t="inlineStr"/>
      <c r="O922" s="7" t="inlineStr"/>
    </row>
    <row r="923">
      <c r="A923" s="7" t="n">
        <v>536401</v>
      </c>
      <c r="B923" s="10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1" t="n">
        <v>1</v>
      </c>
      <c r="G923" s="11" t="n">
        <v>1</v>
      </c>
      <c r="H923" s="8" t="n"/>
      <c r="I923" s="8" t="n"/>
      <c r="J923" s="8" t="n"/>
      <c r="K923" s="7" t="inlineStr">
        <is>
          <t>SEM COTAÇÃO</t>
        </is>
      </c>
      <c r="L923" s="8" t="n"/>
      <c r="M923" s="12" t="n"/>
      <c r="N923" s="7" t="inlineStr"/>
      <c r="O923" s="7" t="inlineStr"/>
    </row>
    <row r="924">
      <c r="A924" s="7" t="n">
        <v>639931</v>
      </c>
      <c r="B924" s="10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1" t="n">
        <v>1</v>
      </c>
      <c r="G924" s="11" t="n">
        <v>1</v>
      </c>
      <c r="H924" s="8" t="n">
        <v>5.4</v>
      </c>
      <c r="I924" s="8" t="n">
        <v>5.4</v>
      </c>
      <c r="J924" s="8" t="n"/>
      <c r="K924" s="7" t="inlineStr">
        <is>
          <t>SEM COTAÇÃO</t>
        </is>
      </c>
      <c r="L924" s="8" t="n"/>
      <c r="M924" s="12" t="n"/>
      <c r="N924" s="7" t="inlineStr"/>
      <c r="O924" s="7" t="inlineStr"/>
    </row>
    <row r="925">
      <c r="A925" s="7" t="n">
        <v>663521</v>
      </c>
      <c r="B925" s="10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1" t="n">
        <v>2</v>
      </c>
      <c r="G925" s="11" t="n">
        <v>2</v>
      </c>
      <c r="H925" s="8" t="n">
        <v>46.11</v>
      </c>
      <c r="I925" s="8" t="n">
        <v>46.11</v>
      </c>
      <c r="J925" s="8" t="n"/>
      <c r="K925" s="7" t="inlineStr">
        <is>
          <t>SEM COTAÇÃO</t>
        </is>
      </c>
      <c r="L925" s="8" t="n"/>
      <c r="M925" s="12" t="n"/>
      <c r="N925" s="7" t="inlineStr"/>
      <c r="O925" s="7" t="inlineStr"/>
    </row>
    <row r="926">
      <c r="A926" s="7" t="n">
        <v>618221</v>
      </c>
      <c r="B926" s="10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1" t="n">
        <v>1</v>
      </c>
      <c r="G926" s="11" t="n">
        <v>1</v>
      </c>
      <c r="H926" s="8" t="n">
        <v>0.49</v>
      </c>
      <c r="I926" s="8" t="n">
        <v>0.49</v>
      </c>
      <c r="J926" s="8" t="n"/>
      <c r="K926" s="7" t="inlineStr">
        <is>
          <t>SEM COTAÇÃO</t>
        </is>
      </c>
      <c r="L926" s="8" t="n"/>
      <c r="M926" s="12" t="n"/>
      <c r="N926" s="7" t="inlineStr"/>
      <c r="O926" s="7" t="inlineStr"/>
    </row>
    <row r="927">
      <c r="A927" s="7" t="n">
        <v>570701</v>
      </c>
      <c r="B927" s="10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1" t="n">
        <v>113</v>
      </c>
      <c r="G927" s="11" t="n">
        <v>113</v>
      </c>
      <c r="H927" s="8" t="n">
        <v>0.54</v>
      </c>
      <c r="I927" s="8" t="n">
        <v>0.54</v>
      </c>
      <c r="J927" s="13" t="n">
        <v>0.6</v>
      </c>
      <c r="K927" s="7" t="inlineStr">
        <is>
          <t>DIMEC</t>
        </is>
      </c>
      <c r="L927" s="8" t="n">
        <v>0.6</v>
      </c>
      <c r="M927" s="12">
        <f>L927/H927-1</f>
        <v/>
      </c>
      <c r="N927" s="14" t="inlineStr">
        <is>
          <t>ACIMA +11.1%</t>
        </is>
      </c>
      <c r="O927" s="7" t="inlineStr"/>
    </row>
    <row r="928">
      <c r="A928" s="7" t="n">
        <v>643191</v>
      </c>
      <c r="B928" s="10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1" t="n">
        <v>1</v>
      </c>
      <c r="G928" s="11" t="n">
        <v>1</v>
      </c>
      <c r="H928" s="8" t="n">
        <v>1.34</v>
      </c>
      <c r="I928" s="8" t="n">
        <v>1.34</v>
      </c>
      <c r="J928" s="8" t="n"/>
      <c r="K928" s="7" t="inlineStr">
        <is>
          <t>SEM COTAÇÃO</t>
        </is>
      </c>
      <c r="L928" s="8" t="n"/>
      <c r="M928" s="12" t="n"/>
      <c r="N928" s="7" t="inlineStr"/>
      <c r="O928" s="7" t="inlineStr"/>
    </row>
    <row r="929">
      <c r="A929" s="7" t="n">
        <v>668731</v>
      </c>
      <c r="B929" s="10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1" t="n">
        <v>1</v>
      </c>
      <c r="G929" s="11" t="n">
        <v>1</v>
      </c>
      <c r="H929" s="8" t="n">
        <v>15.54</v>
      </c>
      <c r="I929" s="8" t="n">
        <v>15.54</v>
      </c>
      <c r="J929" s="8" t="n"/>
      <c r="K929" s="7" t="inlineStr">
        <is>
          <t>SEM COTAÇÃO</t>
        </is>
      </c>
      <c r="L929" s="8" t="n"/>
      <c r="M929" s="12" t="n"/>
      <c r="N929" s="7" t="inlineStr"/>
      <c r="O929" s="7" t="inlineStr"/>
    </row>
    <row r="930">
      <c r="A930" s="7" t="n">
        <v>668931</v>
      </c>
      <c r="B930" s="10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1" t="n">
        <v>2</v>
      </c>
      <c r="G930" s="11" t="n">
        <v>2</v>
      </c>
      <c r="H930" s="8" t="n">
        <v>14.94</v>
      </c>
      <c r="I930" s="8" t="n">
        <v>14.94</v>
      </c>
      <c r="J930" s="8" t="n"/>
      <c r="K930" s="7" t="inlineStr">
        <is>
          <t>SEM COTAÇÃO</t>
        </is>
      </c>
      <c r="L930" s="8" t="n"/>
      <c r="M930" s="12" t="n"/>
      <c r="N930" s="7" t="inlineStr"/>
      <c r="O930" s="7" t="inlineStr"/>
    </row>
    <row r="931">
      <c r="A931" s="7" t="n">
        <v>668921</v>
      </c>
      <c r="B931" s="10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1" t="n">
        <v>2</v>
      </c>
      <c r="G931" s="11" t="n">
        <v>2</v>
      </c>
      <c r="H931" s="8" t="n">
        <v>15.54</v>
      </c>
      <c r="I931" s="8" t="n">
        <v>15.54</v>
      </c>
      <c r="J931" s="8" t="n"/>
      <c r="K931" s="7" t="inlineStr">
        <is>
          <t>SEM COTAÇÃO</t>
        </is>
      </c>
      <c r="L931" s="8" t="n"/>
      <c r="M931" s="12" t="n"/>
      <c r="N931" s="7" t="inlineStr"/>
      <c r="O931" s="7" t="inlineStr"/>
    </row>
    <row r="932">
      <c r="A932" s="7" t="n">
        <v>668901</v>
      </c>
      <c r="B932" s="10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1" t="n">
        <v>1</v>
      </c>
      <c r="G932" s="11" t="n">
        <v>1</v>
      </c>
      <c r="H932" s="8" t="n">
        <v>14.94</v>
      </c>
      <c r="I932" s="8" t="n">
        <v>14.94</v>
      </c>
      <c r="J932" s="8" t="n"/>
      <c r="K932" s="7" t="inlineStr">
        <is>
          <t>SEM COTAÇÃO</t>
        </is>
      </c>
      <c r="L932" s="8" t="n"/>
      <c r="M932" s="12" t="n"/>
      <c r="N932" s="7" t="inlineStr"/>
      <c r="O932" s="7" t="inlineStr"/>
    </row>
    <row r="933">
      <c r="A933" s="7" t="n">
        <v>668891</v>
      </c>
      <c r="B933" s="10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1" t="n">
        <v>1</v>
      </c>
      <c r="G933" s="11" t="n">
        <v>1</v>
      </c>
      <c r="H933" s="8" t="n">
        <v>14.94</v>
      </c>
      <c r="I933" s="8" t="n">
        <v>14.94</v>
      </c>
      <c r="J933" s="8" t="n"/>
      <c r="K933" s="7" t="inlineStr">
        <is>
          <t>SEM COTAÇÃO</t>
        </is>
      </c>
      <c r="L933" s="8" t="n"/>
      <c r="M933" s="12" t="n"/>
      <c r="N933" s="7" t="inlineStr"/>
      <c r="O933" s="7" t="inlineStr"/>
    </row>
    <row r="934">
      <c r="A934" s="7" t="n">
        <v>668881</v>
      </c>
      <c r="B934" s="10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1" t="n">
        <v>1</v>
      </c>
      <c r="G934" s="11" t="n">
        <v>1</v>
      </c>
      <c r="H934" s="8" t="n">
        <v>17.94</v>
      </c>
      <c r="I934" s="8" t="n">
        <v>17.94</v>
      </c>
      <c r="J934" s="8" t="n"/>
      <c r="K934" s="7" t="inlineStr">
        <is>
          <t>SEM COTAÇÃO</t>
        </is>
      </c>
      <c r="L934" s="8" t="n"/>
      <c r="M934" s="12" t="n"/>
      <c r="N934" s="7" t="inlineStr"/>
      <c r="O934" s="7" t="inlineStr"/>
    </row>
    <row r="935">
      <c r="A935" s="7" t="n">
        <v>668871</v>
      </c>
      <c r="B935" s="10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1" t="n">
        <v>1</v>
      </c>
      <c r="G935" s="11" t="n">
        <v>1</v>
      </c>
      <c r="H935" s="8" t="n">
        <v>17.94</v>
      </c>
      <c r="I935" s="8" t="n">
        <v>17.94</v>
      </c>
      <c r="J935" s="8" t="n"/>
      <c r="K935" s="7" t="inlineStr">
        <is>
          <t>SEM COTAÇÃO</t>
        </is>
      </c>
      <c r="L935" s="8" t="n"/>
      <c r="M935" s="12" t="n"/>
      <c r="N935" s="7" t="inlineStr"/>
      <c r="O935" s="7" t="inlineStr"/>
    </row>
    <row r="936">
      <c r="A936" s="7" t="n">
        <v>562081</v>
      </c>
      <c r="B936" s="10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1" t="n">
        <v>6</v>
      </c>
      <c r="G936" s="11" t="n">
        <v>6</v>
      </c>
      <c r="H936" s="8" t="n">
        <v>10.72</v>
      </c>
      <c r="I936" s="8" t="n">
        <v>10.38</v>
      </c>
      <c r="J936" s="8" t="n"/>
      <c r="K936" s="7" t="inlineStr">
        <is>
          <t>SEM COTAÇÃO</t>
        </is>
      </c>
      <c r="L936" s="8" t="n"/>
      <c r="M936" s="12" t="n"/>
      <c r="N936" s="7" t="inlineStr"/>
      <c r="O936" s="7" t="inlineStr"/>
    </row>
    <row r="937">
      <c r="A937" s="7" t="n">
        <v>668861</v>
      </c>
      <c r="B937" s="10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1" t="n">
        <v>5</v>
      </c>
      <c r="G937" s="11" t="n">
        <v>5</v>
      </c>
      <c r="H937" s="8" t="n">
        <v>14.94</v>
      </c>
      <c r="I937" s="8" t="n">
        <v>14.94</v>
      </c>
      <c r="J937" s="8" t="n"/>
      <c r="K937" s="7" t="inlineStr">
        <is>
          <t>SEM COTAÇÃO</t>
        </is>
      </c>
      <c r="L937" s="8" t="n"/>
      <c r="M937" s="12" t="n"/>
      <c r="N937" s="7" t="inlineStr"/>
      <c r="O937" s="7" t="inlineStr"/>
    </row>
    <row r="938">
      <c r="A938" s="7" t="n">
        <v>671331</v>
      </c>
      <c r="B938" s="10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1" t="n">
        <v>1</v>
      </c>
      <c r="G938" s="11" t="n">
        <v>1</v>
      </c>
      <c r="H938" s="8" t="n">
        <v>18.23</v>
      </c>
      <c r="I938" s="8" t="n">
        <v>18.23</v>
      </c>
      <c r="J938" s="8" t="n"/>
      <c r="K938" s="7" t="inlineStr">
        <is>
          <t>SEM COTAÇÃO</t>
        </is>
      </c>
      <c r="L938" s="8" t="n"/>
      <c r="M938" s="12" t="n"/>
      <c r="N938" s="7" t="inlineStr"/>
      <c r="O938" s="7" t="inlineStr"/>
    </row>
    <row r="939">
      <c r="A939" s="7" t="n">
        <v>665721</v>
      </c>
      <c r="B939" s="10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1" t="n">
        <v>2</v>
      </c>
      <c r="G939" s="11" t="n">
        <v>2</v>
      </c>
      <c r="H939" s="8" t="n">
        <v>9.23</v>
      </c>
      <c r="I939" s="8" t="n">
        <v>9.23</v>
      </c>
      <c r="J939" s="8" t="n"/>
      <c r="K939" s="7" t="inlineStr">
        <is>
          <t>SEM COTAÇÃO</t>
        </is>
      </c>
      <c r="L939" s="8" t="n"/>
      <c r="M939" s="12" t="n"/>
      <c r="N939" s="7" t="inlineStr"/>
      <c r="O939" s="7" t="inlineStr"/>
    </row>
    <row r="940">
      <c r="A940" s="7" t="n">
        <v>668811</v>
      </c>
      <c r="B940" s="10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1" t="n">
        <v>1</v>
      </c>
      <c r="G940" s="11" t="n">
        <v>1</v>
      </c>
      <c r="H940" s="8" t="n">
        <v>16.14</v>
      </c>
      <c r="I940" s="8" t="n">
        <v>16.14</v>
      </c>
      <c r="J940" s="8" t="n"/>
      <c r="K940" s="7" t="inlineStr">
        <is>
          <t>SEM COTAÇÃO</t>
        </is>
      </c>
      <c r="L940" s="8" t="n"/>
      <c r="M940" s="12" t="n"/>
      <c r="N940" s="7" t="inlineStr"/>
      <c r="O940" s="7" t="inlineStr"/>
    </row>
    <row r="941">
      <c r="A941" s="7" t="n">
        <v>668801</v>
      </c>
      <c r="B941" s="10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1" t="n">
        <v>1</v>
      </c>
      <c r="G941" s="11" t="n">
        <v>1</v>
      </c>
      <c r="H941" s="8" t="n">
        <v>22.14</v>
      </c>
      <c r="I941" s="8" t="n">
        <v>22.14</v>
      </c>
      <c r="J941" s="8" t="n"/>
      <c r="K941" s="7" t="inlineStr">
        <is>
          <t>SEM COTAÇÃO</t>
        </is>
      </c>
      <c r="L941" s="8" t="n"/>
      <c r="M941" s="12" t="n"/>
      <c r="N941" s="7" t="inlineStr"/>
      <c r="O941" s="7" t="inlineStr"/>
    </row>
    <row r="942">
      <c r="A942" s="7" t="n">
        <v>668791</v>
      </c>
      <c r="B942" s="10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1" t="n">
        <v>1</v>
      </c>
      <c r="G942" s="11" t="n">
        <v>1</v>
      </c>
      <c r="H942" s="8" t="n">
        <v>35.94</v>
      </c>
      <c r="I942" s="8" t="n">
        <v>35.94</v>
      </c>
      <c r="J942" s="8" t="n"/>
      <c r="K942" s="7" t="inlineStr">
        <is>
          <t>SEM COTAÇÃO</t>
        </is>
      </c>
      <c r="L942" s="8" t="n"/>
      <c r="M942" s="12" t="n"/>
      <c r="N942" s="7" t="inlineStr"/>
      <c r="O942" s="7" t="inlineStr"/>
    </row>
    <row r="943">
      <c r="A943" s="7" t="n">
        <v>545501</v>
      </c>
      <c r="B943" s="10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1" t="n">
        <v>2</v>
      </c>
      <c r="G943" s="11" t="n">
        <v>2</v>
      </c>
      <c r="H943" s="8" t="n">
        <v>16.27</v>
      </c>
      <c r="I943" s="8" t="n">
        <v>16.27</v>
      </c>
      <c r="J943" s="8" t="n"/>
      <c r="K943" s="7" t="inlineStr">
        <is>
          <t>SEM COTAÇÃO</t>
        </is>
      </c>
      <c r="L943" s="8" t="n"/>
      <c r="M943" s="12" t="n"/>
      <c r="N943" s="7" t="inlineStr"/>
      <c r="O943" s="7" t="inlineStr"/>
    </row>
    <row r="944">
      <c r="A944" s="7" t="n">
        <v>545461</v>
      </c>
      <c r="B944" s="10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1" t="n">
        <v>3</v>
      </c>
      <c r="G944" s="11" t="n">
        <v>3</v>
      </c>
      <c r="H944" s="8" t="n">
        <v>16.7</v>
      </c>
      <c r="I944" s="8" t="n">
        <v>14.65</v>
      </c>
      <c r="J944" s="8" t="n"/>
      <c r="K944" s="7" t="inlineStr">
        <is>
          <t>SEM COTAÇÃO</t>
        </is>
      </c>
      <c r="L944" s="8" t="n"/>
      <c r="M944" s="12" t="n"/>
      <c r="N944" s="7" t="inlineStr"/>
      <c r="O944" s="7" t="inlineStr"/>
    </row>
    <row r="945">
      <c r="A945" s="7" t="n">
        <v>545481</v>
      </c>
      <c r="B945" s="10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1" t="n">
        <v>1</v>
      </c>
      <c r="G945" s="11" t="n">
        <v>1</v>
      </c>
      <c r="H945" s="8" t="n">
        <v>16.27</v>
      </c>
      <c r="I945" s="8" t="n">
        <v>16.27</v>
      </c>
      <c r="J945" s="8" t="n"/>
      <c r="K945" s="7" t="inlineStr">
        <is>
          <t>SEM COTAÇÃO</t>
        </is>
      </c>
      <c r="L945" s="8" t="n"/>
      <c r="M945" s="12" t="n"/>
      <c r="N945" s="7" t="inlineStr"/>
      <c r="O945" s="7" t="inlineStr"/>
    </row>
    <row r="946">
      <c r="A946" s="7" t="n">
        <v>638701</v>
      </c>
      <c r="B946" s="10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1" t="n">
        <v>1</v>
      </c>
      <c r="G946" s="11" t="n">
        <v>1</v>
      </c>
      <c r="H946" s="8" t="n">
        <v>11.92</v>
      </c>
      <c r="I946" s="8" t="n">
        <v>11.92</v>
      </c>
      <c r="J946" s="8" t="n"/>
      <c r="K946" s="7" t="inlineStr">
        <is>
          <t>SEM COTAÇÃO</t>
        </is>
      </c>
      <c r="L946" s="8" t="n"/>
      <c r="M946" s="12" t="n"/>
      <c r="N946" s="7" t="inlineStr"/>
      <c r="O946" s="7" t="inlineStr"/>
    </row>
    <row r="947">
      <c r="A947" s="7" t="n">
        <v>638711</v>
      </c>
      <c r="B947" s="10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1" t="n">
        <v>1</v>
      </c>
      <c r="G947" s="11" t="n">
        <v>1</v>
      </c>
      <c r="H947" s="8" t="n">
        <v>11.92</v>
      </c>
      <c r="I947" s="8" t="n">
        <v>11.92</v>
      </c>
      <c r="J947" s="8" t="n"/>
      <c r="K947" s="7" t="inlineStr">
        <is>
          <t>SEM COTAÇÃO</t>
        </is>
      </c>
      <c r="L947" s="8" t="n"/>
      <c r="M947" s="12" t="n"/>
      <c r="N947" s="7" t="inlineStr"/>
      <c r="O947" s="7" t="inlineStr"/>
    </row>
    <row r="948">
      <c r="A948" s="7" t="n">
        <v>651051</v>
      </c>
      <c r="B948" s="10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1" t="n">
        <v>2</v>
      </c>
      <c r="G948" s="11" t="n">
        <v>2</v>
      </c>
      <c r="H948" s="8" t="n">
        <v>4.71</v>
      </c>
      <c r="I948" s="8" t="n">
        <v>4.71</v>
      </c>
      <c r="J948" s="8" t="n"/>
      <c r="K948" s="7" t="inlineStr">
        <is>
          <t>SEM COTAÇÃO</t>
        </is>
      </c>
      <c r="L948" s="8" t="n"/>
      <c r="M948" s="12" t="n"/>
      <c r="N948" s="7" t="inlineStr"/>
      <c r="O948" s="7" t="inlineStr"/>
    </row>
    <row r="949">
      <c r="A949" s="7" t="n">
        <v>114941</v>
      </c>
      <c r="B949" s="10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1" t="n">
        <v>2</v>
      </c>
      <c r="G949" s="11" t="n">
        <v>2</v>
      </c>
      <c r="H949" s="8" t="n">
        <v>45.99</v>
      </c>
      <c r="I949" s="8" t="n">
        <v>35.9767</v>
      </c>
      <c r="J949" s="8" t="n"/>
      <c r="K949" s="7" t="inlineStr">
        <is>
          <t>SEM COTAÇÃO</t>
        </is>
      </c>
      <c r="L949" s="8" t="n"/>
      <c r="M949" s="12" t="n"/>
      <c r="N949" s="7" t="inlineStr"/>
      <c r="O949" s="7" t="inlineStr"/>
    </row>
    <row r="950">
      <c r="A950" s="7" t="n">
        <v>666021</v>
      </c>
      <c r="B950" s="10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1" t="n">
        <v>1</v>
      </c>
      <c r="G950" s="11" t="n">
        <v>1</v>
      </c>
      <c r="H950" s="8" t="n">
        <v>50.695</v>
      </c>
      <c r="I950" s="8" t="n">
        <v>50.695</v>
      </c>
      <c r="J950" s="8" t="n"/>
      <c r="K950" s="7" t="inlineStr">
        <is>
          <t>SEM COTAÇÃO</t>
        </is>
      </c>
      <c r="L950" s="8" t="n"/>
      <c r="M950" s="12" t="n"/>
      <c r="N950" s="7" t="inlineStr"/>
      <c r="O950" s="7" t="inlineStr"/>
    </row>
    <row r="951">
      <c r="A951" s="7" t="n">
        <v>654931</v>
      </c>
      <c r="B951" s="10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1" t="n">
        <v>4</v>
      </c>
      <c r="G951" s="11" t="n">
        <v>4</v>
      </c>
      <c r="H951" s="8" t="n">
        <v>24.94</v>
      </c>
      <c r="I951" s="8" t="n">
        <v>24.94</v>
      </c>
      <c r="J951" s="8" t="n"/>
      <c r="K951" s="7" t="inlineStr">
        <is>
          <t>SEM COTAÇÃO</t>
        </is>
      </c>
      <c r="L951" s="8" t="n"/>
      <c r="M951" s="12" t="n"/>
      <c r="N951" s="7" t="inlineStr"/>
      <c r="O951" s="7" t="inlineStr"/>
    </row>
    <row r="952">
      <c r="A952" s="7" t="n">
        <v>230641</v>
      </c>
      <c r="B952" s="10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1" t="n">
        <v>2</v>
      </c>
      <c r="G952" s="11" t="n">
        <v>2</v>
      </c>
      <c r="H952" s="8" t="n">
        <v>114.14</v>
      </c>
      <c r="I952" s="8" t="n">
        <v>96.75</v>
      </c>
      <c r="J952" s="8" t="n"/>
      <c r="K952" s="7" t="inlineStr">
        <is>
          <t>SEM COTAÇÃO</t>
        </is>
      </c>
      <c r="L952" s="8" t="n"/>
      <c r="M952" s="12" t="n"/>
      <c r="N952" s="7" t="inlineStr"/>
      <c r="O952" s="7" t="inlineStr"/>
    </row>
    <row r="953">
      <c r="A953" s="7" t="n">
        <v>4043</v>
      </c>
      <c r="B953" s="10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1" t="n">
        <v>3</v>
      </c>
      <c r="G953" s="11" t="n">
        <v>3</v>
      </c>
      <c r="H953" s="8" t="n">
        <v>5.99</v>
      </c>
      <c r="I953" s="8" t="n">
        <v>5.99</v>
      </c>
      <c r="J953" s="8" t="n"/>
      <c r="K953" s="7" t="inlineStr">
        <is>
          <t>SEM COTAÇÃO</t>
        </is>
      </c>
      <c r="L953" s="8" t="n"/>
      <c r="M953" s="12" t="n"/>
      <c r="N953" s="7" t="inlineStr"/>
      <c r="O953" s="7" t="inlineStr"/>
    </row>
    <row r="954">
      <c r="A954" s="7" t="n">
        <v>641601</v>
      </c>
      <c r="B954" s="10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1" t="n">
        <v>1</v>
      </c>
      <c r="G954" s="11" t="n">
        <v>1</v>
      </c>
      <c r="H954" s="8" t="n">
        <v>28.5</v>
      </c>
      <c r="I954" s="8" t="n">
        <v>23.04</v>
      </c>
      <c r="J954" s="8" t="n"/>
      <c r="K954" s="7" t="inlineStr">
        <is>
          <t>SEM COTAÇÃO</t>
        </is>
      </c>
      <c r="L954" s="8" t="n"/>
      <c r="M954" s="12" t="n"/>
      <c r="N954" s="7" t="inlineStr"/>
      <c r="O954" s="7" t="inlineStr"/>
    </row>
    <row r="955">
      <c r="A955" s="7" t="n">
        <v>654941</v>
      </c>
      <c r="B955" s="10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1" t="n">
        <v>3</v>
      </c>
      <c r="G955" s="11" t="n">
        <v>3</v>
      </c>
      <c r="H955" s="8" t="n">
        <v>12.72</v>
      </c>
      <c r="I955" s="8" t="n">
        <v>12.72</v>
      </c>
      <c r="J955" s="8" t="n"/>
      <c r="K955" s="7" t="inlineStr">
        <is>
          <t>SEM COTAÇÃO</t>
        </is>
      </c>
      <c r="L955" s="8" t="n"/>
      <c r="M955" s="12" t="n"/>
      <c r="N955" s="7" t="inlineStr"/>
      <c r="O955" s="7" t="inlineStr"/>
    </row>
    <row r="956">
      <c r="A956" s="7" t="n">
        <v>660931</v>
      </c>
      <c r="B956" s="10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1" t="n">
        <v>4</v>
      </c>
      <c r="G956" s="11" t="n">
        <v>4</v>
      </c>
      <c r="H956" s="8" t="n">
        <v>17.15</v>
      </c>
      <c r="I956" s="8" t="n">
        <v>17.15</v>
      </c>
      <c r="J956" s="8" t="n"/>
      <c r="K956" s="7" t="inlineStr">
        <is>
          <t>SEM COTAÇÃO</t>
        </is>
      </c>
      <c r="L956" s="8" t="n"/>
      <c r="M956" s="12" t="n"/>
      <c r="N956" s="7" t="inlineStr"/>
      <c r="O956" s="7" t="inlineStr"/>
    </row>
    <row r="957">
      <c r="A957" s="7" t="n">
        <v>661121</v>
      </c>
      <c r="B957" s="10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1" t="n">
        <v>1</v>
      </c>
      <c r="G957" s="11" t="n">
        <v>1</v>
      </c>
      <c r="H957" s="8" t="n">
        <v>7.97</v>
      </c>
      <c r="I957" s="8" t="n">
        <v>7.97</v>
      </c>
      <c r="J957" s="13" t="n">
        <v>7.97</v>
      </c>
      <c r="K957" s="7" t="inlineStr">
        <is>
          <t>DIMEC</t>
        </is>
      </c>
      <c r="L957" s="8" t="n">
        <v>7.97</v>
      </c>
      <c r="M957" s="12">
        <f>L957/H957-1</f>
        <v/>
      </c>
      <c r="N957" s="15" t="inlineStr">
        <is>
          <t>OK (≤ menor hist.)</t>
        </is>
      </c>
      <c r="O957" s="7" t="inlineStr"/>
    </row>
    <row r="958">
      <c r="A958" s="7" t="n">
        <v>608751</v>
      </c>
      <c r="B958" s="10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1" t="n">
        <v>1</v>
      </c>
      <c r="G958" s="11" t="n">
        <v>1</v>
      </c>
      <c r="H958" s="8" t="n">
        <v>3.38</v>
      </c>
      <c r="I958" s="8" t="n">
        <v>3.38</v>
      </c>
      <c r="J958" s="13" t="n">
        <v>3.38</v>
      </c>
      <c r="K958" s="7" t="inlineStr">
        <is>
          <t>DIMEC</t>
        </is>
      </c>
      <c r="L958" s="8" t="n">
        <v>3.38</v>
      </c>
      <c r="M958" s="12">
        <f>L958/H958-1</f>
        <v/>
      </c>
      <c r="N958" s="15" t="inlineStr">
        <is>
          <t>OK (≤ menor hist.)</t>
        </is>
      </c>
      <c r="O958" s="7" t="inlineStr"/>
    </row>
    <row r="959">
      <c r="A959" s="7" t="n">
        <v>602191</v>
      </c>
      <c r="B959" s="10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1" t="n">
        <v>5</v>
      </c>
      <c r="G959" s="11" t="n">
        <v>5</v>
      </c>
      <c r="H959" s="8" t="n">
        <v>5.75</v>
      </c>
      <c r="I959" s="8" t="n">
        <v>5.75</v>
      </c>
      <c r="J959" s="13" t="n">
        <v>5.82</v>
      </c>
      <c r="K959" s="7" t="inlineStr">
        <is>
          <t>DIMEC</t>
        </is>
      </c>
      <c r="L959" s="8" t="n">
        <v>5.82</v>
      </c>
      <c r="M959" s="12">
        <f>L959/H959-1</f>
        <v/>
      </c>
      <c r="N959" s="14" t="inlineStr">
        <is>
          <t>ACIMA +1.2%</t>
        </is>
      </c>
      <c r="O959" s="7" t="inlineStr"/>
    </row>
    <row r="960">
      <c r="A960" s="7" t="n">
        <v>592581</v>
      </c>
      <c r="B960" s="10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1" t="n">
        <v>4</v>
      </c>
      <c r="G960" s="11" t="n">
        <v>4</v>
      </c>
      <c r="H960" s="8" t="n">
        <v>5</v>
      </c>
      <c r="I960" s="8" t="n">
        <v>5</v>
      </c>
      <c r="J960" s="13" t="n">
        <v>5</v>
      </c>
      <c r="K960" s="7" t="inlineStr">
        <is>
          <t>DIMEC</t>
        </is>
      </c>
      <c r="L960" s="8" t="n">
        <v>5</v>
      </c>
      <c r="M960" s="12">
        <f>L960/H960-1</f>
        <v/>
      </c>
      <c r="N960" s="15" t="inlineStr">
        <is>
          <t>OK (≤ menor hist.)</t>
        </is>
      </c>
      <c r="O960" s="7" t="inlineStr"/>
    </row>
    <row r="961">
      <c r="A961" s="7" t="n">
        <v>541341</v>
      </c>
      <c r="B961" s="10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1" t="n">
        <v>10</v>
      </c>
      <c r="G961" s="11" t="n">
        <v>10</v>
      </c>
      <c r="H961" s="8" t="n">
        <v>5.24</v>
      </c>
      <c r="I961" s="8" t="n">
        <v>5.13</v>
      </c>
      <c r="J961" s="13" t="n">
        <v>5.24</v>
      </c>
      <c r="K961" s="7" t="inlineStr">
        <is>
          <t>DIMEC</t>
        </is>
      </c>
      <c r="L961" s="8" t="n">
        <v>5.24</v>
      </c>
      <c r="M961" s="12">
        <f>L961/H961-1</f>
        <v/>
      </c>
      <c r="N961" s="15" t="inlineStr">
        <is>
          <t>OK (≤ últ. compra)</t>
        </is>
      </c>
      <c r="O961" s="7" t="inlineStr"/>
    </row>
    <row r="962">
      <c r="A962" s="7" t="n">
        <v>581021</v>
      </c>
      <c r="B962" s="10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1" t="n">
        <v>3</v>
      </c>
      <c r="G962" s="11" t="n">
        <v>3</v>
      </c>
      <c r="H962" s="8" t="n">
        <v>3.9</v>
      </c>
      <c r="I962" s="8" t="n">
        <v>3.9</v>
      </c>
      <c r="J962" s="13" t="n">
        <v>3.9</v>
      </c>
      <c r="K962" s="7" t="inlineStr">
        <is>
          <t>DIMEC</t>
        </is>
      </c>
      <c r="L962" s="8" t="n">
        <v>3.9</v>
      </c>
      <c r="M962" s="12">
        <f>L962/H962-1</f>
        <v/>
      </c>
      <c r="N962" s="15" t="inlineStr">
        <is>
          <t>OK (≤ menor hist.)</t>
        </is>
      </c>
      <c r="O962" s="7" t="inlineStr"/>
    </row>
    <row r="963">
      <c r="A963" s="7" t="n">
        <v>654461</v>
      </c>
      <c r="B963" s="10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1" t="n">
        <v>1</v>
      </c>
      <c r="G963" s="11" t="n">
        <v>1</v>
      </c>
      <c r="H963" s="8" t="n">
        <v>15.92</v>
      </c>
      <c r="I963" s="8" t="n">
        <v>15.92</v>
      </c>
      <c r="J963" s="8" t="n"/>
      <c r="K963" s="7" t="inlineStr">
        <is>
          <t>SEM COTAÇÃO</t>
        </is>
      </c>
      <c r="L963" s="8" t="n"/>
      <c r="M963" s="12" t="n"/>
      <c r="N963" s="7" t="inlineStr"/>
      <c r="O963" s="7" t="inlineStr"/>
    </row>
    <row r="964">
      <c r="A964" s="7" t="n">
        <v>579141</v>
      </c>
      <c r="B964" s="10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1" t="n">
        <v>3</v>
      </c>
      <c r="G964" s="11" t="n">
        <v>3</v>
      </c>
      <c r="H964" s="8" t="n"/>
      <c r="I964" s="8" t="n"/>
      <c r="J964" s="8" t="n"/>
      <c r="K964" s="7" t="inlineStr">
        <is>
          <t>SEM COTAÇÃO</t>
        </is>
      </c>
      <c r="L964" s="8" t="n"/>
      <c r="M964" s="12" t="n"/>
      <c r="N964" s="7" t="inlineStr"/>
      <c r="O964" s="7" t="inlineStr"/>
    </row>
    <row r="965">
      <c r="A965" s="7" t="n">
        <v>553801</v>
      </c>
      <c r="B965" s="10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1" t="n">
        <v>31</v>
      </c>
      <c r="G965" s="11" t="n">
        <v>31</v>
      </c>
      <c r="H965" s="8" t="n">
        <v>0.65</v>
      </c>
      <c r="I965" s="8" t="n">
        <v>0.65</v>
      </c>
      <c r="J965" s="8" t="n"/>
      <c r="K965" s="7" t="inlineStr">
        <is>
          <t>SEM COTAÇÃO</t>
        </is>
      </c>
      <c r="L965" s="8" t="n"/>
      <c r="M965" s="12" t="n"/>
      <c r="N965" s="7" t="inlineStr"/>
      <c r="O965" s="7" t="inlineStr"/>
    </row>
    <row r="966">
      <c r="A966" s="7" t="n">
        <v>603891</v>
      </c>
      <c r="B966" s="10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1" t="n">
        <v>1</v>
      </c>
      <c r="G966" s="11" t="n">
        <v>1</v>
      </c>
      <c r="H966" s="8" t="n">
        <v>0.7379</v>
      </c>
      <c r="I966" s="8" t="n">
        <v>0.7379</v>
      </c>
      <c r="J966" s="8" t="n"/>
      <c r="K966" s="7" t="inlineStr">
        <is>
          <t>SEM COTAÇÃO</t>
        </is>
      </c>
      <c r="L966" s="8" t="n"/>
      <c r="M966" s="12" t="n"/>
      <c r="N966" s="7" t="inlineStr"/>
      <c r="O966" s="7" t="inlineStr"/>
    </row>
    <row r="967">
      <c r="A967" s="7" t="n">
        <v>556101</v>
      </c>
      <c r="B967" s="10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1" t="n">
        <v>347</v>
      </c>
      <c r="G967" s="11" t="n">
        <v>347</v>
      </c>
      <c r="H967" s="8" t="n">
        <v>0.55</v>
      </c>
      <c r="I967" s="8" t="n">
        <v>0.1</v>
      </c>
      <c r="J967" s="13" t="n">
        <v>0.55</v>
      </c>
      <c r="K967" s="7" t="inlineStr">
        <is>
          <t>DIMEC</t>
        </is>
      </c>
      <c r="L967" s="8" t="n">
        <v>0.55</v>
      </c>
      <c r="M967" s="12">
        <f>L967/H967-1</f>
        <v/>
      </c>
      <c r="N967" s="15" t="inlineStr">
        <is>
          <t>OK (≤ últ. compra)</t>
        </is>
      </c>
      <c r="O967" s="7" t="inlineStr"/>
    </row>
    <row r="968">
      <c r="A968" s="7" t="n">
        <v>560141</v>
      </c>
      <c r="B968" s="10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1" t="n">
        <v>527</v>
      </c>
      <c r="G968" s="11" t="n">
        <v>527</v>
      </c>
      <c r="H968" s="8" t="n">
        <v>0.6899999999999999</v>
      </c>
      <c r="I968" s="8" t="n">
        <v>0.6899999999999999</v>
      </c>
      <c r="J968" s="8" t="n"/>
      <c r="K968" s="7" t="inlineStr">
        <is>
          <t>SEM COTAÇÃO</t>
        </is>
      </c>
      <c r="L968" s="8" t="n"/>
      <c r="M968" s="12" t="n"/>
      <c r="N968" s="7" t="inlineStr"/>
      <c r="O968" s="7" t="inlineStr"/>
    </row>
    <row r="969">
      <c r="A969" s="7" t="n">
        <v>593361</v>
      </c>
      <c r="B969" s="10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1" t="n">
        <v>144</v>
      </c>
      <c r="G969" s="11" t="n">
        <v>144</v>
      </c>
      <c r="H969" s="8" t="n">
        <v>0.1</v>
      </c>
      <c r="I969" s="8" t="n">
        <v>0.1</v>
      </c>
      <c r="J969" s="13" t="n">
        <v>0.59</v>
      </c>
      <c r="K969" s="7" t="inlineStr">
        <is>
          <t>DIMEC</t>
        </is>
      </c>
      <c r="L969" s="8" t="n">
        <v>0.59</v>
      </c>
      <c r="M969" s="12">
        <f>L969/H969-1</f>
        <v/>
      </c>
      <c r="N969" s="14" t="inlineStr">
        <is>
          <t>ACIMA +490.0%</t>
        </is>
      </c>
      <c r="O969" s="7" t="inlineStr">
        <is>
          <t>DIMEC: conferir emb.</t>
        </is>
      </c>
    </row>
    <row r="970">
      <c r="A970" s="7" t="n">
        <v>538361</v>
      </c>
      <c r="B970" s="10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1" t="n">
        <v>368</v>
      </c>
      <c r="G970" s="11" t="n">
        <v>368</v>
      </c>
      <c r="H970" s="8" t="n">
        <v>0.58</v>
      </c>
      <c r="I970" s="8" t="n">
        <v>0.1</v>
      </c>
      <c r="J970" s="13" t="n">
        <v>0.58</v>
      </c>
      <c r="K970" s="7" t="inlineStr">
        <is>
          <t>DIMEC</t>
        </is>
      </c>
      <c r="L970" s="8" t="n">
        <v>0.58</v>
      </c>
      <c r="M970" s="12">
        <f>L970/H970-1</f>
        <v/>
      </c>
      <c r="N970" s="15" t="inlineStr">
        <is>
          <t>OK (≤ últ. compra)</t>
        </is>
      </c>
      <c r="O970" s="7" t="inlineStr"/>
    </row>
    <row r="971">
      <c r="A971" s="7" t="n">
        <v>648311</v>
      </c>
      <c r="B971" s="10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1" t="n">
        <v>8</v>
      </c>
      <c r="G971" s="11" t="n">
        <v>8</v>
      </c>
      <c r="H971" s="8" t="n">
        <v>1.1617</v>
      </c>
      <c r="I971" s="8" t="n">
        <v>1.1617</v>
      </c>
      <c r="J971" s="8" t="n"/>
      <c r="K971" s="7" t="inlineStr">
        <is>
          <t>SEM COTAÇÃO</t>
        </is>
      </c>
      <c r="L971" s="8" t="n"/>
      <c r="M971" s="12" t="n"/>
      <c r="N971" s="7" t="inlineStr"/>
      <c r="O971" s="7" t="inlineStr"/>
    </row>
    <row r="972">
      <c r="A972" s="7" t="n">
        <v>92041</v>
      </c>
      <c r="B972" s="10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1" t="n">
        <v>7</v>
      </c>
      <c r="G972" s="11" t="n">
        <v>7</v>
      </c>
      <c r="H972" s="8" t="n">
        <v>3.69</v>
      </c>
      <c r="I972" s="8" t="n">
        <v>3.69</v>
      </c>
      <c r="J972" s="13" t="n">
        <v>4.3</v>
      </c>
      <c r="K972" s="7" t="inlineStr">
        <is>
          <t>DIMEC</t>
        </is>
      </c>
      <c r="L972" s="8" t="n">
        <v>4.3</v>
      </c>
      <c r="M972" s="12">
        <f>L972/H972-1</f>
        <v/>
      </c>
      <c r="N972" s="14" t="inlineStr">
        <is>
          <t>ACIMA +16.5%</t>
        </is>
      </c>
      <c r="O972" s="7" t="inlineStr"/>
    </row>
    <row r="973">
      <c r="A973" s="7" t="n">
        <v>540541</v>
      </c>
      <c r="B973" s="10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1" t="n">
        <v>1</v>
      </c>
      <c r="G973" s="11" t="n">
        <v>1</v>
      </c>
      <c r="H973" s="8" t="n">
        <v>14.17</v>
      </c>
      <c r="I973" s="8" t="n">
        <v>14.17</v>
      </c>
      <c r="J973" s="8" t="n"/>
      <c r="K973" s="7" t="inlineStr">
        <is>
          <t>SEM COTAÇÃO</t>
        </is>
      </c>
      <c r="L973" s="8" t="n"/>
      <c r="M973" s="12" t="n"/>
      <c r="N973" s="7" t="inlineStr"/>
      <c r="O973" s="7" t="inlineStr"/>
    </row>
    <row r="974">
      <c r="A974" s="7" t="n">
        <v>672021</v>
      </c>
      <c r="B974" s="10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1" t="n">
        <v>3</v>
      </c>
      <c r="G974" s="11" t="n">
        <v>3</v>
      </c>
      <c r="H974" s="8" t="n">
        <v>14.63</v>
      </c>
      <c r="I974" s="8" t="n">
        <v>14.05</v>
      </c>
      <c r="J974" s="8" t="n"/>
      <c r="K974" s="7" t="inlineStr">
        <is>
          <t>SEM COTAÇÃO</t>
        </is>
      </c>
      <c r="L974" s="8" t="n"/>
      <c r="M974" s="12" t="n"/>
      <c r="N974" s="7" t="inlineStr"/>
      <c r="O974" s="7" t="inlineStr"/>
    </row>
    <row r="975">
      <c r="A975" s="7" t="n">
        <v>672031</v>
      </c>
      <c r="B975" s="10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1" t="n">
        <v>2</v>
      </c>
      <c r="G975" s="11" t="n">
        <v>2</v>
      </c>
      <c r="H975" s="8" t="n">
        <v>25.04</v>
      </c>
      <c r="I975" s="8" t="n">
        <v>25.04</v>
      </c>
      <c r="J975" s="8" t="n"/>
      <c r="K975" s="7" t="inlineStr">
        <is>
          <t>SEM COTAÇÃO</t>
        </is>
      </c>
      <c r="L975" s="8" t="n"/>
      <c r="M975" s="12" t="n"/>
      <c r="N975" s="7" t="inlineStr"/>
      <c r="O975" s="7" t="inlineStr"/>
    </row>
    <row r="976">
      <c r="A976" s="7" t="n">
        <v>656991</v>
      </c>
      <c r="B976" s="10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1" t="n">
        <v>5</v>
      </c>
      <c r="G976" s="11" t="n">
        <v>5</v>
      </c>
      <c r="H976" s="8" t="n">
        <v>14.63</v>
      </c>
      <c r="I976" s="8" t="n">
        <v>11.67</v>
      </c>
      <c r="J976" s="8" t="n"/>
      <c r="K976" s="7" t="inlineStr">
        <is>
          <t>SEM COTAÇÃO</t>
        </is>
      </c>
      <c r="L976" s="8" t="n"/>
      <c r="M976" s="12" t="n"/>
      <c r="N976" s="7" t="inlineStr"/>
      <c r="O976" s="7" t="inlineStr"/>
    </row>
    <row r="977">
      <c r="A977" s="7" t="n">
        <v>540401</v>
      </c>
      <c r="B977" s="10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1" t="n">
        <v>1</v>
      </c>
      <c r="G977" s="11" t="n">
        <v>1</v>
      </c>
      <c r="H977" s="8" t="n">
        <v>9.56</v>
      </c>
      <c r="I977" s="8" t="n">
        <v>9.56</v>
      </c>
      <c r="J977" s="8" t="n"/>
      <c r="K977" s="7" t="inlineStr">
        <is>
          <t>SEM COTAÇÃO</t>
        </is>
      </c>
      <c r="L977" s="8" t="n"/>
      <c r="M977" s="12" t="n"/>
      <c r="N977" s="7" t="inlineStr"/>
      <c r="O977" s="7" t="inlineStr"/>
    </row>
    <row r="978">
      <c r="A978" s="7" t="n">
        <v>653351</v>
      </c>
      <c r="B978" s="10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1" t="n">
        <v>1</v>
      </c>
      <c r="G978" s="11" t="n">
        <v>1</v>
      </c>
      <c r="H978" s="8" t="n">
        <v>15.6</v>
      </c>
      <c r="I978" s="8" t="n">
        <v>15.6</v>
      </c>
      <c r="J978" s="8" t="n"/>
      <c r="K978" s="7" t="inlineStr">
        <is>
          <t>SEM COTAÇÃO</t>
        </is>
      </c>
      <c r="L978" s="8" t="n"/>
      <c r="M978" s="12" t="n"/>
      <c r="N978" s="7" t="inlineStr"/>
      <c r="O978" s="7" t="inlineStr"/>
    </row>
    <row r="979">
      <c r="A979" s="7" t="n">
        <v>589351</v>
      </c>
      <c r="B979" s="10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1" t="n">
        <v>1</v>
      </c>
      <c r="G979" s="11" t="n">
        <v>1</v>
      </c>
      <c r="H979" s="8" t="n">
        <v>18.7</v>
      </c>
      <c r="I979" s="8" t="n">
        <v>18.7</v>
      </c>
      <c r="J979" s="8" t="n"/>
      <c r="K979" s="7" t="inlineStr">
        <is>
          <t>SEM COTAÇÃO</t>
        </is>
      </c>
      <c r="L979" s="8" t="n"/>
      <c r="M979" s="12" t="n"/>
      <c r="N979" s="7" t="inlineStr"/>
      <c r="O979" s="7" t="inlineStr"/>
    </row>
    <row r="980">
      <c r="A980" s="7" t="n">
        <v>540521</v>
      </c>
      <c r="B980" s="10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1" t="n">
        <v>2</v>
      </c>
      <c r="G980" s="11" t="n">
        <v>2</v>
      </c>
      <c r="H980" s="8" t="n">
        <v>8.300000000000001</v>
      </c>
      <c r="I980" s="8" t="n">
        <v>8.300000000000001</v>
      </c>
      <c r="J980" s="8" t="n"/>
      <c r="K980" s="7" t="inlineStr">
        <is>
          <t>SEM COTAÇÃO</t>
        </is>
      </c>
      <c r="L980" s="8" t="n"/>
      <c r="M980" s="12" t="n"/>
      <c r="N980" s="7" t="inlineStr"/>
      <c r="O980" s="7" t="inlineStr"/>
    </row>
    <row r="981">
      <c r="A981" s="7" t="n">
        <v>660531</v>
      </c>
      <c r="B981" s="10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1" t="n">
        <v>1</v>
      </c>
      <c r="G981" s="11" t="n">
        <v>1</v>
      </c>
      <c r="H981" s="8" t="n">
        <v>9.44</v>
      </c>
      <c r="I981" s="8" t="n">
        <v>9.44</v>
      </c>
      <c r="J981" s="8" t="n"/>
      <c r="K981" s="7" t="inlineStr">
        <is>
          <t>SEM COTAÇÃO</t>
        </is>
      </c>
      <c r="L981" s="8" t="n"/>
      <c r="M981" s="12" t="n"/>
      <c r="N981" s="7" t="inlineStr"/>
      <c r="O981" s="7" t="inlineStr"/>
    </row>
    <row r="982">
      <c r="A982" s="7" t="n">
        <v>615801</v>
      </c>
      <c r="B982" s="10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1" t="n">
        <v>2</v>
      </c>
      <c r="G982" s="11" t="n">
        <v>2</v>
      </c>
      <c r="H982" s="8" t="n">
        <v>12.25</v>
      </c>
      <c r="I982" s="8" t="n">
        <v>12.25</v>
      </c>
      <c r="J982" s="8" t="n"/>
      <c r="K982" s="7" t="inlineStr">
        <is>
          <t>SEM COTAÇÃO</t>
        </is>
      </c>
      <c r="L982" s="8" t="n"/>
      <c r="M982" s="12" t="n"/>
      <c r="N982" s="7" t="inlineStr"/>
      <c r="O982" s="7" t="inlineStr"/>
    </row>
    <row r="983">
      <c r="A983" s="7" t="n">
        <v>585021</v>
      </c>
      <c r="B983" s="10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1" t="n">
        <v>2</v>
      </c>
      <c r="G983" s="11" t="n">
        <v>2</v>
      </c>
      <c r="H983" s="8" t="n">
        <v>11.1958</v>
      </c>
      <c r="I983" s="8" t="n">
        <v>11.1958</v>
      </c>
      <c r="J983" s="8" t="n"/>
      <c r="K983" s="7" t="inlineStr">
        <is>
          <t>SEM COTAÇÃO</t>
        </is>
      </c>
      <c r="L983" s="8" t="n"/>
      <c r="M983" s="12" t="n"/>
      <c r="N983" s="7" t="inlineStr"/>
      <c r="O983" s="7" t="inlineStr"/>
    </row>
    <row r="984">
      <c r="A984" s="7" t="n">
        <v>616871</v>
      </c>
      <c r="B984" s="10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1" t="n">
        <v>1</v>
      </c>
      <c r="G984" s="11" t="n">
        <v>1</v>
      </c>
      <c r="H984" s="8" t="n">
        <v>16.78</v>
      </c>
      <c r="I984" s="8" t="n">
        <v>16.78</v>
      </c>
      <c r="J984" s="8" t="n"/>
      <c r="K984" s="7" t="inlineStr">
        <is>
          <t>SEM COTAÇÃO</t>
        </is>
      </c>
      <c r="L984" s="8" t="n"/>
      <c r="M984" s="12" t="n"/>
      <c r="N984" s="7" t="inlineStr"/>
      <c r="O984" s="7" t="inlineStr"/>
    </row>
    <row r="985">
      <c r="A985" s="7" t="n">
        <v>571021</v>
      </c>
      <c r="B985" s="10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1" t="n">
        <v>1</v>
      </c>
      <c r="G985" s="11" t="n">
        <v>1</v>
      </c>
      <c r="H985" s="8" t="n">
        <v>15.29</v>
      </c>
      <c r="I985" s="8" t="n">
        <v>15.29</v>
      </c>
      <c r="J985" s="8" t="n"/>
      <c r="K985" s="7" t="inlineStr">
        <is>
          <t>SEM COTAÇÃO</t>
        </is>
      </c>
      <c r="L985" s="8" t="n"/>
      <c r="M985" s="12" t="n"/>
      <c r="N985" s="7" t="inlineStr"/>
      <c r="O985" s="7" t="inlineStr"/>
    </row>
    <row r="986">
      <c r="A986" s="7" t="n">
        <v>571041</v>
      </c>
      <c r="B986" s="10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1" t="n">
        <v>1</v>
      </c>
      <c r="G986" s="11" t="n">
        <v>1</v>
      </c>
      <c r="H986" s="8" t="n">
        <v>15.29</v>
      </c>
      <c r="I986" s="8" t="n">
        <v>15.29</v>
      </c>
      <c r="J986" s="8" t="n"/>
      <c r="K986" s="7" t="inlineStr">
        <is>
          <t>SEM COTAÇÃO</t>
        </is>
      </c>
      <c r="L986" s="8" t="n"/>
      <c r="M986" s="12" t="n"/>
      <c r="N986" s="7" t="inlineStr"/>
      <c r="O986" s="7" t="inlineStr"/>
    </row>
    <row r="987">
      <c r="A987" s="7" t="n">
        <v>571061</v>
      </c>
      <c r="B987" s="10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1" t="n">
        <v>3</v>
      </c>
      <c r="G987" s="11" t="n">
        <v>3</v>
      </c>
      <c r="H987" s="8" t="n">
        <v>10.75</v>
      </c>
      <c r="I987" s="8" t="n">
        <v>10.75</v>
      </c>
      <c r="J987" s="8" t="n"/>
      <c r="K987" s="7" t="inlineStr">
        <is>
          <t>SEM COTAÇÃO</t>
        </is>
      </c>
      <c r="L987" s="8" t="n"/>
      <c r="M987" s="12" t="n"/>
      <c r="N987" s="7" t="inlineStr"/>
      <c r="O987" s="7" t="inlineStr"/>
    </row>
    <row r="988">
      <c r="A988" s="7" t="n">
        <v>589821</v>
      </c>
      <c r="B988" s="10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1" t="n">
        <v>1</v>
      </c>
      <c r="G988" s="11" t="n">
        <v>1</v>
      </c>
      <c r="H988" s="8" t="n">
        <v>19.29</v>
      </c>
      <c r="I988" s="8" t="n">
        <v>19.29</v>
      </c>
      <c r="J988" s="8" t="n"/>
      <c r="K988" s="7" t="inlineStr">
        <is>
          <t>SEM COTAÇÃO</t>
        </is>
      </c>
      <c r="L988" s="8" t="n"/>
      <c r="M988" s="12" t="n"/>
      <c r="N988" s="7" t="inlineStr"/>
      <c r="O988" s="7" t="inlineStr"/>
    </row>
    <row r="989">
      <c r="A989" s="7" t="n">
        <v>616891</v>
      </c>
      <c r="B989" s="10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1" t="n">
        <v>1</v>
      </c>
      <c r="G989" s="11" t="n">
        <v>1</v>
      </c>
      <c r="H989" s="8" t="n">
        <v>14.24</v>
      </c>
      <c r="I989" s="8" t="n">
        <v>14.24</v>
      </c>
      <c r="J989" s="8" t="n"/>
      <c r="K989" s="7" t="inlineStr">
        <is>
          <t>SEM COTAÇÃO</t>
        </is>
      </c>
      <c r="L989" s="8" t="n"/>
      <c r="M989" s="12" t="n"/>
      <c r="N989" s="7" t="inlineStr"/>
      <c r="O989" s="7" t="inlineStr"/>
    </row>
    <row r="990">
      <c r="A990" s="7" t="n">
        <v>596961</v>
      </c>
      <c r="B990" s="10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1" t="n">
        <v>1</v>
      </c>
      <c r="G990" s="11" t="n">
        <v>1</v>
      </c>
      <c r="H990" s="8" t="n">
        <v>7.45</v>
      </c>
      <c r="I990" s="8" t="n">
        <v>7.45</v>
      </c>
      <c r="J990" s="8" t="n"/>
      <c r="K990" s="7" t="inlineStr">
        <is>
          <t>SEM COTAÇÃO</t>
        </is>
      </c>
      <c r="L990" s="8" t="n"/>
      <c r="M990" s="12" t="n"/>
      <c r="N990" s="7" t="inlineStr"/>
      <c r="O990" s="7" t="inlineStr"/>
    </row>
    <row r="991">
      <c r="A991" s="7" t="n">
        <v>596971</v>
      </c>
      <c r="B991" s="10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1" t="n">
        <v>1</v>
      </c>
      <c r="G991" s="11" t="n">
        <v>1</v>
      </c>
      <c r="H991" s="8" t="n">
        <v>11.07</v>
      </c>
      <c r="I991" s="8" t="n">
        <v>11.07</v>
      </c>
      <c r="J991" s="8" t="n"/>
      <c r="K991" s="7" t="inlineStr">
        <is>
          <t>SEM COTAÇÃO</t>
        </is>
      </c>
      <c r="L991" s="8" t="n"/>
      <c r="M991" s="12" t="n"/>
      <c r="N991" s="7" t="inlineStr"/>
      <c r="O991" s="7" t="inlineStr"/>
    </row>
    <row r="992">
      <c r="A992" s="7" t="n">
        <v>596981</v>
      </c>
      <c r="B992" s="10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1" t="n">
        <v>1</v>
      </c>
      <c r="G992" s="11" t="n">
        <v>1</v>
      </c>
      <c r="H992" s="8" t="n">
        <v>7.45</v>
      </c>
      <c r="I992" s="8" t="n">
        <v>7.45</v>
      </c>
      <c r="J992" s="8" t="n"/>
      <c r="K992" s="7" t="inlineStr">
        <is>
          <t>SEM COTAÇÃO</t>
        </is>
      </c>
      <c r="L992" s="8" t="n"/>
      <c r="M992" s="12" t="n"/>
      <c r="N992" s="7" t="inlineStr"/>
      <c r="O992" s="7" t="inlineStr"/>
    </row>
    <row r="993">
      <c r="A993" s="7" t="n">
        <v>596991</v>
      </c>
      <c r="B993" s="10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1" t="n">
        <v>1</v>
      </c>
      <c r="G993" s="11" t="n">
        <v>1</v>
      </c>
      <c r="H993" s="8" t="n">
        <v>8.35</v>
      </c>
      <c r="I993" s="8" t="n">
        <v>8.35</v>
      </c>
      <c r="J993" s="8" t="n"/>
      <c r="K993" s="7" t="inlineStr">
        <is>
          <t>SEM COTAÇÃO</t>
        </is>
      </c>
      <c r="L993" s="8" t="n"/>
      <c r="M993" s="12" t="n"/>
      <c r="N993" s="7" t="inlineStr"/>
      <c r="O993" s="7" t="inlineStr"/>
    </row>
    <row r="994">
      <c r="A994" s="7" t="n">
        <v>568961</v>
      </c>
      <c r="B994" s="10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1" t="n">
        <v>1</v>
      </c>
      <c r="G994" s="11" t="n">
        <v>1</v>
      </c>
      <c r="H994" s="8" t="n">
        <v>7.45</v>
      </c>
      <c r="I994" s="8" t="n">
        <v>7.45</v>
      </c>
      <c r="J994" s="8" t="n"/>
      <c r="K994" s="7" t="inlineStr">
        <is>
          <t>SEM COTAÇÃO</t>
        </is>
      </c>
      <c r="L994" s="8" t="n"/>
      <c r="M994" s="12" t="n"/>
      <c r="N994" s="7" t="inlineStr"/>
      <c r="O994" s="7" t="inlineStr"/>
    </row>
    <row r="995">
      <c r="A995" s="7" t="n">
        <v>597021</v>
      </c>
      <c r="B995" s="10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1" t="n">
        <v>1</v>
      </c>
      <c r="G995" s="11" t="n">
        <v>1</v>
      </c>
      <c r="H995" s="8" t="n">
        <v>8.35</v>
      </c>
      <c r="I995" s="8" t="n">
        <v>8.35</v>
      </c>
      <c r="J995" s="8" t="n"/>
      <c r="K995" s="7" t="inlineStr">
        <is>
          <t>SEM COTAÇÃO</t>
        </is>
      </c>
      <c r="L995" s="8" t="n"/>
      <c r="M995" s="12" t="n"/>
      <c r="N995" s="7" t="inlineStr"/>
      <c r="O995" s="7" t="inlineStr"/>
    </row>
    <row r="996">
      <c r="A996" s="7" t="n">
        <v>597041</v>
      </c>
      <c r="B996" s="10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1" t="n">
        <v>1</v>
      </c>
      <c r="G996" s="11" t="n">
        <v>1</v>
      </c>
      <c r="H996" s="8" t="n">
        <v>8.35</v>
      </c>
      <c r="I996" s="8" t="n">
        <v>8.35</v>
      </c>
      <c r="J996" s="8" t="n"/>
      <c r="K996" s="7" t="inlineStr">
        <is>
          <t>SEM COTAÇÃO</t>
        </is>
      </c>
      <c r="L996" s="8" t="n"/>
      <c r="M996" s="12" t="n"/>
      <c r="N996" s="7" t="inlineStr"/>
      <c r="O996" s="7" t="inlineStr"/>
    </row>
    <row r="997">
      <c r="A997" s="7" t="n">
        <v>568981</v>
      </c>
      <c r="B997" s="10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1" t="n">
        <v>4</v>
      </c>
      <c r="G997" s="11" t="n">
        <v>4</v>
      </c>
      <c r="H997" s="8" t="n">
        <v>11.5</v>
      </c>
      <c r="I997" s="8" t="n">
        <v>11.0678</v>
      </c>
      <c r="J997" s="8" t="n"/>
      <c r="K997" s="7" t="inlineStr">
        <is>
          <t>SEM COTAÇÃO</t>
        </is>
      </c>
      <c r="L997" s="8" t="n"/>
      <c r="M997" s="12" t="n"/>
      <c r="N997" s="7" t="inlineStr"/>
      <c r="O997" s="7" t="inlineStr"/>
    </row>
    <row r="998">
      <c r="A998" s="7" t="n">
        <v>569061</v>
      </c>
      <c r="B998" s="10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1" t="n">
        <v>1</v>
      </c>
      <c r="G998" s="11" t="n">
        <v>1</v>
      </c>
      <c r="H998" s="8" t="n">
        <v>12.37</v>
      </c>
      <c r="I998" s="8" t="n">
        <v>12.37</v>
      </c>
      <c r="J998" s="8" t="n"/>
      <c r="K998" s="7" t="inlineStr">
        <is>
          <t>SEM COTAÇÃO</t>
        </is>
      </c>
      <c r="L998" s="8" t="n"/>
      <c r="M998" s="12" t="n"/>
      <c r="N998" s="7" t="inlineStr"/>
      <c r="O998" s="7" t="inlineStr"/>
    </row>
    <row r="999">
      <c r="A999" s="7" t="n">
        <v>589811</v>
      </c>
      <c r="B999" s="10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1" t="n">
        <v>1</v>
      </c>
      <c r="G999" s="11" t="n">
        <v>1</v>
      </c>
      <c r="H999" s="8" t="n">
        <v>10.75</v>
      </c>
      <c r="I999" s="8" t="n">
        <v>10.75</v>
      </c>
      <c r="J999" s="8" t="n"/>
      <c r="K999" s="7" t="inlineStr">
        <is>
          <t>SEM COTAÇÃO</t>
        </is>
      </c>
      <c r="L999" s="8" t="n"/>
      <c r="M999" s="12" t="n"/>
      <c r="N999" s="7" t="inlineStr"/>
      <c r="O999" s="7" t="inlineStr"/>
    </row>
    <row r="1000">
      <c r="A1000" s="7" t="n">
        <v>582881</v>
      </c>
      <c r="B1000" s="10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1" t="n">
        <v>1</v>
      </c>
      <c r="G1000" s="11" t="n">
        <v>1</v>
      </c>
      <c r="H1000" s="8" t="n">
        <v>15.07</v>
      </c>
      <c r="I1000" s="8" t="n">
        <v>11.9517</v>
      </c>
      <c r="J1000" s="8" t="n"/>
      <c r="K1000" s="7" t="inlineStr">
        <is>
          <t>SEM COTAÇÃO</t>
        </is>
      </c>
      <c r="L1000" s="8" t="n"/>
      <c r="M1000" s="12" t="n"/>
      <c r="N1000" s="7" t="inlineStr"/>
      <c r="O1000" s="7" t="inlineStr"/>
    </row>
    <row r="1001">
      <c r="A1001" s="7" t="n">
        <v>576441</v>
      </c>
      <c r="B1001" s="10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1" t="n">
        <v>3</v>
      </c>
      <c r="G1001" s="11" t="n">
        <v>3</v>
      </c>
      <c r="H1001" s="8" t="n">
        <v>14.97</v>
      </c>
      <c r="I1001" s="8" t="n">
        <v>14.97</v>
      </c>
      <c r="J1001" s="8" t="n"/>
      <c r="K1001" s="7" t="inlineStr">
        <is>
          <t>SEM COTAÇÃO</t>
        </is>
      </c>
      <c r="L1001" s="8" t="n"/>
      <c r="M1001" s="12" t="n"/>
      <c r="N1001" s="7" t="inlineStr"/>
      <c r="O1001" s="7" t="inlineStr"/>
    </row>
    <row r="1002">
      <c r="A1002" s="7" t="n">
        <v>646731</v>
      </c>
      <c r="B1002" s="10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1" t="n">
        <v>1</v>
      </c>
      <c r="G1002" s="11" t="n">
        <v>1</v>
      </c>
      <c r="H1002" s="8" t="n">
        <v>7.11</v>
      </c>
      <c r="I1002" s="8" t="n">
        <v>7.11</v>
      </c>
      <c r="J1002" s="8" t="n"/>
      <c r="K1002" s="7" t="inlineStr">
        <is>
          <t>SEM COTAÇÃO</t>
        </is>
      </c>
      <c r="L1002" s="8" t="n"/>
      <c r="M1002" s="12" t="n"/>
      <c r="N1002" s="7" t="inlineStr"/>
      <c r="O1002" s="7" t="inlineStr"/>
    </row>
    <row r="1003">
      <c r="A1003" s="7" t="n">
        <v>662381</v>
      </c>
      <c r="B1003" s="10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1" t="n">
        <v>1</v>
      </c>
      <c r="G1003" s="11" t="n">
        <v>1</v>
      </c>
      <c r="H1003" s="8" t="n">
        <v>32.85</v>
      </c>
      <c r="I1003" s="8" t="n">
        <v>32.85</v>
      </c>
      <c r="J1003" s="8" t="n"/>
      <c r="K1003" s="7" t="inlineStr">
        <is>
          <t>SEM COTAÇÃO</t>
        </is>
      </c>
      <c r="L1003" s="8" t="n"/>
      <c r="M1003" s="12" t="n"/>
      <c r="N1003" s="7" t="inlineStr"/>
      <c r="O1003" s="7" t="inlineStr"/>
    </row>
    <row r="1004">
      <c r="A1004" s="7" t="n">
        <v>593141</v>
      </c>
      <c r="B1004" s="10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1" t="n">
        <v>1</v>
      </c>
      <c r="G1004" s="11" t="n">
        <v>1</v>
      </c>
      <c r="H1004" s="8" t="n">
        <v>25.34</v>
      </c>
      <c r="I1004" s="8" t="n">
        <v>25.34</v>
      </c>
      <c r="J1004" s="8" t="n"/>
      <c r="K1004" s="7" t="inlineStr">
        <is>
          <t>SEM COTAÇÃO</t>
        </is>
      </c>
      <c r="L1004" s="8" t="n"/>
      <c r="M1004" s="12" t="n"/>
      <c r="N1004" s="7" t="inlineStr"/>
      <c r="O1004" s="7" t="inlineStr"/>
    </row>
    <row r="1005">
      <c r="A1005" s="7" t="n">
        <v>582061</v>
      </c>
      <c r="B1005" s="10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1" t="n">
        <v>1</v>
      </c>
      <c r="G1005" s="11" t="n">
        <v>1</v>
      </c>
      <c r="H1005" s="8" t="n">
        <v>28.53</v>
      </c>
      <c r="I1005" s="8" t="n">
        <v>28.53</v>
      </c>
      <c r="J1005" s="8" t="n"/>
      <c r="K1005" s="7" t="inlineStr">
        <is>
          <t>SEM COTAÇÃO</t>
        </is>
      </c>
      <c r="L1005" s="8" t="n"/>
      <c r="M1005" s="12" t="n"/>
      <c r="N1005" s="7" t="inlineStr"/>
      <c r="O1005" s="7" t="inlineStr"/>
    </row>
    <row r="1006">
      <c r="A1006" s="7" t="n">
        <v>544141</v>
      </c>
      <c r="B1006" s="10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1" t="n">
        <v>1</v>
      </c>
      <c r="G1006" s="11" t="n">
        <v>1</v>
      </c>
      <c r="H1006" s="8" t="n">
        <v>10.08</v>
      </c>
      <c r="I1006" s="8" t="n">
        <v>10.08</v>
      </c>
      <c r="J1006" s="8" t="n"/>
      <c r="K1006" s="7" t="inlineStr">
        <is>
          <t>SEM COTAÇÃO</t>
        </is>
      </c>
      <c r="L1006" s="8" t="n"/>
      <c r="M1006" s="12" t="n"/>
      <c r="N1006" s="7" t="inlineStr"/>
      <c r="O1006" s="7" t="inlineStr"/>
    </row>
    <row r="1007">
      <c r="A1007" s="7" t="n">
        <v>641281</v>
      </c>
      <c r="B1007" s="10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1" t="n">
        <v>3</v>
      </c>
      <c r="G1007" s="11" t="n">
        <v>3</v>
      </c>
      <c r="H1007" s="8" t="n">
        <v>25.7</v>
      </c>
      <c r="I1007" s="8" t="n">
        <v>25.7</v>
      </c>
      <c r="J1007" s="8" t="n"/>
      <c r="K1007" s="7" t="inlineStr">
        <is>
          <t>SEM COTAÇÃO</t>
        </is>
      </c>
      <c r="L1007" s="8" t="n"/>
      <c r="M1007" s="12" t="n"/>
      <c r="N1007" s="7" t="inlineStr"/>
      <c r="O1007" s="7" t="inlineStr"/>
    </row>
    <row r="1008">
      <c r="A1008" s="7" t="n">
        <v>589631</v>
      </c>
      <c r="B1008" s="10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1" t="n">
        <v>1</v>
      </c>
      <c r="G1008" s="11" t="n">
        <v>1</v>
      </c>
      <c r="H1008" s="8" t="n">
        <v>36.4</v>
      </c>
      <c r="I1008" s="8" t="n">
        <v>36.4</v>
      </c>
      <c r="J1008" s="8" t="n"/>
      <c r="K1008" s="7" t="inlineStr">
        <is>
          <t>SEM COTAÇÃO</t>
        </is>
      </c>
      <c r="L1008" s="8" t="n"/>
      <c r="M1008" s="12" t="n"/>
      <c r="N1008" s="7" t="inlineStr"/>
      <c r="O1008" s="7" t="inlineStr"/>
    </row>
    <row r="1009">
      <c r="A1009" s="7" t="n">
        <v>617751</v>
      </c>
      <c r="B1009" s="10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1" t="n">
        <v>1</v>
      </c>
      <c r="G1009" s="11" t="n">
        <v>1</v>
      </c>
      <c r="H1009" s="8" t="n">
        <v>7.78</v>
      </c>
      <c r="I1009" s="8" t="n">
        <v>7.78</v>
      </c>
      <c r="J1009" s="8" t="n"/>
      <c r="K1009" s="7" t="inlineStr">
        <is>
          <t>SEM COTAÇÃO</t>
        </is>
      </c>
      <c r="L1009" s="8" t="n"/>
      <c r="M1009" s="12" t="n"/>
      <c r="N1009" s="7" t="inlineStr"/>
      <c r="O1009" s="7" t="inlineStr"/>
    </row>
    <row r="1010">
      <c r="A1010" s="7" t="n">
        <v>617761</v>
      </c>
      <c r="B1010" s="10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1" t="n">
        <v>1</v>
      </c>
      <c r="G1010" s="11" t="n">
        <v>1</v>
      </c>
      <c r="H1010" s="8" t="n">
        <v>11.65</v>
      </c>
      <c r="I1010" s="8" t="n">
        <v>11.65</v>
      </c>
      <c r="J1010" s="8" t="n"/>
      <c r="K1010" s="7" t="inlineStr">
        <is>
          <t>SEM COTAÇÃO</t>
        </is>
      </c>
      <c r="L1010" s="8" t="n"/>
      <c r="M1010" s="12" t="n"/>
      <c r="N1010" s="7" t="inlineStr"/>
      <c r="O1010" s="7" t="inlineStr"/>
    </row>
    <row r="1011">
      <c r="A1011" s="7" t="n">
        <v>574381</v>
      </c>
      <c r="B1011" s="10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1" t="n">
        <v>1</v>
      </c>
      <c r="G1011" s="11" t="n">
        <v>1</v>
      </c>
      <c r="H1011" s="8" t="n">
        <v>11.68</v>
      </c>
      <c r="I1011" s="8" t="n">
        <v>11.68</v>
      </c>
      <c r="J1011" s="8" t="n"/>
      <c r="K1011" s="7" t="inlineStr">
        <is>
          <t>SEM COTAÇÃO</t>
        </is>
      </c>
      <c r="L1011" s="8" t="n"/>
      <c r="M1011" s="12" t="n"/>
      <c r="N1011" s="7" t="inlineStr"/>
      <c r="O1011" s="7" t="inlineStr"/>
    </row>
    <row r="1012">
      <c r="A1012" s="7" t="n">
        <v>617781</v>
      </c>
      <c r="B1012" s="10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1" t="n">
        <v>1</v>
      </c>
      <c r="G1012" s="11" t="n">
        <v>1</v>
      </c>
      <c r="H1012" s="8" t="n">
        <v>11.08</v>
      </c>
      <c r="I1012" s="8" t="n">
        <v>11.08</v>
      </c>
      <c r="J1012" s="8" t="n"/>
      <c r="K1012" s="7" t="inlineStr">
        <is>
          <t>SEM COTAÇÃO</t>
        </is>
      </c>
      <c r="L1012" s="8" t="n"/>
      <c r="M1012" s="12" t="n"/>
      <c r="N1012" s="7" t="inlineStr"/>
      <c r="O1012" s="7" t="inlineStr"/>
    </row>
    <row r="1013">
      <c r="A1013" s="7" t="n">
        <v>585601</v>
      </c>
      <c r="B1013" s="10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1" t="n">
        <v>1</v>
      </c>
      <c r="G1013" s="11" t="n">
        <v>1</v>
      </c>
      <c r="H1013" s="8" t="n">
        <v>10.45</v>
      </c>
      <c r="I1013" s="8" t="n">
        <v>10.45</v>
      </c>
      <c r="J1013" s="8" t="n"/>
      <c r="K1013" s="7" t="inlineStr">
        <is>
          <t>SEM COTAÇÃO</t>
        </is>
      </c>
      <c r="L1013" s="8" t="n"/>
      <c r="M1013" s="12" t="n"/>
      <c r="N1013" s="7" t="inlineStr"/>
      <c r="O1013" s="7" t="inlineStr"/>
    </row>
    <row r="1014">
      <c r="A1014" s="7" t="n">
        <v>617811</v>
      </c>
      <c r="B1014" s="10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1" t="n">
        <v>1</v>
      </c>
      <c r="G1014" s="11" t="n">
        <v>1</v>
      </c>
      <c r="H1014" s="8" t="n">
        <v>12.59</v>
      </c>
      <c r="I1014" s="8" t="n">
        <v>12.59</v>
      </c>
      <c r="J1014" s="8" t="n"/>
      <c r="K1014" s="7" t="inlineStr">
        <is>
          <t>SEM COTAÇÃO</t>
        </is>
      </c>
      <c r="L1014" s="8" t="n"/>
      <c r="M1014" s="12" t="n"/>
      <c r="N1014" s="7" t="inlineStr"/>
      <c r="O1014" s="7" t="inlineStr"/>
    </row>
    <row r="1015">
      <c r="A1015" s="7" t="n">
        <v>585481</v>
      </c>
      <c r="B1015" s="10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1" t="n">
        <v>1</v>
      </c>
      <c r="G1015" s="11" t="n">
        <v>1</v>
      </c>
      <c r="H1015" s="8" t="n">
        <v>15.65</v>
      </c>
      <c r="I1015" s="8" t="n">
        <v>15.65</v>
      </c>
      <c r="J1015" s="8" t="n"/>
      <c r="K1015" s="7" t="inlineStr">
        <is>
          <t>SEM COTAÇÃO</t>
        </is>
      </c>
      <c r="L1015" s="8" t="n"/>
      <c r="M1015" s="12" t="n"/>
      <c r="N1015" s="7" t="inlineStr"/>
      <c r="O1015" s="7" t="inlineStr"/>
    </row>
    <row r="1016">
      <c r="A1016" s="7" t="n">
        <v>6561</v>
      </c>
      <c r="B1016" s="10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1" t="n">
        <v>21</v>
      </c>
      <c r="G1016" s="11" t="n">
        <v>21</v>
      </c>
      <c r="H1016" s="8" t="n">
        <v>23.69</v>
      </c>
      <c r="I1016" s="8" t="n">
        <v>22.9</v>
      </c>
      <c r="J1016" s="8" t="n"/>
      <c r="K1016" s="7" t="inlineStr">
        <is>
          <t>SEM COTAÇÃO</t>
        </is>
      </c>
      <c r="L1016" s="8" t="n"/>
      <c r="M1016" s="12" t="n"/>
      <c r="N1016" s="7" t="inlineStr"/>
      <c r="O1016" s="7" t="inlineStr"/>
    </row>
    <row r="1017">
      <c r="A1017" s="7" t="n">
        <v>631981</v>
      </c>
      <c r="B1017" s="10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1" t="n">
        <v>1</v>
      </c>
      <c r="G1017" s="11" t="n">
        <v>1</v>
      </c>
      <c r="H1017" s="8" t="n">
        <v>1.8529</v>
      </c>
      <c r="I1017" s="8" t="n">
        <v>1.8529</v>
      </c>
      <c r="J1017" s="8" t="n"/>
      <c r="K1017" s="7" t="inlineStr">
        <is>
          <t>SEM COTAÇÃO</t>
        </is>
      </c>
      <c r="L1017" s="8" t="n"/>
      <c r="M1017" s="12" t="n"/>
      <c r="N1017" s="7" t="inlineStr"/>
      <c r="O1017" s="7" t="inlineStr"/>
    </row>
    <row r="1018">
      <c r="A1018" s="7" t="n">
        <v>651941</v>
      </c>
      <c r="B1018" s="10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1" t="n">
        <v>6</v>
      </c>
      <c r="G1018" s="11" t="n">
        <v>6</v>
      </c>
      <c r="H1018" s="8" t="n">
        <v>5.08</v>
      </c>
      <c r="I1018" s="8" t="n">
        <v>4.99</v>
      </c>
      <c r="J1018" s="8" t="n"/>
      <c r="K1018" s="7" t="inlineStr">
        <is>
          <t>SEM COTAÇÃO</t>
        </is>
      </c>
      <c r="L1018" s="8" t="n"/>
      <c r="M1018" s="12" t="n"/>
      <c r="N1018" s="7" t="inlineStr"/>
      <c r="O1018" s="7" t="inlineStr"/>
    </row>
    <row r="1019">
      <c r="A1019" s="7" t="n">
        <v>631991</v>
      </c>
      <c r="B1019" s="10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1" t="n">
        <v>1</v>
      </c>
      <c r="G1019" s="11" t="n">
        <v>1</v>
      </c>
      <c r="H1019" s="8" t="n">
        <v>1.87</v>
      </c>
      <c r="I1019" s="8" t="n">
        <v>1.87</v>
      </c>
      <c r="J1019" s="8" t="n"/>
      <c r="K1019" s="7" t="inlineStr">
        <is>
          <t>SEM COTAÇÃO</t>
        </is>
      </c>
      <c r="L1019" s="8" t="n"/>
      <c r="M1019" s="12" t="n"/>
      <c r="N1019" s="7" t="inlineStr"/>
      <c r="O1019" s="7" t="inlineStr"/>
    </row>
    <row r="1020">
      <c r="A1020" s="7" t="n">
        <v>632661</v>
      </c>
      <c r="B1020" s="10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1" t="n">
        <v>1</v>
      </c>
      <c r="G1020" s="11" t="n">
        <v>1</v>
      </c>
      <c r="H1020" s="8" t="n">
        <v>31.34</v>
      </c>
      <c r="I1020" s="8" t="n">
        <v>31.34</v>
      </c>
      <c r="J1020" s="8" t="n"/>
      <c r="K1020" s="7" t="inlineStr">
        <is>
          <t>SEM COTAÇÃO</t>
        </is>
      </c>
      <c r="L1020" s="8" t="n"/>
      <c r="M1020" s="12" t="n"/>
      <c r="N1020" s="7" t="inlineStr"/>
      <c r="O1020" s="7" t="inlineStr"/>
    </row>
    <row r="1021">
      <c r="A1021" s="7" t="n">
        <v>619181</v>
      </c>
      <c r="B1021" s="10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1" t="n">
        <v>2</v>
      </c>
      <c r="G1021" s="11" t="n">
        <v>2</v>
      </c>
      <c r="H1021" s="8" t="n">
        <v>10.6</v>
      </c>
      <c r="I1021" s="8" t="n">
        <v>10.6</v>
      </c>
      <c r="J1021" s="8" t="n"/>
      <c r="K1021" s="7" t="inlineStr">
        <is>
          <t>SEM COTAÇÃO</t>
        </is>
      </c>
      <c r="L1021" s="8" t="n"/>
      <c r="M1021" s="12" t="n"/>
      <c r="N1021" s="7" t="inlineStr"/>
      <c r="O1021" s="7" t="inlineStr"/>
    </row>
    <row r="1022">
      <c r="A1022" s="7" t="n">
        <v>619191</v>
      </c>
      <c r="B1022" s="10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1" t="n">
        <v>1</v>
      </c>
      <c r="G1022" s="11" t="n">
        <v>1</v>
      </c>
      <c r="H1022" s="8" t="n">
        <v>10.6</v>
      </c>
      <c r="I1022" s="8" t="n">
        <v>10.6</v>
      </c>
      <c r="J1022" s="8" t="n"/>
      <c r="K1022" s="7" t="inlineStr">
        <is>
          <t>SEM COTAÇÃO</t>
        </is>
      </c>
      <c r="L1022" s="8" t="n"/>
      <c r="M1022" s="12" t="n"/>
      <c r="N1022" s="7" t="inlineStr"/>
      <c r="O1022" s="7" t="inlineStr"/>
    </row>
    <row r="1023">
      <c r="A1023" s="7" t="n">
        <v>585461</v>
      </c>
      <c r="B1023" s="10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1" t="n">
        <v>1</v>
      </c>
      <c r="G1023" s="11" t="n">
        <v>7</v>
      </c>
      <c r="H1023" s="8" t="n">
        <v>5.2778</v>
      </c>
      <c r="I1023" s="8" t="n">
        <v>5.2778</v>
      </c>
      <c r="J1023" s="8" t="n"/>
      <c r="K1023" s="7" t="inlineStr">
        <is>
          <t>SEM COTAÇÃO</t>
        </is>
      </c>
      <c r="L1023" s="8" t="n"/>
      <c r="M1023" s="12" t="n"/>
      <c r="N1023" s="7" t="inlineStr"/>
      <c r="O1023" s="7" t="inlineStr"/>
    </row>
    <row r="1024">
      <c r="A1024" s="7" t="n">
        <v>659201</v>
      </c>
      <c r="B1024" s="10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1" t="n">
        <v>1</v>
      </c>
      <c r="G1024" s="11" t="n">
        <v>5</v>
      </c>
      <c r="H1024" s="8" t="n">
        <v>9.333299999999999</v>
      </c>
      <c r="I1024" s="8" t="n">
        <v>9.333299999999999</v>
      </c>
      <c r="J1024" s="8" t="n"/>
      <c r="K1024" s="7" t="inlineStr">
        <is>
          <t>SEM COTAÇÃO</t>
        </is>
      </c>
      <c r="L1024" s="8" t="n"/>
      <c r="M1024" s="12" t="n"/>
      <c r="N1024" s="7" t="inlineStr"/>
      <c r="O1024" s="7" t="inlineStr"/>
    </row>
    <row r="1025">
      <c r="A1025" s="7" t="n">
        <v>673891</v>
      </c>
      <c r="B1025" s="10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1" t="n">
        <v>1</v>
      </c>
      <c r="G1025" s="11" t="n">
        <v>1</v>
      </c>
      <c r="H1025" s="8" t="n">
        <v>9.333299999999999</v>
      </c>
      <c r="I1025" s="8" t="n">
        <v>9.333299999999999</v>
      </c>
      <c r="J1025" s="8" t="n"/>
      <c r="K1025" s="7" t="inlineStr">
        <is>
          <t>SEM COTAÇÃO</t>
        </is>
      </c>
      <c r="L1025" s="8" t="n"/>
      <c r="M1025" s="12" t="n"/>
      <c r="N1025" s="7" t="inlineStr"/>
      <c r="O1025" s="7" t="inlineStr"/>
    </row>
    <row r="1026">
      <c r="A1026" s="7" t="n">
        <v>653471</v>
      </c>
      <c r="B1026" s="10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1" t="n">
        <v>1</v>
      </c>
      <c r="G1026" s="11" t="n">
        <v>1</v>
      </c>
      <c r="H1026" s="8" t="n">
        <v>45.59</v>
      </c>
      <c r="I1026" s="8" t="n">
        <v>45.59</v>
      </c>
      <c r="J1026" s="8" t="n"/>
      <c r="K1026" s="7" t="inlineStr">
        <is>
          <t>SEM COTAÇÃO</t>
        </is>
      </c>
      <c r="L1026" s="8" t="n"/>
      <c r="M1026" s="12" t="n"/>
      <c r="N1026" s="7" t="inlineStr"/>
      <c r="O1026" s="7" t="inlineStr"/>
    </row>
    <row r="1027">
      <c r="A1027" s="7" t="n">
        <v>90721</v>
      </c>
      <c r="B1027" s="10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1" t="n">
        <v>1</v>
      </c>
      <c r="G1027" s="11" t="n">
        <v>1</v>
      </c>
      <c r="H1027" s="8" t="n">
        <v>34.79</v>
      </c>
      <c r="I1027" s="8" t="n">
        <v>30.618</v>
      </c>
      <c r="J1027" s="8" t="n"/>
      <c r="K1027" s="7" t="inlineStr">
        <is>
          <t>SEM COTAÇÃO</t>
        </is>
      </c>
      <c r="L1027" s="8" t="n"/>
      <c r="M1027" s="12" t="n"/>
      <c r="N1027" s="7" t="inlineStr"/>
      <c r="O1027" s="7" t="inlineStr"/>
    </row>
    <row r="1028">
      <c r="A1028" s="7" t="n">
        <v>651831</v>
      </c>
      <c r="B1028" s="10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1" t="n">
        <v>2</v>
      </c>
      <c r="G1028" s="11" t="n">
        <v>2</v>
      </c>
      <c r="H1028" s="8" t="n">
        <v>12.58</v>
      </c>
      <c r="I1028" s="8" t="n">
        <v>10.5</v>
      </c>
      <c r="J1028" s="8" t="n"/>
      <c r="K1028" s="7" t="inlineStr">
        <is>
          <t>SEM COTAÇÃO</t>
        </is>
      </c>
      <c r="L1028" s="8" t="n"/>
      <c r="M1028" s="12" t="n"/>
      <c r="N1028" s="7" t="inlineStr"/>
      <c r="O1028" s="7" t="inlineStr"/>
    </row>
    <row r="1029">
      <c r="A1029" s="7" t="n">
        <v>550761</v>
      </c>
      <c r="B1029" s="10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1" t="n">
        <v>1</v>
      </c>
      <c r="G1029" s="11" t="n">
        <v>1</v>
      </c>
      <c r="H1029" s="8" t="n">
        <v>15.5773</v>
      </c>
      <c r="I1029" s="8" t="n">
        <v>6.52</v>
      </c>
      <c r="J1029" s="8" t="n"/>
      <c r="K1029" s="7" t="inlineStr">
        <is>
          <t>SEM COTAÇÃO</t>
        </is>
      </c>
      <c r="L1029" s="8" t="n"/>
      <c r="M1029" s="12" t="n"/>
      <c r="N1029" s="7" t="inlineStr"/>
      <c r="O1029" s="7" t="inlineStr"/>
    </row>
    <row r="1030">
      <c r="A1030" s="7" t="n">
        <v>596051</v>
      </c>
      <c r="B1030" s="10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1" t="n">
        <v>2</v>
      </c>
      <c r="G1030" s="11" t="n">
        <v>2</v>
      </c>
      <c r="H1030" s="8" t="n">
        <v>5.7</v>
      </c>
      <c r="I1030" s="8" t="n">
        <v>5.7</v>
      </c>
      <c r="J1030" s="8" t="n"/>
      <c r="K1030" s="7" t="inlineStr">
        <is>
          <t>SEM COTAÇÃO</t>
        </is>
      </c>
      <c r="L1030" s="8" t="n"/>
      <c r="M1030" s="12" t="n"/>
      <c r="N1030" s="7" t="inlineStr"/>
      <c r="O1030" s="7" t="inlineStr"/>
    </row>
    <row r="1031">
      <c r="A1031" s="7" t="n">
        <v>608241</v>
      </c>
      <c r="B1031" s="10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1" t="n">
        <v>1</v>
      </c>
      <c r="G1031" s="11" t="n">
        <v>1</v>
      </c>
      <c r="H1031" s="8" t="n">
        <v>13.6</v>
      </c>
      <c r="I1031" s="8" t="n">
        <v>13.6</v>
      </c>
      <c r="J1031" s="8" t="n"/>
      <c r="K1031" s="7" t="inlineStr">
        <is>
          <t>SEM COTAÇÃO</t>
        </is>
      </c>
      <c r="L1031" s="8" t="n"/>
      <c r="M1031" s="12" t="n"/>
      <c r="N1031" s="7" t="inlineStr"/>
      <c r="O1031" s="7" t="inlineStr"/>
    </row>
    <row r="1032">
      <c r="A1032" s="7" t="n">
        <v>636241</v>
      </c>
      <c r="B1032" s="10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1" t="n">
        <v>1</v>
      </c>
      <c r="G1032" s="11" t="n">
        <v>1</v>
      </c>
      <c r="H1032" s="8" t="n">
        <v>6.56</v>
      </c>
      <c r="I1032" s="8" t="n">
        <v>6.56</v>
      </c>
      <c r="J1032" s="8" t="n"/>
      <c r="K1032" s="7" t="inlineStr">
        <is>
          <t>SEM COTAÇÃO</t>
        </is>
      </c>
      <c r="L1032" s="8" t="n"/>
      <c r="M1032" s="12" t="n"/>
      <c r="N1032" s="7" t="inlineStr"/>
      <c r="O1032" s="7" t="inlineStr"/>
    </row>
    <row r="1033">
      <c r="A1033" s="7" t="n">
        <v>621861</v>
      </c>
      <c r="B1033" s="10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1" t="n">
        <v>2</v>
      </c>
      <c r="G1033" s="11" t="n">
        <v>2</v>
      </c>
      <c r="H1033" s="8" t="n">
        <v>9.73</v>
      </c>
      <c r="I1033" s="8" t="n">
        <v>9.73</v>
      </c>
      <c r="J1033" s="8" t="n"/>
      <c r="K1033" s="7" t="inlineStr">
        <is>
          <t>SEM COTAÇÃO</t>
        </is>
      </c>
      <c r="L1033" s="8" t="n"/>
      <c r="M1033" s="12" t="n"/>
      <c r="N1033" s="7" t="inlineStr"/>
      <c r="O1033" s="7" t="inlineStr"/>
    </row>
    <row r="1034">
      <c r="A1034" s="7" t="n">
        <v>625211</v>
      </c>
      <c r="B1034" s="10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1" t="n">
        <v>1</v>
      </c>
      <c r="G1034" s="11" t="n">
        <v>1</v>
      </c>
      <c r="H1034" s="8" t="n">
        <v>5.51</v>
      </c>
      <c r="I1034" s="8" t="n">
        <v>5.51</v>
      </c>
      <c r="J1034" s="8" t="n"/>
      <c r="K1034" s="7" t="inlineStr">
        <is>
          <t>SEM COTAÇÃO</t>
        </is>
      </c>
      <c r="L1034" s="8" t="n"/>
      <c r="M1034" s="12" t="n"/>
      <c r="N1034" s="7" t="inlineStr"/>
      <c r="O1034" s="7" t="inlineStr"/>
    </row>
    <row r="1035">
      <c r="A1035" s="7" t="n">
        <v>625221</v>
      </c>
      <c r="B1035" s="10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1" t="n">
        <v>1</v>
      </c>
      <c r="G1035" s="11" t="n">
        <v>1</v>
      </c>
      <c r="H1035" s="8" t="n">
        <v>5.51</v>
      </c>
      <c r="I1035" s="8" t="n">
        <v>5.51</v>
      </c>
      <c r="J1035" s="8" t="n"/>
      <c r="K1035" s="7" t="inlineStr">
        <is>
          <t>SEM COTAÇÃO</t>
        </is>
      </c>
      <c r="L1035" s="8" t="n"/>
      <c r="M1035" s="12" t="n"/>
      <c r="N1035" s="7" t="inlineStr"/>
      <c r="O1035" s="7" t="inlineStr"/>
    </row>
    <row r="1036">
      <c r="A1036" s="7" t="n">
        <v>625231</v>
      </c>
      <c r="B1036" s="10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1" t="n">
        <v>2</v>
      </c>
      <c r="G1036" s="11" t="n">
        <v>2</v>
      </c>
      <c r="H1036" s="8" t="n">
        <v>5.51</v>
      </c>
      <c r="I1036" s="8" t="n">
        <v>5.51</v>
      </c>
      <c r="J1036" s="8" t="n"/>
      <c r="K1036" s="7" t="inlineStr">
        <is>
          <t>SEM COTAÇÃO</t>
        </is>
      </c>
      <c r="L1036" s="8" t="n"/>
      <c r="M1036" s="12" t="n"/>
      <c r="N1036" s="7" t="inlineStr"/>
      <c r="O1036" s="7" t="inlineStr"/>
    </row>
    <row r="1037">
      <c r="A1037" s="7" t="n">
        <v>614181</v>
      </c>
      <c r="B1037" s="10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1" t="n">
        <v>1</v>
      </c>
      <c r="G1037" s="11" t="n">
        <v>1</v>
      </c>
      <c r="H1037" s="8" t="n">
        <v>13.99</v>
      </c>
      <c r="I1037" s="8" t="n">
        <v>13.99</v>
      </c>
      <c r="J1037" s="8" t="n"/>
      <c r="K1037" s="7" t="inlineStr">
        <is>
          <t>SEM COTAÇÃO</t>
        </is>
      </c>
      <c r="L1037" s="8" t="n"/>
      <c r="M1037" s="12" t="n"/>
      <c r="N1037" s="7" t="inlineStr"/>
      <c r="O1037" s="7" t="inlineStr"/>
    </row>
    <row r="1038">
      <c r="A1038" s="7" t="n">
        <v>616781</v>
      </c>
      <c r="B1038" s="10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1" t="n">
        <v>2</v>
      </c>
      <c r="G1038" s="11" t="n">
        <v>2</v>
      </c>
      <c r="H1038" s="8" t="n">
        <v>9.529999999999999</v>
      </c>
      <c r="I1038" s="8" t="n">
        <v>9.529999999999999</v>
      </c>
      <c r="J1038" s="8" t="n"/>
      <c r="K1038" s="7" t="inlineStr">
        <is>
          <t>SEM COTAÇÃO</t>
        </is>
      </c>
      <c r="L1038" s="8" t="n"/>
      <c r="M1038" s="12" t="n"/>
      <c r="N1038" s="7" t="inlineStr"/>
      <c r="O1038" s="7" t="inlineStr"/>
    </row>
    <row r="1039">
      <c r="A1039" s="7" t="n">
        <v>600081</v>
      </c>
      <c r="B1039" s="10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1" t="n">
        <v>2</v>
      </c>
      <c r="G1039" s="11" t="n">
        <v>2</v>
      </c>
      <c r="H1039" s="8" t="n">
        <v>19.35</v>
      </c>
      <c r="I1039" s="8" t="n">
        <v>19.35</v>
      </c>
      <c r="J1039" s="8" t="n"/>
      <c r="K1039" s="7" t="inlineStr">
        <is>
          <t>SEM COTAÇÃO</t>
        </is>
      </c>
      <c r="L1039" s="8" t="n"/>
      <c r="M1039" s="12" t="n"/>
      <c r="N1039" s="7" t="inlineStr"/>
      <c r="O1039" s="7" t="inlineStr"/>
    </row>
    <row r="1040">
      <c r="A1040" s="7" t="n">
        <v>639091</v>
      </c>
      <c r="B1040" s="10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1" t="n">
        <v>2</v>
      </c>
      <c r="G1040" s="11" t="n">
        <v>2</v>
      </c>
      <c r="H1040" s="8" t="n">
        <v>7.19</v>
      </c>
      <c r="I1040" s="8" t="n">
        <v>7.19</v>
      </c>
      <c r="J1040" s="8" t="n"/>
      <c r="K1040" s="7" t="inlineStr">
        <is>
          <t>SEM COTAÇÃO</t>
        </is>
      </c>
      <c r="L1040" s="8" t="n"/>
      <c r="M1040" s="12" t="n"/>
      <c r="N1040" s="7" t="inlineStr"/>
      <c r="O1040" s="7" t="inlineStr"/>
    </row>
    <row r="1041">
      <c r="A1041" s="7" t="n">
        <v>576381</v>
      </c>
      <c r="B1041" s="10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1" t="n">
        <v>1</v>
      </c>
      <c r="G1041" s="11" t="n">
        <v>1</v>
      </c>
      <c r="H1041" s="8" t="n">
        <v>15.66</v>
      </c>
      <c r="I1041" s="8" t="n">
        <v>15.66</v>
      </c>
      <c r="J1041" s="8" t="n"/>
      <c r="K1041" s="7" t="inlineStr">
        <is>
          <t>SEM COTAÇÃO</t>
        </is>
      </c>
      <c r="L1041" s="8" t="n"/>
      <c r="M1041" s="12" t="n"/>
      <c r="N1041" s="7" t="inlineStr"/>
      <c r="O1041" s="7" t="inlineStr"/>
    </row>
    <row r="1042">
      <c r="A1042" s="7" t="n">
        <v>639111</v>
      </c>
      <c r="B1042" s="10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1" t="n">
        <v>1</v>
      </c>
      <c r="G1042" s="11" t="n">
        <v>1</v>
      </c>
      <c r="H1042" s="8" t="n">
        <v>3.6</v>
      </c>
      <c r="I1042" s="8" t="n">
        <v>3.6</v>
      </c>
      <c r="J1042" s="8" t="n"/>
      <c r="K1042" s="7" t="inlineStr">
        <is>
          <t>SEM COTAÇÃO</t>
        </is>
      </c>
      <c r="L1042" s="8" t="n"/>
      <c r="M1042" s="12" t="n"/>
      <c r="N1042" s="7" t="inlineStr"/>
      <c r="O1042" s="7" t="inlineStr"/>
    </row>
    <row r="1043">
      <c r="A1043" s="7" t="n">
        <v>639121</v>
      </c>
      <c r="B1043" s="10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1" t="n">
        <v>1</v>
      </c>
      <c r="G1043" s="11" t="n">
        <v>1</v>
      </c>
      <c r="H1043" s="8" t="n">
        <v>3.24</v>
      </c>
      <c r="I1043" s="8" t="n">
        <v>3.24</v>
      </c>
      <c r="J1043" s="8" t="n"/>
      <c r="K1043" s="7" t="inlineStr">
        <is>
          <t>SEM COTAÇÃO</t>
        </is>
      </c>
      <c r="L1043" s="8" t="n"/>
      <c r="M1043" s="12" t="n"/>
      <c r="N1043" s="7" t="inlineStr"/>
      <c r="O1043" s="7" t="inlineStr"/>
    </row>
    <row r="1044">
      <c r="A1044" s="7" t="n">
        <v>616801</v>
      </c>
      <c r="B1044" s="10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1" t="n">
        <v>1</v>
      </c>
      <c r="G1044" s="11" t="n">
        <v>1</v>
      </c>
      <c r="H1044" s="8" t="n">
        <v>16.01</v>
      </c>
      <c r="I1044" s="8" t="n">
        <v>16.01</v>
      </c>
      <c r="J1044" s="8" t="n"/>
      <c r="K1044" s="7" t="inlineStr">
        <is>
          <t>SEM COTAÇÃO</t>
        </is>
      </c>
      <c r="L1044" s="8" t="n"/>
      <c r="M1044" s="12" t="n"/>
      <c r="N1044" s="7" t="inlineStr"/>
      <c r="O1044" s="7" t="inlineStr"/>
    </row>
    <row r="1045">
      <c r="A1045" s="7" t="n">
        <v>616791</v>
      </c>
      <c r="B1045" s="10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1" t="n">
        <v>2</v>
      </c>
      <c r="G1045" s="11" t="n">
        <v>2</v>
      </c>
      <c r="H1045" s="8" t="n">
        <v>13.89</v>
      </c>
      <c r="I1045" s="8" t="n">
        <v>13.89</v>
      </c>
      <c r="J1045" s="8" t="n"/>
      <c r="K1045" s="7" t="inlineStr">
        <is>
          <t>SEM COTAÇÃO</t>
        </is>
      </c>
      <c r="L1045" s="8" t="n"/>
      <c r="M1045" s="12" t="n"/>
      <c r="N1045" s="7" t="inlineStr"/>
      <c r="O1045" s="7" t="inlineStr"/>
    </row>
    <row r="1046">
      <c r="A1046" s="7" t="n">
        <v>636251</v>
      </c>
      <c r="B1046" s="10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1" t="n">
        <v>1</v>
      </c>
      <c r="G1046" s="11" t="n">
        <v>1</v>
      </c>
      <c r="H1046" s="8" t="n">
        <v>6.56</v>
      </c>
      <c r="I1046" s="8" t="n">
        <v>6.56</v>
      </c>
      <c r="J1046" s="8" t="n"/>
      <c r="K1046" s="7" t="inlineStr">
        <is>
          <t>SEM COTAÇÃO</t>
        </is>
      </c>
      <c r="L1046" s="8" t="n"/>
      <c r="M1046" s="12" t="n"/>
      <c r="N1046" s="7" t="inlineStr"/>
      <c r="O1046" s="7" t="inlineStr"/>
    </row>
    <row r="1047">
      <c r="A1047" s="7" t="n">
        <v>636261</v>
      </c>
      <c r="B1047" s="10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1" t="n">
        <v>1</v>
      </c>
      <c r="G1047" s="11" t="n">
        <v>1</v>
      </c>
      <c r="H1047" s="8" t="n">
        <v>6.56</v>
      </c>
      <c r="I1047" s="8" t="n">
        <v>6.56</v>
      </c>
      <c r="J1047" s="8" t="n"/>
      <c r="K1047" s="7" t="inlineStr">
        <is>
          <t>SEM COTAÇÃO</t>
        </is>
      </c>
      <c r="L1047" s="8" t="n"/>
      <c r="M1047" s="12" t="n"/>
      <c r="N1047" s="7" t="inlineStr"/>
      <c r="O1047" s="7" t="inlineStr"/>
    </row>
    <row r="1048">
      <c r="A1048" s="7" t="n">
        <v>636271</v>
      </c>
      <c r="B1048" s="10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1" t="n">
        <v>1</v>
      </c>
      <c r="G1048" s="11" t="n">
        <v>1</v>
      </c>
      <c r="H1048" s="8" t="n">
        <v>6.56</v>
      </c>
      <c r="I1048" s="8" t="n">
        <v>6.56</v>
      </c>
      <c r="J1048" s="8" t="n"/>
      <c r="K1048" s="7" t="inlineStr">
        <is>
          <t>SEM COTAÇÃO</t>
        </is>
      </c>
      <c r="L1048" s="8" t="n"/>
      <c r="M1048" s="12" t="n"/>
      <c r="N1048" s="7" t="inlineStr"/>
      <c r="O1048" s="7" t="inlineStr"/>
    </row>
    <row r="1049">
      <c r="A1049" s="7" t="n">
        <v>636281</v>
      </c>
      <c r="B1049" s="10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1" t="n">
        <v>1</v>
      </c>
      <c r="G1049" s="11" t="n">
        <v>1</v>
      </c>
      <c r="H1049" s="8" t="n">
        <v>6.56</v>
      </c>
      <c r="I1049" s="8" t="n">
        <v>6.56</v>
      </c>
      <c r="J1049" s="8" t="n"/>
      <c r="K1049" s="7" t="inlineStr">
        <is>
          <t>SEM COTAÇÃO</t>
        </is>
      </c>
      <c r="L1049" s="8" t="n"/>
      <c r="M1049" s="12" t="n"/>
      <c r="N1049" s="7" t="inlineStr"/>
      <c r="O1049" s="7" t="inlineStr"/>
    </row>
    <row r="1050">
      <c r="A1050" s="7" t="n">
        <v>607991</v>
      </c>
      <c r="B1050" s="10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1" t="n">
        <v>1</v>
      </c>
      <c r="G1050" s="11" t="n">
        <v>1</v>
      </c>
      <c r="H1050" s="8" t="n">
        <v>3.9083</v>
      </c>
      <c r="I1050" s="8" t="n">
        <v>3.9083</v>
      </c>
      <c r="J1050" s="8" t="n"/>
      <c r="K1050" s="7" t="inlineStr">
        <is>
          <t>SEM COTAÇÃO</t>
        </is>
      </c>
      <c r="L1050" s="8" t="n"/>
      <c r="M1050" s="12" t="n"/>
      <c r="N1050" s="7" t="inlineStr"/>
      <c r="O1050" s="7" t="inlineStr"/>
    </row>
    <row r="1051">
      <c r="A1051" s="7" t="n">
        <v>632461</v>
      </c>
      <c r="B1051" s="10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1" t="n">
        <v>1</v>
      </c>
      <c r="G1051" s="11" t="n">
        <v>1</v>
      </c>
      <c r="H1051" s="8" t="n">
        <v>4.32</v>
      </c>
      <c r="I1051" s="8" t="n">
        <v>4.32</v>
      </c>
      <c r="J1051" s="8" t="n"/>
      <c r="K1051" s="7" t="inlineStr">
        <is>
          <t>SEM COTAÇÃO</t>
        </is>
      </c>
      <c r="L1051" s="8" t="n"/>
      <c r="M1051" s="12" t="n"/>
      <c r="N1051" s="7" t="inlineStr"/>
      <c r="O1051" s="7" t="inlineStr"/>
    </row>
    <row r="1052">
      <c r="A1052" s="7" t="n">
        <v>632451</v>
      </c>
      <c r="B1052" s="10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1" t="n">
        <v>1</v>
      </c>
      <c r="G1052" s="11" t="n">
        <v>1</v>
      </c>
      <c r="H1052" s="8" t="n">
        <v>4.32</v>
      </c>
      <c r="I1052" s="8" t="n">
        <v>4.32</v>
      </c>
      <c r="J1052" s="8" t="n"/>
      <c r="K1052" s="7" t="inlineStr">
        <is>
          <t>SEM COTAÇÃO</t>
        </is>
      </c>
      <c r="L1052" s="8" t="n"/>
      <c r="M1052" s="12" t="n"/>
      <c r="N1052" s="7" t="inlineStr"/>
      <c r="O1052" s="7" t="inlineStr"/>
    </row>
    <row r="1053">
      <c r="A1053" s="7" t="n">
        <v>685801</v>
      </c>
      <c r="B1053" s="10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1" t="n">
        <v>5</v>
      </c>
      <c r="G1053" s="11" t="n">
        <v>5</v>
      </c>
      <c r="H1053" s="8" t="n">
        <v>3.59</v>
      </c>
      <c r="I1053" s="8" t="n">
        <v>3.59</v>
      </c>
      <c r="J1053" s="8" t="n"/>
      <c r="K1053" s="7" t="inlineStr">
        <is>
          <t>SEM COTAÇÃO</t>
        </is>
      </c>
      <c r="L1053" s="8" t="n"/>
      <c r="M1053" s="12" t="n"/>
      <c r="N1053" s="7" t="inlineStr"/>
      <c r="O1053" s="7" t="inlineStr"/>
    </row>
    <row r="1054">
      <c r="A1054" s="7" t="n">
        <v>653671</v>
      </c>
      <c r="B1054" s="10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1" t="n">
        <v>2</v>
      </c>
      <c r="G1054" s="11" t="n">
        <v>2</v>
      </c>
      <c r="H1054" s="8" t="n">
        <v>13.41</v>
      </c>
      <c r="I1054" s="8" t="n">
        <v>13.41</v>
      </c>
      <c r="J1054" s="8" t="n"/>
      <c r="K1054" s="7" t="inlineStr">
        <is>
          <t>SEM COTAÇÃO</t>
        </is>
      </c>
      <c r="L1054" s="8" t="n"/>
      <c r="M1054" s="12" t="n"/>
      <c r="N1054" s="7" t="inlineStr"/>
      <c r="O1054" s="7" t="inlineStr"/>
    </row>
    <row r="1055">
      <c r="A1055" s="7" t="n">
        <v>550601</v>
      </c>
      <c r="B1055" s="10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1" t="n">
        <v>28</v>
      </c>
      <c r="G1055" s="11" t="n">
        <v>28</v>
      </c>
      <c r="H1055" s="8" t="n">
        <v>2.24</v>
      </c>
      <c r="I1055" s="8" t="n">
        <v>2.21</v>
      </c>
      <c r="J1055" s="8" t="n"/>
      <c r="K1055" s="7" t="inlineStr">
        <is>
          <t>SEM COTAÇÃO</t>
        </is>
      </c>
      <c r="L1055" s="8" t="n"/>
      <c r="M1055" s="12" t="n"/>
      <c r="N1055" s="7" t="inlineStr"/>
      <c r="O1055" s="7" t="inlineStr"/>
    </row>
    <row r="1056">
      <c r="A1056" s="7" t="n">
        <v>567161</v>
      </c>
      <c r="B1056" s="10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1" t="n">
        <v>14</v>
      </c>
      <c r="G1056" s="11" t="n">
        <v>14</v>
      </c>
      <c r="H1056" s="8" t="n">
        <v>6.1767</v>
      </c>
      <c r="I1056" s="8" t="n">
        <v>5.7197</v>
      </c>
      <c r="J1056" s="8" t="n"/>
      <c r="K1056" s="7" t="inlineStr">
        <is>
          <t>SEM COTAÇÃO</t>
        </is>
      </c>
      <c r="L1056" s="8" t="n"/>
      <c r="M1056" s="12" t="n"/>
      <c r="N1056" s="7" t="inlineStr"/>
      <c r="O1056" s="7" t="inlineStr"/>
    </row>
    <row r="1057">
      <c r="A1057" s="7" t="n">
        <v>655361</v>
      </c>
      <c r="B1057" s="10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1" t="n">
        <v>1</v>
      </c>
      <c r="G1057" s="11" t="n">
        <v>1</v>
      </c>
      <c r="H1057" s="8" t="n">
        <v>44.35</v>
      </c>
      <c r="I1057" s="8" t="n">
        <v>34.225</v>
      </c>
      <c r="J1057" s="8" t="n"/>
      <c r="K1057" s="7" t="inlineStr">
        <is>
          <t>SEM COTAÇÃO</t>
        </is>
      </c>
      <c r="L1057" s="8" t="n"/>
      <c r="M1057" s="12" t="n"/>
      <c r="N1057" s="7" t="inlineStr"/>
      <c r="O1057" s="7" t="inlineStr"/>
    </row>
    <row r="1058">
      <c r="A1058" s="7" t="n">
        <v>651711</v>
      </c>
      <c r="B1058" s="10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1" t="n">
        <v>1</v>
      </c>
      <c r="G1058" s="11" t="n">
        <v>1</v>
      </c>
      <c r="H1058" s="8" t="n">
        <v>11.07</v>
      </c>
      <c r="I1058" s="8" t="n">
        <v>11.07</v>
      </c>
      <c r="J1058" s="8" t="n"/>
      <c r="K1058" s="7" t="inlineStr">
        <is>
          <t>SEM COTAÇÃO</t>
        </is>
      </c>
      <c r="L1058" s="8" t="n"/>
      <c r="M1058" s="12" t="n"/>
      <c r="N1058" s="7" t="inlineStr"/>
      <c r="O1058" s="7" t="inlineStr"/>
    </row>
    <row r="1059">
      <c r="A1059" s="7" t="n">
        <v>631421</v>
      </c>
      <c r="B1059" s="10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1" t="n">
        <v>1</v>
      </c>
      <c r="G1059" s="11" t="n">
        <v>1</v>
      </c>
      <c r="H1059" s="8" t="n">
        <v>7.44</v>
      </c>
      <c r="I1059" s="8" t="n">
        <v>7.44</v>
      </c>
      <c r="J1059" s="8" t="n"/>
      <c r="K1059" s="7" t="inlineStr">
        <is>
          <t>SEM COTAÇÃO</t>
        </is>
      </c>
      <c r="L1059" s="8" t="n"/>
      <c r="M1059" s="12" t="n"/>
      <c r="N1059" s="7" t="inlineStr"/>
      <c r="O1059" s="7" t="inlineStr"/>
    </row>
    <row r="1060">
      <c r="A1060" s="7" t="n">
        <v>603081</v>
      </c>
      <c r="B1060" s="10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1" t="n">
        <v>1</v>
      </c>
      <c r="G1060" s="11" t="n">
        <v>1</v>
      </c>
      <c r="H1060" s="8" t="n">
        <v>25.2542</v>
      </c>
      <c r="I1060" s="8" t="n">
        <v>25.2542</v>
      </c>
      <c r="J1060" s="8" t="n"/>
      <c r="K1060" s="7" t="inlineStr">
        <is>
          <t>SEM COTAÇÃO</t>
        </is>
      </c>
      <c r="L1060" s="8" t="n"/>
      <c r="M1060" s="12" t="n"/>
      <c r="N1060" s="7" t="inlineStr"/>
      <c r="O1060" s="7" t="inlineStr"/>
    </row>
    <row r="1061">
      <c r="A1061" s="7" t="n">
        <v>616901</v>
      </c>
      <c r="B1061" s="10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1" t="n">
        <v>1</v>
      </c>
      <c r="G1061" s="11" t="n">
        <v>1</v>
      </c>
      <c r="H1061" s="8" t="n">
        <v>8.48</v>
      </c>
      <c r="I1061" s="8" t="n">
        <v>8.48</v>
      </c>
      <c r="J1061" s="8" t="n"/>
      <c r="K1061" s="7" t="inlineStr">
        <is>
          <t>SEM COTAÇÃO</t>
        </is>
      </c>
      <c r="L1061" s="8" t="n"/>
      <c r="M1061" s="12" t="n"/>
      <c r="N1061" s="7" t="inlineStr"/>
      <c r="O1061" s="7" t="inlineStr"/>
    </row>
    <row r="1062">
      <c r="A1062" s="7" t="n">
        <v>615261</v>
      </c>
      <c r="B1062" s="10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1" t="n">
        <v>1</v>
      </c>
      <c r="G1062" s="11" t="n">
        <v>1</v>
      </c>
      <c r="H1062" s="8" t="n">
        <v>9.84</v>
      </c>
      <c r="I1062" s="8" t="n">
        <v>9.84</v>
      </c>
      <c r="J1062" s="8" t="n"/>
      <c r="K1062" s="7" t="inlineStr">
        <is>
          <t>SEM COTAÇÃO</t>
        </is>
      </c>
      <c r="L1062" s="8" t="n"/>
      <c r="M1062" s="12" t="n"/>
      <c r="N1062" s="7" t="inlineStr"/>
      <c r="O1062" s="7" t="inlineStr"/>
    </row>
    <row r="1063">
      <c r="A1063" s="7" t="n">
        <v>615271</v>
      </c>
      <c r="B1063" s="10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1" t="n">
        <v>1</v>
      </c>
      <c r="G1063" s="11" t="n">
        <v>1</v>
      </c>
      <c r="H1063" s="8" t="n">
        <v>8.4533</v>
      </c>
      <c r="I1063" s="8" t="n">
        <v>8.4533</v>
      </c>
      <c r="J1063" s="8" t="n"/>
      <c r="K1063" s="7" t="inlineStr">
        <is>
          <t>SEM COTAÇÃO</t>
        </is>
      </c>
      <c r="L1063" s="8" t="n"/>
      <c r="M1063" s="12" t="n"/>
      <c r="N1063" s="7" t="inlineStr"/>
      <c r="O1063" s="7" t="inlineStr"/>
    </row>
    <row r="1064">
      <c r="A1064" s="7" t="n">
        <v>637071</v>
      </c>
      <c r="B1064" s="10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1" t="n">
        <v>4</v>
      </c>
      <c r="G1064" s="11" t="n">
        <v>4</v>
      </c>
      <c r="H1064" s="8" t="n">
        <v>9.289999999999999</v>
      </c>
      <c r="I1064" s="8" t="n">
        <v>7.95</v>
      </c>
      <c r="J1064" s="8" t="n"/>
      <c r="K1064" s="7" t="inlineStr">
        <is>
          <t>SEM COTAÇÃO</t>
        </is>
      </c>
      <c r="L1064" s="8" t="n"/>
      <c r="M1064" s="12" t="n"/>
      <c r="N1064" s="7" t="inlineStr"/>
      <c r="O1064" s="7" t="inlineStr"/>
    </row>
    <row r="1065">
      <c r="A1065" s="7" t="n">
        <v>615791</v>
      </c>
      <c r="B1065" s="10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1" t="n">
        <v>7</v>
      </c>
      <c r="G1065" s="11" t="n">
        <v>7</v>
      </c>
      <c r="H1065" s="8" t="n">
        <v>9.289999999999999</v>
      </c>
      <c r="I1065" s="8" t="n">
        <v>7.95</v>
      </c>
      <c r="J1065" s="8" t="n"/>
      <c r="K1065" s="7" t="inlineStr">
        <is>
          <t>SEM COTAÇÃO</t>
        </is>
      </c>
      <c r="L1065" s="8" t="n"/>
      <c r="M1065" s="12" t="n"/>
      <c r="N1065" s="7" t="inlineStr"/>
      <c r="O1065" s="7" t="inlineStr"/>
    </row>
    <row r="1066">
      <c r="A1066" s="7" t="n">
        <v>637081</v>
      </c>
      <c r="B1066" s="10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1" t="n">
        <v>3</v>
      </c>
      <c r="G1066" s="11" t="n">
        <v>3</v>
      </c>
      <c r="H1066" s="8" t="n">
        <v>9.289999999999999</v>
      </c>
      <c r="I1066" s="8" t="n">
        <v>7.95</v>
      </c>
      <c r="J1066" s="8" t="n"/>
      <c r="K1066" s="7" t="inlineStr">
        <is>
          <t>SEM COTAÇÃO</t>
        </is>
      </c>
      <c r="L1066" s="8" t="n"/>
      <c r="M1066" s="12" t="n"/>
      <c r="N1066" s="7" t="inlineStr"/>
      <c r="O1066" s="7" t="inlineStr"/>
    </row>
    <row r="1067">
      <c r="A1067" s="7" t="n">
        <v>625391</v>
      </c>
      <c r="B1067" s="10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1" t="n">
        <v>3</v>
      </c>
      <c r="G1067" s="11" t="n">
        <v>3</v>
      </c>
      <c r="H1067" s="8" t="n">
        <v>7.95</v>
      </c>
      <c r="I1067" s="8" t="n">
        <v>7.95</v>
      </c>
      <c r="J1067" s="8" t="n"/>
      <c r="K1067" s="7" t="inlineStr">
        <is>
          <t>SEM COTAÇÃO</t>
        </is>
      </c>
      <c r="L1067" s="8" t="n"/>
      <c r="M1067" s="12" t="n"/>
      <c r="N1067" s="7" t="inlineStr"/>
      <c r="O1067" s="7" t="inlineStr"/>
    </row>
    <row r="1068">
      <c r="A1068" s="7" t="n">
        <v>637091</v>
      </c>
      <c r="B1068" s="10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1" t="n">
        <v>2</v>
      </c>
      <c r="G1068" s="11" t="n">
        <v>2</v>
      </c>
      <c r="H1068" s="8" t="n">
        <v>9.289999999999999</v>
      </c>
      <c r="I1068" s="8" t="n">
        <v>7.95</v>
      </c>
      <c r="J1068" s="8" t="n"/>
      <c r="K1068" s="7" t="inlineStr">
        <is>
          <t>SEM COTAÇÃO</t>
        </is>
      </c>
      <c r="L1068" s="8" t="n"/>
      <c r="M1068" s="12" t="n"/>
      <c r="N1068" s="7" t="inlineStr"/>
      <c r="O1068" s="7" t="inlineStr"/>
    </row>
    <row r="1069">
      <c r="A1069" s="7" t="n">
        <v>637101</v>
      </c>
      <c r="B1069" s="10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1" t="n">
        <v>2</v>
      </c>
      <c r="G1069" s="11" t="n">
        <v>2</v>
      </c>
      <c r="H1069" s="8" t="n">
        <v>8.02</v>
      </c>
      <c r="I1069" s="8" t="n">
        <v>8.02</v>
      </c>
      <c r="J1069" s="8" t="n"/>
      <c r="K1069" s="7" t="inlineStr">
        <is>
          <t>SEM COTAÇÃO</t>
        </is>
      </c>
      <c r="L1069" s="8" t="n"/>
      <c r="M1069" s="12" t="n"/>
      <c r="N1069" s="7" t="inlineStr"/>
      <c r="O1069" s="7" t="inlineStr"/>
    </row>
    <row r="1070">
      <c r="A1070" s="7" t="n">
        <v>625411</v>
      </c>
      <c r="B1070" s="10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1" t="n">
        <v>4</v>
      </c>
      <c r="G1070" s="11" t="n">
        <v>4</v>
      </c>
      <c r="H1070" s="8" t="n">
        <v>9.289999999999999</v>
      </c>
      <c r="I1070" s="8" t="n">
        <v>7.95</v>
      </c>
      <c r="J1070" s="8" t="n"/>
      <c r="K1070" s="7" t="inlineStr">
        <is>
          <t>SEM COTAÇÃO</t>
        </is>
      </c>
      <c r="L1070" s="8" t="n"/>
      <c r="M1070" s="12" t="n"/>
      <c r="N1070" s="7" t="inlineStr"/>
      <c r="O1070" s="7" t="inlineStr"/>
    </row>
    <row r="1071">
      <c r="A1071" s="7" t="n">
        <v>637111</v>
      </c>
      <c r="B1071" s="10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1" t="n">
        <v>1</v>
      </c>
      <c r="G1071" s="11" t="n">
        <v>1</v>
      </c>
      <c r="H1071" s="8" t="n">
        <v>8.02</v>
      </c>
      <c r="I1071" s="8" t="n">
        <v>8.02</v>
      </c>
      <c r="J1071" s="8" t="n"/>
      <c r="K1071" s="7" t="inlineStr">
        <is>
          <t>SEM COTAÇÃO</t>
        </is>
      </c>
      <c r="L1071" s="8" t="n"/>
      <c r="M1071" s="12" t="n"/>
      <c r="N1071" s="7" t="inlineStr"/>
      <c r="O1071" s="7" t="inlineStr"/>
    </row>
    <row r="1072">
      <c r="A1072" s="7" t="n">
        <v>617241</v>
      </c>
      <c r="B1072" s="10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1" t="n">
        <v>1</v>
      </c>
      <c r="G1072" s="11" t="n">
        <v>1</v>
      </c>
      <c r="H1072" s="8" t="n">
        <v>10.875</v>
      </c>
      <c r="I1072" s="8" t="n">
        <v>10.875</v>
      </c>
      <c r="J1072" s="8" t="n"/>
      <c r="K1072" s="7" t="inlineStr">
        <is>
          <t>SEM COTAÇÃO</t>
        </is>
      </c>
      <c r="L1072" s="8" t="n"/>
      <c r="M1072" s="12" t="n"/>
      <c r="N1072" s="7" t="inlineStr"/>
      <c r="O1072" s="7" t="inlineStr"/>
    </row>
    <row r="1073">
      <c r="A1073" s="7" t="n">
        <v>1943</v>
      </c>
      <c r="B1073" s="10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1" t="n">
        <v>1</v>
      </c>
      <c r="G1073" s="11" t="n">
        <v>1</v>
      </c>
      <c r="H1073" s="8" t="n">
        <v>3.86</v>
      </c>
      <c r="I1073" s="8" t="n">
        <v>3.86</v>
      </c>
      <c r="J1073" s="8" t="n"/>
      <c r="K1073" s="7" t="inlineStr">
        <is>
          <t>SEM COTAÇÃO</t>
        </is>
      </c>
      <c r="L1073" s="8" t="n"/>
      <c r="M1073" s="12" t="n"/>
      <c r="N1073" s="7" t="inlineStr"/>
      <c r="O1073" s="7" t="inlineStr"/>
    </row>
    <row r="1074">
      <c r="A1074" s="7" t="n">
        <v>568501</v>
      </c>
      <c r="B1074" s="10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1" t="n">
        <v>5</v>
      </c>
      <c r="G1074" s="11" t="n">
        <v>5</v>
      </c>
      <c r="H1074" s="8" t="n">
        <v>7.3229</v>
      </c>
      <c r="I1074" s="8" t="n">
        <v>7.04</v>
      </c>
      <c r="J1074" s="8" t="n"/>
      <c r="K1074" s="7" t="inlineStr">
        <is>
          <t>SEM COTAÇÃO</t>
        </is>
      </c>
      <c r="L1074" s="8" t="n"/>
      <c r="M1074" s="12" t="n"/>
      <c r="N1074" s="7" t="inlineStr"/>
      <c r="O1074" s="7" t="inlineStr"/>
    </row>
    <row r="1075">
      <c r="A1075" s="7" t="n">
        <v>623871</v>
      </c>
      <c r="B1075" s="10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1" t="n">
        <v>1</v>
      </c>
      <c r="G1075" s="11" t="n">
        <v>1</v>
      </c>
      <c r="H1075" s="8" t="n">
        <v>12.0233</v>
      </c>
      <c r="I1075" s="8" t="n">
        <v>12.0233</v>
      </c>
      <c r="J1075" s="8" t="n"/>
      <c r="K1075" s="7" t="inlineStr">
        <is>
          <t>SEM COTAÇÃO</t>
        </is>
      </c>
      <c r="L1075" s="8" t="n"/>
      <c r="M1075" s="12" t="n"/>
      <c r="N1075" s="7" t="inlineStr"/>
      <c r="O1075" s="7" t="inlineStr"/>
    </row>
    <row r="1076">
      <c r="A1076" s="7" t="n">
        <v>14403</v>
      </c>
      <c r="B1076" s="10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1" t="n">
        <v>2</v>
      </c>
      <c r="G1076" s="11" t="n">
        <v>2</v>
      </c>
      <c r="H1076" s="8" t="n">
        <v>6.1854</v>
      </c>
      <c r="I1076" s="8" t="n">
        <v>6.1854</v>
      </c>
      <c r="J1076" s="8" t="n"/>
      <c r="K1076" s="7" t="inlineStr">
        <is>
          <t>SEM COTAÇÃO</t>
        </is>
      </c>
      <c r="L1076" s="8" t="n"/>
      <c r="M1076" s="12" t="n"/>
      <c r="N1076" s="7" t="inlineStr"/>
      <c r="O1076" s="7" t="inlineStr"/>
    </row>
    <row r="1077">
      <c r="A1077" s="7" t="n">
        <v>623881</v>
      </c>
      <c r="B1077" s="10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1" t="n">
        <v>6</v>
      </c>
      <c r="G1077" s="11" t="n">
        <v>6</v>
      </c>
      <c r="H1077" s="8" t="n">
        <v>6.13</v>
      </c>
      <c r="I1077" s="8" t="n">
        <v>6.13</v>
      </c>
      <c r="J1077" s="8" t="n"/>
      <c r="K1077" s="7" t="inlineStr">
        <is>
          <t>SEM COTAÇÃO</t>
        </is>
      </c>
      <c r="L1077" s="8" t="n"/>
      <c r="M1077" s="12" t="n"/>
      <c r="N1077" s="7" t="inlineStr"/>
      <c r="O1077" s="7" t="inlineStr"/>
    </row>
    <row r="1078">
      <c r="A1078" s="7" t="n">
        <v>610131</v>
      </c>
      <c r="B1078" s="10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1" t="n">
        <v>1</v>
      </c>
      <c r="G1078" s="11" t="n">
        <v>1</v>
      </c>
      <c r="H1078" s="8" t="n">
        <v>9.5092</v>
      </c>
      <c r="I1078" s="8" t="n">
        <v>9.5092</v>
      </c>
      <c r="J1078" s="8" t="n"/>
      <c r="K1078" s="7" t="inlineStr">
        <is>
          <t>SEM COTAÇÃO</t>
        </is>
      </c>
      <c r="L1078" s="8" t="n"/>
      <c r="M1078" s="12" t="n"/>
      <c r="N1078" s="7" t="inlineStr"/>
      <c r="O1078" s="7" t="inlineStr"/>
    </row>
    <row r="1079">
      <c r="A1079" s="7" t="n">
        <v>610121</v>
      </c>
      <c r="B1079" s="10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1" t="n">
        <v>6</v>
      </c>
      <c r="G1079" s="11" t="n">
        <v>6</v>
      </c>
      <c r="H1079" s="8" t="n">
        <v>12.0075</v>
      </c>
      <c r="I1079" s="8" t="n">
        <v>10.1467</v>
      </c>
      <c r="J1079" s="8" t="n"/>
      <c r="K1079" s="7" t="inlineStr">
        <is>
          <t>SEM COTAÇÃO</t>
        </is>
      </c>
      <c r="L1079" s="8" t="n"/>
      <c r="M1079" s="12" t="n"/>
      <c r="N1079" s="7" t="inlineStr"/>
      <c r="O1079" s="7" t="inlineStr"/>
    </row>
    <row r="1080">
      <c r="A1080" s="7" t="n">
        <v>635291</v>
      </c>
      <c r="B1080" s="10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1" t="n">
        <v>3</v>
      </c>
      <c r="G1080" s="11" t="n">
        <v>3</v>
      </c>
      <c r="H1080" s="8" t="n">
        <v>16.2583</v>
      </c>
      <c r="I1080" s="8" t="n">
        <v>16.2583</v>
      </c>
      <c r="J1080" s="8" t="n"/>
      <c r="K1080" s="7" t="inlineStr">
        <is>
          <t>SEM COTAÇÃO</t>
        </is>
      </c>
      <c r="L1080" s="8" t="n"/>
      <c r="M1080" s="12" t="n"/>
      <c r="N1080" s="7" t="inlineStr"/>
      <c r="O1080" s="7" t="inlineStr"/>
    </row>
    <row r="1081">
      <c r="A1081" s="7" t="n">
        <v>662211</v>
      </c>
      <c r="B1081" s="10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1" t="n">
        <v>1</v>
      </c>
      <c r="G1081" s="11" t="n">
        <v>1</v>
      </c>
      <c r="H1081" s="8" t="n">
        <v>10.925</v>
      </c>
      <c r="I1081" s="8" t="n">
        <v>10.925</v>
      </c>
      <c r="J1081" s="8" t="n"/>
      <c r="K1081" s="7" t="inlineStr">
        <is>
          <t>SEM COTAÇÃO</t>
        </is>
      </c>
      <c r="L1081" s="8" t="n"/>
      <c r="M1081" s="12" t="n"/>
      <c r="N1081" s="7" t="inlineStr"/>
      <c r="O1081" s="7" t="inlineStr"/>
    </row>
    <row r="1082">
      <c r="A1082" s="7" t="n">
        <v>660751</v>
      </c>
      <c r="B1082" s="10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1" t="n">
        <v>2</v>
      </c>
      <c r="G1082" s="11" t="n">
        <v>2</v>
      </c>
      <c r="H1082" s="8" t="n">
        <v>19.96</v>
      </c>
      <c r="I1082" s="8" t="n">
        <v>19.96</v>
      </c>
      <c r="J1082" s="8" t="n"/>
      <c r="K1082" s="7" t="inlineStr">
        <is>
          <t>SEM COTAÇÃO</t>
        </is>
      </c>
      <c r="L1082" s="8" t="n"/>
      <c r="M1082" s="12" t="n"/>
      <c r="N1082" s="7" t="inlineStr"/>
      <c r="O1082" s="7" t="inlineStr"/>
    </row>
    <row r="1083">
      <c r="A1083" s="7" t="n">
        <v>654081</v>
      </c>
      <c r="B1083" s="10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1" t="n">
        <v>1</v>
      </c>
      <c r="G1083" s="11" t="n">
        <v>1</v>
      </c>
      <c r="H1083" s="8" t="n">
        <v>14.2</v>
      </c>
      <c r="I1083" s="8" t="n">
        <v>14.2</v>
      </c>
      <c r="J1083" s="8" t="n"/>
      <c r="K1083" s="7" t="inlineStr">
        <is>
          <t>SEM COTAÇÃO</t>
        </is>
      </c>
      <c r="L1083" s="8" t="n"/>
      <c r="M1083" s="12" t="n"/>
      <c r="N1083" s="7" t="inlineStr"/>
      <c r="O1083" s="7" t="inlineStr"/>
    </row>
    <row r="1084">
      <c r="A1084" s="7" t="n">
        <v>594501</v>
      </c>
      <c r="B1084" s="10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1" t="n">
        <v>8</v>
      </c>
      <c r="G1084" s="11" t="n">
        <v>8</v>
      </c>
      <c r="H1084" s="8" t="n">
        <v>21.63</v>
      </c>
      <c r="I1084" s="8" t="n">
        <v>20.9125</v>
      </c>
      <c r="J1084" s="8" t="n"/>
      <c r="K1084" s="7" t="inlineStr">
        <is>
          <t>SEM COTAÇÃO</t>
        </is>
      </c>
      <c r="L1084" s="8" t="n"/>
      <c r="M1084" s="12" t="n"/>
      <c r="N1084" s="7" t="inlineStr"/>
      <c r="O1084" s="7" t="inlineStr"/>
    </row>
    <row r="1085">
      <c r="A1085" s="7" t="n">
        <v>594521</v>
      </c>
      <c r="B1085" s="10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1" t="n">
        <v>8</v>
      </c>
      <c r="G1085" s="11" t="n">
        <v>8</v>
      </c>
      <c r="H1085" s="8" t="n">
        <v>23.392</v>
      </c>
      <c r="I1085" s="8" t="n">
        <v>20.9117</v>
      </c>
      <c r="J1085" s="8" t="n"/>
      <c r="K1085" s="7" t="inlineStr">
        <is>
          <t>SEM COTAÇÃO</t>
        </is>
      </c>
      <c r="L1085" s="8" t="n"/>
      <c r="M1085" s="12" t="n"/>
      <c r="N1085" s="7" t="inlineStr"/>
      <c r="O1085" s="7" t="inlineStr"/>
    </row>
    <row r="1086">
      <c r="A1086" s="7" t="n">
        <v>628781</v>
      </c>
      <c r="B1086" s="10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1" t="n">
        <v>1</v>
      </c>
      <c r="G1086" s="11" t="n">
        <v>1</v>
      </c>
      <c r="H1086" s="8" t="n">
        <v>13.51</v>
      </c>
      <c r="I1086" s="8" t="n">
        <v>13.51</v>
      </c>
      <c r="J1086" s="8" t="n"/>
      <c r="K1086" s="7" t="inlineStr">
        <is>
          <t>SEM COTAÇÃO</t>
        </is>
      </c>
      <c r="L1086" s="8" t="n"/>
      <c r="M1086" s="12" t="n"/>
      <c r="N1086" s="7" t="inlineStr"/>
      <c r="O1086" s="7" t="inlineStr"/>
    </row>
    <row r="1087">
      <c r="A1087" s="7" t="n">
        <v>628771</v>
      </c>
      <c r="B1087" s="10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1" t="n">
        <v>1</v>
      </c>
      <c r="G1087" s="11" t="n">
        <v>1</v>
      </c>
      <c r="H1087" s="8" t="n">
        <v>12.76</v>
      </c>
      <c r="I1087" s="8" t="n">
        <v>12.76</v>
      </c>
      <c r="J1087" s="8" t="n"/>
      <c r="K1087" s="7" t="inlineStr">
        <is>
          <t>SEM COTAÇÃO</t>
        </is>
      </c>
      <c r="L1087" s="8" t="n"/>
      <c r="M1087" s="12" t="n"/>
      <c r="N1087" s="7" t="inlineStr"/>
      <c r="O1087" s="7" t="inlineStr"/>
    </row>
    <row r="1088">
      <c r="A1088" s="7" t="n">
        <v>628761</v>
      </c>
      <c r="B1088" s="10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1" t="n">
        <v>1</v>
      </c>
      <c r="G1088" s="11" t="n">
        <v>1</v>
      </c>
      <c r="H1088" s="8" t="n">
        <v>12.76</v>
      </c>
      <c r="I1088" s="8" t="n">
        <v>12.76</v>
      </c>
      <c r="J1088" s="8" t="n"/>
      <c r="K1088" s="7" t="inlineStr">
        <is>
          <t>SEM COTAÇÃO</t>
        </is>
      </c>
      <c r="L1088" s="8" t="n"/>
      <c r="M1088" s="12" t="n"/>
      <c r="N1088" s="7" t="inlineStr"/>
      <c r="O1088" s="7" t="inlineStr"/>
    </row>
    <row r="1089">
      <c r="A1089" s="7" t="n">
        <v>594271</v>
      </c>
      <c r="B1089" s="10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1" t="n">
        <v>1</v>
      </c>
      <c r="G1089" s="11" t="n">
        <v>1</v>
      </c>
      <c r="H1089" s="8" t="n">
        <v>13.41</v>
      </c>
      <c r="I1089" s="8" t="n">
        <v>13.41</v>
      </c>
      <c r="J1089" s="8" t="n"/>
      <c r="K1089" s="7" t="inlineStr">
        <is>
          <t>SEM COTAÇÃO</t>
        </is>
      </c>
      <c r="L1089" s="8" t="n"/>
      <c r="M1089" s="12" t="n"/>
      <c r="N1089" s="7" t="inlineStr"/>
      <c r="O1089" s="7" t="inlineStr"/>
    </row>
    <row r="1090">
      <c r="A1090" s="7" t="n">
        <v>556501</v>
      </c>
      <c r="B1090" s="10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1" t="n">
        <v>18</v>
      </c>
      <c r="G1090" s="11" t="n">
        <v>18</v>
      </c>
      <c r="H1090" s="8" t="n">
        <v>14.24</v>
      </c>
      <c r="I1090" s="8" t="n">
        <v>8.833299999999999</v>
      </c>
      <c r="J1090" s="8" t="n"/>
      <c r="K1090" s="7" t="inlineStr">
        <is>
          <t>SEM COTAÇÃO</t>
        </is>
      </c>
      <c r="L1090" s="8" t="n"/>
      <c r="M1090" s="12" t="n"/>
      <c r="N1090" s="7" t="inlineStr"/>
      <c r="O1090" s="7" t="inlineStr"/>
    </row>
    <row r="1091">
      <c r="A1091" s="7" t="n">
        <v>615291</v>
      </c>
      <c r="B1091" s="10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1" t="n">
        <v>1</v>
      </c>
      <c r="G1091" s="11" t="n">
        <v>1</v>
      </c>
      <c r="H1091" s="8" t="n">
        <v>12.09</v>
      </c>
      <c r="I1091" s="8" t="n">
        <v>12.09</v>
      </c>
      <c r="J1091" s="8" t="n"/>
      <c r="K1091" s="7" t="inlineStr">
        <is>
          <t>SEM COTAÇÃO</t>
        </is>
      </c>
      <c r="L1091" s="8" t="n"/>
      <c r="M1091" s="12" t="n"/>
      <c r="N1091" s="7" t="inlineStr"/>
      <c r="O1091" s="7" t="inlineStr"/>
    </row>
    <row r="1092">
      <c r="A1092" s="7" t="n">
        <v>576481</v>
      </c>
      <c r="B1092" s="10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1" t="n">
        <v>4</v>
      </c>
      <c r="G1092" s="11" t="n">
        <v>4</v>
      </c>
      <c r="H1092" s="8" t="n">
        <v>29.8083</v>
      </c>
      <c r="I1092" s="8" t="n">
        <v>29.8083</v>
      </c>
      <c r="J1092" s="8" t="n"/>
      <c r="K1092" s="7" t="inlineStr">
        <is>
          <t>SEM COTAÇÃO</t>
        </is>
      </c>
      <c r="L1092" s="8" t="n"/>
      <c r="M1092" s="12" t="n"/>
      <c r="N1092" s="7" t="inlineStr"/>
      <c r="O1092" s="7" t="inlineStr"/>
    </row>
    <row r="1093">
      <c r="A1093" s="7" t="n">
        <v>616961</v>
      </c>
      <c r="B1093" s="10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1" t="n">
        <v>1</v>
      </c>
      <c r="G1093" s="11" t="n">
        <v>1</v>
      </c>
      <c r="H1093" s="8" t="n">
        <v>4.57</v>
      </c>
      <c r="I1093" s="8" t="n">
        <v>4.57</v>
      </c>
      <c r="J1093" s="8" t="n"/>
      <c r="K1093" s="7" t="inlineStr">
        <is>
          <t>SEM COTAÇÃO</t>
        </is>
      </c>
      <c r="L1093" s="8" t="n"/>
      <c r="M1093" s="12" t="n"/>
      <c r="N1093" s="7" t="inlineStr"/>
      <c r="O1093" s="7" t="inlineStr"/>
    </row>
    <row r="1094">
      <c r="A1094" s="7" t="n">
        <v>597061</v>
      </c>
      <c r="B1094" s="10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1" t="n">
        <v>1</v>
      </c>
      <c r="G1094" s="11" t="n">
        <v>1</v>
      </c>
      <c r="H1094" s="8" t="n">
        <v>7.1</v>
      </c>
      <c r="I1094" s="8" t="n">
        <v>7.1</v>
      </c>
      <c r="J1094" s="8" t="n"/>
      <c r="K1094" s="7" t="inlineStr">
        <is>
          <t>SEM COTAÇÃO</t>
        </is>
      </c>
      <c r="L1094" s="8" t="n"/>
      <c r="M1094" s="12" t="n"/>
      <c r="N1094" s="7" t="inlineStr"/>
      <c r="O1094" s="7" t="inlineStr"/>
    </row>
    <row r="1095">
      <c r="A1095" s="7" t="n">
        <v>597081</v>
      </c>
      <c r="B1095" s="10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1" t="n">
        <v>1</v>
      </c>
      <c r="G1095" s="11" t="n">
        <v>1</v>
      </c>
      <c r="H1095" s="8" t="n">
        <v>10.07</v>
      </c>
      <c r="I1095" s="8" t="n">
        <v>10.07</v>
      </c>
      <c r="J1095" s="8" t="n"/>
      <c r="K1095" s="7" t="inlineStr">
        <is>
          <t>SEM COTAÇÃO</t>
        </is>
      </c>
      <c r="L1095" s="8" t="n"/>
      <c r="M1095" s="12" t="n"/>
      <c r="N1095" s="7" t="inlineStr"/>
      <c r="O1095" s="7" t="inlineStr"/>
    </row>
    <row r="1096">
      <c r="A1096" s="7" t="n">
        <v>597101</v>
      </c>
      <c r="B1096" s="10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1" t="n">
        <v>1</v>
      </c>
      <c r="G1096" s="11" t="n">
        <v>1</v>
      </c>
      <c r="H1096" s="8" t="n">
        <v>6.62</v>
      </c>
      <c r="I1096" s="8" t="n">
        <v>6.62</v>
      </c>
      <c r="J1096" s="8" t="n"/>
      <c r="K1096" s="7" t="inlineStr">
        <is>
          <t>SEM COTAÇÃO</t>
        </is>
      </c>
      <c r="L1096" s="8" t="n"/>
      <c r="M1096" s="12" t="n"/>
      <c r="N1096" s="7" t="inlineStr"/>
      <c r="O1096" s="7" t="inlineStr"/>
    </row>
    <row r="1097">
      <c r="A1097" s="7" t="n">
        <v>610221</v>
      </c>
      <c r="B1097" s="10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1" t="n">
        <v>1</v>
      </c>
      <c r="G1097" s="11" t="n">
        <v>1</v>
      </c>
      <c r="H1097" s="8" t="n">
        <v>5.79</v>
      </c>
      <c r="I1097" s="8" t="n">
        <v>5.79</v>
      </c>
      <c r="J1097" s="8" t="n"/>
      <c r="K1097" s="7" t="inlineStr">
        <is>
          <t>SEM COTAÇÃO</t>
        </is>
      </c>
      <c r="L1097" s="8" t="n"/>
      <c r="M1097" s="12" t="n"/>
      <c r="N1097" s="7" t="inlineStr"/>
      <c r="O1097" s="7" t="inlineStr"/>
    </row>
    <row r="1098">
      <c r="A1098" s="7" t="n">
        <v>600941</v>
      </c>
      <c r="B1098" s="10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1" t="n">
        <v>1</v>
      </c>
      <c r="G1098" s="11" t="n">
        <v>1</v>
      </c>
      <c r="H1098" s="8" t="n">
        <v>5.79</v>
      </c>
      <c r="I1098" s="8" t="n">
        <v>5.79</v>
      </c>
      <c r="J1098" s="8" t="n"/>
      <c r="K1098" s="7" t="inlineStr">
        <is>
          <t>SEM COTAÇÃO</t>
        </is>
      </c>
      <c r="L1098" s="8" t="n"/>
      <c r="M1098" s="12" t="n"/>
      <c r="N1098" s="7" t="inlineStr"/>
      <c r="O1098" s="7" t="inlineStr"/>
    </row>
    <row r="1099">
      <c r="A1099" s="7" t="n">
        <v>610231</v>
      </c>
      <c r="B1099" s="10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1" t="n">
        <v>1</v>
      </c>
      <c r="G1099" s="11" t="n">
        <v>1</v>
      </c>
      <c r="H1099" s="8" t="n">
        <v>6.18</v>
      </c>
      <c r="I1099" s="8" t="n">
        <v>6.18</v>
      </c>
      <c r="J1099" s="8" t="n"/>
      <c r="K1099" s="7" t="inlineStr">
        <is>
          <t>SEM COTAÇÃO</t>
        </is>
      </c>
      <c r="L1099" s="8" t="n"/>
      <c r="M1099" s="12" t="n"/>
      <c r="N1099" s="7" t="inlineStr"/>
      <c r="O1099" s="7" t="inlineStr"/>
    </row>
    <row r="1100">
      <c r="A1100" s="7" t="n">
        <v>610241</v>
      </c>
      <c r="B1100" s="10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1" t="n">
        <v>1</v>
      </c>
      <c r="G1100" s="11" t="n">
        <v>1</v>
      </c>
      <c r="H1100" s="8" t="n">
        <v>7</v>
      </c>
      <c r="I1100" s="8" t="n">
        <v>7</v>
      </c>
      <c r="J1100" s="8" t="n"/>
      <c r="K1100" s="7" t="inlineStr">
        <is>
          <t>SEM COTAÇÃO</t>
        </is>
      </c>
      <c r="L1100" s="8" t="n"/>
      <c r="M1100" s="12" t="n"/>
      <c r="N1100" s="7" t="inlineStr"/>
      <c r="O1100" s="7" t="inlineStr"/>
    </row>
    <row r="1101">
      <c r="A1101" s="7" t="n">
        <v>610251</v>
      </c>
      <c r="B1101" s="10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1" t="n">
        <v>1</v>
      </c>
      <c r="G1101" s="11" t="n">
        <v>1</v>
      </c>
      <c r="H1101" s="8" t="n">
        <v>5.82</v>
      </c>
      <c r="I1101" s="8" t="n">
        <v>5.82</v>
      </c>
      <c r="J1101" s="8" t="n"/>
      <c r="K1101" s="7" t="inlineStr">
        <is>
          <t>SEM COTAÇÃO</t>
        </is>
      </c>
      <c r="L1101" s="8" t="n"/>
      <c r="M1101" s="12" t="n"/>
      <c r="N1101" s="7" t="inlineStr"/>
      <c r="O1101" s="7" t="inlineStr"/>
    </row>
    <row r="1102">
      <c r="A1102" s="7" t="n">
        <v>685601</v>
      </c>
      <c r="B1102" s="10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1" t="n">
        <v>1</v>
      </c>
      <c r="G1102" s="11" t="n">
        <v>1</v>
      </c>
      <c r="H1102" s="8" t="n">
        <v>22.7</v>
      </c>
      <c r="I1102" s="8" t="n">
        <v>22.7</v>
      </c>
      <c r="J1102" s="8" t="n"/>
      <c r="K1102" s="7" t="inlineStr">
        <is>
          <t>SEM COTAÇÃO</t>
        </is>
      </c>
      <c r="L1102" s="8" t="n"/>
      <c r="M1102" s="12" t="n"/>
      <c r="N1102" s="7" t="inlineStr"/>
      <c r="O1102" s="7" t="inlineStr"/>
    </row>
    <row r="1103">
      <c r="A1103" s="7" t="n">
        <v>685701</v>
      </c>
      <c r="B1103" s="10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1" t="n">
        <v>4</v>
      </c>
      <c r="G1103" s="11" t="n">
        <v>4</v>
      </c>
      <c r="H1103" s="8" t="n">
        <v>22.7</v>
      </c>
      <c r="I1103" s="8" t="n">
        <v>22.7</v>
      </c>
      <c r="J1103" s="8" t="n"/>
      <c r="K1103" s="7" t="inlineStr">
        <is>
          <t>SEM COTAÇÃO</t>
        </is>
      </c>
      <c r="L1103" s="8" t="n"/>
      <c r="M1103" s="12" t="n"/>
      <c r="N1103" s="7" t="inlineStr"/>
      <c r="O1103" s="7" t="inlineStr"/>
    </row>
    <row r="1104">
      <c r="A1104" s="7" t="n">
        <v>646291</v>
      </c>
      <c r="B1104" s="10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1" t="n">
        <v>1</v>
      </c>
      <c r="G1104" s="11" t="n">
        <v>1</v>
      </c>
      <c r="H1104" s="8" t="n">
        <v>23.18</v>
      </c>
      <c r="I1104" s="8" t="n">
        <v>23.18</v>
      </c>
      <c r="J1104" s="8" t="n"/>
      <c r="K1104" s="7" t="inlineStr">
        <is>
          <t>SEM COTAÇÃO</t>
        </is>
      </c>
      <c r="L1104" s="8" t="n"/>
      <c r="M1104" s="12" t="n"/>
      <c r="N1104" s="7" t="inlineStr"/>
      <c r="O1104" s="7" t="inlineStr"/>
    </row>
    <row r="1105">
      <c r="A1105" s="7" t="n">
        <v>646321</v>
      </c>
      <c r="B1105" s="10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1" t="n">
        <v>1</v>
      </c>
      <c r="G1105" s="11" t="n">
        <v>1</v>
      </c>
      <c r="H1105" s="8" t="n">
        <v>21.16</v>
      </c>
      <c r="I1105" s="8" t="n">
        <v>21.16</v>
      </c>
      <c r="J1105" s="8" t="n"/>
      <c r="K1105" s="7" t="inlineStr">
        <is>
          <t>SEM COTAÇÃO</t>
        </is>
      </c>
      <c r="L1105" s="8" t="n"/>
      <c r="M1105" s="12" t="n"/>
      <c r="N1105" s="7" t="inlineStr"/>
      <c r="O1105" s="7" t="inlineStr"/>
    </row>
    <row r="1106">
      <c r="A1106" s="7" t="n">
        <v>672041</v>
      </c>
      <c r="B1106" s="10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1" t="n">
        <v>3</v>
      </c>
      <c r="G1106" s="11" t="n">
        <v>3</v>
      </c>
      <c r="H1106" s="8" t="n">
        <v>14.75</v>
      </c>
      <c r="I1106" s="8" t="n">
        <v>14.14</v>
      </c>
      <c r="J1106" s="8" t="n"/>
      <c r="K1106" s="7" t="inlineStr">
        <is>
          <t>SEM COTAÇÃO</t>
        </is>
      </c>
      <c r="L1106" s="8" t="n"/>
      <c r="M1106" s="12" t="n"/>
      <c r="N1106" s="7" t="inlineStr"/>
      <c r="O1106" s="7" t="inlineStr"/>
    </row>
    <row r="1107">
      <c r="A1107" s="7" t="n">
        <v>658441</v>
      </c>
      <c r="B1107" s="10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1" t="n">
        <v>1</v>
      </c>
      <c r="G1107" s="11" t="n">
        <v>1</v>
      </c>
      <c r="H1107" s="8" t="n">
        <v>28.08</v>
      </c>
      <c r="I1107" s="8" t="n">
        <v>28.08</v>
      </c>
      <c r="J1107" s="8" t="n"/>
      <c r="K1107" s="7" t="inlineStr">
        <is>
          <t>SEM COTAÇÃO</t>
        </is>
      </c>
      <c r="L1107" s="8" t="n"/>
      <c r="M1107" s="12" t="n"/>
      <c r="N1107" s="7" t="inlineStr"/>
      <c r="O1107" s="7" t="inlineStr"/>
    </row>
    <row r="1108">
      <c r="A1108" s="7" t="n">
        <v>654161</v>
      </c>
      <c r="B1108" s="10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1" t="n">
        <v>2</v>
      </c>
      <c r="G1108" s="11" t="n">
        <v>2</v>
      </c>
      <c r="H1108" s="8" t="n">
        <v>23.95</v>
      </c>
      <c r="I1108" s="8" t="n">
        <v>23.48</v>
      </c>
      <c r="J1108" s="8" t="n"/>
      <c r="K1108" s="7" t="inlineStr">
        <is>
          <t>SEM COTAÇÃO</t>
        </is>
      </c>
      <c r="L1108" s="8" t="n"/>
      <c r="M1108" s="12" t="n"/>
      <c r="N1108" s="7" t="inlineStr"/>
      <c r="O1108" s="7" t="inlineStr"/>
    </row>
    <row r="1109">
      <c r="A1109" s="7" t="n">
        <v>657561</v>
      </c>
      <c r="B1109" s="10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1" t="n">
        <v>1</v>
      </c>
      <c r="G1109" s="11" t="n">
        <v>1</v>
      </c>
      <c r="H1109" s="8" t="n">
        <v>23.48</v>
      </c>
      <c r="I1109" s="8" t="n">
        <v>23.48</v>
      </c>
      <c r="J1109" s="8" t="n"/>
      <c r="K1109" s="7" t="inlineStr">
        <is>
          <t>SEM COTAÇÃO</t>
        </is>
      </c>
      <c r="L1109" s="8" t="n"/>
      <c r="M1109" s="12" t="n"/>
      <c r="N1109" s="7" t="inlineStr"/>
      <c r="O1109" s="7" t="inlineStr"/>
    </row>
    <row r="1110">
      <c r="A1110" s="7" t="n">
        <v>649231</v>
      </c>
      <c r="B1110" s="10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1" t="n">
        <v>4</v>
      </c>
      <c r="G1110" s="11" t="n">
        <v>4</v>
      </c>
      <c r="H1110" s="8" t="n">
        <v>10.7333</v>
      </c>
      <c r="I1110" s="8" t="n">
        <v>10.7333</v>
      </c>
      <c r="J1110" s="8" t="n"/>
      <c r="K1110" s="7" t="inlineStr">
        <is>
          <t>SEM COTAÇÃO</t>
        </is>
      </c>
      <c r="L1110" s="8" t="n"/>
      <c r="M1110" s="12" t="n"/>
      <c r="N1110" s="7" t="inlineStr"/>
      <c r="O1110" s="7" t="inlineStr"/>
    </row>
    <row r="1111">
      <c r="A1111" s="7" t="n">
        <v>649241</v>
      </c>
      <c r="B1111" s="10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1" t="n">
        <v>3</v>
      </c>
      <c r="G1111" s="11" t="n">
        <v>3</v>
      </c>
      <c r="H1111" s="8" t="n">
        <v>10.7333</v>
      </c>
      <c r="I1111" s="8" t="n">
        <v>10.7333</v>
      </c>
      <c r="J1111" s="8" t="n"/>
      <c r="K1111" s="7" t="inlineStr">
        <is>
          <t>SEM COTAÇÃO</t>
        </is>
      </c>
      <c r="L1111" s="8" t="n"/>
      <c r="M1111" s="12" t="n"/>
      <c r="N1111" s="7" t="inlineStr"/>
      <c r="O1111" s="7" t="inlineStr"/>
    </row>
    <row r="1112">
      <c r="A1112" s="7" t="n">
        <v>667371</v>
      </c>
      <c r="B1112" s="10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1" t="n">
        <v>2</v>
      </c>
      <c r="G1112" s="11" t="n">
        <v>2</v>
      </c>
      <c r="H1112" s="8" t="n">
        <v>13.29</v>
      </c>
      <c r="I1112" s="8" t="n">
        <v>13.29</v>
      </c>
      <c r="J1112" s="8" t="n"/>
      <c r="K1112" s="7" t="inlineStr">
        <is>
          <t>SEM COTAÇÃO</t>
        </is>
      </c>
      <c r="L1112" s="8" t="n"/>
      <c r="M1112" s="12" t="n"/>
      <c r="N1112" s="7" t="inlineStr"/>
      <c r="O1112" s="7" t="inlineStr"/>
    </row>
    <row r="1113">
      <c r="A1113" s="7" t="n">
        <v>637691</v>
      </c>
      <c r="B1113" s="10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1" t="n">
        <v>1</v>
      </c>
      <c r="G1113" s="11" t="n">
        <v>1</v>
      </c>
      <c r="H1113" s="8" t="n">
        <v>40.79</v>
      </c>
      <c r="I1113" s="8" t="n">
        <v>40.79</v>
      </c>
      <c r="J1113" s="8" t="n"/>
      <c r="K1113" s="7" t="inlineStr">
        <is>
          <t>SEM COTAÇÃO</t>
        </is>
      </c>
      <c r="L1113" s="8" t="n"/>
      <c r="M1113" s="12" t="n"/>
      <c r="N1113" s="7" t="inlineStr"/>
      <c r="O1113" s="7" t="inlineStr"/>
    </row>
    <row r="1114">
      <c r="A1114" s="7" t="n">
        <v>666951</v>
      </c>
      <c r="B1114" s="10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1" t="n">
        <v>1</v>
      </c>
      <c r="G1114" s="11" t="n">
        <v>1</v>
      </c>
      <c r="H1114" s="8" t="n">
        <v>20.46</v>
      </c>
      <c r="I1114" s="8" t="n">
        <v>20.46</v>
      </c>
      <c r="J1114" s="8" t="n"/>
      <c r="K1114" s="7" t="inlineStr">
        <is>
          <t>SEM COTAÇÃO</t>
        </is>
      </c>
      <c r="L1114" s="8" t="n"/>
      <c r="M1114" s="12" t="n"/>
      <c r="N1114" s="7" t="inlineStr"/>
      <c r="O1114" s="7" t="inlineStr"/>
    </row>
    <row r="1115">
      <c r="A1115" s="7" t="n">
        <v>614431</v>
      </c>
      <c r="B1115" s="10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1" t="n">
        <v>3</v>
      </c>
      <c r="G1115" s="11" t="n">
        <v>3</v>
      </c>
      <c r="H1115" s="8" t="n">
        <v>22.36</v>
      </c>
      <c r="I1115" s="8" t="n">
        <v>20.46</v>
      </c>
      <c r="J1115" s="8" t="n"/>
      <c r="K1115" s="7" t="inlineStr">
        <is>
          <t>SEM COTAÇÃO</t>
        </is>
      </c>
      <c r="L1115" s="8" t="n"/>
      <c r="M1115" s="12" t="n"/>
      <c r="N1115" s="7" t="inlineStr"/>
      <c r="O1115" s="7" t="inlineStr"/>
    </row>
    <row r="1116">
      <c r="A1116" s="7" t="n">
        <v>672051</v>
      </c>
      <c r="B1116" s="10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1" t="n">
        <v>2</v>
      </c>
      <c r="G1116" s="11" t="n">
        <v>2</v>
      </c>
      <c r="H1116" s="8" t="n">
        <v>25.12</v>
      </c>
      <c r="I1116" s="8" t="n">
        <v>25.12</v>
      </c>
      <c r="J1116" s="8" t="n"/>
      <c r="K1116" s="7" t="inlineStr">
        <is>
          <t>SEM COTAÇÃO</t>
        </is>
      </c>
      <c r="L1116" s="8" t="n"/>
      <c r="M1116" s="12" t="n"/>
      <c r="N1116" s="7" t="inlineStr"/>
      <c r="O1116" s="7" t="inlineStr"/>
    </row>
    <row r="1117">
      <c r="A1117" s="7" t="n">
        <v>570301</v>
      </c>
      <c r="B1117" s="10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1" t="n">
        <v>4</v>
      </c>
      <c r="G1117" s="11" t="n">
        <v>4</v>
      </c>
      <c r="H1117" s="8" t="n">
        <v>21.86</v>
      </c>
      <c r="I1117" s="8" t="n">
        <v>20.46</v>
      </c>
      <c r="J1117" s="8" t="n"/>
      <c r="K1117" s="7" t="inlineStr">
        <is>
          <t>SEM COTAÇÃO</t>
        </is>
      </c>
      <c r="L1117" s="8" t="n"/>
      <c r="M1117" s="12" t="n"/>
      <c r="N1117" s="7" t="inlineStr"/>
      <c r="O1117" s="7" t="inlineStr"/>
    </row>
    <row r="1118">
      <c r="A1118" s="7" t="n">
        <v>444</v>
      </c>
      <c r="B1118" s="10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1" t="n">
        <v>1</v>
      </c>
      <c r="G1118" s="11" t="n">
        <v>1</v>
      </c>
      <c r="H1118" s="8" t="n"/>
      <c r="I1118" s="8" t="n"/>
      <c r="J1118" s="8" t="n"/>
      <c r="K1118" s="7" t="inlineStr">
        <is>
          <t>SEM COTAÇÃO</t>
        </is>
      </c>
      <c r="L1118" s="8" t="n"/>
      <c r="M1118" s="12" t="n"/>
      <c r="N1118" s="7" t="inlineStr"/>
      <c r="O1118" s="7" t="inlineStr"/>
    </row>
    <row r="1119">
      <c r="A1119" s="7" t="n">
        <v>597931</v>
      </c>
      <c r="B1119" s="10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1" t="n">
        <v>1</v>
      </c>
      <c r="G1119" s="11" t="n">
        <v>1</v>
      </c>
      <c r="H1119" s="8" t="n">
        <v>13.8</v>
      </c>
      <c r="I1119" s="8" t="n">
        <v>13.8</v>
      </c>
      <c r="J1119" s="8" t="n"/>
      <c r="K1119" s="7" t="inlineStr">
        <is>
          <t>SEM COTAÇÃO</t>
        </is>
      </c>
      <c r="L1119" s="8" t="n"/>
      <c r="M1119" s="12" t="n"/>
      <c r="N1119" s="7" t="inlineStr"/>
      <c r="O1119" s="7" t="inlineStr"/>
    </row>
    <row r="1120">
      <c r="A1120" s="7" t="n">
        <v>645931</v>
      </c>
      <c r="B1120" s="10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1" t="n">
        <v>2</v>
      </c>
      <c r="G1120" s="11" t="n">
        <v>2</v>
      </c>
      <c r="H1120" s="8" t="n">
        <v>18.85</v>
      </c>
      <c r="I1120" s="8" t="n">
        <v>18.85</v>
      </c>
      <c r="J1120" s="8" t="n"/>
      <c r="K1120" s="7" t="inlineStr">
        <is>
          <t>SEM COTAÇÃO</t>
        </is>
      </c>
      <c r="L1120" s="8" t="n"/>
      <c r="M1120" s="12" t="n"/>
      <c r="N1120" s="7" t="inlineStr"/>
      <c r="O1120" s="7" t="inlineStr"/>
    </row>
    <row r="1121">
      <c r="A1121" s="7" t="n">
        <v>2473</v>
      </c>
      <c r="B1121" s="10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1" t="n">
        <v>2</v>
      </c>
      <c r="G1121" s="11" t="n">
        <v>2</v>
      </c>
      <c r="H1121" s="8" t="n">
        <v>18.85</v>
      </c>
      <c r="I1121" s="8" t="n">
        <v>18.85</v>
      </c>
      <c r="J1121" s="8" t="n"/>
      <c r="K1121" s="7" t="inlineStr">
        <is>
          <t>SEM COTAÇÃO</t>
        </is>
      </c>
      <c r="L1121" s="8" t="n"/>
      <c r="M1121" s="12" t="n"/>
      <c r="N1121" s="7" t="inlineStr"/>
      <c r="O1121" s="7" t="inlineStr"/>
    </row>
    <row r="1122">
      <c r="A1122" s="7" t="n">
        <v>569221</v>
      </c>
      <c r="B1122" s="10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1" t="n">
        <v>3</v>
      </c>
      <c r="G1122" s="11" t="n">
        <v>3</v>
      </c>
      <c r="H1122" s="8" t="n">
        <v>8.02</v>
      </c>
      <c r="I1122" s="8" t="n">
        <v>8.02</v>
      </c>
      <c r="J1122" s="8" t="n"/>
      <c r="K1122" s="7" t="inlineStr">
        <is>
          <t>SEM COTAÇÃO</t>
        </is>
      </c>
      <c r="L1122" s="8" t="n"/>
      <c r="M1122" s="12" t="n"/>
      <c r="N1122" s="7" t="inlineStr"/>
      <c r="O1122" s="7" t="inlineStr"/>
    </row>
    <row r="1123">
      <c r="A1123" s="7" t="n">
        <v>637121</v>
      </c>
      <c r="B1123" s="10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1" t="n">
        <v>4</v>
      </c>
      <c r="G1123" s="11" t="n">
        <v>4</v>
      </c>
      <c r="H1123" s="8" t="n">
        <v>8.02</v>
      </c>
      <c r="I1123" s="8" t="n">
        <v>8.02</v>
      </c>
      <c r="J1123" s="8" t="n"/>
      <c r="K1123" s="7" t="inlineStr">
        <is>
          <t>SEM COTAÇÃO</t>
        </is>
      </c>
      <c r="L1123" s="8" t="n"/>
      <c r="M1123" s="12" t="n"/>
      <c r="N1123" s="7" t="inlineStr"/>
      <c r="O1123" s="7" t="inlineStr"/>
    </row>
    <row r="1124">
      <c r="A1124" s="7" t="n">
        <v>576621</v>
      </c>
      <c r="B1124" s="10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1" t="n">
        <v>2</v>
      </c>
      <c r="G1124" s="11" t="n">
        <v>2</v>
      </c>
      <c r="H1124" s="8" t="n">
        <v>9.289999999999999</v>
      </c>
      <c r="I1124" s="8" t="n">
        <v>7.95</v>
      </c>
      <c r="J1124" s="8" t="n"/>
      <c r="K1124" s="7" t="inlineStr">
        <is>
          <t>SEM COTAÇÃO</t>
        </is>
      </c>
      <c r="L1124" s="8" t="n"/>
      <c r="M1124" s="12" t="n"/>
      <c r="N1124" s="7" t="inlineStr"/>
      <c r="O1124" s="7" t="inlineStr"/>
    </row>
    <row r="1125">
      <c r="A1125" s="7" t="n">
        <v>591711</v>
      </c>
      <c r="B1125" s="10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1" t="n">
        <v>4</v>
      </c>
      <c r="G1125" s="11" t="n">
        <v>4</v>
      </c>
      <c r="H1125" s="8" t="n">
        <v>7.84</v>
      </c>
      <c r="I1125" s="8" t="n">
        <v>7.84</v>
      </c>
      <c r="J1125" s="8" t="n"/>
      <c r="K1125" s="7" t="inlineStr">
        <is>
          <t>SEM COTAÇÃO</t>
        </is>
      </c>
      <c r="L1125" s="8" t="n"/>
      <c r="M1125" s="12" t="n"/>
      <c r="N1125" s="7" t="inlineStr"/>
      <c r="O1125" s="7" t="inlineStr"/>
    </row>
    <row r="1126">
      <c r="A1126" s="7" t="n">
        <v>535301</v>
      </c>
      <c r="B1126" s="10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1" t="n">
        <v>1</v>
      </c>
      <c r="G1126" s="11" t="n">
        <v>1</v>
      </c>
      <c r="H1126" s="8" t="n">
        <v>8.02</v>
      </c>
      <c r="I1126" s="8" t="n">
        <v>8.02</v>
      </c>
      <c r="J1126" s="8" t="n"/>
      <c r="K1126" s="7" t="inlineStr">
        <is>
          <t>SEM COTAÇÃO</t>
        </is>
      </c>
      <c r="L1126" s="8" t="n"/>
      <c r="M1126" s="12" t="n"/>
      <c r="N1126" s="7" t="inlineStr"/>
      <c r="O1126" s="7" t="inlineStr"/>
    </row>
    <row r="1127">
      <c r="A1127" s="7" t="n">
        <v>610291</v>
      </c>
      <c r="B1127" s="10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1" t="n">
        <v>2</v>
      </c>
      <c r="G1127" s="11" t="n">
        <v>2</v>
      </c>
      <c r="H1127" s="8" t="n">
        <v>8.02</v>
      </c>
      <c r="I1127" s="8" t="n">
        <v>8.02</v>
      </c>
      <c r="J1127" s="8" t="n"/>
      <c r="K1127" s="7" t="inlineStr">
        <is>
          <t>SEM COTAÇÃO</t>
        </is>
      </c>
      <c r="L1127" s="8" t="n"/>
      <c r="M1127" s="12" t="n"/>
      <c r="N1127" s="7" t="inlineStr"/>
      <c r="O1127" s="7" t="inlineStr"/>
    </row>
    <row r="1128">
      <c r="A1128" s="7" t="n">
        <v>610301</v>
      </c>
      <c r="B1128" s="10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1" t="n">
        <v>6</v>
      </c>
      <c r="G1128" s="11" t="n">
        <v>6</v>
      </c>
      <c r="H1128" s="8" t="n">
        <v>7.84</v>
      </c>
      <c r="I1128" s="8" t="n">
        <v>7.84</v>
      </c>
      <c r="J1128" s="8" t="n"/>
      <c r="K1128" s="7" t="inlineStr">
        <is>
          <t>SEM COTAÇÃO</t>
        </is>
      </c>
      <c r="L1128" s="8" t="n"/>
      <c r="M1128" s="12" t="n"/>
      <c r="N1128" s="7" t="inlineStr"/>
      <c r="O1128" s="7" t="inlineStr"/>
    </row>
    <row r="1129">
      <c r="A1129" s="7" t="n">
        <v>637151</v>
      </c>
      <c r="B1129" s="10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1" t="n">
        <v>4</v>
      </c>
      <c r="G1129" s="11" t="n">
        <v>4</v>
      </c>
      <c r="H1129" s="8" t="n">
        <v>9.289999999999999</v>
      </c>
      <c r="I1129" s="8" t="n">
        <v>7.95</v>
      </c>
      <c r="J1129" s="8" t="n"/>
      <c r="K1129" s="7" t="inlineStr">
        <is>
          <t>SEM COTAÇÃO</t>
        </is>
      </c>
      <c r="L1129" s="8" t="n"/>
      <c r="M1129" s="12" t="n"/>
      <c r="N1129" s="7" t="inlineStr"/>
      <c r="O1129" s="7" t="inlineStr"/>
    </row>
    <row r="1130">
      <c r="A1130" s="7" t="n">
        <v>569241</v>
      </c>
      <c r="B1130" s="10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1" t="n">
        <v>2</v>
      </c>
      <c r="G1130" s="11" t="n">
        <v>2</v>
      </c>
      <c r="H1130" s="8" t="n">
        <v>8.02</v>
      </c>
      <c r="I1130" s="8" t="n">
        <v>8.02</v>
      </c>
      <c r="J1130" s="8" t="n"/>
      <c r="K1130" s="7" t="inlineStr">
        <is>
          <t>SEM COTAÇÃO</t>
        </is>
      </c>
      <c r="L1130" s="8" t="n"/>
      <c r="M1130" s="12" t="n"/>
      <c r="N1130" s="7" t="inlineStr"/>
      <c r="O1130" s="7" t="inlineStr"/>
    </row>
    <row r="1131">
      <c r="A1131" s="7" t="n">
        <v>610321</v>
      </c>
      <c r="B1131" s="10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1" t="n">
        <v>1</v>
      </c>
      <c r="G1131" s="11" t="n">
        <v>1</v>
      </c>
      <c r="H1131" s="8" t="n">
        <v>6.97</v>
      </c>
      <c r="I1131" s="8" t="n">
        <v>6.97</v>
      </c>
      <c r="J1131" s="8" t="n"/>
      <c r="K1131" s="7" t="inlineStr">
        <is>
          <t>SEM COTAÇÃO</t>
        </is>
      </c>
      <c r="L1131" s="8" t="n"/>
      <c r="M1131" s="12" t="n"/>
      <c r="N1131" s="7" t="inlineStr"/>
      <c r="O1131" s="7" t="inlineStr"/>
    </row>
    <row r="1132">
      <c r="A1132" s="7" t="n">
        <v>668271</v>
      </c>
      <c r="B1132" s="10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1" t="n">
        <v>5</v>
      </c>
      <c r="G1132" s="11" t="n">
        <v>5</v>
      </c>
      <c r="H1132" s="8" t="n">
        <v>4.41</v>
      </c>
      <c r="I1132" s="8" t="n">
        <v>4.41</v>
      </c>
      <c r="J1132" s="8" t="n"/>
      <c r="K1132" s="7" t="inlineStr">
        <is>
          <t>SEM COTAÇÃO</t>
        </is>
      </c>
      <c r="L1132" s="8" t="n"/>
      <c r="M1132" s="12" t="n"/>
      <c r="N1132" s="7" t="inlineStr"/>
      <c r="O1132" s="7" t="inlineStr"/>
    </row>
    <row r="1133">
      <c r="A1133" s="7" t="n">
        <v>579741</v>
      </c>
      <c r="B1133" s="10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1" t="n">
        <v>5</v>
      </c>
      <c r="G1133" s="11" t="n">
        <v>5</v>
      </c>
      <c r="H1133" s="8" t="n">
        <v>22.7447</v>
      </c>
      <c r="I1133" s="8" t="n">
        <v>20.9125</v>
      </c>
      <c r="J1133" s="8" t="n"/>
      <c r="K1133" s="7" t="inlineStr">
        <is>
          <t>SEM COTAÇÃO</t>
        </is>
      </c>
      <c r="L1133" s="8" t="n"/>
      <c r="M1133" s="12" t="n"/>
      <c r="N1133" s="7" t="inlineStr"/>
      <c r="O1133" s="7" t="inlineStr"/>
    </row>
    <row r="1134">
      <c r="A1134" s="7" t="n">
        <v>673011</v>
      </c>
      <c r="B1134" s="10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1" t="n">
        <v>3</v>
      </c>
      <c r="G1134" s="11" t="n">
        <v>3</v>
      </c>
      <c r="H1134" s="8" t="n">
        <v>22.91</v>
      </c>
      <c r="I1134" s="8" t="n">
        <v>22.91</v>
      </c>
      <c r="J1134" s="8" t="n"/>
      <c r="K1134" s="7" t="inlineStr">
        <is>
          <t>SEM COTAÇÃO</t>
        </is>
      </c>
      <c r="L1134" s="8" t="n"/>
      <c r="M1134" s="12" t="n"/>
      <c r="N1134" s="7" t="inlineStr"/>
      <c r="O1134" s="7" t="inlineStr"/>
    </row>
    <row r="1135">
      <c r="A1135" s="7" t="n">
        <v>582861</v>
      </c>
      <c r="B1135" s="10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1" t="n">
        <v>1</v>
      </c>
      <c r="G1135" s="11" t="n">
        <v>1</v>
      </c>
      <c r="H1135" s="8" t="n">
        <v>4.57</v>
      </c>
      <c r="I1135" s="8" t="n">
        <v>4.57</v>
      </c>
      <c r="J1135" s="8" t="n"/>
      <c r="K1135" s="7" t="inlineStr">
        <is>
          <t>SEM COTAÇÃO</t>
        </is>
      </c>
      <c r="L1135" s="8" t="n"/>
      <c r="M1135" s="12" t="n"/>
      <c r="N1135" s="7" t="inlineStr"/>
      <c r="O1135" s="7" t="inlineStr"/>
    </row>
    <row r="1136">
      <c r="A1136" s="7" t="n">
        <v>646751</v>
      </c>
      <c r="B1136" s="10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1" t="n">
        <v>1</v>
      </c>
      <c r="G1136" s="11" t="n">
        <v>1</v>
      </c>
      <c r="H1136" s="8" t="n">
        <v>8.02</v>
      </c>
      <c r="I1136" s="8" t="n">
        <v>8.02</v>
      </c>
      <c r="J1136" s="8" t="n"/>
      <c r="K1136" s="7" t="inlineStr">
        <is>
          <t>SEM COTAÇÃO</t>
        </is>
      </c>
      <c r="L1136" s="8" t="n"/>
      <c r="M1136" s="12" t="n"/>
      <c r="N1136" s="7" t="inlineStr"/>
      <c r="O1136" s="7" t="inlineStr"/>
    </row>
    <row r="1137">
      <c r="A1137" s="7" t="n">
        <v>646781</v>
      </c>
      <c r="B1137" s="10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1" t="n">
        <v>2</v>
      </c>
      <c r="G1137" s="11" t="n">
        <v>2</v>
      </c>
      <c r="H1137" s="8" t="n">
        <v>7.95</v>
      </c>
      <c r="I1137" s="8" t="n">
        <v>7.95</v>
      </c>
      <c r="J1137" s="8" t="n"/>
      <c r="K1137" s="7" t="inlineStr">
        <is>
          <t>SEM COTAÇÃO</t>
        </is>
      </c>
      <c r="L1137" s="8" t="n"/>
      <c r="M1137" s="12" t="n"/>
      <c r="N1137" s="7" t="inlineStr"/>
      <c r="O1137" s="7" t="inlineStr"/>
    </row>
    <row r="1138">
      <c r="A1138" s="7" t="n">
        <v>673001</v>
      </c>
      <c r="B1138" s="10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1" t="n">
        <v>1</v>
      </c>
      <c r="G1138" s="11" t="n">
        <v>1</v>
      </c>
      <c r="H1138" s="8" t="n">
        <v>23.95</v>
      </c>
      <c r="I1138" s="8" t="n">
        <v>23.95</v>
      </c>
      <c r="J1138" s="8" t="n"/>
      <c r="K1138" s="7" t="inlineStr">
        <is>
          <t>SEM COTAÇÃO</t>
        </is>
      </c>
      <c r="L1138" s="8" t="n"/>
      <c r="M1138" s="12" t="n"/>
      <c r="N1138" s="7" t="inlineStr"/>
      <c r="O1138" s="7" t="inlineStr"/>
    </row>
    <row r="1139">
      <c r="A1139" s="7" t="n">
        <v>667751</v>
      </c>
      <c r="B1139" s="10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1" t="n">
        <v>1</v>
      </c>
      <c r="G1139" s="11" t="n">
        <v>1</v>
      </c>
      <c r="H1139" s="8" t="n">
        <v>23.48</v>
      </c>
      <c r="I1139" s="8" t="n">
        <v>23.48</v>
      </c>
      <c r="J1139" s="8" t="n"/>
      <c r="K1139" s="7" t="inlineStr">
        <is>
          <t>SEM COTAÇÃO</t>
        </is>
      </c>
      <c r="L1139" s="8" t="n"/>
      <c r="M1139" s="12" t="n"/>
      <c r="N1139" s="7" t="inlineStr"/>
      <c r="O1139" s="7" t="inlineStr"/>
    </row>
    <row r="1140">
      <c r="A1140" s="7" t="n">
        <v>667771</v>
      </c>
      <c r="B1140" s="10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1" t="n">
        <v>2</v>
      </c>
      <c r="G1140" s="11" t="n">
        <v>2</v>
      </c>
      <c r="H1140" s="8" t="n">
        <v>23.48</v>
      </c>
      <c r="I1140" s="8" t="n">
        <v>23.48</v>
      </c>
      <c r="J1140" s="8" t="n"/>
      <c r="K1140" s="7" t="inlineStr">
        <is>
          <t>SEM COTAÇÃO</t>
        </is>
      </c>
      <c r="L1140" s="8" t="n"/>
      <c r="M1140" s="12" t="n"/>
      <c r="N1140" s="7" t="inlineStr"/>
      <c r="O1140" s="7" t="inlineStr"/>
    </row>
    <row r="1141">
      <c r="A1141" s="7" t="n">
        <v>673021</v>
      </c>
      <c r="B1141" s="10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1" t="n">
        <v>2</v>
      </c>
      <c r="G1141" s="11" t="n">
        <v>2</v>
      </c>
      <c r="H1141" s="8" t="n">
        <v>24.12</v>
      </c>
      <c r="I1141" s="8" t="n">
        <v>24.12</v>
      </c>
      <c r="J1141" s="8" t="n"/>
      <c r="K1141" s="7" t="inlineStr">
        <is>
          <t>SEM COTAÇÃO</t>
        </is>
      </c>
      <c r="L1141" s="8" t="n"/>
      <c r="M1141" s="12" t="n"/>
      <c r="N1141" s="7" t="inlineStr"/>
      <c r="O1141" s="7" t="inlineStr"/>
    </row>
    <row r="1142">
      <c r="A1142" s="7" t="n">
        <v>569161</v>
      </c>
      <c r="B1142" s="10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1" t="n">
        <v>1</v>
      </c>
      <c r="G1142" s="11" t="n">
        <v>1</v>
      </c>
      <c r="H1142" s="8" t="n">
        <v>10.71</v>
      </c>
      <c r="I1142" s="8" t="n">
        <v>10.71</v>
      </c>
      <c r="J1142" s="8" t="n"/>
      <c r="K1142" s="7" t="inlineStr">
        <is>
          <t>SEM COTAÇÃO</t>
        </is>
      </c>
      <c r="L1142" s="8" t="n"/>
      <c r="M1142" s="12" t="n"/>
      <c r="N1142" s="7" t="inlineStr"/>
      <c r="O1142" s="7" t="inlineStr"/>
    </row>
    <row r="1143">
      <c r="A1143" s="7" t="n">
        <v>604251</v>
      </c>
      <c r="B1143" s="10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1" t="n">
        <v>1</v>
      </c>
      <c r="G1143" s="11" t="n">
        <v>1</v>
      </c>
      <c r="H1143" s="8" t="n">
        <v>10.72</v>
      </c>
      <c r="I1143" s="8" t="n">
        <v>10.72</v>
      </c>
      <c r="J1143" s="8" t="n"/>
      <c r="K1143" s="7" t="inlineStr">
        <is>
          <t>SEM COTAÇÃO</t>
        </is>
      </c>
      <c r="L1143" s="8" t="n"/>
      <c r="M1143" s="12" t="n"/>
      <c r="N1143" s="7" t="inlineStr"/>
      <c r="O1143" s="7" t="inlineStr"/>
    </row>
    <row r="1144">
      <c r="A1144" s="7" t="n">
        <v>604271</v>
      </c>
      <c r="B1144" s="10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1" t="n">
        <v>1</v>
      </c>
      <c r="G1144" s="11" t="n">
        <v>1</v>
      </c>
      <c r="H1144" s="8" t="n">
        <v>10.72</v>
      </c>
      <c r="I1144" s="8" t="n">
        <v>10.72</v>
      </c>
      <c r="J1144" s="8" t="n"/>
      <c r="K1144" s="7" t="inlineStr">
        <is>
          <t>SEM COTAÇÃO</t>
        </is>
      </c>
      <c r="L1144" s="8" t="n"/>
      <c r="M1144" s="12" t="n"/>
      <c r="N1144" s="7" t="inlineStr"/>
      <c r="O1144" s="7" t="inlineStr"/>
    </row>
    <row r="1145">
      <c r="A1145" s="7" t="n">
        <v>1333</v>
      </c>
      <c r="B1145" s="10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1" t="n">
        <v>1</v>
      </c>
      <c r="G1145" s="11" t="n">
        <v>1</v>
      </c>
      <c r="H1145" s="8" t="n">
        <v>41.6917</v>
      </c>
      <c r="I1145" s="8" t="n">
        <v>41.6917</v>
      </c>
      <c r="J1145" s="8" t="n"/>
      <c r="K1145" s="7" t="inlineStr">
        <is>
          <t>SEM COTAÇÃO</t>
        </is>
      </c>
      <c r="L1145" s="8" t="n"/>
      <c r="M1145" s="12" t="n"/>
      <c r="N1145" s="7" t="inlineStr"/>
      <c r="O1145" s="7" t="inlineStr"/>
    </row>
    <row r="1146">
      <c r="A1146" s="7" t="n">
        <v>643291</v>
      </c>
      <c r="B1146" s="10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1" t="n">
        <v>2</v>
      </c>
      <c r="G1146" s="11" t="n">
        <v>2</v>
      </c>
      <c r="H1146" s="8" t="n">
        <v>37.6</v>
      </c>
      <c r="I1146" s="8" t="n">
        <v>37.6</v>
      </c>
      <c r="J1146" s="8" t="n"/>
      <c r="K1146" s="7" t="inlineStr">
        <is>
          <t>SEM COTAÇÃO</t>
        </is>
      </c>
      <c r="L1146" s="8" t="n"/>
      <c r="M1146" s="12" t="n"/>
      <c r="N1146" s="7" t="inlineStr"/>
      <c r="O1146" s="7" t="inlineStr"/>
    </row>
    <row r="1147">
      <c r="A1147" s="7" t="n">
        <v>673301</v>
      </c>
      <c r="B1147" s="10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1" t="n">
        <v>2</v>
      </c>
      <c r="G1147" s="11" t="n">
        <v>2</v>
      </c>
      <c r="H1147" s="8" t="n">
        <v>18.49</v>
      </c>
      <c r="I1147" s="8" t="n">
        <v>18.49</v>
      </c>
      <c r="J1147" s="8" t="n"/>
      <c r="K1147" s="7" t="inlineStr">
        <is>
          <t>SEM COTAÇÃO</t>
        </is>
      </c>
      <c r="L1147" s="8" t="n"/>
      <c r="M1147" s="12" t="n"/>
      <c r="N1147" s="7" t="inlineStr"/>
      <c r="O1147" s="7" t="inlineStr"/>
    </row>
    <row r="1148">
      <c r="A1148" s="7" t="n">
        <v>597691</v>
      </c>
      <c r="B1148" s="10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1" t="n">
        <v>2</v>
      </c>
      <c r="G1148" s="11" t="n">
        <v>2</v>
      </c>
      <c r="H1148" s="8" t="n">
        <v>18.31</v>
      </c>
      <c r="I1148" s="8" t="n">
        <v>18.31</v>
      </c>
      <c r="J1148" s="8" t="n"/>
      <c r="K1148" s="7" t="inlineStr">
        <is>
          <t>SEM COTAÇÃO</t>
        </is>
      </c>
      <c r="L1148" s="8" t="n"/>
      <c r="M1148" s="12" t="n"/>
      <c r="N1148" s="7" t="inlineStr"/>
      <c r="O1148" s="7" t="inlineStr"/>
    </row>
    <row r="1149">
      <c r="A1149" s="7" t="n">
        <v>650841</v>
      </c>
      <c r="B1149" s="10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1" t="n">
        <v>1</v>
      </c>
      <c r="G1149" s="11" t="n">
        <v>1</v>
      </c>
      <c r="H1149" s="8" t="n">
        <v>161.42</v>
      </c>
      <c r="I1149" s="8" t="n">
        <v>161.42</v>
      </c>
      <c r="J1149" s="8" t="n"/>
      <c r="K1149" s="7" t="inlineStr">
        <is>
          <t>SEM COTAÇÃO</t>
        </is>
      </c>
      <c r="L1149" s="8" t="n"/>
      <c r="M1149" s="12" t="n"/>
      <c r="N1149" s="7" t="inlineStr"/>
      <c r="O1149" s="7" t="inlineStr"/>
    </row>
    <row r="1150">
      <c r="A1150" s="7" t="n">
        <v>672941</v>
      </c>
      <c r="B1150" s="10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1" t="n">
        <v>2</v>
      </c>
      <c r="G1150" s="11" t="n">
        <v>2</v>
      </c>
      <c r="H1150" s="8" t="n">
        <v>38.06</v>
      </c>
      <c r="I1150" s="8" t="n">
        <v>38.06</v>
      </c>
      <c r="J1150" s="8" t="n"/>
      <c r="K1150" s="7" t="inlineStr">
        <is>
          <t>SEM COTAÇÃO</t>
        </is>
      </c>
      <c r="L1150" s="8" t="n"/>
      <c r="M1150" s="12" t="n"/>
      <c r="N1150" s="7" t="inlineStr"/>
      <c r="O1150" s="7" t="inlineStr"/>
    </row>
    <row r="1151">
      <c r="A1151" s="7" t="n">
        <v>635301</v>
      </c>
      <c r="B1151" s="10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1" t="n">
        <v>5</v>
      </c>
      <c r="G1151" s="11" t="n">
        <v>5</v>
      </c>
      <c r="H1151" s="8" t="n">
        <v>38.06</v>
      </c>
      <c r="I1151" s="8" t="n">
        <v>36.34</v>
      </c>
      <c r="J1151" s="8" t="n"/>
      <c r="K1151" s="7" t="inlineStr">
        <is>
          <t>SEM COTAÇÃO</t>
        </is>
      </c>
      <c r="L1151" s="8" t="n"/>
      <c r="M1151" s="12" t="n"/>
      <c r="N1151" s="7" t="inlineStr"/>
      <c r="O1151" s="7" t="inlineStr"/>
    </row>
    <row r="1152">
      <c r="A1152" s="7" t="n">
        <v>630451</v>
      </c>
      <c r="B1152" s="10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1" t="n">
        <v>30</v>
      </c>
      <c r="G1152" s="11" t="n">
        <v>30</v>
      </c>
      <c r="H1152" s="8" t="n">
        <v>46.54</v>
      </c>
      <c r="I1152" s="8" t="n">
        <v>36.1</v>
      </c>
      <c r="J1152" s="8" t="n"/>
      <c r="K1152" s="7" t="inlineStr">
        <is>
          <t>SEM COTAÇÃO</t>
        </is>
      </c>
      <c r="L1152" s="8" t="n"/>
      <c r="M1152" s="12" t="n"/>
      <c r="N1152" s="7" t="inlineStr"/>
      <c r="O1152" s="7" t="inlineStr"/>
    </row>
    <row r="1153">
      <c r="A1153" s="7" t="n">
        <v>597701</v>
      </c>
      <c r="B1153" s="10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1" t="n">
        <v>17</v>
      </c>
      <c r="G1153" s="11" t="n">
        <v>17</v>
      </c>
      <c r="H1153" s="8" t="n">
        <v>28.42</v>
      </c>
      <c r="I1153" s="8" t="n">
        <v>17.59</v>
      </c>
      <c r="J1153" s="8" t="n"/>
      <c r="K1153" s="7" t="inlineStr">
        <is>
          <t>SEM COTAÇÃO</t>
        </is>
      </c>
      <c r="L1153" s="8" t="n"/>
      <c r="M1153" s="12" t="n"/>
      <c r="N1153" s="7" t="inlineStr"/>
      <c r="O1153" s="7" t="inlineStr"/>
    </row>
    <row r="1154">
      <c r="A1154" s="7" t="n">
        <v>643371</v>
      </c>
      <c r="B1154" s="10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1" t="n">
        <v>1</v>
      </c>
      <c r="G1154" s="11" t="n">
        <v>1</v>
      </c>
      <c r="H1154" s="8" t="n">
        <v>20.81</v>
      </c>
      <c r="I1154" s="8" t="n">
        <v>20.81</v>
      </c>
      <c r="J1154" s="8" t="n"/>
      <c r="K1154" s="7" t="inlineStr">
        <is>
          <t>SEM COTAÇÃO</t>
        </is>
      </c>
      <c r="L1154" s="8" t="n"/>
      <c r="M1154" s="12" t="n"/>
      <c r="N1154" s="7" t="inlineStr"/>
      <c r="O1154" s="7" t="inlineStr"/>
    </row>
    <row r="1155">
      <c r="A1155" s="7" t="n">
        <v>653591</v>
      </c>
      <c r="B1155" s="10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1" t="n">
        <v>4</v>
      </c>
      <c r="G1155" s="11" t="n">
        <v>4</v>
      </c>
      <c r="H1155" s="8" t="n">
        <v>40.37</v>
      </c>
      <c r="I1155" s="8" t="n">
        <v>40.37</v>
      </c>
      <c r="J1155" s="8" t="n"/>
      <c r="K1155" s="7" t="inlineStr">
        <is>
          <t>SEM COTAÇÃO</t>
        </is>
      </c>
      <c r="L1155" s="8" t="n"/>
      <c r="M1155" s="12" t="n"/>
      <c r="N1155" s="7" t="inlineStr"/>
      <c r="O1155" s="7" t="inlineStr"/>
    </row>
    <row r="1156">
      <c r="A1156" s="7" t="n">
        <v>672991</v>
      </c>
      <c r="B1156" s="10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1" t="n">
        <v>4</v>
      </c>
      <c r="G1156" s="11" t="n">
        <v>4</v>
      </c>
      <c r="H1156" s="8" t="n">
        <v>21.78</v>
      </c>
      <c r="I1156" s="8" t="n">
        <v>16.28</v>
      </c>
      <c r="J1156" s="8" t="n"/>
      <c r="K1156" s="7" t="inlineStr">
        <is>
          <t>SEM COTAÇÃO</t>
        </is>
      </c>
      <c r="L1156" s="8" t="n"/>
      <c r="M1156" s="12" t="n"/>
      <c r="N1156" s="7" t="inlineStr"/>
      <c r="O1156" s="7" t="inlineStr"/>
    </row>
    <row r="1157">
      <c r="A1157" s="7" t="n">
        <v>597721</v>
      </c>
      <c r="B1157" s="10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1" t="n">
        <v>24</v>
      </c>
      <c r="G1157" s="11" t="n">
        <v>24</v>
      </c>
      <c r="H1157" s="8" t="n">
        <v>27.35</v>
      </c>
      <c r="I1157" s="8" t="n">
        <v>27.35</v>
      </c>
      <c r="J1157" s="8" t="n"/>
      <c r="K1157" s="7" t="inlineStr">
        <is>
          <t>SEM COTAÇÃO</t>
        </is>
      </c>
      <c r="L1157" s="8" t="n"/>
      <c r="M1157" s="12" t="n"/>
      <c r="N1157" s="7" t="inlineStr"/>
      <c r="O1157" s="7" t="inlineStr"/>
    </row>
    <row r="1158">
      <c r="A1158" s="7" t="n">
        <v>597731</v>
      </c>
      <c r="B1158" s="10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1" t="n">
        <v>4</v>
      </c>
      <c r="G1158" s="11" t="n">
        <v>4</v>
      </c>
      <c r="H1158" s="8" t="n">
        <v>36.15</v>
      </c>
      <c r="I1158" s="8" t="n">
        <v>36.15</v>
      </c>
      <c r="J1158" s="8" t="n"/>
      <c r="K1158" s="7" t="inlineStr">
        <is>
          <t>SEM COTAÇÃO</t>
        </is>
      </c>
      <c r="L1158" s="8" t="n"/>
      <c r="M1158" s="12" t="n"/>
      <c r="N1158" s="7" t="inlineStr"/>
      <c r="O1158" s="7" t="inlineStr"/>
    </row>
    <row r="1159">
      <c r="A1159" s="7" t="n">
        <v>635311</v>
      </c>
      <c r="B1159" s="10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1" t="n">
        <v>1</v>
      </c>
      <c r="G1159" s="11" t="n">
        <v>1</v>
      </c>
      <c r="H1159" s="8" t="n">
        <v>105.19</v>
      </c>
      <c r="I1159" s="8" t="n">
        <v>105.19</v>
      </c>
      <c r="J1159" s="8" t="n"/>
      <c r="K1159" s="7" t="inlineStr">
        <is>
          <t>SEM COTAÇÃO</t>
        </is>
      </c>
      <c r="L1159" s="8" t="n"/>
      <c r="M1159" s="12" t="n"/>
      <c r="N1159" s="7" t="inlineStr"/>
      <c r="O1159" s="7" t="inlineStr"/>
    </row>
    <row r="1160">
      <c r="A1160" s="7" t="n">
        <v>643361</v>
      </c>
      <c r="B1160" s="10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1" t="n">
        <v>1</v>
      </c>
      <c r="G1160" s="11" t="n">
        <v>1</v>
      </c>
      <c r="H1160" s="8" t="n">
        <v>32.11</v>
      </c>
      <c r="I1160" s="8" t="n">
        <v>32.11</v>
      </c>
      <c r="J1160" s="8" t="n"/>
      <c r="K1160" s="7" t="inlineStr">
        <is>
          <t>SEM COTAÇÃO</t>
        </is>
      </c>
      <c r="L1160" s="8" t="n"/>
      <c r="M1160" s="12" t="n"/>
      <c r="N1160" s="7" t="inlineStr"/>
      <c r="O1160" s="7" t="inlineStr"/>
    </row>
    <row r="1161">
      <c r="A1161" s="7" t="n">
        <v>635321</v>
      </c>
      <c r="B1161" s="10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1" t="n">
        <v>4</v>
      </c>
      <c r="G1161" s="11" t="n">
        <v>4</v>
      </c>
      <c r="H1161" s="8" t="n">
        <v>38.84</v>
      </c>
      <c r="I1161" s="8" t="n">
        <v>38.84</v>
      </c>
      <c r="J1161" s="8" t="n"/>
      <c r="K1161" s="7" t="inlineStr">
        <is>
          <t>SEM COTAÇÃO</t>
        </is>
      </c>
      <c r="L1161" s="8" t="n"/>
      <c r="M1161" s="12" t="n"/>
      <c r="N1161" s="7" t="inlineStr"/>
      <c r="O1161" s="7" t="inlineStr"/>
    </row>
    <row r="1162">
      <c r="A1162" s="7" t="n">
        <v>652361</v>
      </c>
      <c r="B1162" s="10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1" t="n">
        <v>1</v>
      </c>
      <c r="G1162" s="11" t="n">
        <v>1</v>
      </c>
      <c r="H1162" s="8" t="n">
        <v>12.54</v>
      </c>
      <c r="I1162" s="8" t="n">
        <v>12.54</v>
      </c>
      <c r="J1162" s="8" t="n"/>
      <c r="K1162" s="7" t="inlineStr">
        <is>
          <t>SEM COTAÇÃO</t>
        </is>
      </c>
      <c r="L1162" s="8" t="n"/>
      <c r="M1162" s="12" t="n"/>
      <c r="N1162" s="7" t="inlineStr"/>
      <c r="O1162" s="7" t="inlineStr"/>
    </row>
    <row r="1163">
      <c r="A1163" s="7" t="n">
        <v>3383</v>
      </c>
      <c r="B1163" s="10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1" t="n">
        <v>1</v>
      </c>
      <c r="G1163" s="11" t="n">
        <v>1</v>
      </c>
      <c r="H1163" s="8" t="n">
        <v>15.93</v>
      </c>
      <c r="I1163" s="8" t="n">
        <v>15.93</v>
      </c>
      <c r="J1163" s="8" t="n"/>
      <c r="K1163" s="7" t="inlineStr">
        <is>
          <t>SEM COTAÇÃO</t>
        </is>
      </c>
      <c r="L1163" s="8" t="n"/>
      <c r="M1163" s="12" t="n"/>
      <c r="N1163" s="7" t="inlineStr"/>
      <c r="O1163" s="7" t="inlineStr"/>
    </row>
    <row r="1164">
      <c r="A1164" s="7" t="n">
        <v>643731</v>
      </c>
      <c r="B1164" s="10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1" t="n">
        <v>3</v>
      </c>
      <c r="G1164" s="11" t="n">
        <v>3</v>
      </c>
      <c r="H1164" s="8" t="n">
        <v>2.23</v>
      </c>
      <c r="I1164" s="8" t="n">
        <v>2.23</v>
      </c>
      <c r="J1164" s="8" t="n"/>
      <c r="K1164" s="7" t="inlineStr">
        <is>
          <t>SEM COTAÇÃO</t>
        </is>
      </c>
      <c r="L1164" s="8" t="n"/>
      <c r="M1164" s="12" t="n"/>
      <c r="N1164" s="7" t="inlineStr"/>
      <c r="O1164" s="7" t="inlineStr"/>
    </row>
    <row r="1165">
      <c r="A1165" s="7" t="n">
        <v>552281</v>
      </c>
      <c r="B1165" s="10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1" t="n">
        <v>1</v>
      </c>
      <c r="G1165" s="11" t="n">
        <v>1</v>
      </c>
      <c r="H1165" s="8" t="n">
        <v>6.82</v>
      </c>
      <c r="I1165" s="8" t="n">
        <v>6.82</v>
      </c>
      <c r="J1165" s="8" t="n"/>
      <c r="K1165" s="7" t="inlineStr">
        <is>
          <t>SEM COTAÇÃO</t>
        </is>
      </c>
      <c r="L1165" s="8" t="n"/>
      <c r="M1165" s="12" t="n"/>
      <c r="N1165" s="7" t="inlineStr"/>
      <c r="O1165" s="7" t="inlineStr"/>
    </row>
    <row r="1166">
      <c r="A1166" s="7" t="n">
        <v>576521</v>
      </c>
      <c r="B1166" s="10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1" t="n">
        <v>1</v>
      </c>
      <c r="G1166" s="11" t="n">
        <v>1</v>
      </c>
      <c r="H1166" s="8" t="n">
        <v>9.550000000000001</v>
      </c>
      <c r="I1166" s="8" t="n">
        <v>9.550000000000001</v>
      </c>
      <c r="J1166" s="8" t="n"/>
      <c r="K1166" s="7" t="inlineStr">
        <is>
          <t>SEM COTAÇÃO</t>
        </is>
      </c>
      <c r="L1166" s="8" t="n"/>
      <c r="M1166" s="12" t="n"/>
      <c r="N1166" s="7" t="inlineStr"/>
      <c r="O1166" s="7" t="inlineStr"/>
    </row>
    <row r="1167">
      <c r="A1167" s="7" t="n">
        <v>563481</v>
      </c>
      <c r="B1167" s="10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1" t="n">
        <v>7</v>
      </c>
      <c r="G1167" s="11" t="n">
        <v>7</v>
      </c>
      <c r="H1167" s="8" t="n">
        <v>6.7421</v>
      </c>
      <c r="I1167" s="8" t="n">
        <v>5.5138</v>
      </c>
      <c r="J1167" s="8" t="n"/>
      <c r="K1167" s="7" t="inlineStr">
        <is>
          <t>SEM COTAÇÃO</t>
        </is>
      </c>
      <c r="L1167" s="8" t="n"/>
      <c r="M1167" s="12" t="n"/>
      <c r="N1167" s="7" t="inlineStr"/>
      <c r="O1167" s="7" t="inlineStr"/>
    </row>
    <row r="1168">
      <c r="A1168" s="7" t="n">
        <v>545961</v>
      </c>
      <c r="B1168" s="10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1" t="n">
        <v>1</v>
      </c>
      <c r="G1168" s="11" t="n">
        <v>2</v>
      </c>
      <c r="H1168" s="8" t="n">
        <v>5.8967</v>
      </c>
      <c r="I1168" s="8" t="n">
        <v>5.8967</v>
      </c>
      <c r="J1168" s="8" t="n"/>
      <c r="K1168" s="7" t="inlineStr">
        <is>
          <t>SEM COTAÇÃO</t>
        </is>
      </c>
      <c r="L1168" s="8" t="n"/>
      <c r="M1168" s="12" t="n"/>
      <c r="N1168" s="7" t="inlineStr"/>
      <c r="O1168" s="7" t="inlineStr"/>
    </row>
    <row r="1169">
      <c r="A1169" s="7" t="n">
        <v>536221</v>
      </c>
      <c r="B1169" s="10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1" t="n">
        <v>3</v>
      </c>
      <c r="G1169" s="11" t="n">
        <v>3</v>
      </c>
      <c r="H1169" s="8" t="n">
        <v>4.36</v>
      </c>
      <c r="I1169" s="8" t="n">
        <v>4.36</v>
      </c>
      <c r="J1169" s="8" t="n"/>
      <c r="K1169" s="7" t="inlineStr">
        <is>
          <t>SEM COTAÇÃO</t>
        </is>
      </c>
      <c r="L1169" s="8" t="n"/>
      <c r="M1169" s="12" t="n"/>
      <c r="N1169" s="7" t="inlineStr"/>
      <c r="O1169" s="7" t="inlineStr"/>
    </row>
    <row r="1170">
      <c r="A1170" s="7" t="n">
        <v>667971</v>
      </c>
      <c r="B1170" s="10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1" t="n">
        <v>1</v>
      </c>
      <c r="G1170" s="11" t="n">
        <v>3</v>
      </c>
      <c r="H1170" s="8" t="n">
        <v>2.085</v>
      </c>
      <c r="I1170" s="8" t="n">
        <v>2.085</v>
      </c>
      <c r="J1170" s="8" t="n"/>
      <c r="K1170" s="7" t="inlineStr">
        <is>
          <t>SEM COTAÇÃO</t>
        </is>
      </c>
      <c r="L1170" s="8" t="n"/>
      <c r="M1170" s="12" t="n"/>
      <c r="N1170" s="7" t="inlineStr"/>
      <c r="O1170" s="7" t="inlineStr"/>
    </row>
    <row r="1171">
      <c r="A1171" s="7" t="n">
        <v>536641</v>
      </c>
      <c r="B1171" s="10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1" t="n">
        <v>1</v>
      </c>
      <c r="G1171" s="11" t="n">
        <v>1</v>
      </c>
      <c r="H1171" s="8" t="n">
        <v>2.0833</v>
      </c>
      <c r="I1171" s="8" t="n">
        <v>2.0833</v>
      </c>
      <c r="J1171" s="8" t="n"/>
      <c r="K1171" s="7" t="inlineStr">
        <is>
          <t>SEM COTAÇÃO</t>
        </is>
      </c>
      <c r="L1171" s="8" t="n"/>
      <c r="M1171" s="12" t="n"/>
      <c r="N1171" s="7" t="inlineStr"/>
      <c r="O1171" s="7" t="inlineStr"/>
    </row>
    <row r="1172">
      <c r="A1172" s="7" t="n">
        <v>536981</v>
      </c>
      <c r="B1172" s="10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1" t="n">
        <v>1</v>
      </c>
      <c r="G1172" s="11" t="n">
        <v>1</v>
      </c>
      <c r="H1172" s="8" t="n"/>
      <c r="I1172" s="8" t="n"/>
      <c r="J1172" s="8" t="n"/>
      <c r="K1172" s="7" t="inlineStr">
        <is>
          <t>SEM COTAÇÃO</t>
        </is>
      </c>
      <c r="L1172" s="8" t="n"/>
      <c r="M1172" s="12" t="n"/>
      <c r="N1172" s="7" t="inlineStr"/>
      <c r="O1172" s="7" t="inlineStr"/>
    </row>
    <row r="1173">
      <c r="A1173" s="7" t="n">
        <v>536961</v>
      </c>
      <c r="B1173" s="10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1" t="n">
        <v>7</v>
      </c>
      <c r="G1173" s="11" t="n">
        <v>7</v>
      </c>
      <c r="H1173" s="8" t="n">
        <v>2.43</v>
      </c>
      <c r="I1173" s="8" t="n">
        <v>2.43</v>
      </c>
      <c r="J1173" s="8" t="n"/>
      <c r="K1173" s="7" t="inlineStr">
        <is>
          <t>SEM COTAÇÃO</t>
        </is>
      </c>
      <c r="L1173" s="8" t="n"/>
      <c r="M1173" s="12" t="n"/>
      <c r="N1173" s="7" t="inlineStr"/>
      <c r="O1173" s="7" t="inlineStr"/>
    </row>
    <row r="1174">
      <c r="A1174" s="7" t="n">
        <v>652371</v>
      </c>
      <c r="B1174" s="10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1" t="n">
        <v>1</v>
      </c>
      <c r="G1174" s="11" t="n">
        <v>1</v>
      </c>
      <c r="H1174" s="8" t="n">
        <v>12.54</v>
      </c>
      <c r="I1174" s="8" t="n">
        <v>12.54</v>
      </c>
      <c r="J1174" s="8" t="n"/>
      <c r="K1174" s="7" t="inlineStr">
        <is>
          <t>SEM COTAÇÃO</t>
        </is>
      </c>
      <c r="L1174" s="8" t="n"/>
      <c r="M1174" s="12" t="n"/>
      <c r="N1174" s="7" t="inlineStr"/>
      <c r="O1174" s="7" t="inlineStr"/>
    </row>
    <row r="1175">
      <c r="A1175" s="7" t="n">
        <v>666311</v>
      </c>
      <c r="B1175" s="10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1" t="n">
        <v>1</v>
      </c>
      <c r="G1175" s="11" t="n">
        <v>1</v>
      </c>
      <c r="H1175" s="8" t="n">
        <v>27.3</v>
      </c>
      <c r="I1175" s="8" t="n">
        <v>27.3</v>
      </c>
      <c r="J1175" s="8" t="n"/>
      <c r="K1175" s="7" t="inlineStr">
        <is>
          <t>SEM COTAÇÃO</t>
        </is>
      </c>
      <c r="L1175" s="8" t="n"/>
      <c r="M1175" s="12" t="n"/>
      <c r="N1175" s="7" t="inlineStr"/>
      <c r="O1175" s="7" t="inlineStr"/>
    </row>
    <row r="1176">
      <c r="A1176" s="7" t="n">
        <v>612751</v>
      </c>
      <c r="B1176" s="10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1" t="n">
        <v>3</v>
      </c>
      <c r="G1176" s="11" t="n">
        <v>3</v>
      </c>
      <c r="H1176" s="8" t="n">
        <v>9.01</v>
      </c>
      <c r="I1176" s="8" t="n">
        <v>9.01</v>
      </c>
      <c r="J1176" s="8" t="n"/>
      <c r="K1176" s="7" t="inlineStr">
        <is>
          <t>SEM COTAÇÃO</t>
        </is>
      </c>
      <c r="L1176" s="8" t="n"/>
      <c r="M1176" s="12" t="n"/>
      <c r="N1176" s="7" t="inlineStr"/>
      <c r="O1176" s="7" t="inlineStr"/>
    </row>
    <row r="1177">
      <c r="A1177" s="7" t="n">
        <v>612741</v>
      </c>
      <c r="B1177" s="10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1" t="n">
        <v>1</v>
      </c>
      <c r="G1177" s="11" t="n">
        <v>1</v>
      </c>
      <c r="H1177" s="8" t="n">
        <v>14.52</v>
      </c>
      <c r="I1177" s="8" t="n">
        <v>13.26</v>
      </c>
      <c r="J1177" s="8" t="n"/>
      <c r="K1177" s="7" t="inlineStr">
        <is>
          <t>SEM COTAÇÃO</t>
        </is>
      </c>
      <c r="L1177" s="8" t="n"/>
      <c r="M1177" s="12" t="n"/>
      <c r="N1177" s="7" t="inlineStr"/>
      <c r="O1177" s="7" t="inlineStr"/>
    </row>
    <row r="1178">
      <c r="A1178" s="7" t="n">
        <v>612731</v>
      </c>
      <c r="B1178" s="10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1" t="n">
        <v>1</v>
      </c>
      <c r="G1178" s="11" t="n">
        <v>1</v>
      </c>
      <c r="H1178" s="8" t="n">
        <v>13.17</v>
      </c>
      <c r="I1178" s="8" t="n">
        <v>13.17</v>
      </c>
      <c r="J1178" s="8" t="n"/>
      <c r="K1178" s="7" t="inlineStr">
        <is>
          <t>SEM COTAÇÃO</t>
        </is>
      </c>
      <c r="L1178" s="8" t="n"/>
      <c r="M1178" s="12" t="n"/>
      <c r="N1178" s="7" t="inlineStr"/>
      <c r="O1178" s="7" t="inlineStr"/>
    </row>
    <row r="1179">
      <c r="A1179" s="7" t="n">
        <v>545601</v>
      </c>
      <c r="B1179" s="10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1" t="n">
        <v>1</v>
      </c>
      <c r="G1179" s="11" t="n">
        <v>1</v>
      </c>
      <c r="H1179" s="8" t="n">
        <v>6.86</v>
      </c>
      <c r="I1179" s="8" t="n">
        <v>6.86</v>
      </c>
      <c r="J1179" s="8" t="n"/>
      <c r="K1179" s="7" t="inlineStr">
        <is>
          <t>SEM COTAÇÃO</t>
        </is>
      </c>
      <c r="L1179" s="8" t="n"/>
      <c r="M1179" s="12" t="n"/>
      <c r="N1179" s="7" t="inlineStr"/>
      <c r="O1179" s="7" t="inlineStr"/>
    </row>
    <row r="1180">
      <c r="A1180" s="7" t="n">
        <v>576541</v>
      </c>
      <c r="B1180" s="10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1" t="n">
        <v>4</v>
      </c>
      <c r="G1180" s="11" t="n">
        <v>4</v>
      </c>
      <c r="H1180" s="8" t="n">
        <v>9.0733</v>
      </c>
      <c r="I1180" s="8" t="n">
        <v>7.1017</v>
      </c>
      <c r="J1180" s="8" t="n"/>
      <c r="K1180" s="7" t="inlineStr">
        <is>
          <t>SEM COTAÇÃO</t>
        </is>
      </c>
      <c r="L1180" s="8" t="n"/>
      <c r="M1180" s="12" t="n"/>
      <c r="N1180" s="7" t="inlineStr"/>
      <c r="O1180" s="7" t="inlineStr"/>
    </row>
    <row r="1181">
      <c r="A1181" s="7" t="n">
        <v>548841</v>
      </c>
      <c r="B1181" s="10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1" t="n">
        <v>1</v>
      </c>
      <c r="G1181" s="11" t="n">
        <v>1</v>
      </c>
      <c r="H1181" s="8" t="n">
        <v>7.82</v>
      </c>
      <c r="I1181" s="8" t="n">
        <v>7.82</v>
      </c>
      <c r="J1181" s="8" t="n"/>
      <c r="K1181" s="7" t="inlineStr">
        <is>
          <t>SEM COTAÇÃO</t>
        </is>
      </c>
      <c r="L1181" s="8" t="n"/>
      <c r="M1181" s="12" t="n"/>
      <c r="N1181" s="7" t="inlineStr"/>
      <c r="O1181" s="7" t="inlineStr"/>
    </row>
    <row r="1182">
      <c r="A1182" s="7" t="n">
        <v>535281</v>
      </c>
      <c r="B1182" s="10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1" t="n">
        <v>2</v>
      </c>
      <c r="G1182" s="11" t="n">
        <v>2</v>
      </c>
      <c r="H1182" s="8" t="n">
        <v>9.289999999999999</v>
      </c>
      <c r="I1182" s="8" t="n">
        <v>9.289999999999999</v>
      </c>
      <c r="J1182" s="8" t="n"/>
      <c r="K1182" s="7" t="inlineStr">
        <is>
          <t>SEM COTAÇÃO</t>
        </is>
      </c>
      <c r="L1182" s="8" t="n"/>
      <c r="M1182" s="12" t="n"/>
      <c r="N1182" s="7" t="inlineStr"/>
      <c r="O1182" s="7" t="inlineStr"/>
    </row>
    <row r="1183">
      <c r="A1183" s="7" t="n">
        <v>552741</v>
      </c>
      <c r="B1183" s="10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1" t="n">
        <v>1</v>
      </c>
      <c r="G1183" s="11" t="n">
        <v>1</v>
      </c>
      <c r="H1183" s="8" t="n"/>
      <c r="I1183" s="8" t="n"/>
      <c r="J1183" s="8" t="n"/>
      <c r="K1183" s="7" t="inlineStr">
        <is>
          <t>SEM COTAÇÃO</t>
        </is>
      </c>
      <c r="L1183" s="8" t="n"/>
      <c r="M1183" s="12" t="n"/>
      <c r="N1183" s="7" t="inlineStr"/>
      <c r="O1183" s="7" t="inlineStr"/>
    </row>
    <row r="1184">
      <c r="A1184" s="7" t="n">
        <v>413841</v>
      </c>
      <c r="B1184" s="10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1" t="n">
        <v>1</v>
      </c>
      <c r="G1184" s="11" t="n">
        <v>1</v>
      </c>
      <c r="H1184" s="8" t="n">
        <v>19.0733</v>
      </c>
      <c r="I1184" s="8" t="n">
        <v>19.0733</v>
      </c>
      <c r="J1184" s="8" t="n"/>
      <c r="K1184" s="7" t="inlineStr">
        <is>
          <t>SEM COTAÇÃO</t>
        </is>
      </c>
      <c r="L1184" s="8" t="n"/>
      <c r="M1184" s="12" t="n"/>
      <c r="N1184" s="7" t="inlineStr"/>
      <c r="O1184" s="7" t="inlineStr"/>
    </row>
    <row r="1185">
      <c r="A1185" s="7" t="n">
        <v>463461</v>
      </c>
      <c r="B1185" s="10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1" t="n">
        <v>6</v>
      </c>
      <c r="G1185" s="11" t="n">
        <v>6</v>
      </c>
      <c r="H1185" s="8" t="n">
        <v>38.8</v>
      </c>
      <c r="I1185" s="8" t="n">
        <v>35.79</v>
      </c>
      <c r="J1185" s="8" t="n"/>
      <c r="K1185" s="7" t="inlineStr">
        <is>
          <t>SEM COTAÇÃO</t>
        </is>
      </c>
      <c r="L1185" s="8" t="n"/>
      <c r="M1185" s="12" t="n"/>
      <c r="N1185" s="7" t="inlineStr"/>
      <c r="O1185" s="7" t="inlineStr"/>
    </row>
    <row r="1186">
      <c r="A1186" s="7" t="n">
        <v>540641</v>
      </c>
      <c r="B1186" s="10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1" t="n">
        <v>1</v>
      </c>
      <c r="G1186" s="11" t="n">
        <v>1</v>
      </c>
      <c r="H1186" s="8" t="n">
        <v>7.35</v>
      </c>
      <c r="I1186" s="8" t="n">
        <v>7.35</v>
      </c>
      <c r="J1186" s="8" t="n"/>
      <c r="K1186" s="7" t="inlineStr">
        <is>
          <t>SEM COTAÇÃO</t>
        </is>
      </c>
      <c r="L1186" s="8" t="n"/>
      <c r="M1186" s="12" t="n"/>
      <c r="N1186" s="7" t="inlineStr"/>
      <c r="O1186" s="7" t="inlineStr"/>
    </row>
    <row r="1187">
      <c r="A1187" s="7" t="n">
        <v>474</v>
      </c>
      <c r="B1187" s="10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1" t="n">
        <v>1</v>
      </c>
      <c r="G1187" s="11" t="n">
        <v>1</v>
      </c>
      <c r="H1187" s="8" t="n">
        <v>4.6</v>
      </c>
      <c r="I1187" s="8" t="n">
        <v>4.6</v>
      </c>
      <c r="J1187" s="8" t="n"/>
      <c r="K1187" s="7" t="inlineStr">
        <is>
          <t>SEM COTAÇÃO</t>
        </is>
      </c>
      <c r="L1187" s="8" t="n"/>
      <c r="M1187" s="12" t="n"/>
      <c r="N1187" s="7" t="inlineStr"/>
      <c r="O1187" s="7" t="inlineStr"/>
    </row>
    <row r="1188">
      <c r="A1188" s="7" t="n">
        <v>434</v>
      </c>
      <c r="B1188" s="10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1" t="n">
        <v>1</v>
      </c>
      <c r="G1188" s="11" t="n">
        <v>1</v>
      </c>
      <c r="H1188" s="8" t="n"/>
      <c r="I1188" s="8" t="n"/>
      <c r="J1188" s="8" t="n"/>
      <c r="K1188" s="7" t="inlineStr">
        <is>
          <t>SEM COTAÇÃO</t>
        </is>
      </c>
      <c r="L1188" s="8" t="n"/>
      <c r="M1188" s="12" t="n"/>
      <c r="N1188" s="7" t="inlineStr"/>
      <c r="O1188" s="7" t="inlineStr"/>
    </row>
    <row r="1189">
      <c r="A1189" s="7" t="n">
        <v>198541</v>
      </c>
      <c r="B1189" s="10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1" t="n">
        <v>1</v>
      </c>
      <c r="G1189" s="11" t="n">
        <v>1</v>
      </c>
      <c r="H1189" s="8" t="n">
        <v>11.5633</v>
      </c>
      <c r="I1189" s="8" t="n">
        <v>11.5633</v>
      </c>
      <c r="J1189" s="8" t="n"/>
      <c r="K1189" s="7" t="inlineStr">
        <is>
          <t>SEM COTAÇÃO</t>
        </is>
      </c>
      <c r="L1189" s="8" t="n"/>
      <c r="M1189" s="12" t="n"/>
      <c r="N1189" s="7" t="inlineStr"/>
      <c r="O1189" s="7" t="inlineStr"/>
    </row>
    <row r="1190">
      <c r="A1190" s="7" t="n">
        <v>621411</v>
      </c>
      <c r="B1190" s="10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1" t="n">
        <v>1</v>
      </c>
      <c r="G1190" s="11" t="n">
        <v>1</v>
      </c>
      <c r="H1190" s="8" t="n">
        <v>3.4462</v>
      </c>
      <c r="I1190" s="8" t="n">
        <v>3.4462</v>
      </c>
      <c r="J1190" s="8" t="n"/>
      <c r="K1190" s="7" t="inlineStr">
        <is>
          <t>SEM COTAÇÃO</t>
        </is>
      </c>
      <c r="L1190" s="8" t="n"/>
      <c r="M1190" s="12" t="n"/>
      <c r="N1190" s="7" t="inlineStr"/>
      <c r="O1190" s="7" t="inlineStr"/>
    </row>
    <row r="1191">
      <c r="A1191" s="7" t="n">
        <v>605281</v>
      </c>
      <c r="B1191" s="10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1" t="n">
        <v>1</v>
      </c>
      <c r="G1191" s="11" t="n">
        <v>1</v>
      </c>
      <c r="H1191" s="8" t="n">
        <v>181.57</v>
      </c>
      <c r="I1191" s="8" t="n">
        <v>181.57</v>
      </c>
      <c r="J1191" s="8" t="n"/>
      <c r="K1191" s="7" t="inlineStr">
        <is>
          <t>SEM COTAÇÃO</t>
        </is>
      </c>
      <c r="L1191" s="8" t="n"/>
      <c r="M1191" s="12" t="n"/>
      <c r="N1191" s="7" t="inlineStr"/>
      <c r="O1191" s="7" t="inlineStr"/>
    </row>
    <row r="1192">
      <c r="A1192" s="7" t="n">
        <v>626861</v>
      </c>
      <c r="B1192" s="10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1" t="n">
        <v>1</v>
      </c>
      <c r="G1192" s="11" t="n">
        <v>1</v>
      </c>
      <c r="H1192" s="8" t="n">
        <v>42.06</v>
      </c>
      <c r="I1192" s="8" t="n">
        <v>42.06</v>
      </c>
      <c r="J1192" s="8" t="n"/>
      <c r="K1192" s="7" t="inlineStr">
        <is>
          <t>SEM COTAÇÃO</t>
        </is>
      </c>
      <c r="L1192" s="8" t="n"/>
      <c r="M1192" s="12" t="n"/>
      <c r="N1192" s="7" t="inlineStr"/>
      <c r="O1192" s="7" t="inlineStr"/>
    </row>
    <row r="1193">
      <c r="A1193" s="7" t="n">
        <v>567181</v>
      </c>
      <c r="B1193" s="10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1" t="n">
        <v>2</v>
      </c>
      <c r="G1193" s="11" t="n">
        <v>2</v>
      </c>
      <c r="H1193" s="8" t="n">
        <v>9.369999999999999</v>
      </c>
      <c r="I1193" s="8" t="n">
        <v>7.83</v>
      </c>
      <c r="J1193" s="8" t="n"/>
      <c r="K1193" s="7" t="inlineStr">
        <is>
          <t>SEM COTAÇÃO</t>
        </is>
      </c>
      <c r="L1193" s="8" t="n"/>
      <c r="M1193" s="12" t="n"/>
      <c r="N1193" s="7" t="inlineStr"/>
      <c r="O1193" s="7" t="inlineStr"/>
    </row>
    <row r="1194">
      <c r="A1194" s="7" t="n">
        <v>656581</v>
      </c>
      <c r="B1194" s="10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1" t="n">
        <v>1</v>
      </c>
      <c r="G1194" s="11" t="n">
        <v>1</v>
      </c>
      <c r="H1194" s="8" t="n">
        <v>6.0417</v>
      </c>
      <c r="I1194" s="8" t="n">
        <v>6.0417</v>
      </c>
      <c r="J1194" s="8" t="n"/>
      <c r="K1194" s="7" t="inlineStr">
        <is>
          <t>SEM COTAÇÃO</t>
        </is>
      </c>
      <c r="L1194" s="8" t="n"/>
      <c r="M1194" s="12" t="n"/>
      <c r="N1194" s="7" t="inlineStr"/>
      <c r="O1194" s="7" t="inlineStr"/>
    </row>
    <row r="1195">
      <c r="A1195" s="7" t="n">
        <v>620031</v>
      </c>
      <c r="B1195" s="10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1" t="n">
        <v>12</v>
      </c>
      <c r="G1195" s="11" t="n">
        <v>12</v>
      </c>
      <c r="H1195" s="8" t="n">
        <v>1.91</v>
      </c>
      <c r="I1195" s="8" t="n">
        <v>1.91</v>
      </c>
      <c r="J1195" s="8" t="n"/>
      <c r="K1195" s="7" t="inlineStr">
        <is>
          <t>SEM COTAÇÃO</t>
        </is>
      </c>
      <c r="L1195" s="8" t="n"/>
      <c r="M1195" s="12" t="n"/>
      <c r="N1195" s="7" t="inlineStr"/>
      <c r="O1195" s="7" t="inlineStr"/>
    </row>
    <row r="1196">
      <c r="A1196" s="7" t="n">
        <v>647131</v>
      </c>
      <c r="B1196" s="10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1" t="n">
        <v>3</v>
      </c>
      <c r="G1196" s="11" t="n">
        <v>3</v>
      </c>
      <c r="H1196" s="8" t="n">
        <v>2</v>
      </c>
      <c r="I1196" s="8" t="n">
        <v>2</v>
      </c>
      <c r="J1196" s="8" t="n"/>
      <c r="K1196" s="7" t="inlineStr">
        <is>
          <t>SEM COTAÇÃO</t>
        </is>
      </c>
      <c r="L1196" s="8" t="n"/>
      <c r="M1196" s="12" t="n"/>
      <c r="N1196" s="7" t="inlineStr"/>
      <c r="O1196" s="7" t="inlineStr"/>
    </row>
    <row r="1197">
      <c r="A1197" s="7" t="n">
        <v>620061</v>
      </c>
      <c r="B1197" s="10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1" t="n">
        <v>2</v>
      </c>
      <c r="G1197" s="11" t="n">
        <v>2</v>
      </c>
      <c r="H1197" s="8" t="n">
        <v>1.91</v>
      </c>
      <c r="I1197" s="8" t="n">
        <v>1.91</v>
      </c>
      <c r="J1197" s="13" t="n">
        <v>1.42</v>
      </c>
      <c r="K1197" s="7" t="inlineStr">
        <is>
          <t>DIMEC</t>
        </is>
      </c>
      <c r="L1197" s="8" t="n">
        <v>1.42</v>
      </c>
      <c r="M1197" s="12">
        <f>L1197/H1197-1</f>
        <v/>
      </c>
      <c r="N1197" s="15" t="inlineStr">
        <is>
          <t>OK (≤ menor hist.)</t>
        </is>
      </c>
      <c r="O1197" s="7" t="inlineStr"/>
    </row>
    <row r="1198">
      <c r="A1198" s="7" t="n">
        <v>647121</v>
      </c>
      <c r="B1198" s="10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1" t="n">
        <v>1</v>
      </c>
      <c r="G1198" s="11" t="n">
        <v>1</v>
      </c>
      <c r="H1198" s="8" t="n">
        <v>2</v>
      </c>
      <c r="I1198" s="8" t="n">
        <v>2</v>
      </c>
      <c r="J1198" s="8" t="n"/>
      <c r="K1198" s="7" t="inlineStr">
        <is>
          <t>SEM COTAÇÃO</t>
        </is>
      </c>
      <c r="L1198" s="8" t="n"/>
      <c r="M1198" s="12" t="n"/>
      <c r="N1198" s="7" t="inlineStr"/>
      <c r="O1198" s="7" t="inlineStr"/>
    </row>
    <row r="1199">
      <c r="A1199" s="7" t="n">
        <v>598531</v>
      </c>
      <c r="B1199" s="10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1" t="n">
        <v>11</v>
      </c>
      <c r="G1199" s="11" t="n">
        <v>11</v>
      </c>
      <c r="H1199" s="8" t="n">
        <v>1.79</v>
      </c>
      <c r="I1199" s="8" t="n">
        <v>1.76</v>
      </c>
      <c r="J1199" s="8" t="n"/>
      <c r="K1199" s="7" t="inlineStr">
        <is>
          <t>SEM COTAÇÃO</t>
        </is>
      </c>
      <c r="L1199" s="8" t="n"/>
      <c r="M1199" s="12" t="n"/>
      <c r="N1199" s="7" t="inlineStr"/>
      <c r="O1199" s="7" t="inlineStr"/>
    </row>
    <row r="1200">
      <c r="A1200" s="7" t="n">
        <v>630671</v>
      </c>
      <c r="B1200" s="10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1" t="n">
        <v>4</v>
      </c>
      <c r="G1200" s="11" t="n">
        <v>4</v>
      </c>
      <c r="H1200" s="8" t="n">
        <v>5.42</v>
      </c>
      <c r="I1200" s="8" t="n">
        <v>5.42</v>
      </c>
      <c r="J1200" s="13" t="n">
        <v>5.42</v>
      </c>
      <c r="K1200" s="7" t="inlineStr">
        <is>
          <t>DIMEC</t>
        </is>
      </c>
      <c r="L1200" s="8" t="n">
        <v>5.42</v>
      </c>
      <c r="M1200" s="12">
        <f>L1200/H1200-1</f>
        <v/>
      </c>
      <c r="N1200" s="15" t="inlineStr">
        <is>
          <t>OK (≤ menor hist.)</t>
        </is>
      </c>
      <c r="O1200" s="7" t="inlineStr"/>
    </row>
    <row r="1201">
      <c r="A1201" s="7" t="n">
        <v>673751</v>
      </c>
      <c r="B1201" s="10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1" t="n">
        <v>4</v>
      </c>
      <c r="G1201" s="11" t="n">
        <v>4</v>
      </c>
      <c r="H1201" s="8" t="n">
        <v>2.25</v>
      </c>
      <c r="I1201" s="8" t="n">
        <v>2.25</v>
      </c>
      <c r="J1201" s="8" t="n"/>
      <c r="K1201" s="7" t="inlineStr">
        <is>
          <t>SEM COTAÇÃO</t>
        </is>
      </c>
      <c r="L1201" s="8" t="n"/>
      <c r="M1201" s="12" t="n"/>
      <c r="N1201" s="7" t="inlineStr"/>
      <c r="O1201" s="7" t="inlineStr"/>
    </row>
    <row r="1202">
      <c r="A1202" s="7" t="n">
        <v>641191</v>
      </c>
      <c r="B1202" s="10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1" t="n">
        <v>12</v>
      </c>
      <c r="G1202" s="11" t="n">
        <v>12</v>
      </c>
      <c r="H1202" s="8" t="n">
        <v>2.68</v>
      </c>
      <c r="I1202" s="8" t="n">
        <v>2.64</v>
      </c>
      <c r="J1202" s="8" t="n"/>
      <c r="K1202" s="7" t="inlineStr">
        <is>
          <t>SEM COTAÇÃO</t>
        </is>
      </c>
      <c r="L1202" s="8" t="n"/>
      <c r="M1202" s="12" t="n"/>
      <c r="N1202" s="7" t="inlineStr"/>
      <c r="O1202" s="7" t="inlineStr"/>
    </row>
    <row r="1203">
      <c r="A1203" s="7" t="n">
        <v>641201</v>
      </c>
      <c r="B1203" s="10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1" t="n">
        <v>17</v>
      </c>
      <c r="G1203" s="11" t="n">
        <v>17</v>
      </c>
      <c r="H1203" s="8" t="n">
        <v>2.64</v>
      </c>
      <c r="I1203" s="8" t="n">
        <v>2.64</v>
      </c>
      <c r="J1203" s="8" t="n"/>
      <c r="K1203" s="7" t="inlineStr">
        <is>
          <t>SEM COTAÇÃO</t>
        </is>
      </c>
      <c r="L1203" s="8" t="n"/>
      <c r="M1203" s="12" t="n"/>
      <c r="N1203" s="7" t="inlineStr"/>
      <c r="O1203" s="7" t="inlineStr"/>
    </row>
    <row r="1204">
      <c r="A1204" s="7" t="n">
        <v>651551</v>
      </c>
      <c r="B1204" s="10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1" t="n">
        <v>1</v>
      </c>
      <c r="G1204" s="11" t="n">
        <v>1</v>
      </c>
      <c r="H1204" s="8" t="n">
        <v>7.8306</v>
      </c>
      <c r="I1204" s="8" t="n">
        <v>7.8306</v>
      </c>
      <c r="J1204" s="8" t="n"/>
      <c r="K1204" s="7" t="inlineStr">
        <is>
          <t>SEM COTAÇÃO</t>
        </is>
      </c>
      <c r="L1204" s="8" t="n"/>
      <c r="M1204" s="12" t="n"/>
      <c r="N1204" s="7" t="inlineStr"/>
      <c r="O1204" s="7" t="inlineStr"/>
    </row>
    <row r="1205">
      <c r="A1205" s="7" t="n">
        <v>833</v>
      </c>
      <c r="B1205" s="10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1" t="n">
        <v>1</v>
      </c>
      <c r="G1205" s="11" t="n">
        <v>1</v>
      </c>
      <c r="H1205" s="8" t="n">
        <v>4.59</v>
      </c>
      <c r="I1205" s="8" t="n">
        <v>4.59</v>
      </c>
      <c r="J1205" s="8" t="n"/>
      <c r="K1205" s="7" t="inlineStr">
        <is>
          <t>SEM COTAÇÃO</t>
        </is>
      </c>
      <c r="L1205" s="8" t="n"/>
      <c r="M1205" s="12" t="n"/>
      <c r="N1205" s="7" t="inlineStr"/>
      <c r="O1205" s="7" t="inlineStr"/>
    </row>
    <row r="1206">
      <c r="A1206" s="7" t="n">
        <v>575341</v>
      </c>
      <c r="B1206" s="10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1" t="n">
        <v>2</v>
      </c>
      <c r="G1206" s="11" t="n">
        <v>2</v>
      </c>
      <c r="H1206" s="8" t="n">
        <v>3.16</v>
      </c>
      <c r="I1206" s="8" t="n">
        <v>3.16</v>
      </c>
      <c r="J1206" s="8" t="n"/>
      <c r="K1206" s="7" t="inlineStr">
        <is>
          <t>SEM COTAÇÃO</t>
        </is>
      </c>
      <c r="L1206" s="8" t="n"/>
      <c r="M1206" s="12" t="n"/>
      <c r="N1206" s="7" t="inlineStr"/>
      <c r="O1206" s="7" t="inlineStr"/>
    </row>
    <row r="1207">
      <c r="A1207" s="7" t="n">
        <v>575361</v>
      </c>
      <c r="B1207" s="10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1" t="n">
        <v>8</v>
      </c>
      <c r="G1207" s="11" t="n">
        <v>8</v>
      </c>
      <c r="H1207" s="8" t="n">
        <v>3.802</v>
      </c>
      <c r="I1207" s="8" t="n">
        <v>3.802</v>
      </c>
      <c r="J1207" s="8" t="n"/>
      <c r="K1207" s="7" t="inlineStr">
        <is>
          <t>SEM COTAÇÃO</t>
        </is>
      </c>
      <c r="L1207" s="8" t="n"/>
      <c r="M1207" s="12" t="n"/>
      <c r="N1207" s="7" t="inlineStr"/>
      <c r="O1207" s="7" t="inlineStr"/>
    </row>
    <row r="1208">
      <c r="A1208" s="7" t="n">
        <v>604731</v>
      </c>
      <c r="B1208" s="10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1" t="n">
        <v>7</v>
      </c>
      <c r="G1208" s="11" t="n">
        <v>7</v>
      </c>
      <c r="H1208" s="8" t="n">
        <v>3.162</v>
      </c>
      <c r="I1208" s="8" t="n">
        <v>3.162</v>
      </c>
      <c r="J1208" s="8" t="n"/>
      <c r="K1208" s="7" t="inlineStr">
        <is>
          <t>SEM COTAÇÃO</t>
        </is>
      </c>
      <c r="L1208" s="8" t="n"/>
      <c r="M1208" s="12" t="n"/>
      <c r="N1208" s="7" t="inlineStr"/>
      <c r="O1208" s="7" t="inlineStr"/>
    </row>
    <row r="1209">
      <c r="A1209" s="7" t="n">
        <v>631611</v>
      </c>
      <c r="B1209" s="10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1" t="n">
        <v>7</v>
      </c>
      <c r="G1209" s="11" t="n">
        <v>7</v>
      </c>
      <c r="H1209" s="8" t="n">
        <v>3.06</v>
      </c>
      <c r="I1209" s="8" t="n">
        <v>3.06</v>
      </c>
      <c r="J1209" s="8" t="n"/>
      <c r="K1209" s="7" t="inlineStr">
        <is>
          <t>SEM COTAÇÃO</t>
        </is>
      </c>
      <c r="L1209" s="8" t="n"/>
      <c r="M1209" s="12" t="n"/>
      <c r="N1209" s="7" t="inlineStr"/>
      <c r="O1209" s="7" t="inlineStr"/>
    </row>
    <row r="1210">
      <c r="A1210" s="7" t="n">
        <v>4033</v>
      </c>
      <c r="B1210" s="10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1" t="n">
        <v>18</v>
      </c>
      <c r="G1210" s="11" t="n">
        <v>18</v>
      </c>
      <c r="H1210" s="8" t="n">
        <v>8.32</v>
      </c>
      <c r="I1210" s="8" t="n">
        <v>8.32</v>
      </c>
      <c r="J1210" s="8" t="n"/>
      <c r="K1210" s="7" t="inlineStr">
        <is>
          <t>SEM COTAÇÃO</t>
        </is>
      </c>
      <c r="L1210" s="8" t="n"/>
      <c r="M1210" s="12" t="n"/>
      <c r="N1210" s="7" t="inlineStr"/>
      <c r="O1210" s="7" t="inlineStr"/>
    </row>
    <row r="1211">
      <c r="A1211" s="7" t="n">
        <v>3243</v>
      </c>
      <c r="B1211" s="10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1" t="n">
        <v>5</v>
      </c>
      <c r="G1211" s="11" t="n">
        <v>5</v>
      </c>
      <c r="H1211" s="8" t="n">
        <v>14.93</v>
      </c>
      <c r="I1211" s="8" t="n">
        <v>14.93</v>
      </c>
      <c r="J1211" s="13" t="n">
        <v>17.17</v>
      </c>
      <c r="K1211" s="7" t="inlineStr">
        <is>
          <t>DIMEC</t>
        </is>
      </c>
      <c r="L1211" s="8" t="n">
        <v>17.17</v>
      </c>
      <c r="M1211" s="12">
        <f>L1211/H1211-1</f>
        <v/>
      </c>
      <c r="N1211" s="14" t="inlineStr">
        <is>
          <t>ACIMA +15.0%</t>
        </is>
      </c>
      <c r="O1211" s="7" t="inlineStr"/>
    </row>
    <row r="1212">
      <c r="A1212" s="7" t="n">
        <v>5003</v>
      </c>
      <c r="B1212" s="10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1" t="n">
        <v>5</v>
      </c>
      <c r="G1212" s="11" t="n">
        <v>5</v>
      </c>
      <c r="H1212" s="8" t="n">
        <v>2.94</v>
      </c>
      <c r="I1212" s="8" t="n">
        <v>2.94</v>
      </c>
      <c r="J1212" s="8" t="n"/>
      <c r="K1212" s="7" t="inlineStr">
        <is>
          <t>SEM COTAÇÃO</t>
        </is>
      </c>
      <c r="L1212" s="8" t="n"/>
      <c r="M1212" s="12" t="n"/>
      <c r="N1212" s="7" t="inlineStr"/>
      <c r="O1212" s="7" t="inlineStr"/>
    </row>
    <row r="1213">
      <c r="A1213" s="7" t="n">
        <v>656461</v>
      </c>
      <c r="B1213" s="10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1" t="n">
        <v>22</v>
      </c>
      <c r="G1213" s="11" t="n">
        <v>22</v>
      </c>
      <c r="H1213" s="8" t="n">
        <v>3.25</v>
      </c>
      <c r="I1213" s="8" t="n">
        <v>3.25</v>
      </c>
      <c r="J1213" s="13" t="n">
        <v>3.25</v>
      </c>
      <c r="K1213" s="7" t="inlineStr">
        <is>
          <t>DIMEC</t>
        </is>
      </c>
      <c r="L1213" s="8" t="n">
        <v>3.25</v>
      </c>
      <c r="M1213" s="12">
        <f>L1213/H1213-1</f>
        <v/>
      </c>
      <c r="N1213" s="15" t="inlineStr">
        <is>
          <t>OK (≤ menor hist.)</t>
        </is>
      </c>
      <c r="O1213" s="7" t="inlineStr"/>
    </row>
    <row r="1214">
      <c r="A1214" s="7" t="n">
        <v>674541</v>
      </c>
      <c r="B1214" s="10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1" t="n">
        <v>1</v>
      </c>
      <c r="G1214" s="11" t="n">
        <v>1</v>
      </c>
      <c r="H1214" s="8" t="n">
        <v>25.18</v>
      </c>
      <c r="I1214" s="8" t="n">
        <v>25.18</v>
      </c>
      <c r="J1214" s="8" t="n"/>
      <c r="K1214" s="7" t="inlineStr">
        <is>
          <t>SEM COTAÇÃO</t>
        </is>
      </c>
      <c r="L1214" s="8" t="n"/>
      <c r="M1214" s="12" t="n"/>
      <c r="N1214" s="7" t="inlineStr"/>
      <c r="O1214" s="7" t="inlineStr"/>
    </row>
    <row r="1215">
      <c r="A1215" s="7" t="n">
        <v>3433</v>
      </c>
      <c r="B1215" s="10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1" t="n">
        <v>2</v>
      </c>
      <c r="G1215" s="11" t="n">
        <v>2</v>
      </c>
      <c r="H1215" s="8" t="n">
        <v>5.815</v>
      </c>
      <c r="I1215" s="8" t="n">
        <v>5.815</v>
      </c>
      <c r="J1215" s="8" t="n"/>
      <c r="K1215" s="7" t="inlineStr">
        <is>
          <t>SEM COTAÇÃO</t>
        </is>
      </c>
      <c r="L1215" s="8" t="n"/>
      <c r="M1215" s="12" t="n"/>
      <c r="N1215" s="7" t="inlineStr"/>
      <c r="O1215" s="7" t="inlineStr"/>
    </row>
    <row r="1216">
      <c r="A1216" s="7" t="n">
        <v>554161</v>
      </c>
      <c r="B1216" s="10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1" t="n">
        <v>5</v>
      </c>
      <c r="G1216" s="11" t="n">
        <v>5</v>
      </c>
      <c r="H1216" s="8" t="n">
        <v>7.32</v>
      </c>
      <c r="I1216" s="8" t="n">
        <v>5.662</v>
      </c>
      <c r="J1216" s="8" t="n"/>
      <c r="K1216" s="7" t="inlineStr">
        <is>
          <t>SEM COTAÇÃO</t>
        </is>
      </c>
      <c r="L1216" s="8" t="n"/>
      <c r="M1216" s="12" t="n"/>
      <c r="N1216" s="7" t="inlineStr"/>
      <c r="O1216" s="7" t="inlineStr"/>
    </row>
    <row r="1217">
      <c r="A1217" s="7" t="n">
        <v>657061</v>
      </c>
      <c r="B1217" s="10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1" t="n">
        <v>3</v>
      </c>
      <c r="G1217" s="11" t="n">
        <v>3</v>
      </c>
      <c r="H1217" s="8" t="n">
        <v>14.94</v>
      </c>
      <c r="I1217" s="8" t="n">
        <v>14.94</v>
      </c>
      <c r="J1217" s="8" t="n"/>
      <c r="K1217" s="7" t="inlineStr">
        <is>
          <t>SEM COTAÇÃO</t>
        </is>
      </c>
      <c r="L1217" s="8" t="n"/>
      <c r="M1217" s="12" t="n"/>
      <c r="N1217" s="7" t="inlineStr"/>
      <c r="O1217" s="7" t="inlineStr"/>
    </row>
    <row r="1218">
      <c r="A1218" s="7" t="n">
        <v>651401</v>
      </c>
      <c r="B1218" s="10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1" t="n">
        <v>1</v>
      </c>
      <c r="G1218" s="11" t="n">
        <v>1</v>
      </c>
      <c r="H1218" s="8" t="n">
        <v>11.58</v>
      </c>
      <c r="I1218" s="8" t="n">
        <v>11.58</v>
      </c>
      <c r="J1218" s="8" t="n"/>
      <c r="K1218" s="7" t="inlineStr">
        <is>
          <t>SEM COTAÇÃO</t>
        </is>
      </c>
      <c r="L1218" s="8" t="n"/>
      <c r="M1218" s="12" t="n"/>
      <c r="N1218" s="7" t="inlineStr"/>
      <c r="O1218" s="7" t="inlineStr"/>
    </row>
    <row r="1219">
      <c r="A1219" s="7" t="n">
        <v>605211</v>
      </c>
      <c r="B1219" s="10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1" t="n">
        <v>7</v>
      </c>
      <c r="G1219" s="11" t="n">
        <v>7</v>
      </c>
      <c r="H1219" s="8" t="n">
        <v>27.9721</v>
      </c>
      <c r="I1219" s="8" t="n">
        <v>27.9721</v>
      </c>
      <c r="J1219" s="8" t="n"/>
      <c r="K1219" s="7" t="inlineStr">
        <is>
          <t>SEM COTAÇÃO</t>
        </is>
      </c>
      <c r="L1219" s="8" t="n"/>
      <c r="M1219" s="12" t="n"/>
      <c r="N1219" s="7" t="inlineStr"/>
      <c r="O1219" s="7" t="inlineStr"/>
    </row>
    <row r="1220">
      <c r="A1220" s="7" t="n">
        <v>576161</v>
      </c>
      <c r="B1220" s="10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1" t="n">
        <v>1</v>
      </c>
      <c r="G1220" s="11" t="n">
        <v>1</v>
      </c>
      <c r="H1220" s="8" t="n">
        <v>10.58</v>
      </c>
      <c r="I1220" s="8" t="n">
        <v>10.58</v>
      </c>
      <c r="J1220" s="8" t="n"/>
      <c r="K1220" s="7" t="inlineStr">
        <is>
          <t>SEM COTAÇÃO</t>
        </is>
      </c>
      <c r="L1220" s="8" t="n"/>
      <c r="M1220" s="12" t="n"/>
      <c r="N1220" s="7" t="inlineStr"/>
      <c r="O1220" s="7" t="inlineStr"/>
    </row>
    <row r="1221">
      <c r="A1221" s="7" t="n">
        <v>589521</v>
      </c>
      <c r="B1221" s="10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1" t="n">
        <v>1</v>
      </c>
      <c r="G1221" s="11" t="n">
        <v>1</v>
      </c>
      <c r="H1221" s="8" t="n">
        <v>10.23</v>
      </c>
      <c r="I1221" s="8" t="n">
        <v>10.23</v>
      </c>
      <c r="J1221" s="8" t="n"/>
      <c r="K1221" s="7" t="inlineStr">
        <is>
          <t>SEM COTAÇÃO</t>
        </is>
      </c>
      <c r="L1221" s="8" t="n"/>
      <c r="M1221" s="12" t="n"/>
      <c r="N1221" s="7" t="inlineStr"/>
      <c r="O1221" s="7" t="inlineStr"/>
    </row>
    <row r="1222">
      <c r="A1222" s="7" t="n">
        <v>589411</v>
      </c>
      <c r="B1222" s="10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1" t="n">
        <v>1</v>
      </c>
      <c r="G1222" s="11" t="n">
        <v>1</v>
      </c>
      <c r="H1222" s="8" t="n">
        <v>10.23</v>
      </c>
      <c r="I1222" s="8" t="n">
        <v>10.23</v>
      </c>
      <c r="J1222" s="8" t="n"/>
      <c r="K1222" s="7" t="inlineStr">
        <is>
          <t>SEM COTAÇÃO</t>
        </is>
      </c>
      <c r="L1222" s="8" t="n"/>
      <c r="M1222" s="12" t="n"/>
      <c r="N1222" s="7" t="inlineStr"/>
      <c r="O1222" s="7" t="inlineStr"/>
    </row>
    <row r="1223">
      <c r="A1223" s="7" t="n">
        <v>576341</v>
      </c>
      <c r="B1223" s="10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1" t="n">
        <v>5</v>
      </c>
      <c r="G1223" s="11" t="n">
        <v>5</v>
      </c>
      <c r="H1223" s="8" t="n">
        <v>10.58</v>
      </c>
      <c r="I1223" s="8" t="n">
        <v>10.58</v>
      </c>
      <c r="J1223" s="8" t="n"/>
      <c r="K1223" s="7" t="inlineStr">
        <is>
          <t>SEM COTAÇÃO</t>
        </is>
      </c>
      <c r="L1223" s="8" t="n"/>
      <c r="M1223" s="12" t="n"/>
      <c r="N1223" s="7" t="inlineStr"/>
      <c r="O1223" s="7" t="inlineStr"/>
    </row>
    <row r="1224">
      <c r="A1224" s="7" t="n">
        <v>589551</v>
      </c>
      <c r="B1224" s="10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1" t="n">
        <v>1</v>
      </c>
      <c r="G1224" s="11" t="n">
        <v>1</v>
      </c>
      <c r="H1224" s="8" t="n">
        <v>10.23</v>
      </c>
      <c r="I1224" s="8" t="n">
        <v>10.23</v>
      </c>
      <c r="J1224" s="8" t="n"/>
      <c r="K1224" s="7" t="inlineStr">
        <is>
          <t>SEM COTAÇÃO</t>
        </is>
      </c>
      <c r="L1224" s="8" t="n"/>
      <c r="M1224" s="12" t="n"/>
      <c r="N1224" s="7" t="inlineStr"/>
      <c r="O1224" s="7" t="inlineStr"/>
    </row>
    <row r="1225">
      <c r="A1225" s="7" t="n">
        <v>576021</v>
      </c>
      <c r="B1225" s="10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1" t="n">
        <v>1</v>
      </c>
      <c r="G1225" s="11" t="n">
        <v>1</v>
      </c>
      <c r="H1225" s="8" t="n">
        <v>9.67</v>
      </c>
      <c r="I1225" s="8" t="n">
        <v>9.67</v>
      </c>
      <c r="J1225" s="8" t="n"/>
      <c r="K1225" s="7" t="inlineStr">
        <is>
          <t>SEM COTAÇÃO</t>
        </is>
      </c>
      <c r="L1225" s="8" t="n"/>
      <c r="M1225" s="12" t="n"/>
      <c r="N1225" s="7" t="inlineStr"/>
      <c r="O1225" s="7" t="inlineStr"/>
    </row>
    <row r="1226">
      <c r="A1226" s="7" t="n">
        <v>589471</v>
      </c>
      <c r="B1226" s="10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1" t="n">
        <v>1</v>
      </c>
      <c r="G1226" s="11" t="n">
        <v>1</v>
      </c>
      <c r="H1226" s="8" t="n">
        <v>15.83</v>
      </c>
      <c r="I1226" s="8" t="n">
        <v>15.83</v>
      </c>
      <c r="J1226" s="8" t="n"/>
      <c r="K1226" s="7" t="inlineStr">
        <is>
          <t>SEM COTAÇÃO</t>
        </is>
      </c>
      <c r="L1226" s="8" t="n"/>
      <c r="M1226" s="12" t="n"/>
      <c r="N1226" s="7" t="inlineStr"/>
      <c r="O1226" s="7" t="inlineStr"/>
    </row>
    <row r="1227">
      <c r="A1227" s="7" t="n">
        <v>576141</v>
      </c>
      <c r="B1227" s="10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1" t="n">
        <v>1</v>
      </c>
      <c r="G1227" s="11" t="n">
        <v>1</v>
      </c>
      <c r="H1227" s="8" t="n">
        <v>17.69</v>
      </c>
      <c r="I1227" s="8" t="n">
        <v>17.69</v>
      </c>
      <c r="J1227" s="8" t="n"/>
      <c r="K1227" s="7" t="inlineStr">
        <is>
          <t>SEM COTAÇÃO</t>
        </is>
      </c>
      <c r="L1227" s="8" t="n"/>
      <c r="M1227" s="12" t="n"/>
      <c r="N1227" s="7" t="inlineStr"/>
      <c r="O1227" s="7" t="inlineStr"/>
    </row>
    <row r="1228">
      <c r="A1228" s="7" t="n">
        <v>575981</v>
      </c>
      <c r="B1228" s="10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1" t="n">
        <v>1</v>
      </c>
      <c r="G1228" s="11" t="n">
        <v>1</v>
      </c>
      <c r="H1228" s="8" t="n">
        <v>17.69</v>
      </c>
      <c r="I1228" s="8" t="n">
        <v>17.69</v>
      </c>
      <c r="J1228" s="8" t="n"/>
      <c r="K1228" s="7" t="inlineStr">
        <is>
          <t>SEM COTAÇÃO</t>
        </is>
      </c>
      <c r="L1228" s="8" t="n"/>
      <c r="M1228" s="12" t="n"/>
      <c r="N1228" s="7" t="inlineStr"/>
      <c r="O1228" s="7" t="inlineStr"/>
    </row>
    <row r="1229">
      <c r="A1229" s="7" t="n">
        <v>589511</v>
      </c>
      <c r="B1229" s="10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1" t="n">
        <v>1</v>
      </c>
      <c r="G1229" s="11" t="n">
        <v>1</v>
      </c>
      <c r="H1229" s="8" t="n">
        <v>17.62</v>
      </c>
      <c r="I1229" s="8" t="n">
        <v>17.62</v>
      </c>
      <c r="J1229" s="8" t="n"/>
      <c r="K1229" s="7" t="inlineStr">
        <is>
          <t>SEM COTAÇÃO</t>
        </is>
      </c>
      <c r="L1229" s="8" t="n"/>
      <c r="M1229" s="12" t="n"/>
      <c r="N1229" s="7" t="inlineStr"/>
      <c r="O1229" s="7" t="inlineStr"/>
    </row>
    <row r="1230">
      <c r="A1230" s="7" t="n">
        <v>575941</v>
      </c>
      <c r="B1230" s="10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1" t="n">
        <v>1</v>
      </c>
      <c r="G1230" s="11" t="n">
        <v>1</v>
      </c>
      <c r="H1230" s="8" t="n">
        <v>17.69</v>
      </c>
      <c r="I1230" s="8" t="n">
        <v>17.69</v>
      </c>
      <c r="J1230" s="8" t="n"/>
      <c r="K1230" s="7" t="inlineStr">
        <is>
          <t>SEM COTAÇÃO</t>
        </is>
      </c>
      <c r="L1230" s="8" t="n"/>
      <c r="M1230" s="12" t="n"/>
      <c r="N1230" s="7" t="inlineStr"/>
      <c r="O1230" s="7" t="inlineStr"/>
    </row>
    <row r="1231">
      <c r="A1231" s="7" t="n">
        <v>589561</v>
      </c>
      <c r="B1231" s="10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1" t="n">
        <v>1</v>
      </c>
      <c r="G1231" s="11" t="n">
        <v>1</v>
      </c>
      <c r="H1231" s="8" t="n">
        <v>17.62</v>
      </c>
      <c r="I1231" s="8" t="n">
        <v>17.62</v>
      </c>
      <c r="J1231" s="8" t="n"/>
      <c r="K1231" s="7" t="inlineStr">
        <is>
          <t>SEM COTAÇÃO</t>
        </is>
      </c>
      <c r="L1231" s="8" t="n"/>
      <c r="M1231" s="12" t="n"/>
      <c r="N1231" s="7" t="inlineStr"/>
      <c r="O1231" s="7" t="inlineStr"/>
    </row>
    <row r="1232">
      <c r="A1232" s="7" t="n">
        <v>575961</v>
      </c>
      <c r="B1232" s="10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1" t="n">
        <v>1</v>
      </c>
      <c r="G1232" s="11" t="n">
        <v>1</v>
      </c>
      <c r="H1232" s="8" t="n">
        <v>16.36</v>
      </c>
      <c r="I1232" s="8" t="n">
        <v>16.36</v>
      </c>
      <c r="J1232" s="8" t="n"/>
      <c r="K1232" s="7" t="inlineStr">
        <is>
          <t>SEM COTAÇÃO</t>
        </is>
      </c>
      <c r="L1232" s="8" t="n"/>
      <c r="M1232" s="12" t="n"/>
      <c r="N1232" s="7" t="inlineStr"/>
      <c r="O1232" s="7" t="inlineStr"/>
    </row>
    <row r="1233">
      <c r="A1233" s="7" t="n">
        <v>575921</v>
      </c>
      <c r="B1233" s="10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1" t="n">
        <v>1</v>
      </c>
      <c r="G1233" s="11" t="n">
        <v>1</v>
      </c>
      <c r="H1233" s="8" t="n">
        <v>17.68</v>
      </c>
      <c r="I1233" s="8" t="n">
        <v>17.68</v>
      </c>
      <c r="J1233" s="8" t="n"/>
      <c r="K1233" s="7" t="inlineStr">
        <is>
          <t>SEM COTAÇÃO</t>
        </is>
      </c>
      <c r="L1233" s="8" t="n"/>
      <c r="M1233" s="12" t="n"/>
      <c r="N1233" s="7" t="inlineStr"/>
      <c r="O1233" s="7" t="inlineStr"/>
    </row>
    <row r="1234">
      <c r="A1234" s="7" t="n">
        <v>576321</v>
      </c>
      <c r="B1234" s="10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1" t="n">
        <v>1</v>
      </c>
      <c r="G1234" s="11" t="n">
        <v>1</v>
      </c>
      <c r="H1234" s="8" t="n">
        <v>17.69</v>
      </c>
      <c r="I1234" s="8" t="n">
        <v>17.69</v>
      </c>
      <c r="J1234" s="8" t="n"/>
      <c r="K1234" s="7" t="inlineStr">
        <is>
          <t>SEM COTAÇÃO</t>
        </is>
      </c>
      <c r="L1234" s="8" t="n"/>
      <c r="M1234" s="12" t="n"/>
      <c r="N1234" s="7" t="inlineStr"/>
      <c r="O1234" s="7" t="inlineStr"/>
    </row>
    <row r="1235">
      <c r="A1235" s="7" t="n">
        <v>635881</v>
      </c>
      <c r="B1235" s="10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1" t="n">
        <v>1</v>
      </c>
      <c r="G1235" s="11" t="n">
        <v>1</v>
      </c>
      <c r="H1235" s="8" t="n">
        <v>19.5</v>
      </c>
      <c r="I1235" s="8" t="n">
        <v>19.5</v>
      </c>
      <c r="J1235" s="8" t="n"/>
      <c r="K1235" s="7" t="inlineStr">
        <is>
          <t>SEM COTAÇÃO</t>
        </is>
      </c>
      <c r="L1235" s="8" t="n"/>
      <c r="M1235" s="12" t="n"/>
      <c r="N1235" s="7" t="inlineStr"/>
      <c r="O1235" s="7" t="inlineStr"/>
    </row>
    <row r="1236">
      <c r="A1236" s="7" t="n">
        <v>635901</v>
      </c>
      <c r="B1236" s="10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1" t="n">
        <v>3</v>
      </c>
      <c r="G1236" s="11" t="n">
        <v>3</v>
      </c>
      <c r="H1236" s="8" t="n">
        <v>15.97</v>
      </c>
      <c r="I1236" s="8" t="n">
        <v>15.97</v>
      </c>
      <c r="J1236" s="8" t="n"/>
      <c r="K1236" s="7" t="inlineStr">
        <is>
          <t>SEM COTAÇÃO</t>
        </is>
      </c>
      <c r="L1236" s="8" t="n"/>
      <c r="M1236" s="12" t="n"/>
      <c r="N1236" s="7" t="inlineStr"/>
      <c r="O1236" s="7" t="inlineStr"/>
    </row>
    <row r="1237">
      <c r="A1237" s="7" t="n">
        <v>586781</v>
      </c>
      <c r="B1237" s="10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1" t="n">
        <v>2</v>
      </c>
      <c r="G1237" s="11" t="n">
        <v>2</v>
      </c>
      <c r="H1237" s="8" t="n">
        <v>17.05</v>
      </c>
      <c r="I1237" s="8" t="n">
        <v>17.05</v>
      </c>
      <c r="J1237" s="8" t="n"/>
      <c r="K1237" s="7" t="inlineStr">
        <is>
          <t>SEM COTAÇÃO</t>
        </is>
      </c>
      <c r="L1237" s="8" t="n"/>
      <c r="M1237" s="12" t="n"/>
      <c r="N1237" s="7" t="inlineStr"/>
      <c r="O1237" s="7" t="inlineStr"/>
    </row>
    <row r="1238">
      <c r="A1238" s="7" t="n">
        <v>596181</v>
      </c>
      <c r="B1238" s="10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1" t="n">
        <v>2</v>
      </c>
      <c r="G1238" s="11" t="n">
        <v>2</v>
      </c>
      <c r="H1238" s="8" t="n">
        <v>11.69</v>
      </c>
      <c r="I1238" s="8" t="n">
        <v>11.69</v>
      </c>
      <c r="J1238" s="8" t="n"/>
      <c r="K1238" s="7" t="inlineStr">
        <is>
          <t>SEM COTAÇÃO</t>
        </is>
      </c>
      <c r="L1238" s="8" t="n"/>
      <c r="M1238" s="12" t="n"/>
      <c r="N1238" s="7" t="inlineStr"/>
      <c r="O1238" s="7" t="inlineStr"/>
    </row>
    <row r="1239">
      <c r="A1239" s="7" t="n">
        <v>604811</v>
      </c>
      <c r="B1239" s="10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1" t="n">
        <v>2</v>
      </c>
      <c r="G1239" s="11" t="n">
        <v>2</v>
      </c>
      <c r="H1239" s="8" t="n">
        <v>17.05</v>
      </c>
      <c r="I1239" s="8" t="n">
        <v>17.05</v>
      </c>
      <c r="J1239" s="8" t="n"/>
      <c r="K1239" s="7" t="inlineStr">
        <is>
          <t>SEM COTAÇÃO</t>
        </is>
      </c>
      <c r="L1239" s="8" t="n"/>
      <c r="M1239" s="12" t="n"/>
      <c r="N1239" s="7" t="inlineStr"/>
      <c r="O1239" s="7" t="inlineStr"/>
    </row>
    <row r="1240">
      <c r="A1240" s="7" t="n">
        <v>604821</v>
      </c>
      <c r="B1240" s="10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1" t="n">
        <v>2</v>
      </c>
      <c r="G1240" s="11" t="n">
        <v>2</v>
      </c>
      <c r="H1240" s="8" t="n">
        <v>17.05</v>
      </c>
      <c r="I1240" s="8" t="n">
        <v>17.05</v>
      </c>
      <c r="J1240" s="8" t="n"/>
      <c r="K1240" s="7" t="inlineStr">
        <is>
          <t>SEM COTAÇÃO</t>
        </is>
      </c>
      <c r="L1240" s="8" t="n"/>
      <c r="M1240" s="12" t="n"/>
      <c r="N1240" s="7" t="inlineStr"/>
      <c r="O1240" s="7" t="inlineStr"/>
    </row>
    <row r="1241">
      <c r="A1241" s="7" t="n">
        <v>604831</v>
      </c>
      <c r="B1241" s="10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1" t="n">
        <v>1</v>
      </c>
      <c r="G1241" s="11" t="n">
        <v>1</v>
      </c>
      <c r="H1241" s="8" t="n">
        <v>25.82</v>
      </c>
      <c r="I1241" s="8" t="n">
        <v>25.82</v>
      </c>
      <c r="J1241" s="8" t="n"/>
      <c r="K1241" s="7" t="inlineStr">
        <is>
          <t>SEM COTAÇÃO</t>
        </is>
      </c>
      <c r="L1241" s="8" t="n"/>
      <c r="M1241" s="12" t="n"/>
      <c r="N1241" s="7" t="inlineStr"/>
      <c r="O1241" s="7" t="inlineStr"/>
    </row>
    <row r="1242">
      <c r="A1242" s="7" t="n">
        <v>347821</v>
      </c>
      <c r="B1242" s="10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1" t="n">
        <v>1</v>
      </c>
      <c r="G1242" s="11" t="n">
        <v>1</v>
      </c>
      <c r="H1242" s="8" t="n">
        <v>35.785</v>
      </c>
      <c r="I1242" s="8" t="n">
        <v>35.785</v>
      </c>
      <c r="J1242" s="8" t="n"/>
      <c r="K1242" s="7" t="inlineStr">
        <is>
          <t>SEM COTAÇÃO</t>
        </is>
      </c>
      <c r="L1242" s="8" t="n"/>
      <c r="M1242" s="12" t="n"/>
      <c r="N1242" s="7" t="inlineStr"/>
      <c r="O1242" s="7" t="inlineStr"/>
    </row>
    <row r="1243">
      <c r="A1243" s="7" t="n">
        <v>238741</v>
      </c>
      <c r="B1243" s="10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1" t="n">
        <v>1</v>
      </c>
      <c r="G1243" s="11" t="n">
        <v>1</v>
      </c>
      <c r="H1243" s="8" t="n">
        <v>31.4767</v>
      </c>
      <c r="I1243" s="8" t="n">
        <v>31.4767</v>
      </c>
      <c r="J1243" s="8" t="n"/>
      <c r="K1243" s="7" t="inlineStr">
        <is>
          <t>SEM COTAÇÃO</t>
        </is>
      </c>
      <c r="L1243" s="8" t="n"/>
      <c r="M1243" s="12" t="n"/>
      <c r="N1243" s="7" t="inlineStr"/>
      <c r="O1243" s="7" t="inlineStr"/>
    </row>
    <row r="1244">
      <c r="A1244" s="7" t="n">
        <v>599291</v>
      </c>
      <c r="B1244" s="10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1" t="n">
        <v>8</v>
      </c>
      <c r="G1244" s="11" t="n">
        <v>8</v>
      </c>
      <c r="H1244" s="8" t="n">
        <v>35.372</v>
      </c>
      <c r="I1244" s="8" t="n">
        <v>33.5244</v>
      </c>
      <c r="J1244" s="8" t="n"/>
      <c r="K1244" s="7" t="inlineStr">
        <is>
          <t>SEM COTAÇÃO</t>
        </is>
      </c>
      <c r="L1244" s="8" t="n"/>
      <c r="M1244" s="12" t="n"/>
      <c r="N1244" s="7" t="inlineStr"/>
      <c r="O1244" s="7" t="inlineStr"/>
    </row>
    <row r="1245">
      <c r="A1245" s="7" t="n">
        <v>667171</v>
      </c>
      <c r="B1245" s="10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1" t="n">
        <v>6</v>
      </c>
      <c r="G1245" s="11" t="n">
        <v>6</v>
      </c>
      <c r="H1245" s="8" t="n">
        <v>3.335</v>
      </c>
      <c r="I1245" s="8" t="n">
        <v>3.2383</v>
      </c>
      <c r="J1245" s="8" t="n"/>
      <c r="K1245" s="7" t="inlineStr">
        <is>
          <t>SEM COTAÇÃO</t>
        </is>
      </c>
      <c r="L1245" s="8" t="n"/>
      <c r="M1245" s="12" t="n"/>
      <c r="N1245" s="7" t="inlineStr"/>
      <c r="O1245" s="7" t="inlineStr"/>
    </row>
    <row r="1246">
      <c r="A1246" s="7" t="n">
        <v>609541</v>
      </c>
      <c r="B1246" s="10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1" t="n">
        <v>6</v>
      </c>
      <c r="G1246" s="11" t="n">
        <v>6</v>
      </c>
      <c r="H1246" s="8" t="n">
        <v>3.6608</v>
      </c>
      <c r="I1246" s="8" t="n">
        <v>2.859</v>
      </c>
      <c r="J1246" s="8" t="n"/>
      <c r="K1246" s="7" t="inlineStr">
        <is>
          <t>SEM COTAÇÃO</t>
        </is>
      </c>
      <c r="L1246" s="8" t="n"/>
      <c r="M1246" s="12" t="n"/>
      <c r="N1246" s="7" t="inlineStr"/>
      <c r="O1246" s="7" t="inlineStr"/>
    </row>
    <row r="1247">
      <c r="A1247" s="7" t="n">
        <v>656141</v>
      </c>
      <c r="B1247" s="10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1" t="n">
        <v>1</v>
      </c>
      <c r="G1247" s="11" t="n">
        <v>1</v>
      </c>
      <c r="H1247" s="8" t="n">
        <v>3.318</v>
      </c>
      <c r="I1247" s="8" t="n">
        <v>3.318</v>
      </c>
      <c r="J1247" s="8" t="n"/>
      <c r="K1247" s="7" t="inlineStr">
        <is>
          <t>SEM COTAÇÃO</t>
        </is>
      </c>
      <c r="L1247" s="8" t="n"/>
      <c r="M1247" s="12" t="n"/>
      <c r="N1247" s="7" t="inlineStr"/>
      <c r="O1247" s="7" t="inlineStr"/>
    </row>
    <row r="1248">
      <c r="A1248" s="7" t="n">
        <v>667161</v>
      </c>
      <c r="B1248" s="10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1" t="n">
        <v>1</v>
      </c>
      <c r="G1248" s="11" t="n">
        <v>1</v>
      </c>
      <c r="H1248" s="8" t="n">
        <v>2.99</v>
      </c>
      <c r="I1248" s="8" t="n">
        <v>2.99</v>
      </c>
      <c r="J1248" s="8" t="n"/>
      <c r="K1248" s="7" t="inlineStr">
        <is>
          <t>SEM COTAÇÃO</t>
        </is>
      </c>
      <c r="L1248" s="8" t="n"/>
      <c r="M1248" s="12" t="n"/>
      <c r="N1248" s="7" t="inlineStr"/>
      <c r="O1248" s="7" t="inlineStr"/>
    </row>
    <row r="1249">
      <c r="A1249" s="7" t="n">
        <v>584201</v>
      </c>
      <c r="B1249" s="10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1" t="n">
        <v>4</v>
      </c>
      <c r="G1249" s="11" t="n">
        <v>4</v>
      </c>
      <c r="H1249" s="8" t="n">
        <v>3.2775</v>
      </c>
      <c r="I1249" s="8" t="n">
        <v>2.5567</v>
      </c>
      <c r="J1249" s="8" t="n"/>
      <c r="K1249" s="7" t="inlineStr">
        <is>
          <t>SEM COTAÇÃO</t>
        </is>
      </c>
      <c r="L1249" s="8" t="n"/>
      <c r="M1249" s="12" t="n"/>
      <c r="N1249" s="7" t="inlineStr"/>
      <c r="O1249" s="7" t="inlineStr"/>
    </row>
    <row r="1250">
      <c r="A1250" s="7" t="n">
        <v>671261</v>
      </c>
      <c r="B1250" s="10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1" t="n">
        <v>1</v>
      </c>
      <c r="G1250" s="11" t="n">
        <v>1</v>
      </c>
      <c r="H1250" s="8" t="n">
        <v>59.9729</v>
      </c>
      <c r="I1250" s="8" t="n">
        <v>57.5128</v>
      </c>
      <c r="J1250" s="8" t="n"/>
      <c r="K1250" s="7" t="inlineStr">
        <is>
          <t>SEM COTAÇÃO</t>
        </is>
      </c>
      <c r="L1250" s="8" t="n"/>
      <c r="M1250" s="12" t="n"/>
      <c r="N1250" s="7" t="inlineStr"/>
      <c r="O1250" s="7" t="inlineStr"/>
    </row>
    <row r="1251">
      <c r="A1251" s="7" t="n">
        <v>666411</v>
      </c>
      <c r="B1251" s="10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1" t="n">
        <v>2</v>
      </c>
      <c r="G1251" s="11" t="n">
        <v>2</v>
      </c>
      <c r="H1251" s="8" t="n">
        <v>48.25</v>
      </c>
      <c r="I1251" s="8" t="n">
        <v>48.25</v>
      </c>
      <c r="J1251" s="13" t="n">
        <v>44.99</v>
      </c>
      <c r="K1251" s="7" t="inlineStr">
        <is>
          <t>DIMEC</t>
        </is>
      </c>
      <c r="L1251" s="8" t="n">
        <v>44.99</v>
      </c>
      <c r="M1251" s="12">
        <f>L1251/H1251-1</f>
        <v/>
      </c>
      <c r="N1251" s="15" t="inlineStr">
        <is>
          <t>OK (≤ menor hist.)</t>
        </is>
      </c>
      <c r="O1251" s="7" t="inlineStr"/>
    </row>
    <row r="1252">
      <c r="A1252" s="7" t="n">
        <v>655861</v>
      </c>
      <c r="B1252" s="10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1" t="n">
        <v>1</v>
      </c>
      <c r="G1252" s="11" t="n">
        <v>1</v>
      </c>
      <c r="H1252" s="8" t="n">
        <v>12.5</v>
      </c>
      <c r="I1252" s="8" t="n">
        <v>12.5</v>
      </c>
      <c r="J1252" s="8" t="n"/>
      <c r="K1252" s="7" t="inlineStr">
        <is>
          <t>SEM COTAÇÃO</t>
        </is>
      </c>
      <c r="L1252" s="8" t="n"/>
      <c r="M1252" s="12" t="n"/>
      <c r="N1252" s="7" t="inlineStr"/>
      <c r="O1252" s="7" t="inlineStr"/>
    </row>
    <row r="1253">
      <c r="A1253" s="7" t="n">
        <v>630441</v>
      </c>
      <c r="B1253" s="10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1" t="n">
        <v>2</v>
      </c>
      <c r="G1253" s="11" t="n">
        <v>2</v>
      </c>
      <c r="H1253" s="8" t="n">
        <v>12.5</v>
      </c>
      <c r="I1253" s="8" t="n">
        <v>12.5</v>
      </c>
      <c r="J1253" s="8" t="n"/>
      <c r="K1253" s="7" t="inlineStr">
        <is>
          <t>SEM COTAÇÃO</t>
        </is>
      </c>
      <c r="L1253" s="8" t="n"/>
      <c r="M1253" s="12" t="n"/>
      <c r="N1253" s="7" t="inlineStr"/>
      <c r="O1253" s="7" t="inlineStr"/>
    </row>
    <row r="1254">
      <c r="A1254" s="7" t="n">
        <v>657881</v>
      </c>
      <c r="B1254" s="10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1" t="n">
        <v>1</v>
      </c>
      <c r="G1254" s="11" t="n">
        <v>1</v>
      </c>
      <c r="H1254" s="8" t="n">
        <v>95</v>
      </c>
      <c r="I1254" s="8" t="n">
        <v>95</v>
      </c>
      <c r="J1254" s="8" t="n"/>
      <c r="K1254" s="7" t="inlineStr">
        <is>
          <t>SEM COTAÇÃO</t>
        </is>
      </c>
      <c r="L1254" s="8" t="n"/>
      <c r="M1254" s="12" t="n"/>
      <c r="N1254" s="7" t="inlineStr"/>
      <c r="O1254" s="7" t="inlineStr"/>
    </row>
    <row r="1255">
      <c r="A1255" s="7" t="n">
        <v>534281</v>
      </c>
      <c r="B1255" s="10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1" t="n">
        <v>5</v>
      </c>
      <c r="G1255" s="11" t="n">
        <v>5</v>
      </c>
      <c r="H1255" s="8" t="n">
        <v>6.46</v>
      </c>
      <c r="I1255" s="8" t="n">
        <v>6.46</v>
      </c>
      <c r="J1255" s="8" t="n"/>
      <c r="K1255" s="7" t="inlineStr">
        <is>
          <t>SEM COTAÇÃO</t>
        </is>
      </c>
      <c r="L1255" s="8" t="n"/>
      <c r="M1255" s="12" t="n"/>
      <c r="N1255" s="7" t="inlineStr"/>
      <c r="O1255" s="7" t="inlineStr"/>
    </row>
    <row r="1256">
      <c r="A1256" s="7" t="n">
        <v>605111</v>
      </c>
      <c r="B1256" s="10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1" t="n">
        <v>3</v>
      </c>
      <c r="G1256" s="11" t="n">
        <v>3</v>
      </c>
      <c r="H1256" s="8" t="n">
        <v>6.46</v>
      </c>
      <c r="I1256" s="8" t="n">
        <v>6.46</v>
      </c>
      <c r="J1256" s="8" t="n"/>
      <c r="K1256" s="7" t="inlineStr">
        <is>
          <t>SEM COTAÇÃO</t>
        </is>
      </c>
      <c r="L1256" s="8" t="n"/>
      <c r="M1256" s="12" t="n"/>
      <c r="N1256" s="7" t="inlineStr"/>
      <c r="O1256" s="7" t="inlineStr"/>
    </row>
    <row r="1257">
      <c r="A1257" s="7" t="n">
        <v>534261</v>
      </c>
      <c r="B1257" s="10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1" t="n">
        <v>3</v>
      </c>
      <c r="G1257" s="11" t="n">
        <v>3</v>
      </c>
      <c r="H1257" s="8" t="n">
        <v>6.99</v>
      </c>
      <c r="I1257" s="8" t="n">
        <v>6.99</v>
      </c>
      <c r="J1257" s="8" t="n"/>
      <c r="K1257" s="7" t="inlineStr">
        <is>
          <t>SEM COTAÇÃO</t>
        </is>
      </c>
      <c r="L1257" s="8" t="n"/>
      <c r="M1257" s="12" t="n"/>
      <c r="N1257" s="7" t="inlineStr"/>
      <c r="O1257" s="7" t="inlineStr"/>
    </row>
    <row r="1258">
      <c r="A1258" s="7" t="n">
        <v>624711</v>
      </c>
      <c r="B1258" s="10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1" t="n">
        <v>1</v>
      </c>
      <c r="G1258" s="11" t="n">
        <v>1</v>
      </c>
      <c r="H1258" s="8" t="n">
        <v>13.09</v>
      </c>
      <c r="I1258" s="8" t="n">
        <v>13.09</v>
      </c>
      <c r="J1258" s="8" t="n"/>
      <c r="K1258" s="7" t="inlineStr">
        <is>
          <t>SEM COTAÇÃO</t>
        </is>
      </c>
      <c r="L1258" s="8" t="n"/>
      <c r="M1258" s="12" t="n"/>
      <c r="N1258" s="7" t="inlineStr"/>
      <c r="O1258" s="7" t="inlineStr"/>
    </row>
    <row r="1259">
      <c r="A1259" s="7" t="n">
        <v>624701</v>
      </c>
      <c r="B1259" s="10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1" t="n">
        <v>1</v>
      </c>
      <c r="G1259" s="11" t="n">
        <v>1</v>
      </c>
      <c r="H1259" s="8" t="n">
        <v>13.09</v>
      </c>
      <c r="I1259" s="8" t="n">
        <v>13.09</v>
      </c>
      <c r="J1259" s="8" t="n"/>
      <c r="K1259" s="7" t="inlineStr">
        <is>
          <t>SEM COTAÇÃO</t>
        </is>
      </c>
      <c r="L1259" s="8" t="n"/>
      <c r="M1259" s="12" t="n"/>
      <c r="N1259" s="7" t="inlineStr"/>
      <c r="O1259" s="7" t="inlineStr"/>
    </row>
    <row r="1260">
      <c r="A1260" s="7" t="n">
        <v>624851</v>
      </c>
      <c r="B1260" s="10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1" t="n">
        <v>1</v>
      </c>
      <c r="G1260" s="11" t="n">
        <v>1</v>
      </c>
      <c r="H1260" s="8" t="n">
        <v>13.09</v>
      </c>
      <c r="I1260" s="8" t="n">
        <v>13.09</v>
      </c>
      <c r="J1260" s="8" t="n"/>
      <c r="K1260" s="7" t="inlineStr">
        <is>
          <t>SEM COTAÇÃO</t>
        </is>
      </c>
      <c r="L1260" s="8" t="n"/>
      <c r="M1260" s="12" t="n"/>
      <c r="N1260" s="7" t="inlineStr"/>
      <c r="O1260" s="7" t="inlineStr"/>
    </row>
    <row r="1261">
      <c r="A1261" s="7" t="n">
        <v>624731</v>
      </c>
      <c r="B1261" s="10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1" t="n">
        <v>1</v>
      </c>
      <c r="G1261" s="11" t="n">
        <v>1</v>
      </c>
      <c r="H1261" s="8" t="n">
        <v>6.72</v>
      </c>
      <c r="I1261" s="8" t="n">
        <v>6.72</v>
      </c>
      <c r="J1261" s="8" t="n"/>
      <c r="K1261" s="7" t="inlineStr">
        <is>
          <t>SEM COTAÇÃO</t>
        </is>
      </c>
      <c r="L1261" s="8" t="n"/>
      <c r="M1261" s="12" t="n"/>
      <c r="N1261" s="7" t="inlineStr"/>
      <c r="O1261" s="7" t="inlineStr"/>
    </row>
    <row r="1262">
      <c r="A1262" s="7" t="n">
        <v>624871</v>
      </c>
      <c r="B1262" s="10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1" t="n">
        <v>1</v>
      </c>
      <c r="G1262" s="11" t="n">
        <v>1</v>
      </c>
      <c r="H1262" s="8" t="n">
        <v>6.72</v>
      </c>
      <c r="I1262" s="8" t="n">
        <v>6.72</v>
      </c>
      <c r="J1262" s="8" t="n"/>
      <c r="K1262" s="7" t="inlineStr">
        <is>
          <t>SEM COTAÇÃO</t>
        </is>
      </c>
      <c r="L1262" s="8" t="n"/>
      <c r="M1262" s="12" t="n"/>
      <c r="N1262" s="7" t="inlineStr"/>
      <c r="O1262" s="7" t="inlineStr"/>
    </row>
    <row r="1263">
      <c r="A1263" s="7" t="n">
        <v>624821</v>
      </c>
      <c r="B1263" s="10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1" t="n">
        <v>1</v>
      </c>
      <c r="G1263" s="11" t="n">
        <v>1</v>
      </c>
      <c r="H1263" s="8" t="n">
        <v>50.37</v>
      </c>
      <c r="I1263" s="8" t="n">
        <v>50.37</v>
      </c>
      <c r="J1263" s="8" t="n"/>
      <c r="K1263" s="7" t="inlineStr">
        <is>
          <t>SEM COTAÇÃO</t>
        </is>
      </c>
      <c r="L1263" s="8" t="n"/>
      <c r="M1263" s="12" t="n"/>
      <c r="N1263" s="7" t="inlineStr"/>
      <c r="O1263" s="7" t="inlineStr"/>
    </row>
    <row r="1264">
      <c r="A1264" s="7" t="n">
        <v>646131</v>
      </c>
      <c r="B1264" s="10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1" t="n">
        <v>2</v>
      </c>
      <c r="G1264" s="11" t="n">
        <v>2</v>
      </c>
      <c r="H1264" s="8" t="n">
        <v>10.6217</v>
      </c>
      <c r="I1264" s="8" t="n">
        <v>10.6217</v>
      </c>
      <c r="J1264" s="8" t="n"/>
      <c r="K1264" s="7" t="inlineStr">
        <is>
          <t>SEM COTAÇÃO</t>
        </is>
      </c>
      <c r="L1264" s="8" t="n"/>
      <c r="M1264" s="12" t="n"/>
      <c r="N1264" s="7" t="inlineStr"/>
      <c r="O1264" s="7" t="inlineStr"/>
    </row>
    <row r="1265">
      <c r="A1265" s="7" t="n">
        <v>18903</v>
      </c>
      <c r="B1265" s="10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1" t="n">
        <v>4</v>
      </c>
      <c r="G1265" s="11" t="n">
        <v>4</v>
      </c>
      <c r="H1265" s="8" t="n">
        <v>23.3</v>
      </c>
      <c r="I1265" s="8" t="n">
        <v>17.7</v>
      </c>
      <c r="J1265" s="8" t="n"/>
      <c r="K1265" s="7" t="inlineStr">
        <is>
          <t>SEM COTAÇÃO</t>
        </is>
      </c>
      <c r="L1265" s="8" t="n"/>
      <c r="M1265" s="12" t="n"/>
      <c r="N1265" s="7" t="inlineStr"/>
      <c r="O1265" s="7" t="inlineStr"/>
    </row>
    <row r="1266">
      <c r="A1266" s="7" t="n">
        <v>201421</v>
      </c>
      <c r="B1266" s="10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1" t="n">
        <v>1</v>
      </c>
      <c r="G1266" s="11" t="n">
        <v>1</v>
      </c>
      <c r="H1266" s="8" t="n">
        <v>34.39</v>
      </c>
      <c r="I1266" s="8" t="n">
        <v>34.39</v>
      </c>
      <c r="J1266" s="13" t="n">
        <v>36.78</v>
      </c>
      <c r="K1266" s="7" t="inlineStr">
        <is>
          <t>DIMEC</t>
        </is>
      </c>
      <c r="L1266" s="8" t="n">
        <v>36.78</v>
      </c>
      <c r="M1266" s="12">
        <f>L1266/H1266-1</f>
        <v/>
      </c>
      <c r="N1266" s="14" t="inlineStr">
        <is>
          <t>ACIMA +6.9%</t>
        </is>
      </c>
      <c r="O1266" s="7" t="inlineStr"/>
    </row>
    <row r="1267">
      <c r="A1267" s="7" t="n">
        <v>615811</v>
      </c>
      <c r="B1267" s="10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1" t="n">
        <v>1</v>
      </c>
      <c r="G1267" s="11" t="n">
        <v>1</v>
      </c>
      <c r="H1267" s="8" t="n">
        <v>13.58</v>
      </c>
      <c r="I1267" s="8" t="n">
        <v>13.58</v>
      </c>
      <c r="J1267" s="8" t="n"/>
      <c r="K1267" s="7" t="inlineStr">
        <is>
          <t>SEM COTAÇÃO</t>
        </is>
      </c>
      <c r="L1267" s="8" t="n"/>
      <c r="M1267" s="12" t="n"/>
      <c r="N1267" s="7" t="inlineStr"/>
      <c r="O1267" s="7" t="inlineStr"/>
    </row>
    <row r="1268">
      <c r="A1268" s="7" t="n">
        <v>615831</v>
      </c>
      <c r="B1268" s="10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1" t="n">
        <v>1</v>
      </c>
      <c r="G1268" s="11" t="n">
        <v>1</v>
      </c>
      <c r="H1268" s="8" t="n">
        <v>13.15</v>
      </c>
      <c r="I1268" s="8" t="n">
        <v>13.15</v>
      </c>
      <c r="J1268" s="8" t="n"/>
      <c r="K1268" s="7" t="inlineStr">
        <is>
          <t>SEM COTAÇÃO</t>
        </is>
      </c>
      <c r="L1268" s="8" t="n"/>
      <c r="M1268" s="12" t="n"/>
      <c r="N1268" s="7" t="inlineStr"/>
      <c r="O1268" s="7" t="inlineStr"/>
    </row>
    <row r="1269">
      <c r="A1269" s="7" t="n">
        <v>612811</v>
      </c>
      <c r="B1269" s="10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1" t="n">
        <v>1</v>
      </c>
      <c r="G1269" s="11" t="n">
        <v>1</v>
      </c>
      <c r="H1269" s="8" t="n">
        <v>11.64</v>
      </c>
      <c r="I1269" s="8" t="n">
        <v>11.64</v>
      </c>
      <c r="J1269" s="8" t="n"/>
      <c r="K1269" s="7" t="inlineStr">
        <is>
          <t>SEM COTAÇÃO</t>
        </is>
      </c>
      <c r="L1269" s="8" t="n"/>
      <c r="M1269" s="12" t="n"/>
      <c r="N1269" s="7" t="inlineStr"/>
      <c r="O1269" s="7" t="inlineStr"/>
    </row>
    <row r="1270">
      <c r="A1270" s="7" t="n">
        <v>670161</v>
      </c>
      <c r="B1270" s="10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1" t="n">
        <v>1</v>
      </c>
      <c r="G1270" s="11" t="n">
        <v>1</v>
      </c>
      <c r="H1270" s="8" t="n">
        <v>38.14</v>
      </c>
      <c r="I1270" s="8" t="n">
        <v>38.13</v>
      </c>
      <c r="J1270" s="8" t="n"/>
      <c r="K1270" s="7" t="inlineStr">
        <is>
          <t>SEM COTAÇÃO</t>
        </is>
      </c>
      <c r="L1270" s="8" t="n"/>
      <c r="M1270" s="12" t="n"/>
      <c r="N1270" s="7" t="inlineStr"/>
      <c r="O1270" s="7" t="inlineStr"/>
    </row>
    <row r="1271">
      <c r="A1271" s="7" t="n">
        <v>675971</v>
      </c>
      <c r="B1271" s="10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1" t="n">
        <v>1</v>
      </c>
      <c r="G1271" s="11" t="n">
        <v>1</v>
      </c>
      <c r="H1271" s="8" t="n">
        <v>5.0767</v>
      </c>
      <c r="I1271" s="8" t="n">
        <v>5.0767</v>
      </c>
      <c r="J1271" s="8" t="n"/>
      <c r="K1271" s="7" t="inlineStr">
        <is>
          <t>SEM COTAÇÃO</t>
        </is>
      </c>
      <c r="L1271" s="8" t="n"/>
      <c r="M1271" s="12" t="n"/>
      <c r="N1271" s="7" t="inlineStr"/>
      <c r="O1271" s="7" t="inlineStr"/>
    </row>
    <row r="1272">
      <c r="A1272" s="7" t="n">
        <v>4283</v>
      </c>
      <c r="B1272" s="10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1" t="n">
        <v>2</v>
      </c>
      <c r="G1272" s="11" t="n">
        <v>2</v>
      </c>
      <c r="H1272" s="8" t="n">
        <v>4.0689</v>
      </c>
      <c r="I1272" s="8" t="n">
        <v>4.0689</v>
      </c>
      <c r="J1272" s="8" t="n"/>
      <c r="K1272" s="7" t="inlineStr">
        <is>
          <t>SEM COTAÇÃO</t>
        </is>
      </c>
      <c r="L1272" s="8" t="n"/>
      <c r="M1272" s="12" t="n"/>
      <c r="N1272" s="7" t="inlineStr"/>
      <c r="O1272" s="7" t="inlineStr"/>
    </row>
    <row r="1273">
      <c r="A1273" s="7" t="n">
        <v>4293</v>
      </c>
      <c r="B1273" s="10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1" t="n">
        <v>1</v>
      </c>
      <c r="G1273" s="11" t="n">
        <v>1</v>
      </c>
      <c r="H1273" s="8" t="n">
        <v>4.9867</v>
      </c>
      <c r="I1273" s="8" t="n">
        <v>4.9867</v>
      </c>
      <c r="J1273" s="8" t="n"/>
      <c r="K1273" s="7" t="inlineStr">
        <is>
          <t>SEM COTAÇÃO</t>
        </is>
      </c>
      <c r="L1273" s="8" t="n"/>
      <c r="M1273" s="12" t="n"/>
      <c r="N1273" s="7" t="inlineStr"/>
      <c r="O1273" s="7" t="inlineStr"/>
    </row>
    <row r="1274">
      <c r="A1274" s="7" t="n">
        <v>201981</v>
      </c>
      <c r="B1274" s="10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1" t="n">
        <v>3</v>
      </c>
      <c r="G1274" s="11" t="n">
        <v>3</v>
      </c>
      <c r="H1274" s="8" t="n">
        <v>8.220000000000001</v>
      </c>
      <c r="I1274" s="8" t="n">
        <v>8.220000000000001</v>
      </c>
      <c r="J1274" s="8" t="n"/>
      <c r="K1274" s="7" t="inlineStr">
        <is>
          <t>SEM COTAÇÃO</t>
        </is>
      </c>
      <c r="L1274" s="8" t="n"/>
      <c r="M1274" s="12" t="n"/>
      <c r="N1274" s="7" t="inlineStr"/>
      <c r="O1274" s="7" t="inlineStr"/>
    </row>
    <row r="1275">
      <c r="A1275" s="7" t="n">
        <v>201961</v>
      </c>
      <c r="B1275" s="10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1" t="n">
        <v>5</v>
      </c>
      <c r="G1275" s="11" t="n">
        <v>5</v>
      </c>
      <c r="H1275" s="8" t="n">
        <v>8.16</v>
      </c>
      <c r="I1275" s="8" t="n">
        <v>7.89</v>
      </c>
      <c r="J1275" s="8" t="n"/>
      <c r="K1275" s="7" t="inlineStr">
        <is>
          <t>SEM COTAÇÃO</t>
        </is>
      </c>
      <c r="L1275" s="8" t="n"/>
      <c r="M1275" s="12" t="n"/>
      <c r="N1275" s="7" t="inlineStr"/>
      <c r="O1275" s="7" t="inlineStr"/>
    </row>
    <row r="1276">
      <c r="A1276" s="7" t="n">
        <v>655221</v>
      </c>
      <c r="B1276" s="10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1" t="n">
        <v>1</v>
      </c>
      <c r="G1276" s="11" t="n">
        <v>1</v>
      </c>
      <c r="H1276" s="8" t="n">
        <v>15.11</v>
      </c>
      <c r="I1276" s="8" t="n">
        <v>15.11</v>
      </c>
      <c r="J1276" s="8" t="n"/>
      <c r="K1276" s="7" t="inlineStr">
        <is>
          <t>SEM COTAÇÃO</t>
        </is>
      </c>
      <c r="L1276" s="8" t="n"/>
      <c r="M1276" s="12" t="n"/>
      <c r="N1276" s="7" t="inlineStr"/>
      <c r="O1276" s="7" t="inlineStr"/>
    </row>
    <row r="1277">
      <c r="A1277" s="7" t="n">
        <v>655161</v>
      </c>
      <c r="B1277" s="10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1" t="n">
        <v>2</v>
      </c>
      <c r="G1277" s="11" t="n">
        <v>2</v>
      </c>
      <c r="H1277" s="8" t="n">
        <v>8.25</v>
      </c>
      <c r="I1277" s="8" t="n">
        <v>8.25</v>
      </c>
      <c r="J1277" s="8" t="n"/>
      <c r="K1277" s="7" t="inlineStr">
        <is>
          <t>SEM COTAÇÃO</t>
        </is>
      </c>
      <c r="L1277" s="8" t="n"/>
      <c r="M1277" s="12" t="n"/>
      <c r="N1277" s="7" t="inlineStr"/>
      <c r="O1277" s="7" t="inlineStr"/>
    </row>
    <row r="1278">
      <c r="A1278" s="7" t="n">
        <v>667931</v>
      </c>
      <c r="B1278" s="10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1" t="n">
        <v>2</v>
      </c>
      <c r="G1278" s="11" t="n">
        <v>2</v>
      </c>
      <c r="H1278" s="8" t="n">
        <v>8.369999999999999</v>
      </c>
      <c r="I1278" s="8" t="n">
        <v>8.369999999999999</v>
      </c>
      <c r="J1278" s="8" t="n"/>
      <c r="K1278" s="7" t="inlineStr">
        <is>
          <t>SEM COTAÇÃO</t>
        </is>
      </c>
      <c r="L1278" s="8" t="n"/>
      <c r="M1278" s="12" t="n"/>
      <c r="N1278" s="7" t="inlineStr"/>
      <c r="O1278" s="7" t="inlineStr"/>
    </row>
    <row r="1279">
      <c r="A1279" s="7" t="n">
        <v>667871</v>
      </c>
      <c r="B1279" s="10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1" t="n">
        <v>5</v>
      </c>
      <c r="G1279" s="11" t="n">
        <v>5</v>
      </c>
      <c r="H1279" s="8" t="n">
        <v>6.62</v>
      </c>
      <c r="I1279" s="8" t="n">
        <v>6.62</v>
      </c>
      <c r="J1279" s="8" t="n"/>
      <c r="K1279" s="7" t="inlineStr">
        <is>
          <t>SEM COTAÇÃO</t>
        </is>
      </c>
      <c r="L1279" s="8" t="n"/>
      <c r="M1279" s="12" t="n"/>
      <c r="N1279" s="7" t="inlineStr"/>
      <c r="O1279" s="7" t="inlineStr"/>
    </row>
    <row r="1280">
      <c r="A1280" s="7" t="n">
        <v>668081</v>
      </c>
      <c r="B1280" s="10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1" t="n">
        <v>3</v>
      </c>
      <c r="G1280" s="11" t="n">
        <v>3</v>
      </c>
      <c r="H1280" s="8" t="n">
        <v>5.58</v>
      </c>
      <c r="I1280" s="8" t="n">
        <v>5.32</v>
      </c>
      <c r="J1280" s="8" t="n"/>
      <c r="K1280" s="7" t="inlineStr">
        <is>
          <t>SEM COTAÇÃO</t>
        </is>
      </c>
      <c r="L1280" s="8" t="n"/>
      <c r="M1280" s="12" t="n"/>
      <c r="N1280" s="7" t="inlineStr"/>
      <c r="O1280" s="7" t="inlineStr"/>
    </row>
    <row r="1281">
      <c r="A1281" s="7" t="n">
        <v>655181</v>
      </c>
      <c r="B1281" s="10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1" t="n">
        <v>7</v>
      </c>
      <c r="G1281" s="11" t="n">
        <v>7</v>
      </c>
      <c r="H1281" s="8" t="n">
        <v>6.93</v>
      </c>
      <c r="I1281" s="8" t="n">
        <v>6.41</v>
      </c>
      <c r="J1281" s="8" t="n"/>
      <c r="K1281" s="7" t="inlineStr">
        <is>
          <t>SEM COTAÇÃO</t>
        </is>
      </c>
      <c r="L1281" s="8" t="n"/>
      <c r="M1281" s="12" t="n"/>
      <c r="N1281" s="7" t="inlineStr"/>
      <c r="O1281" s="7" t="inlineStr"/>
    </row>
    <row r="1282">
      <c r="A1282" s="7" t="n">
        <v>625151</v>
      </c>
      <c r="B1282" s="10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1" t="n">
        <v>1</v>
      </c>
      <c r="G1282" s="11" t="n">
        <v>1</v>
      </c>
      <c r="H1282" s="8" t="n">
        <v>15.57</v>
      </c>
      <c r="I1282" s="8" t="n">
        <v>15.57</v>
      </c>
      <c r="J1282" s="8" t="n"/>
      <c r="K1282" s="7" t="inlineStr">
        <is>
          <t>SEM COTAÇÃO</t>
        </is>
      </c>
      <c r="L1282" s="8" t="n"/>
      <c r="M1282" s="12" t="n"/>
      <c r="N1282" s="7" t="inlineStr"/>
      <c r="O1282" s="7" t="inlineStr"/>
    </row>
    <row r="1283">
      <c r="A1283" s="7" t="n">
        <v>647161</v>
      </c>
      <c r="B1283" s="10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1" t="n">
        <v>3</v>
      </c>
      <c r="G1283" s="11" t="n">
        <v>3</v>
      </c>
      <c r="H1283" s="8" t="n">
        <v>21.88</v>
      </c>
      <c r="I1283" s="8" t="n">
        <v>18.76</v>
      </c>
      <c r="J1283" s="8" t="n"/>
      <c r="K1283" s="7" t="inlineStr">
        <is>
          <t>SEM COTAÇÃO</t>
        </is>
      </c>
      <c r="L1283" s="8" t="n"/>
      <c r="M1283" s="12" t="n"/>
      <c r="N1283" s="7" t="inlineStr"/>
      <c r="O1283" s="7" t="inlineStr"/>
    </row>
    <row r="1284">
      <c r="A1284" s="7" t="n">
        <v>647181</v>
      </c>
      <c r="B1284" s="10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1" t="n">
        <v>6</v>
      </c>
      <c r="G1284" s="11" t="n">
        <v>6</v>
      </c>
      <c r="H1284" s="8" t="n">
        <v>20.62</v>
      </c>
      <c r="I1284" s="8" t="n">
        <v>16.99</v>
      </c>
      <c r="J1284" s="8" t="n"/>
      <c r="K1284" s="7" t="inlineStr">
        <is>
          <t>SEM COTAÇÃO</t>
        </is>
      </c>
      <c r="L1284" s="8" t="n"/>
      <c r="M1284" s="12" t="n"/>
      <c r="N1284" s="7" t="inlineStr"/>
      <c r="O1284" s="7" t="inlineStr"/>
    </row>
    <row r="1285">
      <c r="A1285" s="7" t="n">
        <v>647191</v>
      </c>
      <c r="B1285" s="10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1" t="n">
        <v>5</v>
      </c>
      <c r="G1285" s="11" t="n">
        <v>5</v>
      </c>
      <c r="H1285" s="8" t="n">
        <v>18.76</v>
      </c>
      <c r="I1285" s="8" t="n">
        <v>18.76</v>
      </c>
      <c r="J1285" s="8" t="n"/>
      <c r="K1285" s="7" t="inlineStr">
        <is>
          <t>SEM COTAÇÃO</t>
        </is>
      </c>
      <c r="L1285" s="8" t="n"/>
      <c r="M1285" s="12" t="n"/>
      <c r="N1285" s="7" t="inlineStr"/>
      <c r="O1285" s="7" t="inlineStr"/>
    </row>
    <row r="1286">
      <c r="A1286" s="7" t="n">
        <v>629321</v>
      </c>
      <c r="B1286" s="10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1" t="n">
        <v>1</v>
      </c>
      <c r="G1286" s="11" t="n">
        <v>1</v>
      </c>
      <c r="H1286" s="8" t="n">
        <v>16.05</v>
      </c>
      <c r="I1286" s="8" t="n">
        <v>16.05</v>
      </c>
      <c r="J1286" s="8" t="n"/>
      <c r="K1286" s="7" t="inlineStr">
        <is>
          <t>SEM COTAÇÃO</t>
        </is>
      </c>
      <c r="L1286" s="8" t="n"/>
      <c r="M1286" s="12" t="n"/>
      <c r="N1286" s="7" t="inlineStr"/>
      <c r="O1286" s="7" t="inlineStr"/>
    </row>
    <row r="1287">
      <c r="A1287" s="7" t="n">
        <v>659121</v>
      </c>
      <c r="B1287" s="10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1" t="n">
        <v>3</v>
      </c>
      <c r="G1287" s="11" t="n">
        <v>3</v>
      </c>
      <c r="H1287" s="8" t="n">
        <v>7.53</v>
      </c>
      <c r="I1287" s="8" t="n">
        <v>7.53</v>
      </c>
      <c r="J1287" s="8" t="n"/>
      <c r="K1287" s="7" t="inlineStr">
        <is>
          <t>SEM COTAÇÃO</t>
        </is>
      </c>
      <c r="L1287" s="8" t="n"/>
      <c r="M1287" s="12" t="n"/>
      <c r="N1287" s="7" t="inlineStr"/>
      <c r="O1287" s="7" t="inlineStr"/>
    </row>
    <row r="1288">
      <c r="A1288" s="7" t="n">
        <v>643661</v>
      </c>
      <c r="B1288" s="10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1" t="n">
        <v>5</v>
      </c>
      <c r="G1288" s="11" t="n">
        <v>5</v>
      </c>
      <c r="H1288" s="8" t="n">
        <v>9.050000000000001</v>
      </c>
      <c r="I1288" s="8" t="n">
        <v>9.050000000000001</v>
      </c>
      <c r="J1288" s="8" t="n"/>
      <c r="K1288" s="7" t="inlineStr">
        <is>
          <t>SEM COTAÇÃO</t>
        </is>
      </c>
      <c r="L1288" s="8" t="n"/>
      <c r="M1288" s="12" t="n"/>
      <c r="N1288" s="7" t="inlineStr"/>
      <c r="O1288" s="7" t="inlineStr"/>
    </row>
    <row r="1289">
      <c r="A1289" s="7" t="n">
        <v>637701</v>
      </c>
      <c r="B1289" s="10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1" t="n">
        <v>5</v>
      </c>
      <c r="G1289" s="11" t="n">
        <v>5</v>
      </c>
      <c r="H1289" s="8" t="n">
        <v>19.35</v>
      </c>
      <c r="I1289" s="8" t="n">
        <v>16.3642</v>
      </c>
      <c r="J1289" s="8" t="n"/>
      <c r="K1289" s="7" t="inlineStr">
        <is>
          <t>SEM COTAÇÃO</t>
        </is>
      </c>
      <c r="L1289" s="8" t="n"/>
      <c r="M1289" s="12" t="n"/>
      <c r="N1289" s="7" t="inlineStr"/>
      <c r="O1289" s="7" t="inlineStr"/>
    </row>
    <row r="1290">
      <c r="A1290" s="7" t="n">
        <v>657911</v>
      </c>
      <c r="B1290" s="10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1" t="n">
        <v>14</v>
      </c>
      <c r="G1290" s="11" t="n">
        <v>14</v>
      </c>
      <c r="H1290" s="8" t="n">
        <v>13.7</v>
      </c>
      <c r="I1290" s="8" t="n">
        <v>11.82</v>
      </c>
      <c r="J1290" s="8" t="n"/>
      <c r="K1290" s="7" t="inlineStr">
        <is>
          <t>SEM COTAÇÃO</t>
        </is>
      </c>
      <c r="L1290" s="8" t="n"/>
      <c r="M1290" s="12" t="n"/>
      <c r="N1290" s="7" t="inlineStr"/>
      <c r="O1290" s="7" t="inlineStr"/>
    </row>
    <row r="1291">
      <c r="A1291" s="7" t="n">
        <v>650321</v>
      </c>
      <c r="B1291" s="10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1" t="n">
        <v>9</v>
      </c>
      <c r="G1291" s="11" t="n">
        <v>9</v>
      </c>
      <c r="H1291" s="8" t="n">
        <v>13.99</v>
      </c>
      <c r="I1291" s="8" t="n">
        <v>11.82</v>
      </c>
      <c r="J1291" s="8" t="n"/>
      <c r="K1291" s="7" t="inlineStr">
        <is>
          <t>SEM COTAÇÃO</t>
        </is>
      </c>
      <c r="L1291" s="8" t="n"/>
      <c r="M1291" s="12" t="n"/>
      <c r="N1291" s="7" t="inlineStr"/>
      <c r="O1291" s="7" t="inlineStr"/>
    </row>
    <row r="1292">
      <c r="A1292" s="7" t="n">
        <v>659731</v>
      </c>
      <c r="B1292" s="10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1" t="n">
        <v>2</v>
      </c>
      <c r="G1292" s="11" t="n">
        <v>2</v>
      </c>
      <c r="H1292" s="8" t="n">
        <v>16.8742</v>
      </c>
      <c r="I1292" s="8" t="n">
        <v>16.8742</v>
      </c>
      <c r="J1292" s="8" t="n"/>
      <c r="K1292" s="7" t="inlineStr">
        <is>
          <t>SEM COTAÇÃO</t>
        </is>
      </c>
      <c r="L1292" s="8" t="n"/>
      <c r="M1292" s="12" t="n"/>
      <c r="N1292" s="7" t="inlineStr"/>
      <c r="O1292" s="7" t="inlineStr"/>
    </row>
    <row r="1293">
      <c r="A1293" s="7" t="n">
        <v>657901</v>
      </c>
      <c r="B1293" s="10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1" t="n">
        <v>1</v>
      </c>
      <c r="G1293" s="11" t="n">
        <v>1</v>
      </c>
      <c r="H1293" s="8" t="n">
        <v>16.8742</v>
      </c>
      <c r="I1293" s="8" t="n">
        <v>16.8742</v>
      </c>
      <c r="J1293" s="8" t="n"/>
      <c r="K1293" s="7" t="inlineStr">
        <is>
          <t>SEM COTAÇÃO</t>
        </is>
      </c>
      <c r="L1293" s="8" t="n"/>
      <c r="M1293" s="12" t="n"/>
      <c r="N1293" s="7" t="inlineStr"/>
      <c r="O1293" s="7" t="inlineStr"/>
    </row>
    <row r="1294">
      <c r="A1294" s="7" t="n">
        <v>632811</v>
      </c>
      <c r="B1294" s="10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1" t="n">
        <v>1</v>
      </c>
      <c r="G1294" s="11" t="n">
        <v>1</v>
      </c>
      <c r="H1294" s="8" t="n">
        <v>21.88</v>
      </c>
      <c r="I1294" s="8" t="n">
        <v>18.76</v>
      </c>
      <c r="J1294" s="8" t="n"/>
      <c r="K1294" s="7" t="inlineStr">
        <is>
          <t>SEM COTAÇÃO</t>
        </is>
      </c>
      <c r="L1294" s="8" t="n"/>
      <c r="M1294" s="12" t="n"/>
      <c r="N1294" s="7" t="inlineStr"/>
      <c r="O1294" s="7" t="inlineStr"/>
    </row>
    <row r="1295">
      <c r="A1295" s="7" t="n">
        <v>582381</v>
      </c>
      <c r="B1295" s="10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1" t="n">
        <v>1</v>
      </c>
      <c r="G1295" s="11" t="n">
        <v>1</v>
      </c>
      <c r="H1295" s="8" t="n">
        <v>10.2508</v>
      </c>
      <c r="I1295" s="8" t="n">
        <v>10.2508</v>
      </c>
      <c r="J1295" s="8" t="n"/>
      <c r="K1295" s="7" t="inlineStr">
        <is>
          <t>SEM COTAÇÃO</t>
        </is>
      </c>
      <c r="L1295" s="8" t="n"/>
      <c r="M1295" s="12" t="n"/>
      <c r="N1295" s="7" t="inlineStr"/>
      <c r="O1295" s="7" t="inlineStr"/>
    </row>
    <row r="1296">
      <c r="A1296" s="7" t="n">
        <v>645051</v>
      </c>
      <c r="B1296" s="10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1" t="n">
        <v>2</v>
      </c>
      <c r="G1296" s="11" t="n">
        <v>2</v>
      </c>
      <c r="H1296" s="8" t="n">
        <v>11.28</v>
      </c>
      <c r="I1296" s="8" t="n">
        <v>11.28</v>
      </c>
      <c r="J1296" s="8" t="n"/>
      <c r="K1296" s="7" t="inlineStr">
        <is>
          <t>SEM COTAÇÃO</t>
        </is>
      </c>
      <c r="L1296" s="8" t="n"/>
      <c r="M1296" s="12" t="n"/>
      <c r="N1296" s="7" t="inlineStr"/>
      <c r="O1296" s="7" t="inlineStr"/>
    </row>
    <row r="1297">
      <c r="A1297" s="7" t="n">
        <v>685201</v>
      </c>
      <c r="B1297" s="10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1" t="n">
        <v>5</v>
      </c>
      <c r="G1297" s="11" t="n">
        <v>5</v>
      </c>
      <c r="H1297" s="8" t="n">
        <v>19.41</v>
      </c>
      <c r="I1297" s="8" t="n">
        <v>19.41</v>
      </c>
      <c r="J1297" s="8" t="n"/>
      <c r="K1297" s="7" t="inlineStr">
        <is>
          <t>SEM COTAÇÃO</t>
        </is>
      </c>
      <c r="L1297" s="8" t="n"/>
      <c r="M1297" s="12" t="n"/>
      <c r="N1297" s="7" t="inlineStr"/>
      <c r="O1297" s="7" t="inlineStr"/>
    </row>
    <row r="1298">
      <c r="A1298" s="7" t="n">
        <v>683301</v>
      </c>
      <c r="B1298" s="10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1" t="n">
        <v>2</v>
      </c>
      <c r="G1298" s="11" t="n">
        <v>2</v>
      </c>
      <c r="H1298" s="8" t="n">
        <v>12.3967</v>
      </c>
      <c r="I1298" s="8" t="n">
        <v>12.3967</v>
      </c>
      <c r="J1298" s="8" t="n"/>
      <c r="K1298" s="7" t="inlineStr">
        <is>
          <t>SEM COTAÇÃO</t>
        </is>
      </c>
      <c r="L1298" s="8" t="n"/>
      <c r="M1298" s="12" t="n"/>
      <c r="N1298" s="7" t="inlineStr"/>
      <c r="O1298" s="7" t="inlineStr"/>
    </row>
    <row r="1299">
      <c r="A1299" s="7" t="n">
        <v>600711</v>
      </c>
      <c r="B1299" s="10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1" t="n">
        <v>1</v>
      </c>
      <c r="G1299" s="11" t="n">
        <v>1</v>
      </c>
      <c r="H1299" s="8" t="n">
        <v>12.82</v>
      </c>
      <c r="I1299" s="8" t="n">
        <v>12.82</v>
      </c>
      <c r="J1299" s="8" t="n"/>
      <c r="K1299" s="7" t="inlineStr">
        <is>
          <t>SEM COTAÇÃO</t>
        </is>
      </c>
      <c r="L1299" s="8" t="n"/>
      <c r="M1299" s="12" t="n"/>
      <c r="N1299" s="7" t="inlineStr"/>
      <c r="O1299" s="7" t="inlineStr"/>
    </row>
    <row r="1300">
      <c r="A1300" s="7" t="n">
        <v>645711</v>
      </c>
      <c r="B1300" s="10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1" t="n">
        <v>1</v>
      </c>
      <c r="G1300" s="11" t="n">
        <v>1</v>
      </c>
      <c r="H1300" s="8" t="n">
        <v>17.2642</v>
      </c>
      <c r="I1300" s="8" t="n">
        <v>17.2642</v>
      </c>
      <c r="J1300" s="8" t="n"/>
      <c r="K1300" s="7" t="inlineStr">
        <is>
          <t>SEM COTAÇÃO</t>
        </is>
      </c>
      <c r="L1300" s="8" t="n"/>
      <c r="M1300" s="12" t="n"/>
      <c r="N1300" s="7" t="inlineStr"/>
      <c r="O1300" s="7" t="inlineStr"/>
    </row>
    <row r="1301">
      <c r="A1301" s="7" t="n">
        <v>645721</v>
      </c>
      <c r="B1301" s="10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1" t="n">
        <v>1</v>
      </c>
      <c r="G1301" s="11" t="n">
        <v>1</v>
      </c>
      <c r="H1301" s="8" t="n">
        <v>16.6892</v>
      </c>
      <c r="I1301" s="8" t="n">
        <v>16.6892</v>
      </c>
      <c r="J1301" s="8" t="n"/>
      <c r="K1301" s="7" t="inlineStr">
        <is>
          <t>SEM COTAÇÃO</t>
        </is>
      </c>
      <c r="L1301" s="8" t="n"/>
      <c r="M1301" s="12" t="n"/>
      <c r="N1301" s="7" t="inlineStr"/>
      <c r="O1301" s="7" t="inlineStr"/>
    </row>
    <row r="1302">
      <c r="A1302" s="7" t="n">
        <v>663011</v>
      </c>
      <c r="B1302" s="10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1" t="n">
        <v>1</v>
      </c>
      <c r="G1302" s="11" t="n">
        <v>1</v>
      </c>
      <c r="H1302" s="8" t="n">
        <v>6.3825</v>
      </c>
      <c r="I1302" s="8" t="n">
        <v>6.3825</v>
      </c>
      <c r="J1302" s="8" t="n"/>
      <c r="K1302" s="7" t="inlineStr">
        <is>
          <t>SEM COTAÇÃO</t>
        </is>
      </c>
      <c r="L1302" s="8" t="n"/>
      <c r="M1302" s="12" t="n"/>
      <c r="N1302" s="7" t="inlineStr"/>
      <c r="O1302" s="7" t="inlineStr"/>
    </row>
    <row r="1303">
      <c r="A1303" s="7" t="n">
        <v>649391</v>
      </c>
      <c r="B1303" s="10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1" t="n">
        <v>4</v>
      </c>
      <c r="G1303" s="11" t="n">
        <v>4</v>
      </c>
      <c r="H1303" s="8" t="n">
        <v>6.3825</v>
      </c>
      <c r="I1303" s="8" t="n">
        <v>6.3825</v>
      </c>
      <c r="J1303" s="8" t="n"/>
      <c r="K1303" s="7" t="inlineStr">
        <is>
          <t>SEM COTAÇÃO</t>
        </is>
      </c>
      <c r="L1303" s="8" t="n"/>
      <c r="M1303" s="12" t="n"/>
      <c r="N1303" s="7" t="inlineStr"/>
      <c r="O1303" s="7" t="inlineStr"/>
    </row>
    <row r="1304">
      <c r="A1304" s="7" t="n">
        <v>669911</v>
      </c>
      <c r="B1304" s="10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1" t="n">
        <v>2</v>
      </c>
      <c r="G1304" s="11" t="n">
        <v>2</v>
      </c>
      <c r="H1304" s="8" t="n">
        <v>16.62</v>
      </c>
      <c r="I1304" s="8" t="n">
        <v>13.53</v>
      </c>
      <c r="J1304" s="8" t="n"/>
      <c r="K1304" s="7" t="inlineStr">
        <is>
          <t>SEM COTAÇÃO</t>
        </is>
      </c>
      <c r="L1304" s="8" t="n"/>
      <c r="M1304" s="12" t="n"/>
      <c r="N1304" s="7" t="inlineStr"/>
      <c r="O1304" s="7" t="inlineStr"/>
    </row>
    <row r="1305">
      <c r="A1305" s="7" t="n">
        <v>601921</v>
      </c>
      <c r="B1305" s="10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1" t="n">
        <v>1</v>
      </c>
      <c r="G1305" s="11" t="n">
        <v>1</v>
      </c>
      <c r="H1305" s="8" t="n">
        <v>9.31</v>
      </c>
      <c r="I1305" s="8" t="n">
        <v>9.31</v>
      </c>
      <c r="J1305" s="8" t="n"/>
      <c r="K1305" s="7" t="inlineStr">
        <is>
          <t>SEM COTAÇÃO</t>
        </is>
      </c>
      <c r="L1305" s="8" t="n"/>
      <c r="M1305" s="12" t="n"/>
      <c r="N1305" s="7" t="inlineStr"/>
      <c r="O1305" s="7" t="inlineStr"/>
    </row>
    <row r="1306">
      <c r="A1306" s="7" t="n">
        <v>601911</v>
      </c>
      <c r="B1306" s="10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1" t="n">
        <v>1</v>
      </c>
      <c r="G1306" s="11" t="n">
        <v>1</v>
      </c>
      <c r="H1306" s="8" t="n">
        <v>9.31</v>
      </c>
      <c r="I1306" s="8" t="n">
        <v>9.31</v>
      </c>
      <c r="J1306" s="8" t="n"/>
      <c r="K1306" s="7" t="inlineStr">
        <is>
          <t>SEM COTAÇÃO</t>
        </is>
      </c>
      <c r="L1306" s="8" t="n"/>
      <c r="M1306" s="12" t="n"/>
      <c r="N1306" s="7" t="inlineStr"/>
      <c r="O1306" s="7" t="inlineStr"/>
    </row>
    <row r="1307">
      <c r="A1307" s="7" t="n">
        <v>6581</v>
      </c>
      <c r="B1307" s="10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1" t="n">
        <v>4</v>
      </c>
      <c r="G1307" s="11" t="n">
        <v>4</v>
      </c>
      <c r="H1307" s="8" t="n">
        <v>36.87</v>
      </c>
      <c r="I1307" s="8" t="n">
        <v>33.56</v>
      </c>
      <c r="J1307" s="8" t="n"/>
      <c r="K1307" s="7" t="inlineStr">
        <is>
          <t>SEM COTAÇÃO</t>
        </is>
      </c>
      <c r="L1307" s="8" t="n"/>
      <c r="M1307" s="12" t="n"/>
      <c r="N1307" s="7" t="inlineStr"/>
      <c r="O1307" s="7" t="inlineStr"/>
    </row>
    <row r="1308">
      <c r="A1308" s="7" t="n">
        <v>6601</v>
      </c>
      <c r="B1308" s="10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1" t="n">
        <v>1</v>
      </c>
      <c r="G1308" s="11" t="n">
        <v>1</v>
      </c>
      <c r="H1308" s="8" t="n">
        <v>46.77</v>
      </c>
      <c r="I1308" s="8" t="n">
        <v>41.6</v>
      </c>
      <c r="J1308" s="8" t="n"/>
      <c r="K1308" s="7" t="inlineStr">
        <is>
          <t>SEM COTAÇÃO</t>
        </is>
      </c>
      <c r="L1308" s="8" t="n"/>
      <c r="M1308" s="12" t="n"/>
      <c r="N1308" s="7" t="inlineStr"/>
      <c r="O1308" s="7" t="inlineStr"/>
    </row>
    <row r="1309">
      <c r="A1309" s="7" t="n">
        <v>671891</v>
      </c>
      <c r="B1309" s="10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1" t="n">
        <v>2</v>
      </c>
      <c r="G1309" s="11" t="n">
        <v>2</v>
      </c>
      <c r="H1309" s="8" t="n">
        <v>18.02</v>
      </c>
      <c r="I1309" s="8" t="n">
        <v>18.02</v>
      </c>
      <c r="J1309" s="8" t="n"/>
      <c r="K1309" s="7" t="inlineStr">
        <is>
          <t>SEM COTAÇÃO</t>
        </is>
      </c>
      <c r="L1309" s="8" t="n"/>
      <c r="M1309" s="12" t="n"/>
      <c r="N1309" s="7" t="inlineStr"/>
      <c r="O1309" s="7" t="inlineStr"/>
    </row>
    <row r="1310">
      <c r="A1310" s="7" t="n">
        <v>645431</v>
      </c>
      <c r="B1310" s="10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1" t="n">
        <v>2</v>
      </c>
      <c r="G1310" s="11" t="n">
        <v>2</v>
      </c>
      <c r="H1310" s="8" t="n">
        <v>25.16</v>
      </c>
      <c r="I1310" s="8" t="n">
        <v>25.06</v>
      </c>
      <c r="J1310" s="8" t="n"/>
      <c r="K1310" s="7" t="inlineStr">
        <is>
          <t>SEM COTAÇÃO</t>
        </is>
      </c>
      <c r="L1310" s="8" t="n"/>
      <c r="M1310" s="12" t="n"/>
      <c r="N1310" s="7" t="inlineStr"/>
      <c r="O1310" s="7" t="inlineStr"/>
    </row>
    <row r="1311">
      <c r="A1311" s="7" t="n">
        <v>663831</v>
      </c>
      <c r="B1311" s="10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1" t="n">
        <v>3</v>
      </c>
      <c r="G1311" s="11" t="n">
        <v>3</v>
      </c>
      <c r="H1311" s="8" t="n">
        <v>17.14</v>
      </c>
      <c r="I1311" s="8" t="n">
        <v>17.14</v>
      </c>
      <c r="J1311" s="8" t="n"/>
      <c r="K1311" s="7" t="inlineStr">
        <is>
          <t>SEM COTAÇÃO</t>
        </is>
      </c>
      <c r="L1311" s="8" t="n"/>
      <c r="M1311" s="12" t="n"/>
      <c r="N1311" s="7" t="inlineStr"/>
      <c r="O1311" s="7" t="inlineStr"/>
    </row>
    <row r="1312">
      <c r="A1312" s="7" t="n">
        <v>603851</v>
      </c>
      <c r="B1312" s="10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1" t="n">
        <v>4</v>
      </c>
      <c r="G1312" s="11" t="n">
        <v>4</v>
      </c>
      <c r="H1312" s="8" t="n">
        <v>18.92</v>
      </c>
      <c r="I1312" s="8" t="n">
        <v>17.14</v>
      </c>
      <c r="J1312" s="8" t="n"/>
      <c r="K1312" s="7" t="inlineStr">
        <is>
          <t>SEM COTAÇÃO</t>
        </is>
      </c>
      <c r="L1312" s="8" t="n"/>
      <c r="M1312" s="12" t="n"/>
      <c r="N1312" s="7" t="inlineStr"/>
      <c r="O1312" s="7" t="inlineStr"/>
    </row>
    <row r="1313">
      <c r="A1313" s="7" t="n">
        <v>658781</v>
      </c>
      <c r="B1313" s="10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1" t="n">
        <v>1</v>
      </c>
      <c r="G1313" s="11" t="n">
        <v>1</v>
      </c>
      <c r="H1313" s="8" t="n">
        <v>5.495</v>
      </c>
      <c r="I1313" s="8" t="n">
        <v>5.495</v>
      </c>
      <c r="J1313" s="8" t="n"/>
      <c r="K1313" s="7" t="inlineStr">
        <is>
          <t>SEM COTAÇÃO</t>
        </is>
      </c>
      <c r="L1313" s="8" t="n"/>
      <c r="M1313" s="12" t="n"/>
      <c r="N1313" s="7" t="inlineStr"/>
      <c r="O1313" s="7" t="inlineStr"/>
    </row>
    <row r="1314">
      <c r="A1314" s="7" t="n">
        <v>601601</v>
      </c>
      <c r="B1314" s="10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1" t="n">
        <v>1</v>
      </c>
      <c r="G1314" s="11" t="n">
        <v>2</v>
      </c>
      <c r="H1314" s="8" t="n">
        <v>8.220000000000001</v>
      </c>
      <c r="I1314" s="8" t="n">
        <v>8.220000000000001</v>
      </c>
      <c r="J1314" s="8" t="n"/>
      <c r="K1314" s="7" t="inlineStr">
        <is>
          <t>SEM COTAÇÃO</t>
        </is>
      </c>
      <c r="L1314" s="8" t="n"/>
      <c r="M1314" s="12" t="n"/>
      <c r="N1314" s="7" t="inlineStr"/>
      <c r="O1314" s="7" t="inlineStr"/>
    </row>
    <row r="1315">
      <c r="A1315" s="7" t="n">
        <v>640171</v>
      </c>
      <c r="B1315" s="10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1" t="n">
        <v>1</v>
      </c>
      <c r="G1315" s="11" t="n">
        <v>2</v>
      </c>
      <c r="H1315" s="8" t="n">
        <v>8.215</v>
      </c>
      <c r="I1315" s="8" t="n">
        <v>8.215</v>
      </c>
      <c r="J1315" s="8" t="n"/>
      <c r="K1315" s="7" t="inlineStr">
        <is>
          <t>SEM COTAÇÃO</t>
        </is>
      </c>
      <c r="L1315" s="8" t="n"/>
      <c r="M1315" s="12" t="n"/>
      <c r="N1315" s="7" t="inlineStr"/>
      <c r="O1315" s="7" t="inlineStr"/>
    </row>
    <row r="1316">
      <c r="A1316" s="7" t="n">
        <v>557001</v>
      </c>
      <c r="B1316" s="10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1" t="n">
        <v>1</v>
      </c>
      <c r="G1316" s="11" t="n">
        <v>1</v>
      </c>
      <c r="H1316" s="8" t="n">
        <v>12.19</v>
      </c>
      <c r="I1316" s="8" t="n">
        <v>12.19</v>
      </c>
      <c r="J1316" s="8" t="n"/>
      <c r="K1316" s="7" t="inlineStr">
        <is>
          <t>SEM COTAÇÃO</t>
        </is>
      </c>
      <c r="L1316" s="8" t="n"/>
      <c r="M1316" s="12" t="n"/>
      <c r="N1316" s="7" t="inlineStr"/>
      <c r="O1316" s="7" t="inlineStr"/>
    </row>
    <row r="1317">
      <c r="A1317" s="7" t="n">
        <v>562061</v>
      </c>
      <c r="B1317" s="10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1" t="n">
        <v>4</v>
      </c>
      <c r="G1317" s="11" t="n">
        <v>4</v>
      </c>
      <c r="H1317" s="8" t="n"/>
      <c r="I1317" s="8" t="n"/>
      <c r="J1317" s="8" t="n"/>
      <c r="K1317" s="7" t="inlineStr">
        <is>
          <t>SEM COTAÇÃO</t>
        </is>
      </c>
      <c r="L1317" s="8" t="n"/>
      <c r="M1317" s="12" t="n"/>
      <c r="N1317" s="7" t="inlineStr"/>
      <c r="O1317" s="7" t="inlineStr"/>
    </row>
    <row r="1318">
      <c r="A1318" s="7" t="n">
        <v>623211</v>
      </c>
      <c r="B1318" s="10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1" t="n">
        <v>1</v>
      </c>
      <c r="G1318" s="11" t="n">
        <v>1</v>
      </c>
      <c r="H1318" s="8" t="n">
        <v>21.97</v>
      </c>
      <c r="I1318" s="8" t="n">
        <v>18.7783</v>
      </c>
      <c r="J1318" s="8" t="n"/>
      <c r="K1318" s="7" t="inlineStr">
        <is>
          <t>SEM COTAÇÃO</t>
        </is>
      </c>
      <c r="L1318" s="8" t="n"/>
      <c r="M1318" s="12" t="n"/>
      <c r="N1318" s="7" t="inlineStr"/>
      <c r="O1318" s="7" t="inlineStr"/>
    </row>
    <row r="1319">
      <c r="A1319" s="7" t="n">
        <v>635511</v>
      </c>
      <c r="B1319" s="10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1" t="n">
        <v>1</v>
      </c>
      <c r="G1319" s="11" t="n">
        <v>1</v>
      </c>
      <c r="H1319" s="8" t="n"/>
      <c r="I1319" s="8" t="n"/>
      <c r="J1319" s="8" t="n"/>
      <c r="K1319" s="7" t="inlineStr">
        <is>
          <t>SEM COTAÇÃO</t>
        </is>
      </c>
      <c r="L1319" s="8" t="n"/>
      <c r="M1319" s="12" t="n"/>
      <c r="N1319" s="7" t="inlineStr"/>
      <c r="O1319" s="7" t="inlineStr"/>
    </row>
    <row r="1320">
      <c r="A1320" s="7" t="n">
        <v>354681</v>
      </c>
      <c r="B1320" s="10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1" t="n">
        <v>10</v>
      </c>
      <c r="G1320" s="11" t="n">
        <v>10</v>
      </c>
      <c r="H1320" s="8" t="n">
        <v>32.99</v>
      </c>
      <c r="I1320" s="8" t="n">
        <v>25.01</v>
      </c>
      <c r="J1320" s="13" t="n">
        <v>25.99</v>
      </c>
      <c r="K1320" s="7" t="inlineStr">
        <is>
          <t>DIMEC</t>
        </is>
      </c>
      <c r="L1320" s="8" t="n">
        <v>25.99</v>
      </c>
      <c r="M1320" s="12">
        <f>L1320/H1320-1</f>
        <v/>
      </c>
      <c r="N1320" s="15" t="inlineStr">
        <is>
          <t>OK (≤ últ. compra)</t>
        </is>
      </c>
      <c r="O1320" s="7" t="inlineStr"/>
    </row>
    <row r="1321">
      <c r="A1321" s="7" t="n">
        <v>821</v>
      </c>
      <c r="B1321" s="10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1" t="n">
        <v>14</v>
      </c>
      <c r="G1321" s="11" t="n">
        <v>14</v>
      </c>
      <c r="H1321" s="8" t="n">
        <v>10.36</v>
      </c>
      <c r="I1321" s="8" t="n">
        <v>10.36</v>
      </c>
      <c r="J1321" s="13" t="n">
        <v>10.76</v>
      </c>
      <c r="K1321" s="7" t="inlineStr">
        <is>
          <t>DIMEC</t>
        </is>
      </c>
      <c r="L1321" s="8" t="n">
        <v>10.76</v>
      </c>
      <c r="M1321" s="12">
        <f>L1321/H1321-1</f>
        <v/>
      </c>
      <c r="N1321" s="14" t="inlineStr">
        <is>
          <t>ACIMA +3.9%</t>
        </is>
      </c>
      <c r="O1321" s="7" t="inlineStr"/>
    </row>
    <row r="1322">
      <c r="A1322" s="7" t="n">
        <v>17621</v>
      </c>
      <c r="B1322" s="10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1" t="n">
        <v>7</v>
      </c>
      <c r="G1322" s="11" t="n">
        <v>7</v>
      </c>
      <c r="H1322" s="8" t="n">
        <v>12.11</v>
      </c>
      <c r="I1322" s="8" t="n">
        <v>12.1</v>
      </c>
      <c r="J1322" s="8" t="n"/>
      <c r="K1322" s="7" t="inlineStr">
        <is>
          <t>SEM COTAÇÃO</t>
        </is>
      </c>
      <c r="L1322" s="8" t="n"/>
      <c r="M1322" s="12" t="n"/>
      <c r="N1322" s="7" t="inlineStr"/>
      <c r="O1322" s="7" t="inlineStr"/>
    </row>
    <row r="1323">
      <c r="A1323" s="7" t="n">
        <v>189001</v>
      </c>
      <c r="B1323" s="10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1" t="n">
        <v>1</v>
      </c>
      <c r="G1323" s="11" t="n">
        <v>1</v>
      </c>
      <c r="H1323" s="8" t="n">
        <v>8.52</v>
      </c>
      <c r="I1323" s="8" t="n">
        <v>8.52</v>
      </c>
      <c r="J1323" s="8" t="n"/>
      <c r="K1323" s="7" t="inlineStr">
        <is>
          <t>SEM COTAÇÃO</t>
        </is>
      </c>
      <c r="L1323" s="8" t="n"/>
      <c r="M1323" s="12" t="n"/>
      <c r="N1323" s="7" t="inlineStr"/>
      <c r="O1323" s="7" t="inlineStr"/>
    </row>
    <row r="1324">
      <c r="A1324" s="7" t="n">
        <v>691501</v>
      </c>
      <c r="B1324" s="10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1" t="n">
        <v>1</v>
      </c>
      <c r="G1324" s="11" t="n">
        <v>1</v>
      </c>
      <c r="H1324" s="8" t="n">
        <v>41.85</v>
      </c>
      <c r="I1324" s="8" t="n">
        <v>41.85</v>
      </c>
      <c r="J1324" s="13" t="n">
        <v>42.53</v>
      </c>
      <c r="K1324" s="7" t="inlineStr">
        <is>
          <t>DIMEC</t>
        </is>
      </c>
      <c r="L1324" s="8" t="n">
        <v>42.53</v>
      </c>
      <c r="M1324" s="12">
        <f>L1324/H1324-1</f>
        <v/>
      </c>
      <c r="N1324" s="14" t="inlineStr">
        <is>
          <t>ACIMA +1.6%</t>
        </is>
      </c>
      <c r="O1324" s="7" t="inlineStr"/>
    </row>
    <row r="1325">
      <c r="A1325" s="7" t="n">
        <v>553521</v>
      </c>
      <c r="B1325" s="10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1" t="n">
        <v>2</v>
      </c>
      <c r="G1325" s="11" t="n">
        <v>2</v>
      </c>
      <c r="H1325" s="8" t="n">
        <v>41.44</v>
      </c>
      <c r="I1325" s="8" t="n">
        <v>32.02</v>
      </c>
      <c r="J1325" s="8" t="n"/>
      <c r="K1325" s="7" t="inlineStr">
        <is>
          <t>SEM COTAÇÃO</t>
        </is>
      </c>
      <c r="L1325" s="8" t="n"/>
      <c r="M1325" s="12" t="n"/>
      <c r="N1325" s="7" t="inlineStr"/>
      <c r="O1325" s="7" t="inlineStr"/>
    </row>
    <row r="1326">
      <c r="A1326" s="7" t="n">
        <v>573701</v>
      </c>
      <c r="B1326" s="10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1" t="n">
        <v>5</v>
      </c>
      <c r="G1326" s="11" t="n">
        <v>5</v>
      </c>
      <c r="H1326" s="8" t="n">
        <v>10.99</v>
      </c>
      <c r="I1326" s="8" t="n">
        <v>10.99</v>
      </c>
      <c r="J1326" s="13" t="n">
        <v>11.41</v>
      </c>
      <c r="K1326" s="7" t="inlineStr">
        <is>
          <t>DIMEC</t>
        </is>
      </c>
      <c r="L1326" s="8" t="n">
        <v>11.41</v>
      </c>
      <c r="M1326" s="12">
        <f>L1326/H1326-1</f>
        <v/>
      </c>
      <c r="N1326" s="14" t="inlineStr">
        <is>
          <t>ACIMA +3.8%</t>
        </is>
      </c>
      <c r="O1326" s="7" t="inlineStr"/>
    </row>
    <row r="1327">
      <c r="A1327" s="7" t="n">
        <v>618171</v>
      </c>
      <c r="B1327" s="10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1" t="n">
        <v>1</v>
      </c>
      <c r="G1327" s="11" t="n">
        <v>1</v>
      </c>
      <c r="H1327" s="8" t="n">
        <v>5.55</v>
      </c>
      <c r="I1327" s="8" t="n">
        <v>5.55</v>
      </c>
      <c r="J1327" s="8" t="n"/>
      <c r="K1327" s="7" t="inlineStr">
        <is>
          <t>SEM COTAÇÃO</t>
        </is>
      </c>
      <c r="L1327" s="8" t="n"/>
      <c r="M1327" s="12" t="n"/>
      <c r="N1327" s="7" t="inlineStr"/>
      <c r="O1327" s="7" t="inlineStr"/>
    </row>
    <row r="1328">
      <c r="A1328" s="7" t="n">
        <v>543861</v>
      </c>
      <c r="B1328" s="10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1" t="n">
        <v>6</v>
      </c>
      <c r="G1328" s="11" t="n">
        <v>6</v>
      </c>
      <c r="H1328" s="8" t="n">
        <v>12.72</v>
      </c>
      <c r="I1328" s="8" t="n">
        <v>11.19</v>
      </c>
      <c r="J1328" s="8" t="n"/>
      <c r="K1328" s="7" t="inlineStr">
        <is>
          <t>SEM COTAÇÃO</t>
        </is>
      </c>
      <c r="L1328" s="8" t="n"/>
      <c r="M1328" s="12" t="n"/>
      <c r="N1328" s="7" t="inlineStr"/>
      <c r="O1328" s="7" t="inlineStr"/>
    </row>
    <row r="1329">
      <c r="A1329" s="7" t="n">
        <v>669301</v>
      </c>
      <c r="B1329" s="10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1" t="n">
        <v>4</v>
      </c>
      <c r="G1329" s="11" t="n">
        <v>4</v>
      </c>
      <c r="H1329" s="8" t="n">
        <v>9.220000000000001</v>
      </c>
      <c r="I1329" s="8" t="n">
        <v>9.220000000000001</v>
      </c>
      <c r="J1329" s="8" t="n"/>
      <c r="K1329" s="7" t="inlineStr">
        <is>
          <t>SEM COTAÇÃO</t>
        </is>
      </c>
      <c r="L1329" s="8" t="n"/>
      <c r="M1329" s="12" t="n"/>
      <c r="N1329" s="7" t="inlineStr"/>
      <c r="O1329" s="7" t="inlineStr"/>
    </row>
    <row r="1330">
      <c r="A1330" s="7" t="n">
        <v>669311</v>
      </c>
      <c r="B1330" s="10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1" t="n">
        <v>5</v>
      </c>
      <c r="G1330" s="11" t="n">
        <v>5</v>
      </c>
      <c r="H1330" s="8" t="n">
        <v>9.300000000000001</v>
      </c>
      <c r="I1330" s="8" t="n">
        <v>9.300000000000001</v>
      </c>
      <c r="J1330" s="8" t="n"/>
      <c r="K1330" s="7" t="inlineStr">
        <is>
          <t>SEM COTAÇÃO</t>
        </is>
      </c>
      <c r="L1330" s="8" t="n"/>
      <c r="M1330" s="12" t="n"/>
      <c r="N1330" s="7" t="inlineStr"/>
      <c r="O1330" s="7" t="inlineStr"/>
    </row>
    <row r="1331">
      <c r="A1331" s="7" t="n">
        <v>633961</v>
      </c>
      <c r="B1331" s="10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1" t="n">
        <v>7</v>
      </c>
      <c r="G1331" s="11" t="n">
        <v>7</v>
      </c>
      <c r="H1331" s="8" t="n">
        <v>14.2592</v>
      </c>
      <c r="I1331" s="8" t="n">
        <v>13.395</v>
      </c>
      <c r="J1331" s="8" t="n"/>
      <c r="K1331" s="7" t="inlineStr">
        <is>
          <t>SEM COTAÇÃO</t>
        </is>
      </c>
      <c r="L1331" s="8" t="n"/>
      <c r="M1331" s="12" t="n"/>
      <c r="N1331" s="7" t="inlineStr"/>
      <c r="O1331" s="7" t="inlineStr"/>
    </row>
    <row r="1332">
      <c r="A1332" s="7" t="n">
        <v>545421</v>
      </c>
      <c r="B1332" s="10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1" t="n">
        <v>3</v>
      </c>
      <c r="G1332" s="11" t="n">
        <v>3</v>
      </c>
      <c r="H1332" s="8" t="n">
        <v>12.8967</v>
      </c>
      <c r="I1332" s="8" t="n">
        <v>9.5083</v>
      </c>
      <c r="J1332" s="8" t="n"/>
      <c r="K1332" s="7" t="inlineStr">
        <is>
          <t>SEM COTAÇÃO</t>
        </is>
      </c>
      <c r="L1332" s="8" t="n"/>
      <c r="M1332" s="12" t="n"/>
      <c r="N1332" s="7" t="inlineStr"/>
      <c r="O1332" s="7" t="inlineStr"/>
    </row>
    <row r="1333">
      <c r="A1333" s="7" t="n">
        <v>562901</v>
      </c>
      <c r="B1333" s="10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1" t="n">
        <v>3</v>
      </c>
      <c r="G1333" s="11" t="n">
        <v>3</v>
      </c>
      <c r="H1333" s="8" t="n">
        <v>12.8967</v>
      </c>
      <c r="I1333" s="8" t="n">
        <v>11.19</v>
      </c>
      <c r="J1333" s="8" t="n"/>
      <c r="K1333" s="7" t="inlineStr">
        <is>
          <t>SEM COTAÇÃO</t>
        </is>
      </c>
      <c r="L1333" s="8" t="n"/>
      <c r="M1333" s="12" t="n"/>
      <c r="N1333" s="7" t="inlineStr"/>
      <c r="O1333" s="7" t="inlineStr"/>
    </row>
    <row r="1334">
      <c r="A1334" s="7" t="n">
        <v>545541</v>
      </c>
      <c r="B1334" s="10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1" t="n">
        <v>16</v>
      </c>
      <c r="G1334" s="11" t="n">
        <v>16</v>
      </c>
      <c r="H1334" s="8" t="n">
        <v>12.72</v>
      </c>
      <c r="I1334" s="8" t="n">
        <v>9.5083</v>
      </c>
      <c r="J1334" s="8" t="n"/>
      <c r="K1334" s="7" t="inlineStr">
        <is>
          <t>SEM COTAÇÃO</t>
        </is>
      </c>
      <c r="L1334" s="8" t="n"/>
      <c r="M1334" s="12" t="n"/>
      <c r="N1334" s="7" t="inlineStr"/>
      <c r="O1334" s="7" t="inlineStr"/>
    </row>
    <row r="1335">
      <c r="A1335" s="7" t="n">
        <v>543881</v>
      </c>
      <c r="B1335" s="10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1" t="n">
        <v>9</v>
      </c>
      <c r="G1335" s="11" t="n">
        <v>9</v>
      </c>
      <c r="H1335" s="8" t="n">
        <v>12.69</v>
      </c>
      <c r="I1335" s="8" t="n">
        <v>11.3367</v>
      </c>
      <c r="J1335" s="8" t="n"/>
      <c r="K1335" s="7" t="inlineStr">
        <is>
          <t>SEM COTAÇÃO</t>
        </is>
      </c>
      <c r="L1335" s="8" t="n"/>
      <c r="M1335" s="12" t="n"/>
      <c r="N1335" s="7" t="inlineStr"/>
      <c r="O1335" s="7" t="inlineStr"/>
    </row>
    <row r="1336">
      <c r="A1336" s="7" t="n">
        <v>688501</v>
      </c>
      <c r="B1336" s="10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1" t="n">
        <v>3</v>
      </c>
      <c r="G1336" s="11" t="n">
        <v>3</v>
      </c>
      <c r="H1336" s="8" t="n">
        <v>14.39</v>
      </c>
      <c r="I1336" s="8" t="n">
        <v>14.39</v>
      </c>
      <c r="J1336" s="8" t="n"/>
      <c r="K1336" s="7" t="inlineStr">
        <is>
          <t>SEM COTAÇÃO</t>
        </is>
      </c>
      <c r="L1336" s="8" t="n"/>
      <c r="M1336" s="12" t="n"/>
      <c r="N1336" s="7" t="inlineStr"/>
      <c r="O1336" s="7" t="inlineStr"/>
    </row>
    <row r="1337">
      <c r="A1337" s="7" t="n">
        <v>548581</v>
      </c>
      <c r="B1337" s="10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1" t="n">
        <v>12</v>
      </c>
      <c r="G1337" s="11" t="n">
        <v>12</v>
      </c>
      <c r="H1337" s="8" t="n">
        <v>12.72</v>
      </c>
      <c r="I1337" s="8" t="n">
        <v>11.19</v>
      </c>
      <c r="J1337" s="8" t="n"/>
      <c r="K1337" s="7" t="inlineStr">
        <is>
          <t>SEM COTAÇÃO</t>
        </is>
      </c>
      <c r="L1337" s="8" t="n"/>
      <c r="M1337" s="12" t="n"/>
      <c r="N1337" s="7" t="inlineStr"/>
      <c r="O1337" s="7" t="inlineStr"/>
    </row>
    <row r="1338">
      <c r="A1338" s="7" t="n">
        <v>663541</v>
      </c>
      <c r="B1338" s="10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1" t="n">
        <v>2</v>
      </c>
      <c r="G1338" s="11" t="n">
        <v>2</v>
      </c>
      <c r="H1338" s="8" t="n">
        <v>13.78</v>
      </c>
      <c r="I1338" s="8" t="n">
        <v>13.78</v>
      </c>
      <c r="J1338" s="8" t="n"/>
      <c r="K1338" s="7" t="inlineStr">
        <is>
          <t>SEM COTAÇÃO</t>
        </is>
      </c>
      <c r="L1338" s="8" t="n"/>
      <c r="M1338" s="12" t="n"/>
      <c r="N1338" s="7" t="inlineStr"/>
      <c r="O1338" s="7" t="inlineStr"/>
    </row>
    <row r="1339">
      <c r="A1339" s="7" t="n">
        <v>549121</v>
      </c>
      <c r="B1339" s="10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1" t="n">
        <v>8</v>
      </c>
      <c r="G1339" s="11" t="n">
        <v>8</v>
      </c>
      <c r="H1339" s="8" t="n">
        <v>12.72</v>
      </c>
      <c r="I1339" s="8" t="n">
        <v>11.7367</v>
      </c>
      <c r="J1339" s="8" t="n"/>
      <c r="K1339" s="7" t="inlineStr">
        <is>
          <t>SEM COTAÇÃO</t>
        </is>
      </c>
      <c r="L1339" s="8" t="n"/>
      <c r="M1339" s="12" t="n"/>
      <c r="N1339" s="7" t="inlineStr"/>
      <c r="O1339" s="7" t="inlineStr"/>
    </row>
    <row r="1340">
      <c r="A1340" s="7" t="n">
        <v>570321</v>
      </c>
      <c r="B1340" s="10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1" t="n">
        <v>6</v>
      </c>
      <c r="G1340" s="11" t="n">
        <v>6</v>
      </c>
      <c r="H1340" s="8" t="n">
        <v>14.5725</v>
      </c>
      <c r="I1340" s="8" t="n">
        <v>14.2567</v>
      </c>
      <c r="J1340" s="8" t="n"/>
      <c r="K1340" s="7" t="inlineStr">
        <is>
          <t>SEM COTAÇÃO</t>
        </is>
      </c>
      <c r="L1340" s="8" t="n"/>
      <c r="M1340" s="12" t="n"/>
      <c r="N1340" s="7" t="inlineStr"/>
      <c r="O1340" s="7" t="inlineStr"/>
    </row>
    <row r="1341">
      <c r="A1341" s="7" t="n">
        <v>688701</v>
      </c>
      <c r="B1341" s="10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1" t="n">
        <v>1</v>
      </c>
      <c r="G1341" s="11" t="n">
        <v>1</v>
      </c>
      <c r="H1341" s="8" t="n">
        <v>14.29</v>
      </c>
      <c r="I1341" s="8" t="n">
        <v>14.29</v>
      </c>
      <c r="J1341" s="8" t="n"/>
      <c r="K1341" s="7" t="inlineStr">
        <is>
          <t>SEM COTAÇÃO</t>
        </is>
      </c>
      <c r="L1341" s="8" t="n"/>
      <c r="M1341" s="12" t="n"/>
      <c r="N1341" s="7" t="inlineStr"/>
      <c r="O1341" s="7" t="inlineStr"/>
    </row>
    <row r="1342">
      <c r="A1342" s="7" t="n">
        <v>566421</v>
      </c>
      <c r="B1342" s="10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1" t="n">
        <v>8</v>
      </c>
      <c r="G1342" s="11" t="n">
        <v>8</v>
      </c>
      <c r="H1342" s="8" t="n">
        <v>12.202</v>
      </c>
      <c r="I1342" s="8" t="n">
        <v>11.3367</v>
      </c>
      <c r="J1342" s="8" t="n"/>
      <c r="K1342" s="7" t="inlineStr">
        <is>
          <t>SEM COTAÇÃO</t>
        </is>
      </c>
      <c r="L1342" s="8" t="n"/>
      <c r="M1342" s="12" t="n"/>
      <c r="N1342" s="7" t="inlineStr"/>
      <c r="O1342" s="7" t="inlineStr"/>
    </row>
    <row r="1343">
      <c r="A1343" s="7" t="n">
        <v>663551</v>
      </c>
      <c r="B1343" s="10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1" t="n">
        <v>2</v>
      </c>
      <c r="G1343" s="11" t="n">
        <v>2</v>
      </c>
      <c r="H1343" s="8" t="n">
        <v>13.78</v>
      </c>
      <c r="I1343" s="8" t="n">
        <v>13.78</v>
      </c>
      <c r="J1343" s="8" t="n"/>
      <c r="K1343" s="7" t="inlineStr">
        <is>
          <t>SEM COTAÇÃO</t>
        </is>
      </c>
      <c r="L1343" s="8" t="n"/>
      <c r="M1343" s="12" t="n"/>
      <c r="N1343" s="7" t="inlineStr"/>
      <c r="O1343" s="7" t="inlineStr"/>
    </row>
    <row r="1344">
      <c r="A1344" s="7" t="n">
        <v>663561</v>
      </c>
      <c r="B1344" s="10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1" t="n">
        <v>3</v>
      </c>
      <c r="G1344" s="11" t="n">
        <v>3</v>
      </c>
      <c r="H1344" s="8" t="n">
        <v>14.29</v>
      </c>
      <c r="I1344" s="8" t="n">
        <v>14.29</v>
      </c>
      <c r="J1344" s="8" t="n"/>
      <c r="K1344" s="7" t="inlineStr">
        <is>
          <t>SEM COTAÇÃO</t>
        </is>
      </c>
      <c r="L1344" s="8" t="n"/>
      <c r="M1344" s="12" t="n"/>
      <c r="N1344" s="7" t="inlineStr"/>
      <c r="O1344" s="7" t="inlineStr"/>
    </row>
    <row r="1345">
      <c r="A1345" s="7" t="n">
        <v>663571</v>
      </c>
      <c r="B1345" s="10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1" t="n">
        <v>1</v>
      </c>
      <c r="G1345" s="11" t="n">
        <v>1</v>
      </c>
      <c r="H1345" s="8" t="n">
        <v>13.78</v>
      </c>
      <c r="I1345" s="8" t="n">
        <v>13.78</v>
      </c>
      <c r="J1345" s="8" t="n"/>
      <c r="K1345" s="7" t="inlineStr">
        <is>
          <t>SEM COTAÇÃO</t>
        </is>
      </c>
      <c r="L1345" s="8" t="n"/>
      <c r="M1345" s="12" t="n"/>
      <c r="N1345" s="7" t="inlineStr"/>
      <c r="O1345" s="7" t="inlineStr"/>
    </row>
    <row r="1346">
      <c r="A1346" s="7" t="n">
        <v>549081</v>
      </c>
      <c r="B1346" s="10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1" t="n">
        <v>5</v>
      </c>
      <c r="G1346" s="11" t="n">
        <v>5</v>
      </c>
      <c r="H1346" s="8" t="n">
        <v>12.69</v>
      </c>
      <c r="I1346" s="8" t="n">
        <v>11.9133</v>
      </c>
      <c r="J1346" s="8" t="n"/>
      <c r="K1346" s="7" t="inlineStr">
        <is>
          <t>SEM COTAÇÃO</t>
        </is>
      </c>
      <c r="L1346" s="8" t="n"/>
      <c r="M1346" s="12" t="n"/>
      <c r="N1346" s="7" t="inlineStr"/>
      <c r="O1346" s="7" t="inlineStr"/>
    </row>
    <row r="1347">
      <c r="A1347" s="7" t="n">
        <v>570361</v>
      </c>
      <c r="B1347" s="10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1" t="n">
        <v>4</v>
      </c>
      <c r="G1347" s="11" t="n">
        <v>4</v>
      </c>
      <c r="H1347" s="8" t="n">
        <v>12.64</v>
      </c>
      <c r="I1347" s="8" t="n">
        <v>12.64</v>
      </c>
      <c r="J1347" s="8" t="n"/>
      <c r="K1347" s="7" t="inlineStr">
        <is>
          <t>SEM COTAÇÃO</t>
        </is>
      </c>
      <c r="L1347" s="8" t="n"/>
      <c r="M1347" s="12" t="n"/>
      <c r="N1347" s="7" t="inlineStr"/>
      <c r="O1347" s="7" t="inlineStr"/>
    </row>
    <row r="1348">
      <c r="A1348" s="7" t="n">
        <v>662621</v>
      </c>
      <c r="B1348" s="10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1" t="n">
        <v>1</v>
      </c>
      <c r="G1348" s="11" t="n">
        <v>1</v>
      </c>
      <c r="H1348" s="8" t="n"/>
      <c r="I1348" s="8" t="n"/>
      <c r="J1348" s="8" t="n"/>
      <c r="K1348" s="7" t="inlineStr">
        <is>
          <t>SEM COTAÇÃO</t>
        </is>
      </c>
      <c r="L1348" s="8" t="n"/>
      <c r="M1348" s="12" t="n"/>
      <c r="N1348" s="7" t="inlineStr"/>
      <c r="O1348" s="7" t="inlineStr"/>
    </row>
    <row r="1349">
      <c r="A1349" s="7" t="n">
        <v>614761</v>
      </c>
      <c r="B1349" s="10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1" t="n">
        <v>12</v>
      </c>
      <c r="G1349" s="11" t="n">
        <v>12</v>
      </c>
      <c r="H1349" s="8" t="n">
        <v>3.34</v>
      </c>
      <c r="I1349" s="8" t="n">
        <v>3.34</v>
      </c>
      <c r="J1349" s="8" t="n"/>
      <c r="K1349" s="7" t="inlineStr">
        <is>
          <t>SEM COTAÇÃO</t>
        </is>
      </c>
      <c r="L1349" s="8" t="n"/>
      <c r="M1349" s="12" t="n"/>
      <c r="N1349" s="7" t="inlineStr"/>
      <c r="O1349" s="7" t="inlineStr"/>
    </row>
    <row r="1350">
      <c r="A1350" s="7" t="n">
        <v>537021</v>
      </c>
      <c r="B1350" s="10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1" t="n">
        <v>15</v>
      </c>
      <c r="G1350" s="11" t="n">
        <v>15</v>
      </c>
      <c r="H1350" s="8" t="n">
        <v>4.84</v>
      </c>
      <c r="I1350" s="8" t="n">
        <v>3.48</v>
      </c>
      <c r="J1350" s="8" t="n"/>
      <c r="K1350" s="7" t="inlineStr">
        <is>
          <t>SEM COTAÇÃO</t>
        </is>
      </c>
      <c r="L1350" s="8" t="n"/>
      <c r="M1350" s="12" t="n"/>
      <c r="N1350" s="7" t="inlineStr"/>
      <c r="O1350" s="7" t="inlineStr"/>
    </row>
    <row r="1351">
      <c r="A1351" s="7" t="n">
        <v>597171</v>
      </c>
      <c r="B1351" s="10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1" t="n">
        <v>1</v>
      </c>
      <c r="G1351" s="11" t="n">
        <v>1</v>
      </c>
      <c r="H1351" s="8" t="n">
        <v>13.03</v>
      </c>
      <c r="I1351" s="8" t="n">
        <v>13.03</v>
      </c>
      <c r="J1351" s="8" t="n"/>
      <c r="K1351" s="7" t="inlineStr">
        <is>
          <t>SEM COTAÇÃO</t>
        </is>
      </c>
      <c r="L1351" s="8" t="n"/>
      <c r="M1351" s="12" t="n"/>
      <c r="N1351" s="7" t="inlineStr"/>
      <c r="O1351" s="7" t="inlineStr"/>
    </row>
    <row r="1352">
      <c r="A1352" s="7" t="n">
        <v>595411</v>
      </c>
      <c r="B1352" s="10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1" t="n">
        <v>11</v>
      </c>
      <c r="G1352" s="11" t="n">
        <v>11</v>
      </c>
      <c r="H1352" s="8" t="n">
        <v>14.2592</v>
      </c>
      <c r="I1352" s="8" t="n">
        <v>12.9183</v>
      </c>
      <c r="J1352" s="8" t="n"/>
      <c r="K1352" s="7" t="inlineStr">
        <is>
          <t>SEM COTAÇÃO</t>
        </is>
      </c>
      <c r="L1352" s="8" t="n"/>
      <c r="M1352" s="12" t="n"/>
      <c r="N1352" s="7" t="inlineStr"/>
      <c r="O1352" s="7" t="inlineStr"/>
    </row>
    <row r="1353">
      <c r="A1353" s="7" t="n">
        <v>595421</v>
      </c>
      <c r="B1353" s="10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1" t="n">
        <v>1</v>
      </c>
      <c r="G1353" s="11" t="n">
        <v>1</v>
      </c>
      <c r="H1353" s="8" t="n">
        <v>14.19</v>
      </c>
      <c r="I1353" s="8" t="n">
        <v>13.395</v>
      </c>
      <c r="J1353" s="8" t="n"/>
      <c r="K1353" s="7" t="inlineStr">
        <is>
          <t>SEM COTAÇÃO</t>
        </is>
      </c>
      <c r="L1353" s="8" t="n"/>
      <c r="M1353" s="12" t="n"/>
      <c r="N1353" s="7" t="inlineStr"/>
      <c r="O1353" s="7" t="inlineStr"/>
    </row>
    <row r="1354">
      <c r="A1354" s="7" t="n">
        <v>609971</v>
      </c>
      <c r="B1354" s="10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1" t="n">
        <v>6</v>
      </c>
      <c r="G1354" s="11" t="n">
        <v>6</v>
      </c>
      <c r="H1354" s="8" t="n">
        <v>19.3533</v>
      </c>
      <c r="I1354" s="8" t="n">
        <v>19.3533</v>
      </c>
      <c r="J1354" s="8" t="n"/>
      <c r="K1354" s="7" t="inlineStr">
        <is>
          <t>SEM COTAÇÃO</t>
        </is>
      </c>
      <c r="L1354" s="8" t="n"/>
      <c r="M1354" s="12" t="n"/>
      <c r="N1354" s="7" t="inlineStr"/>
      <c r="O1354" s="7" t="inlineStr"/>
    </row>
    <row r="1355">
      <c r="A1355" s="7" t="n">
        <v>628121</v>
      </c>
      <c r="B1355" s="10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1" t="n">
        <v>1</v>
      </c>
      <c r="G1355" s="11" t="n">
        <v>1</v>
      </c>
      <c r="H1355" s="8" t="n">
        <v>8.111700000000001</v>
      </c>
      <c r="I1355" s="8" t="n">
        <v>8.111700000000001</v>
      </c>
      <c r="J1355" s="8" t="n"/>
      <c r="K1355" s="7" t="inlineStr">
        <is>
          <t>SEM COTAÇÃO</t>
        </is>
      </c>
      <c r="L1355" s="8" t="n"/>
      <c r="M1355" s="12" t="n"/>
      <c r="N1355" s="7" t="inlineStr"/>
      <c r="O1355" s="7" t="inlineStr"/>
    </row>
    <row r="1356">
      <c r="A1356" s="7" t="n">
        <v>612351</v>
      </c>
      <c r="B1356" s="10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1" t="n">
        <v>12</v>
      </c>
      <c r="G1356" s="11" t="n">
        <v>12</v>
      </c>
      <c r="H1356" s="8" t="n">
        <v>4.84</v>
      </c>
      <c r="I1356" s="8" t="n">
        <v>3.63</v>
      </c>
      <c r="J1356" s="8" t="n"/>
      <c r="K1356" s="7" t="inlineStr">
        <is>
          <t>SEM COTAÇÃO</t>
        </is>
      </c>
      <c r="L1356" s="8" t="n"/>
      <c r="M1356" s="12" t="n"/>
      <c r="N1356" s="7" t="inlineStr"/>
      <c r="O1356" s="7" t="inlineStr"/>
    </row>
    <row r="1357">
      <c r="A1357" s="7" t="n">
        <v>873</v>
      </c>
      <c r="B1357" s="10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1" t="n">
        <v>1</v>
      </c>
      <c r="G1357" s="11" t="n">
        <v>1</v>
      </c>
      <c r="H1357" s="8" t="n">
        <v>11.19</v>
      </c>
      <c r="I1357" s="8" t="n">
        <v>11.19</v>
      </c>
      <c r="J1357" s="8" t="n"/>
      <c r="K1357" s="7" t="inlineStr">
        <is>
          <t>SEM COTAÇÃO</t>
        </is>
      </c>
      <c r="L1357" s="8" t="n"/>
      <c r="M1357" s="12" t="n"/>
      <c r="N1357" s="7" t="inlineStr"/>
      <c r="O1357" s="7" t="inlineStr"/>
    </row>
    <row r="1358">
      <c r="A1358" s="7" t="n">
        <v>600931</v>
      </c>
      <c r="B1358" s="10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1" t="n">
        <v>1</v>
      </c>
      <c r="G1358" s="11" t="n">
        <v>1</v>
      </c>
      <c r="H1358" s="8" t="n">
        <v>5.63</v>
      </c>
      <c r="I1358" s="8" t="n">
        <v>5.63</v>
      </c>
      <c r="J1358" s="8" t="n"/>
      <c r="K1358" s="7" t="inlineStr">
        <is>
          <t>SEM COTAÇÃO</t>
        </is>
      </c>
      <c r="L1358" s="8" t="n"/>
      <c r="M1358" s="12" t="n"/>
      <c r="N1358" s="7" t="inlineStr"/>
      <c r="O1358" s="7" t="inlineStr"/>
    </row>
    <row r="1359">
      <c r="A1359" s="7" t="n">
        <v>610331</v>
      </c>
      <c r="B1359" s="10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1" t="n">
        <v>2</v>
      </c>
      <c r="G1359" s="11" t="n">
        <v>2</v>
      </c>
      <c r="H1359" s="8" t="n">
        <v>5.63</v>
      </c>
      <c r="I1359" s="8" t="n">
        <v>5.63</v>
      </c>
      <c r="J1359" s="8" t="n"/>
      <c r="K1359" s="7" t="inlineStr">
        <is>
          <t>SEM COTAÇÃO</t>
        </is>
      </c>
      <c r="L1359" s="8" t="n"/>
      <c r="M1359" s="12" t="n"/>
      <c r="N1359" s="7" t="inlineStr"/>
      <c r="O1359" s="7" t="inlineStr"/>
    </row>
    <row r="1360">
      <c r="A1360" s="7" t="n">
        <v>569321</v>
      </c>
      <c r="B1360" s="10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1" t="n">
        <v>1</v>
      </c>
      <c r="G1360" s="11" t="n">
        <v>1</v>
      </c>
      <c r="H1360" s="8" t="n">
        <v>5.19</v>
      </c>
      <c r="I1360" s="8" t="n">
        <v>5.19</v>
      </c>
      <c r="J1360" s="8" t="n"/>
      <c r="K1360" s="7" t="inlineStr">
        <is>
          <t>SEM COTAÇÃO</t>
        </is>
      </c>
      <c r="L1360" s="8" t="n"/>
      <c r="M1360" s="12" t="n"/>
      <c r="N1360" s="7" t="inlineStr"/>
      <c r="O1360" s="7" t="inlineStr"/>
    </row>
    <row r="1361">
      <c r="A1361" s="7" t="n">
        <v>591801</v>
      </c>
      <c r="B1361" s="10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1" t="n">
        <v>1</v>
      </c>
      <c r="G1361" s="11" t="n">
        <v>1</v>
      </c>
      <c r="H1361" s="8" t="n">
        <v>7.65</v>
      </c>
      <c r="I1361" s="8" t="n">
        <v>7.5</v>
      </c>
      <c r="J1361" s="8" t="n"/>
      <c r="K1361" s="7" t="inlineStr">
        <is>
          <t>SEM COTAÇÃO</t>
        </is>
      </c>
      <c r="L1361" s="8" t="n"/>
      <c r="M1361" s="12" t="n"/>
      <c r="N1361" s="7" t="inlineStr"/>
      <c r="O1361" s="7" t="inlineStr"/>
    </row>
    <row r="1362">
      <c r="A1362" s="7" t="n">
        <v>566461</v>
      </c>
      <c r="B1362" s="10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1" t="n">
        <v>2</v>
      </c>
      <c r="G1362" s="11" t="n">
        <v>2</v>
      </c>
      <c r="H1362" s="8" t="n">
        <v>5.48</v>
      </c>
      <c r="I1362" s="8" t="n">
        <v>5.48</v>
      </c>
      <c r="J1362" s="8" t="n"/>
      <c r="K1362" s="7" t="inlineStr">
        <is>
          <t>SEM COTAÇÃO</t>
        </is>
      </c>
      <c r="L1362" s="8" t="n"/>
      <c r="M1362" s="12" t="n"/>
      <c r="N1362" s="7" t="inlineStr"/>
      <c r="O1362" s="7" t="inlineStr"/>
    </row>
    <row r="1363">
      <c r="A1363" s="7" t="n">
        <v>566481</v>
      </c>
      <c r="B1363" s="10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1" t="n">
        <v>11</v>
      </c>
      <c r="G1363" s="11" t="n">
        <v>11</v>
      </c>
      <c r="H1363" s="8" t="n">
        <v>7.78</v>
      </c>
      <c r="I1363" s="8" t="n">
        <v>7.78</v>
      </c>
      <c r="J1363" s="8" t="n"/>
      <c r="K1363" s="7" t="inlineStr">
        <is>
          <t>SEM COTAÇÃO</t>
        </is>
      </c>
      <c r="L1363" s="8" t="n"/>
      <c r="M1363" s="12" t="n"/>
      <c r="N1363" s="7" t="inlineStr"/>
      <c r="O1363" s="7" t="inlineStr"/>
    </row>
    <row r="1364">
      <c r="A1364" s="7" t="n">
        <v>591811</v>
      </c>
      <c r="B1364" s="10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1" t="n">
        <v>1</v>
      </c>
      <c r="G1364" s="11" t="n">
        <v>1</v>
      </c>
      <c r="H1364" s="8" t="n">
        <v>7.9967</v>
      </c>
      <c r="I1364" s="8" t="n">
        <v>7.9967</v>
      </c>
      <c r="J1364" s="8" t="n"/>
      <c r="K1364" s="7" t="inlineStr">
        <is>
          <t>SEM COTAÇÃO</t>
        </is>
      </c>
      <c r="L1364" s="8" t="n"/>
      <c r="M1364" s="12" t="n"/>
      <c r="N1364" s="7" t="inlineStr"/>
      <c r="O1364" s="7" t="inlineStr"/>
    </row>
    <row r="1365">
      <c r="A1365" s="7" t="n">
        <v>570341</v>
      </c>
      <c r="B1365" s="10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1" t="n">
        <v>1</v>
      </c>
      <c r="G1365" s="11" t="n">
        <v>1</v>
      </c>
      <c r="H1365" s="8" t="n">
        <v>12.64</v>
      </c>
      <c r="I1365" s="8" t="n">
        <v>12.64</v>
      </c>
      <c r="J1365" s="8" t="n"/>
      <c r="K1365" s="7" t="inlineStr">
        <is>
          <t>SEM COTAÇÃO</t>
        </is>
      </c>
      <c r="L1365" s="8" t="n"/>
      <c r="M1365" s="12" t="n"/>
      <c r="N1365" s="7" t="inlineStr"/>
      <c r="O1365" s="7" t="inlineStr"/>
    </row>
    <row r="1366">
      <c r="A1366" s="7" t="n">
        <v>570381</v>
      </c>
      <c r="B1366" s="10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1" t="n">
        <v>1</v>
      </c>
      <c r="G1366" s="11" t="n">
        <v>1</v>
      </c>
      <c r="H1366" s="8" t="n">
        <v>14.73</v>
      </c>
      <c r="I1366" s="8" t="n">
        <v>14.73</v>
      </c>
      <c r="J1366" s="8" t="n"/>
      <c r="K1366" s="7" t="inlineStr">
        <is>
          <t>SEM COTAÇÃO</t>
        </is>
      </c>
      <c r="L1366" s="8" t="n"/>
      <c r="M1366" s="12" t="n"/>
      <c r="N1366" s="7" t="inlineStr"/>
      <c r="O1366" s="7" t="inlineStr"/>
    </row>
    <row r="1367">
      <c r="A1367" s="7" t="n">
        <v>613971</v>
      </c>
      <c r="B1367" s="10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1" t="n">
        <v>2</v>
      </c>
      <c r="G1367" s="11" t="n">
        <v>2</v>
      </c>
      <c r="H1367" s="8" t="n">
        <v>14.29</v>
      </c>
      <c r="I1367" s="8" t="n">
        <v>14.29</v>
      </c>
      <c r="J1367" s="8" t="n"/>
      <c r="K1367" s="7" t="inlineStr">
        <is>
          <t>SEM COTAÇÃO</t>
        </is>
      </c>
      <c r="L1367" s="8" t="n"/>
      <c r="M1367" s="12" t="n"/>
      <c r="N1367" s="7" t="inlineStr"/>
      <c r="O1367" s="7" t="inlineStr"/>
    </row>
    <row r="1368">
      <c r="A1368" s="7" t="n">
        <v>628161</v>
      </c>
      <c r="B1368" s="10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1" t="n">
        <v>2</v>
      </c>
      <c r="G1368" s="11" t="n">
        <v>2</v>
      </c>
      <c r="H1368" s="8" t="n">
        <v>7.84</v>
      </c>
      <c r="I1368" s="8" t="n">
        <v>7.84</v>
      </c>
      <c r="J1368" s="8" t="n"/>
      <c r="K1368" s="7" t="inlineStr">
        <is>
          <t>SEM COTAÇÃO</t>
        </is>
      </c>
      <c r="L1368" s="8" t="n"/>
      <c r="M1368" s="12" t="n"/>
      <c r="N1368" s="7" t="inlineStr"/>
      <c r="O1368" s="7" t="inlineStr"/>
    </row>
    <row r="1369">
      <c r="A1369" s="7" t="n">
        <v>615851</v>
      </c>
      <c r="B1369" s="10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1" t="n">
        <v>2</v>
      </c>
      <c r="G1369" s="11" t="n">
        <v>2</v>
      </c>
      <c r="H1369" s="8" t="n">
        <v>5.48</v>
      </c>
      <c r="I1369" s="8" t="n">
        <v>5.48</v>
      </c>
      <c r="J1369" s="8" t="n"/>
      <c r="K1369" s="7" t="inlineStr">
        <is>
          <t>SEM COTAÇÃO</t>
        </is>
      </c>
      <c r="L1369" s="8" t="n"/>
      <c r="M1369" s="12" t="n"/>
      <c r="N1369" s="7" t="inlineStr"/>
      <c r="O1369" s="7" t="inlineStr"/>
    </row>
    <row r="1370">
      <c r="A1370" s="7" t="n">
        <v>610351</v>
      </c>
      <c r="B1370" s="10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1" t="n">
        <v>5</v>
      </c>
      <c r="G1370" s="11" t="n">
        <v>5</v>
      </c>
      <c r="H1370" s="8" t="n">
        <v>5.39</v>
      </c>
      <c r="I1370" s="8" t="n">
        <v>5.39</v>
      </c>
      <c r="J1370" s="8" t="n"/>
      <c r="K1370" s="7" t="inlineStr">
        <is>
          <t>SEM COTAÇÃO</t>
        </is>
      </c>
      <c r="L1370" s="8" t="n"/>
      <c r="M1370" s="12" t="n"/>
      <c r="N1370" s="7" t="inlineStr"/>
      <c r="O1370" s="7" t="inlineStr"/>
    </row>
    <row r="1371">
      <c r="A1371" s="7" t="n">
        <v>571081</v>
      </c>
      <c r="B1371" s="10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1" t="n">
        <v>5</v>
      </c>
      <c r="G1371" s="11" t="n">
        <v>5</v>
      </c>
      <c r="H1371" s="8" t="n">
        <v>4.09</v>
      </c>
      <c r="I1371" s="8" t="n">
        <v>4.09</v>
      </c>
      <c r="J1371" s="8" t="n"/>
      <c r="K1371" s="7" t="inlineStr">
        <is>
          <t>SEM COTAÇÃO</t>
        </is>
      </c>
      <c r="L1371" s="8" t="n"/>
      <c r="M1371" s="12" t="n"/>
      <c r="N1371" s="7" t="inlineStr"/>
      <c r="O1371" s="7" t="inlineStr"/>
    </row>
    <row r="1372">
      <c r="A1372" s="7" t="n">
        <v>619871</v>
      </c>
      <c r="B1372" s="10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1" t="n">
        <v>2</v>
      </c>
      <c r="G1372" s="11" t="n">
        <v>2</v>
      </c>
      <c r="H1372" s="8" t="n">
        <v>4.75</v>
      </c>
      <c r="I1372" s="8" t="n">
        <v>4.75</v>
      </c>
      <c r="J1372" s="8" t="n"/>
      <c r="K1372" s="7" t="inlineStr">
        <is>
          <t>SEM COTAÇÃO</t>
        </is>
      </c>
      <c r="L1372" s="8" t="n"/>
      <c r="M1372" s="12" t="n"/>
      <c r="N1372" s="7" t="inlineStr"/>
      <c r="O1372" s="7" t="inlineStr"/>
    </row>
    <row r="1373">
      <c r="A1373" s="7" t="n">
        <v>576661</v>
      </c>
      <c r="B1373" s="10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1" t="n">
        <v>2</v>
      </c>
      <c r="G1373" s="11" t="n">
        <v>2</v>
      </c>
      <c r="H1373" s="8" t="n">
        <v>14.26</v>
      </c>
      <c r="I1373" s="8" t="n">
        <v>14.26</v>
      </c>
      <c r="J1373" s="8" t="n"/>
      <c r="K1373" s="7" t="inlineStr">
        <is>
          <t>SEM COTAÇÃO</t>
        </is>
      </c>
      <c r="L1373" s="8" t="n"/>
      <c r="M1373" s="12" t="n"/>
      <c r="N1373" s="7" t="inlineStr"/>
      <c r="O1373" s="7" t="inlineStr"/>
    </row>
    <row r="1374">
      <c r="A1374" s="7" t="n">
        <v>614191</v>
      </c>
      <c r="B1374" s="10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1" t="n">
        <v>1</v>
      </c>
      <c r="G1374" s="11" t="n">
        <v>1</v>
      </c>
      <c r="H1374" s="8" t="n">
        <v>5.2</v>
      </c>
      <c r="I1374" s="8" t="n">
        <v>5.2</v>
      </c>
      <c r="J1374" s="8" t="n"/>
      <c r="K1374" s="7" t="inlineStr">
        <is>
          <t>SEM COTAÇÃO</t>
        </is>
      </c>
      <c r="L1374" s="8" t="n"/>
      <c r="M1374" s="12" t="n"/>
      <c r="N1374" s="7" t="inlineStr"/>
      <c r="O1374" s="7" t="inlineStr"/>
    </row>
    <row r="1375">
      <c r="A1375" s="7" t="n">
        <v>582781</v>
      </c>
      <c r="B1375" s="10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1" t="n">
        <v>5</v>
      </c>
      <c r="G1375" s="11" t="n">
        <v>5</v>
      </c>
      <c r="H1375" s="8" t="n">
        <v>8.65</v>
      </c>
      <c r="I1375" s="8" t="n">
        <v>8.65</v>
      </c>
      <c r="J1375" s="8" t="n"/>
      <c r="K1375" s="7" t="inlineStr">
        <is>
          <t>SEM COTAÇÃO</t>
        </is>
      </c>
      <c r="L1375" s="8" t="n"/>
      <c r="M1375" s="12" t="n"/>
      <c r="N1375" s="7" t="inlineStr"/>
      <c r="O1375" s="7" t="inlineStr"/>
    </row>
    <row r="1376">
      <c r="A1376" s="7" t="n">
        <v>589681</v>
      </c>
      <c r="B1376" s="10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1" t="n">
        <v>7</v>
      </c>
      <c r="G1376" s="11" t="n">
        <v>7</v>
      </c>
      <c r="H1376" s="8" t="n">
        <v>10.95</v>
      </c>
      <c r="I1376" s="8" t="n">
        <v>9.619999999999999</v>
      </c>
      <c r="J1376" s="8" t="n"/>
      <c r="K1376" s="7" t="inlineStr">
        <is>
          <t>SEM COTAÇÃO</t>
        </is>
      </c>
      <c r="L1376" s="8" t="n"/>
      <c r="M1376" s="12" t="n"/>
      <c r="N1376" s="7" t="inlineStr"/>
      <c r="O1376" s="7" t="inlineStr"/>
    </row>
    <row r="1377">
      <c r="A1377" s="7" t="n">
        <v>589671</v>
      </c>
      <c r="B1377" s="10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1" t="n">
        <v>7</v>
      </c>
      <c r="G1377" s="11" t="n">
        <v>7</v>
      </c>
      <c r="H1377" s="8" t="n">
        <v>10.95</v>
      </c>
      <c r="I1377" s="8" t="n">
        <v>9.619999999999999</v>
      </c>
      <c r="J1377" s="8" t="n"/>
      <c r="K1377" s="7" t="inlineStr">
        <is>
          <t>SEM COTAÇÃO</t>
        </is>
      </c>
      <c r="L1377" s="8" t="n"/>
      <c r="M1377" s="12" t="n"/>
      <c r="N1377" s="7" t="inlineStr"/>
      <c r="O1377" s="7" t="inlineStr"/>
    </row>
    <row r="1378">
      <c r="A1378" s="7" t="n">
        <v>604301</v>
      </c>
      <c r="B1378" s="10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1" t="n">
        <v>3</v>
      </c>
      <c r="G1378" s="11" t="n">
        <v>3</v>
      </c>
      <c r="H1378" s="8" t="n">
        <v>10.545</v>
      </c>
      <c r="I1378" s="8" t="n">
        <v>9.896000000000001</v>
      </c>
      <c r="J1378" s="8" t="n"/>
      <c r="K1378" s="7" t="inlineStr">
        <is>
          <t>SEM COTAÇÃO</t>
        </is>
      </c>
      <c r="L1378" s="8" t="n"/>
      <c r="M1378" s="12" t="n"/>
      <c r="N1378" s="7" t="inlineStr"/>
      <c r="O1378" s="7" t="inlineStr"/>
    </row>
    <row r="1379">
      <c r="A1379" s="7" t="n">
        <v>604311</v>
      </c>
      <c r="B1379" s="10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1" t="n">
        <v>1</v>
      </c>
      <c r="G1379" s="11" t="n">
        <v>1</v>
      </c>
      <c r="H1379" s="8" t="n">
        <v>9.449999999999999</v>
      </c>
      <c r="I1379" s="8" t="n">
        <v>9.449999999999999</v>
      </c>
      <c r="J1379" s="8" t="n"/>
      <c r="K1379" s="7" t="inlineStr">
        <is>
          <t>SEM COTAÇÃO</t>
        </is>
      </c>
      <c r="L1379" s="8" t="n"/>
      <c r="M1379" s="12" t="n"/>
      <c r="N1379" s="7" t="inlineStr"/>
      <c r="O1379" s="7" t="inlineStr"/>
    </row>
    <row r="1380">
      <c r="A1380" s="7" t="n">
        <v>604321</v>
      </c>
      <c r="B1380" s="10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1" t="n">
        <v>2</v>
      </c>
      <c r="G1380" s="11" t="n">
        <v>2</v>
      </c>
      <c r="H1380" s="8" t="n">
        <v>10.0017</v>
      </c>
      <c r="I1380" s="8" t="n">
        <v>10.0017</v>
      </c>
      <c r="J1380" s="8" t="n"/>
      <c r="K1380" s="7" t="inlineStr">
        <is>
          <t>SEM COTAÇÃO</t>
        </is>
      </c>
      <c r="L1380" s="8" t="n"/>
      <c r="M1380" s="12" t="n"/>
      <c r="N1380" s="7" t="inlineStr"/>
      <c r="O1380" s="7" t="inlineStr"/>
    </row>
    <row r="1381">
      <c r="A1381" s="7" t="n">
        <v>646801</v>
      </c>
      <c r="B1381" s="10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1" t="n">
        <v>2</v>
      </c>
      <c r="G1381" s="11" t="n">
        <v>2</v>
      </c>
      <c r="H1381" s="8" t="n">
        <v>6.37</v>
      </c>
      <c r="I1381" s="8" t="n">
        <v>6.37</v>
      </c>
      <c r="J1381" s="8" t="n"/>
      <c r="K1381" s="7" t="inlineStr">
        <is>
          <t>SEM COTAÇÃO</t>
        </is>
      </c>
      <c r="L1381" s="8" t="n"/>
      <c r="M1381" s="12" t="n"/>
      <c r="N1381" s="7" t="inlineStr"/>
      <c r="O1381" s="7" t="inlineStr"/>
    </row>
    <row r="1382">
      <c r="A1382" s="7" t="n">
        <v>646821</v>
      </c>
      <c r="B1382" s="10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1" t="n">
        <v>5</v>
      </c>
      <c r="G1382" s="11" t="n">
        <v>5</v>
      </c>
      <c r="H1382" s="8" t="n">
        <v>9.23</v>
      </c>
      <c r="I1382" s="8" t="n">
        <v>6.17</v>
      </c>
      <c r="J1382" s="8" t="n"/>
      <c r="K1382" s="7" t="inlineStr">
        <is>
          <t>SEM COTAÇÃO</t>
        </is>
      </c>
      <c r="L1382" s="8" t="n"/>
      <c r="M1382" s="12" t="n"/>
      <c r="N1382" s="7" t="inlineStr"/>
      <c r="O1382" s="7" t="inlineStr"/>
    </row>
    <row r="1383">
      <c r="A1383" s="7" t="n">
        <v>646831</v>
      </c>
      <c r="B1383" s="10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1" t="n">
        <v>3</v>
      </c>
      <c r="G1383" s="11" t="n">
        <v>3</v>
      </c>
      <c r="H1383" s="8" t="n">
        <v>6.17</v>
      </c>
      <c r="I1383" s="8" t="n">
        <v>6.17</v>
      </c>
      <c r="J1383" s="8" t="n"/>
      <c r="K1383" s="7" t="inlineStr">
        <is>
          <t>SEM COTAÇÃO</t>
        </is>
      </c>
      <c r="L1383" s="8" t="n"/>
      <c r="M1383" s="12" t="n"/>
      <c r="N1383" s="7" t="inlineStr"/>
      <c r="O1383" s="7" t="inlineStr"/>
    </row>
    <row r="1384">
      <c r="A1384" s="7" t="n">
        <v>646841</v>
      </c>
      <c r="B1384" s="10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1" t="n">
        <v>1</v>
      </c>
      <c r="G1384" s="11" t="n">
        <v>1</v>
      </c>
      <c r="H1384" s="8" t="n">
        <v>7.1</v>
      </c>
      <c r="I1384" s="8" t="n">
        <v>7.1</v>
      </c>
      <c r="J1384" s="8" t="n"/>
      <c r="K1384" s="7" t="inlineStr">
        <is>
          <t>SEM COTAÇÃO</t>
        </is>
      </c>
      <c r="L1384" s="8" t="n"/>
      <c r="M1384" s="12" t="n"/>
      <c r="N1384" s="7" t="inlineStr"/>
      <c r="O1384" s="7" t="inlineStr"/>
    </row>
    <row r="1385">
      <c r="A1385" s="7" t="n">
        <v>646851</v>
      </c>
      <c r="B1385" s="10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1" t="n">
        <v>2</v>
      </c>
      <c r="G1385" s="11" t="n">
        <v>2</v>
      </c>
      <c r="H1385" s="8" t="n">
        <v>9.23</v>
      </c>
      <c r="I1385" s="8" t="n">
        <v>9.23</v>
      </c>
      <c r="J1385" s="8" t="n"/>
      <c r="K1385" s="7" t="inlineStr">
        <is>
          <t>SEM COTAÇÃO</t>
        </is>
      </c>
      <c r="L1385" s="8" t="n"/>
      <c r="M1385" s="12" t="n"/>
      <c r="N1385" s="7" t="inlineStr"/>
      <c r="O1385" s="7" t="inlineStr"/>
    </row>
    <row r="1386">
      <c r="A1386" s="7" t="n">
        <v>646861</v>
      </c>
      <c r="B1386" s="10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1" t="n">
        <v>5</v>
      </c>
      <c r="G1386" s="11" t="n">
        <v>5</v>
      </c>
      <c r="H1386" s="8" t="n">
        <v>9.23</v>
      </c>
      <c r="I1386" s="8" t="n">
        <v>9.23</v>
      </c>
      <c r="J1386" s="8" t="n"/>
      <c r="K1386" s="7" t="inlineStr">
        <is>
          <t>SEM COTAÇÃO</t>
        </is>
      </c>
      <c r="L1386" s="8" t="n"/>
      <c r="M1386" s="12" t="n"/>
      <c r="N1386" s="7" t="inlineStr"/>
      <c r="O1386" s="7" t="inlineStr"/>
    </row>
    <row r="1387">
      <c r="A1387" s="7" t="n">
        <v>646871</v>
      </c>
      <c r="B1387" s="10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1" t="n">
        <v>1</v>
      </c>
      <c r="G1387" s="11" t="n">
        <v>1</v>
      </c>
      <c r="H1387" s="8" t="n">
        <v>9.23</v>
      </c>
      <c r="I1387" s="8" t="n">
        <v>9.23</v>
      </c>
      <c r="J1387" s="8" t="n"/>
      <c r="K1387" s="7" t="inlineStr">
        <is>
          <t>SEM COTAÇÃO</t>
        </is>
      </c>
      <c r="L1387" s="8" t="n"/>
      <c r="M1387" s="12" t="n"/>
      <c r="N1387" s="7" t="inlineStr"/>
      <c r="O1387" s="7" t="inlineStr"/>
    </row>
    <row r="1388">
      <c r="A1388" s="7" t="n">
        <v>646881</v>
      </c>
      <c r="B1388" s="10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1" t="n">
        <v>5</v>
      </c>
      <c r="G1388" s="11" t="n">
        <v>5</v>
      </c>
      <c r="H1388" s="8" t="n">
        <v>3.2</v>
      </c>
      <c r="I1388" s="8" t="n">
        <v>3.2</v>
      </c>
      <c r="J1388" s="8" t="n"/>
      <c r="K1388" s="7" t="inlineStr">
        <is>
          <t>SEM COTAÇÃO</t>
        </is>
      </c>
      <c r="L1388" s="8" t="n"/>
      <c r="M1388" s="12" t="n"/>
      <c r="N1388" s="7" t="inlineStr"/>
      <c r="O1388" s="7" t="inlineStr"/>
    </row>
    <row r="1389">
      <c r="A1389" s="7" t="n">
        <v>604401</v>
      </c>
      <c r="B1389" s="10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1" t="n">
        <v>2</v>
      </c>
      <c r="G1389" s="11" t="n">
        <v>2</v>
      </c>
      <c r="H1389" s="8" t="n">
        <v>10.37</v>
      </c>
      <c r="I1389" s="8" t="n">
        <v>10.37</v>
      </c>
      <c r="J1389" s="8" t="n"/>
      <c r="K1389" s="7" t="inlineStr">
        <is>
          <t>SEM COTAÇÃO</t>
        </is>
      </c>
      <c r="L1389" s="8" t="n"/>
      <c r="M1389" s="12" t="n"/>
      <c r="N1389" s="7" t="inlineStr"/>
      <c r="O1389" s="7" t="inlineStr"/>
    </row>
    <row r="1390">
      <c r="A1390" s="7" t="n">
        <v>604491</v>
      </c>
      <c r="B1390" s="10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1" t="n">
        <v>1</v>
      </c>
      <c r="G1390" s="11" t="n">
        <v>1</v>
      </c>
      <c r="H1390" s="8" t="n">
        <v>7.91</v>
      </c>
      <c r="I1390" s="8" t="n">
        <v>7.07</v>
      </c>
      <c r="J1390" s="8" t="n"/>
      <c r="K1390" s="7" t="inlineStr">
        <is>
          <t>SEM COTAÇÃO</t>
        </is>
      </c>
      <c r="L1390" s="8" t="n"/>
      <c r="M1390" s="12" t="n"/>
      <c r="N1390" s="7" t="inlineStr"/>
      <c r="O1390" s="7" t="inlineStr"/>
    </row>
    <row r="1391">
      <c r="A1391" s="7" t="n">
        <v>655321</v>
      </c>
      <c r="B1391" s="10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1" t="n">
        <v>1</v>
      </c>
      <c r="G1391" s="11" t="n">
        <v>1</v>
      </c>
      <c r="H1391" s="8" t="n">
        <v>8.941700000000001</v>
      </c>
      <c r="I1391" s="8" t="n">
        <v>8.941700000000001</v>
      </c>
      <c r="J1391" s="8" t="n"/>
      <c r="K1391" s="7" t="inlineStr">
        <is>
          <t>SEM COTAÇÃO</t>
        </is>
      </c>
      <c r="L1391" s="8" t="n"/>
      <c r="M1391" s="12" t="n"/>
      <c r="N1391" s="7" t="inlineStr"/>
      <c r="O1391" s="7" t="inlineStr"/>
    </row>
    <row r="1392">
      <c r="A1392" s="7" t="n">
        <v>602271</v>
      </c>
      <c r="B1392" s="10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1" t="n">
        <v>2</v>
      </c>
      <c r="G1392" s="11" t="n">
        <v>2</v>
      </c>
      <c r="H1392" s="8" t="n">
        <v>5.37</v>
      </c>
      <c r="I1392" s="8" t="n">
        <v>5.37</v>
      </c>
      <c r="J1392" s="8" t="n"/>
      <c r="K1392" s="7" t="inlineStr">
        <is>
          <t>SEM COTAÇÃO</t>
        </is>
      </c>
      <c r="L1392" s="8" t="n"/>
      <c r="M1392" s="12" t="n"/>
      <c r="N1392" s="7" t="inlineStr"/>
      <c r="O1392" s="7" t="inlineStr"/>
    </row>
    <row r="1393">
      <c r="A1393" s="7" t="n">
        <v>602241</v>
      </c>
      <c r="B1393" s="10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1" t="n">
        <v>2</v>
      </c>
      <c r="G1393" s="11" t="n">
        <v>2</v>
      </c>
      <c r="H1393" s="8" t="n">
        <v>5.37</v>
      </c>
      <c r="I1393" s="8" t="n">
        <v>5.37</v>
      </c>
      <c r="J1393" s="8" t="n"/>
      <c r="K1393" s="7" t="inlineStr">
        <is>
          <t>SEM COTAÇÃO</t>
        </is>
      </c>
      <c r="L1393" s="8" t="n"/>
      <c r="M1393" s="12" t="n"/>
      <c r="N1393" s="7" t="inlineStr"/>
      <c r="O1393" s="7" t="inlineStr"/>
    </row>
    <row r="1394">
      <c r="A1394" s="7" t="n">
        <v>629081</v>
      </c>
      <c r="B1394" s="10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1" t="n">
        <v>3</v>
      </c>
      <c r="G1394" s="11" t="n">
        <v>3</v>
      </c>
      <c r="H1394" s="8" t="n"/>
      <c r="I1394" s="8" t="n"/>
      <c r="J1394" s="8" t="n"/>
      <c r="K1394" s="7" t="inlineStr">
        <is>
          <t>SEM COTAÇÃO</t>
        </is>
      </c>
      <c r="L1394" s="8" t="n"/>
      <c r="M1394" s="12" t="n"/>
      <c r="N1394" s="7" t="inlineStr"/>
      <c r="O1394" s="7" t="inlineStr"/>
    </row>
    <row r="1395">
      <c r="A1395" s="7" t="n">
        <v>608591</v>
      </c>
      <c r="B1395" s="10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1" t="n">
        <v>3</v>
      </c>
      <c r="G1395" s="11" t="n">
        <v>3</v>
      </c>
      <c r="H1395" s="8" t="n">
        <v>5.37</v>
      </c>
      <c r="I1395" s="8" t="n">
        <v>5.37</v>
      </c>
      <c r="J1395" s="8" t="n"/>
      <c r="K1395" s="7" t="inlineStr">
        <is>
          <t>SEM COTAÇÃO</t>
        </is>
      </c>
      <c r="L1395" s="8" t="n"/>
      <c r="M1395" s="12" t="n"/>
      <c r="N1395" s="7" t="inlineStr"/>
      <c r="O1395" s="7" t="inlineStr"/>
    </row>
    <row r="1396">
      <c r="A1396" s="7" t="n">
        <v>622061</v>
      </c>
      <c r="B1396" s="10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1" t="n">
        <v>1</v>
      </c>
      <c r="G1396" s="11" t="n">
        <v>1</v>
      </c>
      <c r="H1396" s="8" t="n">
        <v>10.11</v>
      </c>
      <c r="I1396" s="8" t="n">
        <v>10.11</v>
      </c>
      <c r="J1396" s="8" t="n"/>
      <c r="K1396" s="7" t="inlineStr">
        <is>
          <t>SEM COTAÇÃO</t>
        </is>
      </c>
      <c r="L1396" s="8" t="n"/>
      <c r="M1396" s="12" t="n"/>
      <c r="N1396" s="7" t="inlineStr"/>
      <c r="O1396" s="7" t="inlineStr"/>
    </row>
    <row r="1397">
      <c r="A1397" s="7" t="n">
        <v>621721</v>
      </c>
      <c r="B1397" s="10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1" t="n">
        <v>2</v>
      </c>
      <c r="G1397" s="11" t="n">
        <v>2</v>
      </c>
      <c r="H1397" s="8" t="n">
        <v>9.31</v>
      </c>
      <c r="I1397" s="8" t="n">
        <v>9.31</v>
      </c>
      <c r="J1397" s="8" t="n"/>
      <c r="K1397" s="7" t="inlineStr">
        <is>
          <t>SEM COTAÇÃO</t>
        </is>
      </c>
      <c r="L1397" s="8" t="n"/>
      <c r="M1397" s="12" t="n"/>
      <c r="N1397" s="7" t="inlineStr"/>
      <c r="O1397" s="7" t="inlineStr"/>
    </row>
    <row r="1398">
      <c r="A1398" s="7" t="n">
        <v>583381</v>
      </c>
      <c r="B1398" s="10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1" t="n">
        <v>4</v>
      </c>
      <c r="G1398" s="11" t="n">
        <v>4</v>
      </c>
      <c r="H1398" s="8" t="n">
        <v>9.66</v>
      </c>
      <c r="I1398" s="8" t="n">
        <v>9.66</v>
      </c>
      <c r="J1398" s="8" t="n"/>
      <c r="K1398" s="7" t="inlineStr">
        <is>
          <t>SEM COTAÇÃO</t>
        </is>
      </c>
      <c r="L1398" s="8" t="n"/>
      <c r="M1398" s="12" t="n"/>
      <c r="N1398" s="7" t="inlineStr"/>
      <c r="O1398" s="7" t="inlineStr"/>
    </row>
    <row r="1399">
      <c r="A1399" s="7" t="n">
        <v>575821</v>
      </c>
      <c r="B1399" s="10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1" t="n">
        <v>2</v>
      </c>
      <c r="G1399" s="11" t="n">
        <v>2</v>
      </c>
      <c r="H1399" s="8" t="n">
        <v>10.16</v>
      </c>
      <c r="I1399" s="8" t="n">
        <v>10.16</v>
      </c>
      <c r="J1399" s="8" t="n"/>
      <c r="K1399" s="7" t="inlineStr">
        <is>
          <t>SEM COTAÇÃO</t>
        </is>
      </c>
      <c r="L1399" s="8" t="n"/>
      <c r="M1399" s="12" t="n"/>
      <c r="N1399" s="7" t="inlineStr"/>
      <c r="O1399" s="7" t="inlineStr"/>
    </row>
    <row r="1400">
      <c r="A1400" s="7" t="n">
        <v>575841</v>
      </c>
      <c r="B1400" s="10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1" t="n">
        <v>5</v>
      </c>
      <c r="G1400" s="11" t="n">
        <v>5</v>
      </c>
      <c r="H1400" s="8" t="n">
        <v>10.7</v>
      </c>
      <c r="I1400" s="8" t="n">
        <v>10.7</v>
      </c>
      <c r="J1400" s="8" t="n"/>
      <c r="K1400" s="7" t="inlineStr">
        <is>
          <t>SEM COTAÇÃO</t>
        </is>
      </c>
      <c r="L1400" s="8" t="n"/>
      <c r="M1400" s="12" t="n"/>
      <c r="N1400" s="7" t="inlineStr"/>
      <c r="O1400" s="7" t="inlineStr"/>
    </row>
    <row r="1401">
      <c r="A1401" s="7" t="n">
        <v>583401</v>
      </c>
      <c r="B1401" s="10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1" t="n">
        <v>8</v>
      </c>
      <c r="G1401" s="11" t="n">
        <v>8</v>
      </c>
      <c r="H1401" s="8" t="n">
        <v>9.66</v>
      </c>
      <c r="I1401" s="8" t="n">
        <v>9.66</v>
      </c>
      <c r="J1401" s="8" t="n"/>
      <c r="K1401" s="7" t="inlineStr">
        <is>
          <t>SEM COTAÇÃO</t>
        </is>
      </c>
      <c r="L1401" s="8" t="n"/>
      <c r="M1401" s="12" t="n"/>
      <c r="N1401" s="7" t="inlineStr"/>
      <c r="O1401" s="7" t="inlineStr"/>
    </row>
    <row r="1402">
      <c r="A1402" s="7" t="n">
        <v>649041</v>
      </c>
      <c r="B1402" s="10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1" t="n">
        <v>3</v>
      </c>
      <c r="G1402" s="11" t="n">
        <v>3</v>
      </c>
      <c r="H1402" s="8" t="n">
        <v>2.31</v>
      </c>
      <c r="I1402" s="8" t="n">
        <v>2.31</v>
      </c>
      <c r="J1402" s="8" t="n"/>
      <c r="K1402" s="7" t="inlineStr">
        <is>
          <t>SEM COTAÇÃO</t>
        </is>
      </c>
      <c r="L1402" s="8" t="n"/>
      <c r="M1402" s="12" t="n"/>
      <c r="N1402" s="7" t="inlineStr"/>
      <c r="O1402" s="7" t="inlineStr"/>
    </row>
    <row r="1403">
      <c r="A1403" s="7" t="n">
        <v>638511</v>
      </c>
      <c r="B1403" s="10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1" t="n">
        <v>3</v>
      </c>
      <c r="G1403" s="11" t="n">
        <v>3</v>
      </c>
      <c r="H1403" s="8" t="n">
        <v>2.25</v>
      </c>
      <c r="I1403" s="8" t="n">
        <v>2.25</v>
      </c>
      <c r="J1403" s="8" t="n"/>
      <c r="K1403" s="7" t="inlineStr">
        <is>
          <t>SEM COTAÇÃO</t>
        </is>
      </c>
      <c r="L1403" s="8" t="n"/>
      <c r="M1403" s="12" t="n"/>
      <c r="N1403" s="7" t="inlineStr"/>
      <c r="O1403" s="7" t="inlineStr"/>
    </row>
    <row r="1404">
      <c r="A1404" s="7" t="n">
        <v>607541</v>
      </c>
      <c r="B1404" s="10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1" t="n">
        <v>1</v>
      </c>
      <c r="G1404" s="11" t="n">
        <v>1</v>
      </c>
      <c r="H1404" s="8" t="n">
        <v>2.77</v>
      </c>
      <c r="I1404" s="8" t="n">
        <v>2.77</v>
      </c>
      <c r="J1404" s="8" t="n"/>
      <c r="K1404" s="7" t="inlineStr">
        <is>
          <t>SEM COTAÇÃO</t>
        </is>
      </c>
      <c r="L1404" s="8" t="n"/>
      <c r="M1404" s="12" t="n"/>
      <c r="N1404" s="7" t="inlineStr"/>
      <c r="O1404" s="7" t="inlineStr"/>
    </row>
    <row r="1405">
      <c r="A1405" s="7" t="n">
        <v>545101</v>
      </c>
      <c r="B1405" s="10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1" t="n">
        <v>8</v>
      </c>
      <c r="G1405" s="11" t="n">
        <v>8</v>
      </c>
      <c r="H1405" s="8" t="n">
        <v>3.39</v>
      </c>
      <c r="I1405" s="8" t="n">
        <v>3.39</v>
      </c>
      <c r="J1405" s="8" t="n"/>
      <c r="K1405" s="7" t="inlineStr">
        <is>
          <t>SEM COTAÇÃO</t>
        </is>
      </c>
      <c r="L1405" s="8" t="n"/>
      <c r="M1405" s="12" t="n"/>
      <c r="N1405" s="7" t="inlineStr"/>
      <c r="O1405" s="7" t="inlineStr"/>
    </row>
    <row r="1406">
      <c r="A1406" s="7" t="n">
        <v>642651</v>
      </c>
      <c r="B1406" s="10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1" t="n">
        <v>8</v>
      </c>
      <c r="G1406" s="11" t="n">
        <v>8</v>
      </c>
      <c r="H1406" s="8" t="n">
        <v>3.44</v>
      </c>
      <c r="I1406" s="8" t="n">
        <v>3.44</v>
      </c>
      <c r="J1406" s="8" t="n"/>
      <c r="K1406" s="7" t="inlineStr">
        <is>
          <t>SEM COTAÇÃO</t>
        </is>
      </c>
      <c r="L1406" s="8" t="n"/>
      <c r="M1406" s="12" t="n"/>
      <c r="N1406" s="7" t="inlineStr"/>
      <c r="O1406" s="7" t="inlineStr"/>
    </row>
    <row r="1407">
      <c r="A1407" s="7" t="n">
        <v>534781</v>
      </c>
      <c r="B1407" s="10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1" t="n">
        <v>3</v>
      </c>
      <c r="G1407" s="11" t="n">
        <v>3</v>
      </c>
      <c r="H1407" s="8" t="n">
        <v>3.39</v>
      </c>
      <c r="I1407" s="8" t="n">
        <v>3.39</v>
      </c>
      <c r="J1407" s="8" t="n"/>
      <c r="K1407" s="7" t="inlineStr">
        <is>
          <t>SEM COTAÇÃO</t>
        </is>
      </c>
      <c r="L1407" s="8" t="n"/>
      <c r="M1407" s="12" t="n"/>
      <c r="N1407" s="7" t="inlineStr"/>
      <c r="O1407" s="7" t="inlineStr"/>
    </row>
    <row r="1408">
      <c r="A1408" s="7" t="n">
        <v>642661</v>
      </c>
      <c r="B1408" s="10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1" t="n">
        <v>3</v>
      </c>
      <c r="G1408" s="11" t="n">
        <v>3</v>
      </c>
      <c r="H1408" s="8" t="n">
        <v>1.29</v>
      </c>
      <c r="I1408" s="8" t="n">
        <v>1.29</v>
      </c>
      <c r="J1408" s="8" t="n"/>
      <c r="K1408" s="7" t="inlineStr">
        <is>
          <t>SEM COTAÇÃO</t>
        </is>
      </c>
      <c r="L1408" s="8" t="n"/>
      <c r="M1408" s="12" t="n"/>
      <c r="N1408" s="7" t="inlineStr"/>
      <c r="O1408" s="7" t="inlineStr"/>
    </row>
    <row r="1409">
      <c r="A1409" s="7" t="n">
        <v>631481</v>
      </c>
      <c r="B1409" s="10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1" t="n">
        <v>18</v>
      </c>
      <c r="G1409" s="11" t="n">
        <v>18</v>
      </c>
      <c r="H1409" s="8" t="n">
        <v>1.66</v>
      </c>
      <c r="I1409" s="8" t="n">
        <v>1.66</v>
      </c>
      <c r="J1409" s="8" t="n"/>
      <c r="K1409" s="7" t="inlineStr">
        <is>
          <t>SEM COTAÇÃO</t>
        </is>
      </c>
      <c r="L1409" s="8" t="n"/>
      <c r="M1409" s="12" t="n"/>
      <c r="N1409" s="7" t="inlineStr"/>
      <c r="O1409" s="7" t="inlineStr"/>
    </row>
    <row r="1410">
      <c r="A1410" s="7" t="n">
        <v>631491</v>
      </c>
      <c r="B1410" s="10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1" t="n">
        <v>2</v>
      </c>
      <c r="G1410" s="11" t="n">
        <v>2</v>
      </c>
      <c r="H1410" s="8" t="n">
        <v>3.39</v>
      </c>
      <c r="I1410" s="8" t="n">
        <v>3.39</v>
      </c>
      <c r="J1410" s="8" t="n"/>
      <c r="K1410" s="7" t="inlineStr">
        <is>
          <t>SEM COTAÇÃO</t>
        </is>
      </c>
      <c r="L1410" s="8" t="n"/>
      <c r="M1410" s="12" t="n"/>
      <c r="N1410" s="7" t="inlineStr"/>
      <c r="O1410" s="7" t="inlineStr"/>
    </row>
    <row r="1411">
      <c r="A1411" s="7" t="n">
        <v>642671</v>
      </c>
      <c r="B1411" s="10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1" t="n">
        <v>6</v>
      </c>
      <c r="G1411" s="11" t="n">
        <v>6</v>
      </c>
      <c r="H1411" s="8" t="n">
        <v>3.39</v>
      </c>
      <c r="I1411" s="8" t="n">
        <v>3.39</v>
      </c>
      <c r="J1411" s="8" t="n"/>
      <c r="K1411" s="7" t="inlineStr">
        <is>
          <t>SEM COTAÇÃO</t>
        </is>
      </c>
      <c r="L1411" s="8" t="n"/>
      <c r="M1411" s="12" t="n"/>
      <c r="N1411" s="7" t="inlineStr"/>
      <c r="O1411" s="7" t="inlineStr"/>
    </row>
    <row r="1412">
      <c r="A1412" s="7" t="n">
        <v>631501</v>
      </c>
      <c r="B1412" s="10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1" t="n">
        <v>1</v>
      </c>
      <c r="G1412" s="11" t="n">
        <v>1</v>
      </c>
      <c r="H1412" s="8" t="n">
        <v>3.39</v>
      </c>
      <c r="I1412" s="8" t="n">
        <v>3.39</v>
      </c>
      <c r="J1412" s="8" t="n"/>
      <c r="K1412" s="7" t="inlineStr">
        <is>
          <t>SEM COTAÇÃO</t>
        </is>
      </c>
      <c r="L1412" s="8" t="n"/>
      <c r="M1412" s="12" t="n"/>
      <c r="N1412" s="7" t="inlineStr"/>
      <c r="O1412" s="7" t="inlineStr"/>
    </row>
    <row r="1413">
      <c r="A1413" s="7" t="n">
        <v>642681</v>
      </c>
      <c r="B1413" s="10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1" t="n">
        <v>4</v>
      </c>
      <c r="G1413" s="11" t="n">
        <v>4</v>
      </c>
      <c r="H1413" s="8" t="n">
        <v>3.39</v>
      </c>
      <c r="I1413" s="8" t="n">
        <v>3.39</v>
      </c>
      <c r="J1413" s="8" t="n"/>
      <c r="K1413" s="7" t="inlineStr">
        <is>
          <t>SEM COTAÇÃO</t>
        </is>
      </c>
      <c r="L1413" s="8" t="n"/>
      <c r="M1413" s="12" t="n"/>
      <c r="N1413" s="7" t="inlineStr"/>
      <c r="O1413" s="7" t="inlineStr"/>
    </row>
    <row r="1414">
      <c r="A1414" s="7" t="n">
        <v>642691</v>
      </c>
      <c r="B1414" s="10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1" t="n">
        <v>1</v>
      </c>
      <c r="G1414" s="11" t="n">
        <v>1</v>
      </c>
      <c r="H1414" s="8" t="n">
        <v>3.39</v>
      </c>
      <c r="I1414" s="8" t="n">
        <v>3.39</v>
      </c>
      <c r="J1414" s="8" t="n"/>
      <c r="K1414" s="7" t="inlineStr">
        <is>
          <t>SEM COTAÇÃO</t>
        </is>
      </c>
      <c r="L1414" s="8" t="n"/>
      <c r="M1414" s="12" t="n"/>
      <c r="N1414" s="7" t="inlineStr"/>
      <c r="O1414" s="7" t="inlineStr"/>
    </row>
    <row r="1415">
      <c r="A1415" s="7" t="n">
        <v>631511</v>
      </c>
      <c r="B1415" s="10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1" t="n">
        <v>4</v>
      </c>
      <c r="G1415" s="11" t="n">
        <v>4</v>
      </c>
      <c r="H1415" s="8" t="n">
        <v>4.06</v>
      </c>
      <c r="I1415" s="8" t="n">
        <v>4.06</v>
      </c>
      <c r="J1415" s="8" t="n"/>
      <c r="K1415" s="7" t="inlineStr">
        <is>
          <t>SEM COTAÇÃO</t>
        </is>
      </c>
      <c r="L1415" s="8" t="n"/>
      <c r="M1415" s="12" t="n"/>
      <c r="N1415" s="7" t="inlineStr"/>
      <c r="O1415" s="7" t="inlineStr"/>
    </row>
    <row r="1416">
      <c r="A1416" s="7" t="n">
        <v>359561</v>
      </c>
      <c r="B1416" s="10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1" t="n">
        <v>2</v>
      </c>
      <c r="G1416" s="11" t="n">
        <v>2</v>
      </c>
      <c r="H1416" s="8" t="n">
        <v>12.8444</v>
      </c>
      <c r="I1416" s="8" t="n">
        <v>12.8444</v>
      </c>
      <c r="J1416" s="8" t="n"/>
      <c r="K1416" s="7" t="inlineStr">
        <is>
          <t>SEM COTAÇÃO</t>
        </is>
      </c>
      <c r="L1416" s="8" t="n"/>
      <c r="M1416" s="12" t="n"/>
      <c r="N1416" s="7" t="inlineStr"/>
      <c r="O1416" s="7" t="inlineStr"/>
    </row>
    <row r="1417">
      <c r="A1417" s="7" t="n">
        <v>202221</v>
      </c>
      <c r="B1417" s="10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1" t="n">
        <v>10</v>
      </c>
      <c r="G1417" s="11" t="n">
        <v>10</v>
      </c>
      <c r="H1417" s="8" t="n">
        <v>10.7922</v>
      </c>
      <c r="I1417" s="8" t="n">
        <v>10.7922</v>
      </c>
      <c r="J1417" s="8" t="n"/>
      <c r="K1417" s="7" t="inlineStr">
        <is>
          <t>SEM COTAÇÃO</t>
        </is>
      </c>
      <c r="L1417" s="8" t="n"/>
      <c r="M1417" s="12" t="n"/>
      <c r="N1417" s="7" t="inlineStr"/>
      <c r="O1417" s="7" t="inlineStr"/>
    </row>
    <row r="1418">
      <c r="A1418" s="7" t="n">
        <v>202201</v>
      </c>
      <c r="B1418" s="10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1" t="n">
        <v>1</v>
      </c>
      <c r="G1418" s="11" t="n">
        <v>1</v>
      </c>
      <c r="H1418" s="8" t="n">
        <v>7.53</v>
      </c>
      <c r="I1418" s="8" t="n">
        <v>7.53</v>
      </c>
      <c r="J1418" s="8" t="n"/>
      <c r="K1418" s="7" t="inlineStr">
        <is>
          <t>SEM COTAÇÃO</t>
        </is>
      </c>
      <c r="L1418" s="8" t="n"/>
      <c r="M1418" s="12" t="n"/>
      <c r="N1418" s="7" t="inlineStr"/>
      <c r="O1418" s="7" t="inlineStr"/>
    </row>
    <row r="1419">
      <c r="A1419" s="7" t="n">
        <v>203441</v>
      </c>
      <c r="B1419" s="10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1" t="n">
        <v>1</v>
      </c>
      <c r="G1419" s="11" t="n">
        <v>1</v>
      </c>
      <c r="H1419" s="8" t="n">
        <v>6.79</v>
      </c>
      <c r="I1419" s="8" t="n">
        <v>6.79</v>
      </c>
      <c r="J1419" s="8" t="n"/>
      <c r="K1419" s="7" t="inlineStr">
        <is>
          <t>SEM COTAÇÃO</t>
        </is>
      </c>
      <c r="L1419" s="8" t="n"/>
      <c r="M1419" s="12" t="n"/>
      <c r="N1419" s="7" t="inlineStr"/>
      <c r="O1419" s="7" t="inlineStr"/>
    </row>
    <row r="1420">
      <c r="A1420" s="7" t="n">
        <v>668951</v>
      </c>
      <c r="B1420" s="10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1" t="n">
        <v>25</v>
      </c>
      <c r="G1420" s="11" t="n">
        <v>25</v>
      </c>
      <c r="H1420" s="8" t="n">
        <v>6.11</v>
      </c>
      <c r="I1420" s="8" t="n">
        <v>5.7026</v>
      </c>
      <c r="J1420" s="13" t="n">
        <v>4.83</v>
      </c>
      <c r="K1420" s="7" t="inlineStr">
        <is>
          <t>DIMEC</t>
        </is>
      </c>
      <c r="L1420" s="8" t="n">
        <v>4.83</v>
      </c>
      <c r="M1420" s="12">
        <f>L1420/H1420-1</f>
        <v/>
      </c>
      <c r="N1420" s="15" t="inlineStr">
        <is>
          <t>OK (≤ menor hist.)</t>
        </is>
      </c>
      <c r="O1420" s="7" t="inlineStr"/>
    </row>
    <row r="1421">
      <c r="A1421" s="7" t="n">
        <v>617991</v>
      </c>
      <c r="B1421" s="10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1" t="n">
        <v>1</v>
      </c>
      <c r="G1421" s="11" t="n">
        <v>1</v>
      </c>
      <c r="H1421" s="8" t="n">
        <v>9.449999999999999</v>
      </c>
      <c r="I1421" s="8" t="n">
        <v>9.449999999999999</v>
      </c>
      <c r="J1421" s="8" t="n"/>
      <c r="K1421" s="7" t="inlineStr">
        <is>
          <t>SEM COTAÇÃO</t>
        </is>
      </c>
      <c r="L1421" s="8" t="n"/>
      <c r="M1421" s="12" t="n"/>
      <c r="N1421" s="7" t="inlineStr"/>
      <c r="O1421" s="7" t="inlineStr"/>
    </row>
    <row r="1422">
      <c r="A1422" s="7" t="n">
        <v>618001</v>
      </c>
      <c r="B1422" s="10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1" t="n">
        <v>2</v>
      </c>
      <c r="G1422" s="11" t="n">
        <v>2</v>
      </c>
      <c r="H1422" s="8" t="n">
        <v>9.531700000000001</v>
      </c>
      <c r="I1422" s="8" t="n">
        <v>9.531700000000001</v>
      </c>
      <c r="J1422" s="8" t="n"/>
      <c r="K1422" s="7" t="inlineStr">
        <is>
          <t>SEM COTAÇÃO</t>
        </is>
      </c>
      <c r="L1422" s="8" t="n"/>
      <c r="M1422" s="12" t="n"/>
      <c r="N1422" s="7" t="inlineStr"/>
      <c r="O1422" s="7" t="inlineStr"/>
    </row>
    <row r="1423">
      <c r="A1423" s="7" t="n">
        <v>589241</v>
      </c>
      <c r="B1423" s="10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1" t="n">
        <v>7</v>
      </c>
      <c r="G1423" s="11" t="n">
        <v>7</v>
      </c>
      <c r="H1423" s="8" t="n">
        <v>6.79</v>
      </c>
      <c r="I1423" s="8" t="n">
        <v>6.79</v>
      </c>
      <c r="J1423" s="8" t="n"/>
      <c r="K1423" s="7" t="inlineStr">
        <is>
          <t>SEM COTAÇÃO</t>
        </is>
      </c>
      <c r="L1423" s="8" t="n"/>
      <c r="M1423" s="12" t="n"/>
      <c r="N1423" s="7" t="inlineStr"/>
      <c r="O1423" s="7" t="inlineStr"/>
    </row>
    <row r="1424">
      <c r="A1424" s="7" t="n">
        <v>464</v>
      </c>
      <c r="B1424" s="10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1" t="n">
        <v>9</v>
      </c>
      <c r="G1424" s="11" t="n">
        <v>9</v>
      </c>
      <c r="H1424" s="8" t="n">
        <v>15.52</v>
      </c>
      <c r="I1424" s="8" t="n">
        <v>15.52</v>
      </c>
      <c r="J1424" s="8" t="n"/>
      <c r="K1424" s="7" t="inlineStr">
        <is>
          <t>SEM COTAÇÃO</t>
        </is>
      </c>
      <c r="L1424" s="8" t="n"/>
      <c r="M1424" s="12" t="n"/>
      <c r="N1424" s="7" t="inlineStr"/>
      <c r="O1424" s="7" t="inlineStr"/>
    </row>
    <row r="1425">
      <c r="A1425" s="7" t="n">
        <v>650511</v>
      </c>
      <c r="B1425" s="10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1" t="n">
        <v>1</v>
      </c>
      <c r="G1425" s="11" t="n">
        <v>1</v>
      </c>
      <c r="H1425" s="8" t="n"/>
      <c r="I1425" s="8" t="n"/>
      <c r="J1425" s="8" t="n"/>
      <c r="K1425" s="7" t="inlineStr">
        <is>
          <t>SEM COTAÇÃO</t>
        </is>
      </c>
      <c r="L1425" s="8" t="n"/>
      <c r="M1425" s="12" t="n"/>
      <c r="N1425" s="7" t="inlineStr"/>
      <c r="O1425" s="7" t="inlineStr"/>
    </row>
    <row r="1426">
      <c r="A1426" s="7" t="n">
        <v>454</v>
      </c>
      <c r="B1426" s="10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1" t="n">
        <v>1</v>
      </c>
      <c r="G1426" s="11" t="n">
        <v>1</v>
      </c>
      <c r="H1426" s="8" t="n"/>
      <c r="I1426" s="8" t="n"/>
      <c r="J1426" s="8" t="n"/>
      <c r="K1426" s="7" t="inlineStr">
        <is>
          <t>SEM COTAÇÃO</t>
        </is>
      </c>
      <c r="L1426" s="8" t="n"/>
      <c r="M1426" s="12" t="n"/>
      <c r="N1426" s="7" t="inlineStr"/>
      <c r="O1426" s="7" t="inlineStr"/>
    </row>
    <row r="1427">
      <c r="A1427" s="7" t="n">
        <v>566341</v>
      </c>
      <c r="B1427" s="10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1" t="n">
        <v>1</v>
      </c>
      <c r="G1427" s="11" t="n">
        <v>1</v>
      </c>
      <c r="H1427" s="8" t="n">
        <v>7.98</v>
      </c>
      <c r="I1427" s="8" t="n">
        <v>7.98</v>
      </c>
      <c r="J1427" s="8" t="n"/>
      <c r="K1427" s="7" t="inlineStr">
        <is>
          <t>SEM COTAÇÃO</t>
        </is>
      </c>
      <c r="L1427" s="8" t="n"/>
      <c r="M1427" s="12" t="n"/>
      <c r="N1427" s="7" t="inlineStr"/>
      <c r="O1427" s="7" t="inlineStr"/>
    </row>
    <row r="1428">
      <c r="A1428" s="7" t="n">
        <v>566321</v>
      </c>
      <c r="B1428" s="10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1" t="n">
        <v>1</v>
      </c>
      <c r="G1428" s="11" t="n">
        <v>1</v>
      </c>
      <c r="H1428" s="8" t="n">
        <v>7.98</v>
      </c>
      <c r="I1428" s="8" t="n">
        <v>7.98</v>
      </c>
      <c r="J1428" s="8" t="n"/>
      <c r="K1428" s="7" t="inlineStr">
        <is>
          <t>SEM COTAÇÃO</t>
        </is>
      </c>
      <c r="L1428" s="8" t="n"/>
      <c r="M1428" s="12" t="n"/>
      <c r="N1428" s="7" t="inlineStr"/>
      <c r="O1428" s="7" t="inlineStr"/>
    </row>
    <row r="1429">
      <c r="A1429" s="7" t="n">
        <v>577921</v>
      </c>
      <c r="B1429" s="10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1" t="n">
        <v>1</v>
      </c>
      <c r="G1429" s="11" t="n">
        <v>1</v>
      </c>
      <c r="H1429" s="8" t="n">
        <v>7.98</v>
      </c>
      <c r="I1429" s="8" t="n">
        <v>7.98</v>
      </c>
      <c r="J1429" s="8" t="n"/>
      <c r="K1429" s="7" t="inlineStr">
        <is>
          <t>SEM COTAÇÃO</t>
        </is>
      </c>
      <c r="L1429" s="8" t="n"/>
      <c r="M1429" s="12" t="n"/>
      <c r="N1429" s="7" t="inlineStr"/>
      <c r="O1429" s="7" t="inlineStr"/>
    </row>
    <row r="1430">
      <c r="A1430" s="7" t="n">
        <v>536061</v>
      </c>
      <c r="B1430" s="10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1" t="n">
        <v>1</v>
      </c>
      <c r="G1430" s="11" t="n">
        <v>1</v>
      </c>
      <c r="H1430" s="8" t="n">
        <v>8.359999999999999</v>
      </c>
      <c r="I1430" s="8" t="n">
        <v>8.359999999999999</v>
      </c>
      <c r="J1430" s="8" t="n"/>
      <c r="K1430" s="7" t="inlineStr">
        <is>
          <t>SEM COTAÇÃO</t>
        </is>
      </c>
      <c r="L1430" s="8" t="n"/>
      <c r="M1430" s="12" t="n"/>
      <c r="N1430" s="7" t="inlineStr"/>
      <c r="O1430" s="7" t="inlineStr"/>
    </row>
    <row r="1431">
      <c r="A1431" s="7" t="n">
        <v>536101</v>
      </c>
      <c r="B1431" s="10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1" t="n">
        <v>9</v>
      </c>
      <c r="G1431" s="11" t="n">
        <v>9</v>
      </c>
      <c r="H1431" s="8" t="n">
        <v>8.359999999999999</v>
      </c>
      <c r="I1431" s="8" t="n">
        <v>6.54</v>
      </c>
      <c r="J1431" s="8" t="n"/>
      <c r="K1431" s="7" t="inlineStr">
        <is>
          <t>SEM COTAÇÃO</t>
        </is>
      </c>
      <c r="L1431" s="8" t="n"/>
      <c r="M1431" s="12" t="n"/>
      <c r="N1431" s="7" t="inlineStr"/>
      <c r="O1431" s="7" t="inlineStr"/>
    </row>
    <row r="1432">
      <c r="A1432" s="7" t="n">
        <v>536081</v>
      </c>
      <c r="B1432" s="10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1" t="n">
        <v>4</v>
      </c>
      <c r="G1432" s="11" t="n">
        <v>4</v>
      </c>
      <c r="H1432" s="8" t="n">
        <v>8.359999999999999</v>
      </c>
      <c r="I1432" s="8" t="n">
        <v>6.54</v>
      </c>
      <c r="J1432" s="8" t="n"/>
      <c r="K1432" s="7" t="inlineStr">
        <is>
          <t>SEM COTAÇÃO</t>
        </is>
      </c>
      <c r="L1432" s="8" t="n"/>
      <c r="M1432" s="12" t="n"/>
      <c r="N1432" s="7" t="inlineStr"/>
      <c r="O1432" s="7" t="inlineStr"/>
    </row>
    <row r="1433">
      <c r="A1433" s="7" t="n">
        <v>536141</v>
      </c>
      <c r="B1433" s="10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1" t="n">
        <v>8</v>
      </c>
      <c r="G1433" s="11" t="n">
        <v>8</v>
      </c>
      <c r="H1433" s="8" t="n">
        <v>8.359999999999999</v>
      </c>
      <c r="I1433" s="8" t="n">
        <v>7.53</v>
      </c>
      <c r="J1433" s="8" t="n"/>
      <c r="K1433" s="7" t="inlineStr">
        <is>
          <t>SEM COTAÇÃO</t>
        </is>
      </c>
      <c r="L1433" s="8" t="n"/>
      <c r="M1433" s="12" t="n"/>
      <c r="N1433" s="7" t="inlineStr"/>
      <c r="O1433" s="7" t="inlineStr"/>
    </row>
    <row r="1434">
      <c r="A1434" s="7" t="n">
        <v>536121</v>
      </c>
      <c r="B1434" s="10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1" t="n">
        <v>6</v>
      </c>
      <c r="G1434" s="11" t="n">
        <v>6</v>
      </c>
      <c r="H1434" s="8" t="n">
        <v>7.848</v>
      </c>
      <c r="I1434" s="8" t="n">
        <v>7.14</v>
      </c>
      <c r="J1434" s="8" t="n"/>
      <c r="K1434" s="7" t="inlineStr">
        <is>
          <t>SEM COTAÇÃO</t>
        </is>
      </c>
      <c r="L1434" s="8" t="n"/>
      <c r="M1434" s="12" t="n"/>
      <c r="N1434" s="7" t="inlineStr"/>
      <c r="O1434" s="7" t="inlineStr"/>
    </row>
    <row r="1435">
      <c r="A1435" s="7" t="n">
        <v>535901</v>
      </c>
      <c r="B1435" s="10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1" t="n">
        <v>1</v>
      </c>
      <c r="G1435" s="11" t="n">
        <v>1</v>
      </c>
      <c r="H1435" s="8" t="n">
        <v>11.51</v>
      </c>
      <c r="I1435" s="8" t="n">
        <v>11.51</v>
      </c>
      <c r="J1435" s="8" t="n"/>
      <c r="K1435" s="7" t="inlineStr">
        <is>
          <t>SEM COTAÇÃO</t>
        </is>
      </c>
      <c r="L1435" s="8" t="n"/>
      <c r="M1435" s="12" t="n"/>
      <c r="N1435" s="7" t="inlineStr"/>
      <c r="O1435" s="7" t="inlineStr"/>
    </row>
    <row r="1436">
      <c r="A1436" s="7" t="n">
        <v>535981</v>
      </c>
      <c r="B1436" s="10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1" t="n">
        <v>1</v>
      </c>
      <c r="G1436" s="11" t="n">
        <v>1</v>
      </c>
      <c r="H1436" s="8" t="n">
        <v>8</v>
      </c>
      <c r="I1436" s="8" t="n">
        <v>8</v>
      </c>
      <c r="J1436" s="8" t="n"/>
      <c r="K1436" s="7" t="inlineStr">
        <is>
          <t>SEM COTAÇÃO</t>
        </is>
      </c>
      <c r="L1436" s="8" t="n"/>
      <c r="M1436" s="12" t="n"/>
      <c r="N1436" s="7" t="inlineStr"/>
      <c r="O1436" s="7" t="inlineStr"/>
    </row>
    <row r="1437">
      <c r="A1437" s="7" t="n">
        <v>537061</v>
      </c>
      <c r="B1437" s="10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1" t="n">
        <v>1</v>
      </c>
      <c r="G1437" s="11" t="n">
        <v>1</v>
      </c>
      <c r="H1437" s="8" t="n">
        <v>3.2375</v>
      </c>
      <c r="I1437" s="8" t="n">
        <v>3.2375</v>
      </c>
      <c r="J1437" s="8" t="n"/>
      <c r="K1437" s="7" t="inlineStr">
        <is>
          <t>SEM COTAÇÃO</t>
        </is>
      </c>
      <c r="L1437" s="8" t="n"/>
      <c r="M1437" s="12" t="n"/>
      <c r="N1437" s="7" t="inlineStr"/>
      <c r="O1437" s="7" t="inlineStr"/>
    </row>
    <row r="1438">
      <c r="A1438" s="7" t="n">
        <v>535921</v>
      </c>
      <c r="B1438" s="10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1" t="n">
        <v>1</v>
      </c>
      <c r="G1438" s="11" t="n">
        <v>1</v>
      </c>
      <c r="H1438" s="8" t="n">
        <v>6.85</v>
      </c>
      <c r="I1438" s="8" t="n">
        <v>6.85</v>
      </c>
      <c r="J1438" s="8" t="n"/>
      <c r="K1438" s="7" t="inlineStr">
        <is>
          <t>SEM COTAÇÃO</t>
        </is>
      </c>
      <c r="L1438" s="8" t="n"/>
      <c r="M1438" s="12" t="n"/>
      <c r="N1438" s="7" t="inlineStr"/>
      <c r="O1438" s="7" t="inlineStr"/>
    </row>
    <row r="1439">
      <c r="A1439" s="7" t="n">
        <v>553401</v>
      </c>
      <c r="B1439" s="10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1" t="n">
        <v>1</v>
      </c>
      <c r="G1439" s="11" t="n">
        <v>1</v>
      </c>
      <c r="H1439" s="8" t="n">
        <v>9.18</v>
      </c>
      <c r="I1439" s="8" t="n">
        <v>9.18</v>
      </c>
      <c r="J1439" s="8" t="n"/>
      <c r="K1439" s="7" t="inlineStr">
        <is>
          <t>SEM COTAÇÃO</t>
        </is>
      </c>
      <c r="L1439" s="8" t="n"/>
      <c r="M1439" s="12" t="n"/>
      <c r="N1439" s="7" t="inlineStr"/>
      <c r="O1439" s="7" t="inlineStr"/>
    </row>
    <row r="1440">
      <c r="A1440" s="7" t="n">
        <v>588641</v>
      </c>
      <c r="B1440" s="10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1" t="n">
        <v>3</v>
      </c>
      <c r="G1440" s="11" t="n">
        <v>3</v>
      </c>
      <c r="H1440" s="8" t="n">
        <v>12.69</v>
      </c>
      <c r="I1440" s="8" t="n">
        <v>11.3367</v>
      </c>
      <c r="J1440" s="8" t="n"/>
      <c r="K1440" s="7" t="inlineStr">
        <is>
          <t>SEM COTAÇÃO</t>
        </is>
      </c>
      <c r="L1440" s="8" t="n"/>
      <c r="M1440" s="12" t="n"/>
      <c r="N1440" s="7" t="inlineStr"/>
      <c r="O1440" s="7" t="inlineStr"/>
    </row>
    <row r="1441">
      <c r="A1441" s="7" t="n">
        <v>536241</v>
      </c>
      <c r="B1441" s="10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1" t="n">
        <v>1</v>
      </c>
      <c r="G1441" s="11" t="n">
        <v>1</v>
      </c>
      <c r="H1441" s="8" t="n"/>
      <c r="I1441" s="8" t="n"/>
      <c r="J1441" s="8" t="n"/>
      <c r="K1441" s="7" t="inlineStr">
        <is>
          <t>SEM COTAÇÃO</t>
        </is>
      </c>
      <c r="L1441" s="8" t="n"/>
      <c r="M1441" s="12" t="n"/>
      <c r="N1441" s="7" t="inlineStr"/>
      <c r="O1441" s="7" t="inlineStr"/>
    </row>
    <row r="1442">
      <c r="A1442" s="7" t="n">
        <v>534921</v>
      </c>
      <c r="B1442" s="10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1" t="n">
        <v>2</v>
      </c>
      <c r="G1442" s="11" t="n">
        <v>2</v>
      </c>
      <c r="H1442" s="8" t="n">
        <v>7.89</v>
      </c>
      <c r="I1442" s="8" t="n">
        <v>7.89</v>
      </c>
      <c r="J1442" s="8" t="n"/>
      <c r="K1442" s="7" t="inlineStr">
        <is>
          <t>SEM COTAÇÃO</t>
        </is>
      </c>
      <c r="L1442" s="8" t="n"/>
      <c r="M1442" s="12" t="n"/>
      <c r="N1442" s="7" t="inlineStr"/>
      <c r="O1442" s="7" t="inlineStr"/>
    </row>
    <row r="1443">
      <c r="A1443" s="7" t="n">
        <v>206061</v>
      </c>
      <c r="B1443" s="10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1" t="n">
        <v>2</v>
      </c>
      <c r="G1443" s="11" t="n">
        <v>2</v>
      </c>
      <c r="H1443" s="8" t="n">
        <v>6.65</v>
      </c>
      <c r="I1443" s="8" t="n">
        <v>6.65</v>
      </c>
      <c r="J1443" s="8" t="n"/>
      <c r="K1443" s="7" t="inlineStr">
        <is>
          <t>SEM COTAÇÃO</t>
        </is>
      </c>
      <c r="L1443" s="8" t="n"/>
      <c r="M1443" s="12" t="n"/>
      <c r="N1443" s="7" t="inlineStr"/>
      <c r="O1443" s="7" t="inlineStr"/>
    </row>
    <row r="1444">
      <c r="A1444" s="7" t="n">
        <v>661161</v>
      </c>
      <c r="B1444" s="10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1" t="n">
        <v>1</v>
      </c>
      <c r="G1444" s="11" t="n">
        <v>1</v>
      </c>
      <c r="H1444" s="8" t="n">
        <v>24.56</v>
      </c>
      <c r="I1444" s="8" t="n">
        <v>24.56</v>
      </c>
      <c r="J1444" s="8" t="n"/>
      <c r="K1444" s="7" t="inlineStr">
        <is>
          <t>SEM COTAÇÃO</t>
        </is>
      </c>
      <c r="L1444" s="8" t="n"/>
      <c r="M1444" s="12" t="n"/>
      <c r="N1444" s="7" t="inlineStr"/>
      <c r="O1444" s="7" t="inlineStr"/>
    </row>
    <row r="1445">
      <c r="A1445" s="7" t="n">
        <v>41803</v>
      </c>
      <c r="B1445" s="10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1" t="n">
        <v>13</v>
      </c>
      <c r="G1445" s="11" t="n">
        <v>13</v>
      </c>
      <c r="H1445" s="8" t="n">
        <v>37.23</v>
      </c>
      <c r="I1445" s="8" t="n">
        <v>33.1125</v>
      </c>
      <c r="J1445" s="8" t="n"/>
      <c r="K1445" s="7" t="inlineStr">
        <is>
          <t>SEM COTAÇÃO</t>
        </is>
      </c>
      <c r="L1445" s="8" t="n"/>
      <c r="M1445" s="12" t="n"/>
      <c r="N1445" s="7" t="inlineStr"/>
      <c r="O1445" s="7" t="inlineStr"/>
    </row>
    <row r="1446">
      <c r="A1446" s="7" t="n">
        <v>578141</v>
      </c>
      <c r="B1446" s="10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1" t="n">
        <v>1</v>
      </c>
      <c r="G1446" s="11" t="n">
        <v>1</v>
      </c>
      <c r="H1446" s="8" t="n">
        <v>37.6</v>
      </c>
      <c r="I1446" s="8" t="n">
        <v>33.77</v>
      </c>
      <c r="J1446" s="8" t="n"/>
      <c r="K1446" s="7" t="inlineStr">
        <is>
          <t>SEM COTAÇÃO</t>
        </is>
      </c>
      <c r="L1446" s="8" t="n"/>
      <c r="M1446" s="12" t="n"/>
      <c r="N1446" s="7" t="inlineStr"/>
      <c r="O1446" s="7" t="inlineStr"/>
    </row>
    <row r="1447">
      <c r="A1447" s="7" t="n">
        <v>207901</v>
      </c>
      <c r="B1447" s="10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1" t="n">
        <v>1</v>
      </c>
      <c r="G1447" s="11" t="n">
        <v>1</v>
      </c>
      <c r="H1447" s="8" t="n">
        <v>102.465</v>
      </c>
      <c r="I1447" s="8" t="n">
        <v>89.11499999999999</v>
      </c>
      <c r="J1447" s="8" t="n"/>
      <c r="K1447" s="7" t="inlineStr">
        <is>
          <t>SEM COTAÇÃO</t>
        </is>
      </c>
      <c r="L1447" s="8" t="n"/>
      <c r="M1447" s="12" t="n"/>
      <c r="N1447" s="7" t="inlineStr"/>
      <c r="O1447" s="7" t="inlineStr"/>
    </row>
    <row r="1448">
      <c r="A1448" s="7" t="n">
        <v>207821</v>
      </c>
      <c r="B1448" s="10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1" t="n">
        <v>9</v>
      </c>
      <c r="G1448" s="11" t="n">
        <v>9</v>
      </c>
      <c r="H1448" s="8" t="n">
        <v>89.116</v>
      </c>
      <c r="I1448" s="8" t="n">
        <v>89.116</v>
      </c>
      <c r="J1448" s="8" t="n"/>
      <c r="K1448" s="7" t="inlineStr">
        <is>
          <t>SEM COTAÇÃO</t>
        </is>
      </c>
      <c r="L1448" s="8" t="n"/>
      <c r="M1448" s="12" t="n"/>
      <c r="N1448" s="7" t="inlineStr"/>
      <c r="O1448" s="7" t="inlineStr"/>
    </row>
    <row r="1449">
      <c r="A1449" s="7" t="n">
        <v>638251</v>
      </c>
      <c r="B1449" s="10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1" t="n">
        <v>1</v>
      </c>
      <c r="G1449" s="11" t="n">
        <v>1</v>
      </c>
      <c r="H1449" s="8" t="n">
        <v>56.91</v>
      </c>
      <c r="I1449" s="8" t="n">
        <v>56.91</v>
      </c>
      <c r="J1449" s="8" t="n"/>
      <c r="K1449" s="7" t="inlineStr">
        <is>
          <t>SEM COTAÇÃO</t>
        </is>
      </c>
      <c r="L1449" s="8" t="n"/>
      <c r="M1449" s="12" t="n"/>
      <c r="N1449" s="7" t="inlineStr"/>
      <c r="O1449" s="7" t="inlineStr"/>
    </row>
    <row r="1450">
      <c r="A1450" s="7" t="n">
        <v>602171</v>
      </c>
      <c r="B1450" s="10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1" t="n">
        <v>1</v>
      </c>
      <c r="G1450" s="11" t="n">
        <v>1</v>
      </c>
      <c r="H1450" s="8" t="n">
        <v>59.9</v>
      </c>
      <c r="I1450" s="8" t="n">
        <v>56.91</v>
      </c>
      <c r="J1450" s="8" t="n"/>
      <c r="K1450" s="7" t="inlineStr">
        <is>
          <t>SEM COTAÇÃO</t>
        </is>
      </c>
      <c r="L1450" s="8" t="n"/>
      <c r="M1450" s="12" t="n"/>
      <c r="N1450" s="7" t="inlineStr"/>
      <c r="O1450" s="7" t="inlineStr"/>
    </row>
    <row r="1451">
      <c r="A1451" s="7" t="n">
        <v>602161</v>
      </c>
      <c r="B1451" s="10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1" t="n">
        <v>1</v>
      </c>
      <c r="G1451" s="11" t="n">
        <v>1</v>
      </c>
      <c r="H1451" s="8" t="n">
        <v>59.9</v>
      </c>
      <c r="I1451" s="8" t="n">
        <v>56.91</v>
      </c>
      <c r="J1451" s="8" t="n"/>
      <c r="K1451" s="7" t="inlineStr">
        <is>
          <t>SEM COTAÇÃO</t>
        </is>
      </c>
      <c r="L1451" s="8" t="n"/>
      <c r="M1451" s="12" t="n"/>
      <c r="N1451" s="7" t="inlineStr"/>
      <c r="O1451" s="7" t="inlineStr"/>
    </row>
    <row r="1452">
      <c r="A1452" s="7" t="n">
        <v>638261</v>
      </c>
      <c r="B1452" s="10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1" t="n">
        <v>1</v>
      </c>
      <c r="G1452" s="11" t="n">
        <v>1</v>
      </c>
      <c r="H1452" s="8" t="n">
        <v>59.9</v>
      </c>
      <c r="I1452" s="8" t="n">
        <v>58.79</v>
      </c>
      <c r="J1452" s="8" t="n"/>
      <c r="K1452" s="7" t="inlineStr">
        <is>
          <t>SEM COTAÇÃO</t>
        </is>
      </c>
      <c r="L1452" s="8" t="n"/>
      <c r="M1452" s="12" t="n"/>
      <c r="N1452" s="7" t="inlineStr"/>
      <c r="O1452" s="7" t="inlineStr"/>
    </row>
    <row r="1453">
      <c r="A1453" s="7" t="n">
        <v>655871</v>
      </c>
      <c r="B1453" s="10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1" t="n">
        <v>1</v>
      </c>
      <c r="G1453" s="11" t="n">
        <v>1</v>
      </c>
      <c r="H1453" s="8" t="n">
        <v>59.9</v>
      </c>
      <c r="I1453" s="8" t="n">
        <v>56.91</v>
      </c>
      <c r="J1453" s="8" t="n"/>
      <c r="K1453" s="7" t="inlineStr">
        <is>
          <t>SEM COTAÇÃO</t>
        </is>
      </c>
      <c r="L1453" s="8" t="n"/>
      <c r="M1453" s="12" t="n"/>
      <c r="N1453" s="7" t="inlineStr"/>
      <c r="O1453" s="7" t="inlineStr"/>
    </row>
    <row r="1454">
      <c r="A1454" s="7" t="n">
        <v>539561</v>
      </c>
      <c r="B1454" s="10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1" t="n">
        <v>5</v>
      </c>
      <c r="G1454" s="11" t="n">
        <v>5</v>
      </c>
      <c r="H1454" s="8" t="n">
        <v>32.08</v>
      </c>
      <c r="I1454" s="8" t="n">
        <v>27.875</v>
      </c>
      <c r="J1454" s="8" t="n"/>
      <c r="K1454" s="7" t="inlineStr">
        <is>
          <t>SEM COTAÇÃO</t>
        </is>
      </c>
      <c r="L1454" s="8" t="n"/>
      <c r="M1454" s="12" t="n"/>
      <c r="N1454" s="7" t="inlineStr"/>
      <c r="O1454" s="7" t="inlineStr"/>
    </row>
    <row r="1455">
      <c r="A1455" s="7" t="n">
        <v>4621</v>
      </c>
      <c r="B1455" s="10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1" t="n">
        <v>1</v>
      </c>
      <c r="G1455" s="11" t="n">
        <v>1</v>
      </c>
      <c r="H1455" s="8" t="n">
        <v>18.035</v>
      </c>
      <c r="I1455" s="8" t="n">
        <v>16.73</v>
      </c>
      <c r="J1455" s="8" t="n"/>
      <c r="K1455" s="7" t="inlineStr">
        <is>
          <t>SEM COTAÇÃO</t>
        </is>
      </c>
      <c r="L1455" s="8" t="n"/>
      <c r="M1455" s="12" t="n"/>
      <c r="N1455" s="7" t="inlineStr"/>
      <c r="O1455" s="7" t="inlineStr"/>
    </row>
    <row r="1456">
      <c r="A1456" s="7" t="n">
        <v>417861</v>
      </c>
      <c r="B1456" s="10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1" t="n">
        <v>1</v>
      </c>
      <c r="G1456" s="11" t="n">
        <v>1</v>
      </c>
      <c r="H1456" s="8" t="n">
        <v>3.89</v>
      </c>
      <c r="I1456" s="8" t="n">
        <v>3.89</v>
      </c>
      <c r="J1456" s="8" t="n"/>
      <c r="K1456" s="7" t="inlineStr">
        <is>
          <t>SEM COTAÇÃO</t>
        </is>
      </c>
      <c r="L1456" s="8" t="n"/>
      <c r="M1456" s="12" t="n"/>
      <c r="N1456" s="7" t="inlineStr"/>
      <c r="O1456" s="7" t="inlineStr"/>
    </row>
    <row r="1457">
      <c r="A1457" s="7" t="n">
        <v>490121</v>
      </c>
      <c r="B1457" s="10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1" t="n">
        <v>4</v>
      </c>
      <c r="G1457" s="11" t="n">
        <v>4</v>
      </c>
      <c r="H1457" s="8" t="n">
        <v>1.65</v>
      </c>
      <c r="I1457" s="8" t="n">
        <v>1.65</v>
      </c>
      <c r="J1457" s="13" t="n">
        <v>1.65</v>
      </c>
      <c r="K1457" s="7" t="inlineStr">
        <is>
          <t>DIMEC</t>
        </is>
      </c>
      <c r="L1457" s="8" t="n">
        <v>1.65</v>
      </c>
      <c r="M1457" s="12">
        <f>L1457/H1457-1</f>
        <v/>
      </c>
      <c r="N1457" s="15" t="inlineStr">
        <is>
          <t>OK (≤ menor hist.)</t>
        </is>
      </c>
      <c r="O1457" s="7" t="inlineStr"/>
    </row>
    <row r="1458">
      <c r="A1458" s="7" t="n">
        <v>150061</v>
      </c>
      <c r="B1458" s="10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1" t="n">
        <v>1</v>
      </c>
      <c r="G1458" s="11" t="n">
        <v>1</v>
      </c>
      <c r="H1458" s="8" t="n">
        <v>26.56</v>
      </c>
      <c r="I1458" s="8" t="n">
        <v>26.56</v>
      </c>
      <c r="J1458" s="13" t="n">
        <v>28.96</v>
      </c>
      <c r="K1458" s="7" t="inlineStr">
        <is>
          <t>DIMEC</t>
        </is>
      </c>
      <c r="L1458" s="8" t="n">
        <v>28.96</v>
      </c>
      <c r="M1458" s="12">
        <f>L1458/H1458-1</f>
        <v/>
      </c>
      <c r="N1458" s="14" t="inlineStr">
        <is>
          <t>ACIMA +9.0%</t>
        </is>
      </c>
      <c r="O1458" s="7" t="inlineStr"/>
    </row>
    <row r="1459">
      <c r="A1459" s="7" t="n">
        <v>214</v>
      </c>
      <c r="B1459" s="10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1" t="n">
        <v>6</v>
      </c>
      <c r="G1459" s="11" t="n">
        <v>6</v>
      </c>
      <c r="H1459" s="8" t="n">
        <v>8.48</v>
      </c>
      <c r="I1459" s="8" t="n">
        <v>8.48</v>
      </c>
      <c r="J1459" s="13" t="n">
        <v>9.17</v>
      </c>
      <c r="K1459" s="7" t="inlineStr">
        <is>
          <t>DIMEC</t>
        </is>
      </c>
      <c r="L1459" s="8" t="n">
        <v>9.17</v>
      </c>
      <c r="M1459" s="12">
        <f>L1459/H1459-1</f>
        <v/>
      </c>
      <c r="N1459" s="14" t="inlineStr">
        <is>
          <t>ACIMA +8.1%</t>
        </is>
      </c>
      <c r="O1459" s="7" t="inlineStr"/>
    </row>
    <row r="1460">
      <c r="A1460" s="7" t="n">
        <v>634331</v>
      </c>
      <c r="B1460" s="10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1" t="n">
        <v>4</v>
      </c>
      <c r="G1460" s="11" t="n">
        <v>4</v>
      </c>
      <c r="H1460" s="8" t="n">
        <v>10.055</v>
      </c>
      <c r="I1460" s="8" t="n">
        <v>10.055</v>
      </c>
      <c r="J1460" s="8" t="n"/>
      <c r="K1460" s="7" t="inlineStr">
        <is>
          <t>SEM COTAÇÃO</t>
        </is>
      </c>
      <c r="L1460" s="8" t="n"/>
      <c r="M1460" s="12" t="n"/>
      <c r="N1460" s="7" t="inlineStr"/>
      <c r="O1460" s="7" t="inlineStr"/>
    </row>
    <row r="1461">
      <c r="A1461" s="7" t="n">
        <v>662011</v>
      </c>
      <c r="B1461" s="10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1" t="n">
        <v>2</v>
      </c>
      <c r="G1461" s="11" t="n">
        <v>2</v>
      </c>
      <c r="H1461" s="8" t="n">
        <v>27.95</v>
      </c>
      <c r="I1461" s="8" t="n">
        <v>25.3067</v>
      </c>
      <c r="J1461" s="8" t="n"/>
      <c r="K1461" s="7" t="inlineStr">
        <is>
          <t>SEM COTAÇÃO</t>
        </is>
      </c>
      <c r="L1461" s="8" t="n"/>
      <c r="M1461" s="12" t="n"/>
      <c r="N1461" s="7" t="inlineStr"/>
      <c r="O1461" s="7" t="inlineStr"/>
    </row>
    <row r="1462">
      <c r="A1462" s="7" t="n">
        <v>638271</v>
      </c>
      <c r="B1462" s="10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1" t="n">
        <v>1</v>
      </c>
      <c r="G1462" s="11" t="n">
        <v>1</v>
      </c>
      <c r="H1462" s="8" t="n">
        <v>51.21</v>
      </c>
      <c r="I1462" s="8" t="n">
        <v>51.21</v>
      </c>
      <c r="J1462" s="8" t="n"/>
      <c r="K1462" s="7" t="inlineStr">
        <is>
          <t>SEM COTAÇÃO</t>
        </is>
      </c>
      <c r="L1462" s="8" t="n"/>
      <c r="M1462" s="12" t="n"/>
      <c r="N1462" s="7" t="inlineStr"/>
      <c r="O1462" s="7" t="inlineStr"/>
    </row>
    <row r="1463">
      <c r="A1463" s="7" t="n">
        <v>222121</v>
      </c>
      <c r="B1463" s="10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1" t="n">
        <v>1</v>
      </c>
      <c r="G1463" s="11" t="n">
        <v>1</v>
      </c>
      <c r="H1463" s="8" t="n">
        <v>2.56</v>
      </c>
      <c r="I1463" s="8" t="n">
        <v>2.56</v>
      </c>
      <c r="J1463" s="13" t="n">
        <v>81</v>
      </c>
      <c r="K1463" s="7" t="inlineStr">
        <is>
          <t>DIMEC</t>
        </is>
      </c>
      <c r="L1463" s="8" t="n">
        <v>81</v>
      </c>
      <c r="M1463" s="12">
        <f>L1463/H1463-1</f>
        <v/>
      </c>
      <c r="N1463" s="14" t="inlineStr">
        <is>
          <t>ACIMA +3064.1%</t>
        </is>
      </c>
      <c r="O1463" s="7" t="inlineStr">
        <is>
          <t>DIMEC: conferir emb.</t>
        </is>
      </c>
    </row>
    <row r="1464">
      <c r="A1464" s="7" t="n">
        <v>664761</v>
      </c>
      <c r="B1464" s="10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1" t="n">
        <v>119</v>
      </c>
      <c r="G1464" s="11" t="n">
        <v>119</v>
      </c>
      <c r="H1464" s="8" t="n">
        <v>3.99</v>
      </c>
      <c r="I1464" s="8" t="n">
        <v>3.99</v>
      </c>
      <c r="J1464" s="8" t="n"/>
      <c r="K1464" s="7" t="inlineStr">
        <is>
          <t>SEM COTAÇÃO</t>
        </is>
      </c>
      <c r="L1464" s="8" t="n"/>
      <c r="M1464" s="12" t="n"/>
      <c r="N1464" s="7" t="inlineStr"/>
      <c r="O1464" s="7" t="inlineStr"/>
    </row>
    <row r="1465">
      <c r="A1465" s="7" t="n">
        <v>558021</v>
      </c>
      <c r="B1465" s="10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1" t="n">
        <v>1</v>
      </c>
      <c r="G1465" s="11" t="n">
        <v>1</v>
      </c>
      <c r="H1465" s="8" t="n"/>
      <c r="I1465" s="8" t="n"/>
      <c r="J1465" s="13" t="n">
        <v>17.91</v>
      </c>
      <c r="K1465" s="7" t="inlineStr">
        <is>
          <t>DIMEC</t>
        </is>
      </c>
      <c r="L1465" s="8" t="n">
        <v>17.91</v>
      </c>
      <c r="M1465" s="12" t="n"/>
      <c r="N1465" s="7" t="inlineStr">
        <is>
          <t>SEM HISTÓRICO</t>
        </is>
      </c>
      <c r="O1465" s="7" t="inlineStr"/>
    </row>
    <row r="1466">
      <c r="A1466" s="7" t="n">
        <v>625321</v>
      </c>
      <c r="B1466" s="10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1" t="n">
        <v>74</v>
      </c>
      <c r="G1466" s="11" t="n">
        <v>74</v>
      </c>
      <c r="H1466" s="8" t="n">
        <v>6.9818</v>
      </c>
      <c r="I1466" s="8" t="n">
        <v>3.9342</v>
      </c>
      <c r="J1466" s="8" t="n"/>
      <c r="K1466" s="7" t="inlineStr">
        <is>
          <t>SEM COTAÇÃO</t>
        </is>
      </c>
      <c r="L1466" s="8" t="n"/>
      <c r="M1466" s="12" t="n"/>
      <c r="N1466" s="7" t="inlineStr"/>
      <c r="O1466" s="7" t="inlineStr"/>
    </row>
    <row r="1467">
      <c r="A1467" s="7" t="n">
        <v>222681</v>
      </c>
      <c r="B1467" s="10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1" t="n">
        <v>1</v>
      </c>
      <c r="G1467" s="11" t="n">
        <v>1</v>
      </c>
      <c r="H1467" s="8" t="n">
        <v>5.535</v>
      </c>
      <c r="I1467" s="8" t="n">
        <v>4.76</v>
      </c>
      <c r="J1467" s="8" t="n"/>
      <c r="K1467" s="7" t="inlineStr">
        <is>
          <t>SEM COTAÇÃO</t>
        </is>
      </c>
      <c r="L1467" s="8" t="n"/>
      <c r="M1467" s="12" t="n"/>
      <c r="N1467" s="7" t="inlineStr"/>
      <c r="O1467" s="7" t="inlineStr"/>
    </row>
    <row r="1468">
      <c r="A1468" s="7" t="n">
        <v>221081</v>
      </c>
      <c r="B1468" s="10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1" t="n">
        <v>50</v>
      </c>
      <c r="G1468" s="11" t="n">
        <v>50</v>
      </c>
      <c r="H1468" s="8" t="n">
        <v>2.9836</v>
      </c>
      <c r="I1468" s="8" t="n">
        <v>1.2221</v>
      </c>
      <c r="J1468" s="8" t="n"/>
      <c r="K1468" s="7" t="inlineStr">
        <is>
          <t>SEM COTAÇÃO</t>
        </is>
      </c>
      <c r="L1468" s="8" t="n"/>
      <c r="M1468" s="12" t="n"/>
      <c r="N1468" s="7" t="inlineStr"/>
      <c r="O1468" s="7" t="inlineStr"/>
    </row>
    <row r="1469">
      <c r="A1469" s="7" t="n">
        <v>222661</v>
      </c>
      <c r="B1469" s="10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1" t="n">
        <v>26</v>
      </c>
      <c r="G1469" s="11" t="n">
        <v>26</v>
      </c>
      <c r="H1469" s="8" t="n">
        <v>6.7696</v>
      </c>
      <c r="I1469" s="8" t="n">
        <v>5.805</v>
      </c>
      <c r="J1469" s="8" t="n"/>
      <c r="K1469" s="7" t="inlineStr">
        <is>
          <t>SEM COTAÇÃO</t>
        </is>
      </c>
      <c r="L1469" s="8" t="n"/>
      <c r="M1469" s="12" t="n"/>
      <c r="N1469" s="7" t="inlineStr"/>
      <c r="O1469" s="7" t="inlineStr"/>
    </row>
    <row r="1470">
      <c r="A1470" s="7" t="n">
        <v>35003</v>
      </c>
      <c r="B1470" s="10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1" t="n">
        <v>2</v>
      </c>
      <c r="G1470" s="11" t="n">
        <v>2</v>
      </c>
      <c r="H1470" s="8" t="n">
        <v>15.61</v>
      </c>
      <c r="I1470" s="8" t="n">
        <v>15.61</v>
      </c>
      <c r="J1470" s="8" t="n"/>
      <c r="K1470" s="7" t="inlineStr">
        <is>
          <t>SEM COTAÇÃO</t>
        </is>
      </c>
      <c r="L1470" s="8" t="n"/>
      <c r="M1470" s="12" t="n"/>
      <c r="N1470" s="7" t="inlineStr"/>
      <c r="O1470" s="7" t="inlineStr"/>
    </row>
    <row r="1471">
      <c r="A1471" s="7" t="n">
        <v>627241</v>
      </c>
      <c r="B1471" s="10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1" t="n">
        <v>1</v>
      </c>
      <c r="G1471" s="11" t="n">
        <v>1</v>
      </c>
      <c r="H1471" s="8" t="n">
        <v>19.95</v>
      </c>
      <c r="I1471" s="8" t="n">
        <v>19.95</v>
      </c>
      <c r="J1471" s="8" t="n"/>
      <c r="K1471" s="7" t="inlineStr">
        <is>
          <t>SEM COTAÇÃO</t>
        </is>
      </c>
      <c r="L1471" s="8" t="n"/>
      <c r="M1471" s="12" t="n"/>
      <c r="N1471" s="7" t="inlineStr"/>
      <c r="O1471" s="7" t="inlineStr"/>
    </row>
    <row r="1472">
      <c r="A1472" s="7" t="n">
        <v>607311</v>
      </c>
      <c r="B1472" s="10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1" t="n">
        <v>10</v>
      </c>
      <c r="G1472" s="11" t="n">
        <v>10</v>
      </c>
      <c r="H1472" s="8" t="n">
        <v>2.9835</v>
      </c>
      <c r="I1472" s="8" t="n">
        <v>2.6576</v>
      </c>
      <c r="J1472" s="8" t="n"/>
      <c r="K1472" s="7" t="inlineStr">
        <is>
          <t>SEM COTAÇÃO</t>
        </is>
      </c>
      <c r="L1472" s="8" t="n"/>
      <c r="M1472" s="12" t="n"/>
      <c r="N1472" s="7" t="inlineStr"/>
      <c r="O1472" s="7" t="inlineStr"/>
    </row>
    <row r="1473">
      <c r="A1473" s="7" t="n">
        <v>613161</v>
      </c>
      <c r="B1473" s="10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1" t="n">
        <v>1</v>
      </c>
      <c r="G1473" s="11" t="n">
        <v>1</v>
      </c>
      <c r="H1473" s="8" t="n">
        <v>8.26</v>
      </c>
      <c r="I1473" s="8" t="n">
        <v>8.26</v>
      </c>
      <c r="J1473" s="8" t="n"/>
      <c r="K1473" s="7" t="inlineStr">
        <is>
          <t>SEM COTAÇÃO</t>
        </is>
      </c>
      <c r="L1473" s="8" t="n"/>
      <c r="M1473" s="12" t="n"/>
      <c r="N1473" s="7" t="inlineStr"/>
      <c r="O1473" s="7" t="inlineStr"/>
    </row>
    <row r="1474">
      <c r="A1474" s="7" t="n">
        <v>633391</v>
      </c>
      <c r="B1474" s="10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1" t="n">
        <v>6</v>
      </c>
      <c r="G1474" s="11" t="n">
        <v>6</v>
      </c>
      <c r="H1474" s="8" t="n">
        <v>3.25</v>
      </c>
      <c r="I1474" s="8" t="n">
        <v>3.25</v>
      </c>
      <c r="J1474" s="8" t="n"/>
      <c r="K1474" s="7" t="inlineStr">
        <is>
          <t>SEM COTAÇÃO</t>
        </is>
      </c>
      <c r="L1474" s="8" t="n"/>
      <c r="M1474" s="12" t="n"/>
      <c r="N1474" s="7" t="inlineStr"/>
      <c r="O1474" s="7" t="inlineStr"/>
    </row>
    <row r="1475">
      <c r="A1475" s="7" t="n">
        <v>661791</v>
      </c>
      <c r="B1475" s="10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1" t="n">
        <v>1</v>
      </c>
      <c r="G1475" s="11" t="n">
        <v>1</v>
      </c>
      <c r="H1475" s="8" t="n">
        <v>2.7367</v>
      </c>
      <c r="I1475" s="8" t="n">
        <v>2.7367</v>
      </c>
      <c r="J1475" s="8" t="n"/>
      <c r="K1475" s="7" t="inlineStr">
        <is>
          <t>SEM COTAÇÃO</t>
        </is>
      </c>
      <c r="L1475" s="8" t="n"/>
      <c r="M1475" s="12" t="n"/>
      <c r="N1475" s="7" t="inlineStr"/>
      <c r="O1475" s="7" t="inlineStr"/>
    </row>
    <row r="1476">
      <c r="A1476" s="7" t="n">
        <v>607301</v>
      </c>
      <c r="B1476" s="10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1" t="n">
        <v>4</v>
      </c>
      <c r="G1476" s="11" t="n">
        <v>4</v>
      </c>
      <c r="H1476" s="8" t="n">
        <v>3.2809</v>
      </c>
      <c r="I1476" s="8" t="n">
        <v>3.088</v>
      </c>
      <c r="J1476" s="8" t="n"/>
      <c r="K1476" s="7" t="inlineStr">
        <is>
          <t>SEM COTAÇÃO</t>
        </is>
      </c>
      <c r="L1476" s="8" t="n"/>
      <c r="M1476" s="12" t="n"/>
      <c r="N1476" s="7" t="inlineStr"/>
      <c r="O1476" s="7" t="inlineStr"/>
    </row>
    <row r="1477">
      <c r="A1477" s="7" t="n">
        <v>596621</v>
      </c>
      <c r="B1477" s="10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1" t="n">
        <v>29</v>
      </c>
      <c r="G1477" s="11" t="n">
        <v>29</v>
      </c>
      <c r="H1477" s="8" t="n">
        <v>2.9835</v>
      </c>
      <c r="I1477" s="8" t="n">
        <v>2.6576</v>
      </c>
      <c r="J1477" s="8" t="n"/>
      <c r="K1477" s="7" t="inlineStr">
        <is>
          <t>SEM COTAÇÃO</t>
        </is>
      </c>
      <c r="L1477" s="8" t="n"/>
      <c r="M1477" s="12" t="n"/>
      <c r="N1477" s="7" t="inlineStr"/>
      <c r="O1477" s="7" t="inlineStr"/>
    </row>
    <row r="1478">
      <c r="A1478" s="7" t="n">
        <v>590921</v>
      </c>
      <c r="B1478" s="10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1" t="n">
        <v>4</v>
      </c>
      <c r="G1478" s="11" t="n">
        <v>4</v>
      </c>
      <c r="H1478" s="8" t="n">
        <v>4.75</v>
      </c>
      <c r="I1478" s="8" t="n">
        <v>4.75</v>
      </c>
      <c r="J1478" s="8" t="n"/>
      <c r="K1478" s="7" t="inlineStr">
        <is>
          <t>SEM COTAÇÃO</t>
        </is>
      </c>
      <c r="L1478" s="8" t="n"/>
      <c r="M1478" s="12" t="n"/>
      <c r="N1478" s="7" t="inlineStr"/>
      <c r="O1478" s="7" t="inlineStr"/>
    </row>
    <row r="1479">
      <c r="A1479" s="7" t="n">
        <v>124261</v>
      </c>
      <c r="B1479" s="10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1" t="n">
        <v>1</v>
      </c>
      <c r="G1479" s="11" t="n">
        <v>1</v>
      </c>
      <c r="H1479" s="8" t="n">
        <v>32.61</v>
      </c>
      <c r="I1479" s="8" t="n">
        <v>31.18</v>
      </c>
      <c r="J1479" s="8" t="n"/>
      <c r="K1479" s="7" t="inlineStr">
        <is>
          <t>SEM COTAÇÃO</t>
        </is>
      </c>
      <c r="L1479" s="8" t="n"/>
      <c r="M1479" s="12" t="n"/>
      <c r="N1479" s="7" t="inlineStr"/>
      <c r="O1479" s="7" t="inlineStr"/>
    </row>
    <row r="1480">
      <c r="A1480" s="7" t="n">
        <v>662711</v>
      </c>
      <c r="B1480" s="10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1" t="n">
        <v>1</v>
      </c>
      <c r="G1480" s="11" t="n">
        <v>1</v>
      </c>
      <c r="H1480" s="8" t="n">
        <v>95.84</v>
      </c>
      <c r="I1480" s="8" t="n">
        <v>91.05</v>
      </c>
      <c r="J1480" s="8" t="n"/>
      <c r="K1480" s="7" t="inlineStr">
        <is>
          <t>SEM COTAÇÃO</t>
        </is>
      </c>
      <c r="L1480" s="8" t="n"/>
      <c r="M1480" s="12" t="n"/>
      <c r="N1480" s="7" t="inlineStr"/>
      <c r="O1480" s="7" t="inlineStr"/>
    </row>
    <row r="1481">
      <c r="A1481" s="7" t="n">
        <v>134841</v>
      </c>
      <c r="B1481" s="10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1" t="n">
        <v>1</v>
      </c>
      <c r="G1481" s="11" t="n">
        <v>1</v>
      </c>
      <c r="H1481" s="8" t="n">
        <v>41.03</v>
      </c>
      <c r="I1481" s="8" t="n">
        <v>26.9</v>
      </c>
      <c r="J1481" s="8" t="n"/>
      <c r="K1481" s="7" t="inlineStr">
        <is>
          <t>SEM COTAÇÃO</t>
        </is>
      </c>
      <c r="L1481" s="8" t="n"/>
      <c r="M1481" s="12" t="n"/>
      <c r="N1481" s="7" t="inlineStr"/>
      <c r="O1481" s="7" t="inlineStr"/>
    </row>
    <row r="1482">
      <c r="A1482" s="7" t="n">
        <v>229241</v>
      </c>
      <c r="B1482" s="10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1" t="n">
        <v>1</v>
      </c>
      <c r="G1482" s="11" t="n">
        <v>1</v>
      </c>
      <c r="H1482" s="8" t="n">
        <v>4.19</v>
      </c>
      <c r="I1482" s="8" t="n">
        <v>4.19</v>
      </c>
      <c r="J1482" s="8" t="n"/>
      <c r="K1482" s="7" t="inlineStr">
        <is>
          <t>SEM COTAÇÃO</t>
        </is>
      </c>
      <c r="L1482" s="8" t="n"/>
      <c r="M1482" s="12" t="n"/>
      <c r="N1482" s="7" t="inlineStr"/>
      <c r="O1482" s="7" t="inlineStr"/>
    </row>
    <row r="1483">
      <c r="A1483" s="7" t="n">
        <v>526021</v>
      </c>
      <c r="B1483" s="10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1" t="n">
        <v>23</v>
      </c>
      <c r="G1483" s="11" t="n">
        <v>23</v>
      </c>
      <c r="H1483" s="8" t="n">
        <v>2.28</v>
      </c>
      <c r="I1483" s="8" t="n">
        <v>2.19</v>
      </c>
      <c r="J1483" s="13" t="n">
        <v>3.23</v>
      </c>
      <c r="K1483" s="7" t="inlineStr">
        <is>
          <t>DIMEC</t>
        </is>
      </c>
      <c r="L1483" s="8" t="n">
        <v>3.23</v>
      </c>
      <c r="M1483" s="12">
        <f>L1483/H1483-1</f>
        <v/>
      </c>
      <c r="N1483" s="14" t="inlineStr">
        <is>
          <t>ACIMA +41.7%</t>
        </is>
      </c>
      <c r="O1483" s="7" t="inlineStr"/>
    </row>
    <row r="1484">
      <c r="A1484" s="7" t="n">
        <v>401</v>
      </c>
      <c r="B1484" s="10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1" t="n">
        <v>1</v>
      </c>
      <c r="G1484" s="11" t="n">
        <v>1</v>
      </c>
      <c r="H1484" s="8" t="n">
        <v>7.04</v>
      </c>
      <c r="I1484" s="8" t="n">
        <v>7.04</v>
      </c>
      <c r="J1484" s="8" t="n"/>
      <c r="K1484" s="7" t="inlineStr">
        <is>
          <t>SEM COTAÇÃO</t>
        </is>
      </c>
      <c r="L1484" s="8" t="n"/>
      <c r="M1484" s="12" t="n"/>
      <c r="N1484" s="7" t="inlineStr"/>
      <c r="O1484" s="7" t="inlineStr"/>
    </row>
    <row r="1485">
      <c r="A1485" s="7" t="n">
        <v>15603</v>
      </c>
      <c r="B1485" s="10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1" t="n">
        <v>5</v>
      </c>
      <c r="G1485" s="11" t="n">
        <v>5</v>
      </c>
      <c r="H1485" s="8" t="n">
        <v>0.91</v>
      </c>
      <c r="I1485" s="8" t="n">
        <v>0.91</v>
      </c>
      <c r="J1485" s="8" t="n"/>
      <c r="K1485" s="7" t="inlineStr">
        <is>
          <t>SEM COTAÇÃO</t>
        </is>
      </c>
      <c r="L1485" s="8" t="n"/>
      <c r="M1485" s="12" t="n"/>
      <c r="N1485" s="7" t="inlineStr"/>
      <c r="O1485" s="7" t="inlineStr"/>
    </row>
    <row r="1486">
      <c r="A1486" s="7" t="n">
        <v>15503</v>
      </c>
      <c r="B1486" s="10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1" t="n">
        <v>5</v>
      </c>
      <c r="G1486" s="11" t="n">
        <v>5</v>
      </c>
      <c r="H1486" s="8" t="n">
        <v>2.84</v>
      </c>
      <c r="I1486" s="8" t="n">
        <v>2.84</v>
      </c>
      <c r="J1486" s="8" t="n"/>
      <c r="K1486" s="7" t="inlineStr">
        <is>
          <t>SEM COTAÇÃO</t>
        </is>
      </c>
      <c r="L1486" s="8" t="n"/>
      <c r="M1486" s="12" t="n"/>
      <c r="N1486" s="7" t="inlineStr"/>
      <c r="O1486" s="7" t="inlineStr"/>
    </row>
    <row r="1487">
      <c r="A1487" s="7" t="n">
        <v>613191</v>
      </c>
      <c r="B1487" s="10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1" t="n">
        <v>10</v>
      </c>
      <c r="G1487" s="11" t="n">
        <v>10</v>
      </c>
      <c r="H1487" s="8" t="n">
        <v>1.32</v>
      </c>
      <c r="I1487" s="8" t="n">
        <v>1.28</v>
      </c>
      <c r="J1487" s="8" t="n"/>
      <c r="K1487" s="7" t="inlineStr">
        <is>
          <t>SEM COTAÇÃO</t>
        </is>
      </c>
      <c r="L1487" s="8" t="n"/>
      <c r="M1487" s="12" t="n"/>
      <c r="N1487" s="7" t="inlineStr"/>
      <c r="O1487" s="7" t="inlineStr"/>
    </row>
    <row r="1488">
      <c r="A1488" s="7" t="n">
        <v>599641</v>
      </c>
      <c r="B1488" s="10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1" t="n">
        <v>23</v>
      </c>
      <c r="G1488" s="11" t="n">
        <v>23</v>
      </c>
      <c r="H1488" s="8" t="n">
        <v>1.32</v>
      </c>
      <c r="I1488" s="8" t="n">
        <v>1.28</v>
      </c>
      <c r="J1488" s="8" t="n"/>
      <c r="K1488" s="7" t="inlineStr">
        <is>
          <t>SEM COTAÇÃO</t>
        </is>
      </c>
      <c r="L1488" s="8" t="n"/>
      <c r="M1488" s="12" t="n"/>
      <c r="N1488" s="7" t="inlineStr"/>
      <c r="O1488" s="7" t="inlineStr"/>
    </row>
    <row r="1489">
      <c r="A1489" s="7" t="n">
        <v>613091</v>
      </c>
      <c r="B1489" s="10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1" t="n">
        <v>6</v>
      </c>
      <c r="G1489" s="11" t="n">
        <v>6</v>
      </c>
      <c r="H1489" s="8" t="n">
        <v>1.32</v>
      </c>
      <c r="I1489" s="8" t="n">
        <v>1.28</v>
      </c>
      <c r="J1489" s="8" t="n"/>
      <c r="K1489" s="7" t="inlineStr">
        <is>
          <t>SEM COTAÇÃO</t>
        </is>
      </c>
      <c r="L1489" s="8" t="n"/>
      <c r="M1489" s="12" t="n"/>
      <c r="N1489" s="7" t="inlineStr"/>
      <c r="O1489" s="7" t="inlineStr"/>
    </row>
    <row r="1490">
      <c r="A1490" s="7" t="n">
        <v>613101</v>
      </c>
      <c r="B1490" s="10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1" t="n">
        <v>10</v>
      </c>
      <c r="G1490" s="11" t="n">
        <v>10</v>
      </c>
      <c r="H1490" s="8" t="n">
        <v>0.92</v>
      </c>
      <c r="I1490" s="8" t="n">
        <v>0.92</v>
      </c>
      <c r="J1490" s="8" t="n"/>
      <c r="K1490" s="7" t="inlineStr">
        <is>
          <t>SEM COTAÇÃO</t>
        </is>
      </c>
      <c r="L1490" s="8" t="n"/>
      <c r="M1490" s="12" t="n"/>
      <c r="N1490" s="7" t="inlineStr"/>
      <c r="O1490" s="7" t="inlineStr"/>
    </row>
    <row r="1491">
      <c r="A1491" s="7" t="n">
        <v>613111</v>
      </c>
      <c r="B1491" s="10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1" t="n">
        <v>6</v>
      </c>
      <c r="G1491" s="11" t="n">
        <v>6</v>
      </c>
      <c r="H1491" s="8" t="n">
        <v>0.92</v>
      </c>
      <c r="I1491" s="8" t="n">
        <v>0.92</v>
      </c>
      <c r="J1491" s="8" t="n"/>
      <c r="K1491" s="7" t="inlineStr">
        <is>
          <t>SEM COTAÇÃO</t>
        </is>
      </c>
      <c r="L1491" s="8" t="n"/>
      <c r="M1491" s="12" t="n"/>
      <c r="N1491" s="7" t="inlineStr"/>
      <c r="O1491" s="7" t="inlineStr"/>
    </row>
    <row r="1492">
      <c r="A1492" s="7" t="n">
        <v>578361</v>
      </c>
      <c r="B1492" s="10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1" t="n">
        <v>1</v>
      </c>
      <c r="G1492" s="11" t="n">
        <v>1</v>
      </c>
      <c r="H1492" s="8" t="n">
        <v>2.84</v>
      </c>
      <c r="I1492" s="8" t="n">
        <v>2.84</v>
      </c>
      <c r="J1492" s="8" t="n"/>
      <c r="K1492" s="7" t="inlineStr">
        <is>
          <t>SEM COTAÇÃO</t>
        </is>
      </c>
      <c r="L1492" s="8" t="n"/>
      <c r="M1492" s="12" t="n"/>
      <c r="N1492" s="7" t="inlineStr"/>
      <c r="O1492" s="7" t="inlineStr"/>
    </row>
    <row r="1493">
      <c r="A1493" s="7" t="n">
        <v>578401</v>
      </c>
      <c r="B1493" s="10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1" t="n">
        <v>4</v>
      </c>
      <c r="G1493" s="11" t="n">
        <v>4</v>
      </c>
      <c r="H1493" s="8" t="n">
        <v>3.15</v>
      </c>
      <c r="I1493" s="8" t="n">
        <v>3.15</v>
      </c>
      <c r="J1493" s="8" t="n"/>
      <c r="K1493" s="7" t="inlineStr">
        <is>
          <t>SEM COTAÇÃO</t>
        </is>
      </c>
      <c r="L1493" s="8" t="n"/>
      <c r="M1493" s="12" t="n"/>
      <c r="N1493" s="7" t="inlineStr"/>
      <c r="O1493" s="7" t="inlineStr"/>
    </row>
    <row r="1494">
      <c r="A1494" s="7" t="n">
        <v>599651</v>
      </c>
      <c r="B1494" s="10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1" t="n">
        <v>7</v>
      </c>
      <c r="G1494" s="11" t="n">
        <v>7</v>
      </c>
      <c r="H1494" s="8" t="n">
        <v>3.15</v>
      </c>
      <c r="I1494" s="8" t="n">
        <v>3.15</v>
      </c>
      <c r="J1494" s="8" t="n"/>
      <c r="K1494" s="7" t="inlineStr">
        <is>
          <t>SEM COTAÇÃO</t>
        </is>
      </c>
      <c r="L1494" s="8" t="n"/>
      <c r="M1494" s="12" t="n"/>
      <c r="N1494" s="7" t="inlineStr"/>
      <c r="O1494" s="7" t="inlineStr"/>
    </row>
    <row r="1495">
      <c r="A1495" s="7" t="n">
        <v>2903</v>
      </c>
      <c r="B1495" s="10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1" t="n">
        <v>9</v>
      </c>
      <c r="G1495" s="11" t="n">
        <v>9</v>
      </c>
      <c r="H1495" s="8" t="n">
        <v>14.53</v>
      </c>
      <c r="I1495" s="8" t="n">
        <v>14.53</v>
      </c>
      <c r="J1495" s="8" t="n"/>
      <c r="K1495" s="7" t="inlineStr">
        <is>
          <t>SEM COTAÇÃO</t>
        </is>
      </c>
      <c r="L1495" s="8" t="n"/>
      <c r="M1495" s="12" t="n"/>
      <c r="N1495" s="7" t="inlineStr"/>
      <c r="O1495" s="7" t="inlineStr"/>
    </row>
    <row r="1496">
      <c r="A1496" s="7" t="n">
        <v>13361</v>
      </c>
      <c r="B1496" s="10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1" t="n">
        <v>21</v>
      </c>
      <c r="G1496" s="11" t="n">
        <v>413</v>
      </c>
      <c r="H1496" s="8" t="n">
        <v>0.5885</v>
      </c>
      <c r="I1496" s="8" t="n">
        <v>0.5855</v>
      </c>
      <c r="J1496" s="13" t="n">
        <v>0.606</v>
      </c>
      <c r="K1496" s="7" t="inlineStr">
        <is>
          <t>DIMEC</t>
        </is>
      </c>
      <c r="L1496" s="8" t="n">
        <v>0.606</v>
      </c>
      <c r="M1496" s="12">
        <f>L1496/H1496-1</f>
        <v/>
      </c>
      <c r="N1496" s="14" t="inlineStr">
        <is>
          <t>ACIMA +3.0%</t>
        </is>
      </c>
      <c r="O1496" s="7" t="inlineStr">
        <is>
          <t>DIMEC: 1 emb = 20 un</t>
        </is>
      </c>
    </row>
    <row r="1497">
      <c r="A1497" s="7" t="n">
        <v>658241</v>
      </c>
      <c r="B1497" s="10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1" t="n">
        <v>1</v>
      </c>
      <c r="G1497" s="11" t="n">
        <v>1</v>
      </c>
      <c r="H1497" s="8" t="n">
        <v>18.03</v>
      </c>
      <c r="I1497" s="8" t="n">
        <v>18.03</v>
      </c>
      <c r="J1497" s="8" t="n"/>
      <c r="K1497" s="7" t="inlineStr">
        <is>
          <t>SEM COTAÇÃO</t>
        </is>
      </c>
      <c r="L1497" s="8" t="n"/>
      <c r="M1497" s="12" t="n"/>
      <c r="N1497" s="7" t="inlineStr"/>
      <c r="O1497" s="7" t="inlineStr"/>
    </row>
    <row r="1498">
      <c r="A1498" s="7" t="n">
        <v>658251</v>
      </c>
      <c r="B1498" s="10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1" t="n">
        <v>1</v>
      </c>
      <c r="G1498" s="11" t="n">
        <v>1</v>
      </c>
      <c r="H1498" s="8" t="n">
        <v>8.81</v>
      </c>
      <c r="I1498" s="8" t="n">
        <v>8.81</v>
      </c>
      <c r="J1498" s="8" t="n"/>
      <c r="K1498" s="7" t="inlineStr">
        <is>
          <t>SEM COTAÇÃO</t>
        </is>
      </c>
      <c r="L1498" s="8" t="n"/>
      <c r="M1498" s="12" t="n"/>
      <c r="N1498" s="7" t="inlineStr"/>
      <c r="O1498" s="7" t="inlineStr"/>
    </row>
    <row r="1499">
      <c r="A1499" s="7" t="n">
        <v>664601</v>
      </c>
      <c r="B1499" s="10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1" t="n">
        <v>1</v>
      </c>
      <c r="G1499" s="11" t="n">
        <v>1</v>
      </c>
      <c r="H1499" s="8" t="n">
        <v>9.66</v>
      </c>
      <c r="I1499" s="8" t="n">
        <v>9.66</v>
      </c>
      <c r="J1499" s="8" t="n"/>
      <c r="K1499" s="7" t="inlineStr">
        <is>
          <t>SEM COTAÇÃO</t>
        </is>
      </c>
      <c r="L1499" s="8" t="n"/>
      <c r="M1499" s="12" t="n"/>
      <c r="N1499" s="7" t="inlineStr"/>
      <c r="O1499" s="7" t="inlineStr"/>
    </row>
    <row r="1500">
      <c r="A1500" s="7" t="n">
        <v>664611</v>
      </c>
      <c r="B1500" s="10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1" t="n">
        <v>1</v>
      </c>
      <c r="G1500" s="11" t="n">
        <v>1</v>
      </c>
      <c r="H1500" s="8" t="n">
        <v>8.81</v>
      </c>
      <c r="I1500" s="8" t="n">
        <v>8.81</v>
      </c>
      <c r="J1500" s="8" t="n"/>
      <c r="K1500" s="7" t="inlineStr">
        <is>
          <t>SEM COTAÇÃO</t>
        </is>
      </c>
      <c r="L1500" s="8" t="n"/>
      <c r="M1500" s="12" t="n"/>
      <c r="N1500" s="7" t="inlineStr"/>
      <c r="O1500" s="7" t="inlineStr"/>
    </row>
    <row r="1501">
      <c r="A1501" s="7" t="n">
        <v>664631</v>
      </c>
      <c r="B1501" s="10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1" t="n">
        <v>1</v>
      </c>
      <c r="G1501" s="11" t="n">
        <v>1</v>
      </c>
      <c r="H1501" s="8" t="n">
        <v>9.44</v>
      </c>
      <c r="I1501" s="8" t="n">
        <v>9.44</v>
      </c>
      <c r="J1501" s="8" t="n"/>
      <c r="K1501" s="7" t="inlineStr">
        <is>
          <t>SEM COTAÇÃO</t>
        </is>
      </c>
      <c r="L1501" s="8" t="n"/>
      <c r="M1501" s="12" t="n"/>
      <c r="N1501" s="7" t="inlineStr"/>
      <c r="O1501" s="7" t="inlineStr"/>
    </row>
    <row r="1502">
      <c r="A1502" s="7" t="n">
        <v>628961</v>
      </c>
      <c r="B1502" s="10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1" t="n">
        <v>1</v>
      </c>
      <c r="G1502" s="11" t="n">
        <v>1</v>
      </c>
      <c r="H1502" s="8" t="n">
        <v>23.14</v>
      </c>
      <c r="I1502" s="8" t="n">
        <v>23.14</v>
      </c>
      <c r="J1502" s="8" t="n"/>
      <c r="K1502" s="7" t="inlineStr">
        <is>
          <t>SEM COTAÇÃO</t>
        </is>
      </c>
      <c r="L1502" s="8" t="n"/>
      <c r="M1502" s="12" t="n"/>
      <c r="N1502" s="7" t="inlineStr"/>
      <c r="O1502" s="7" t="inlineStr"/>
    </row>
    <row r="1503">
      <c r="A1503" s="7" t="n">
        <v>648681</v>
      </c>
      <c r="B1503" s="10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1" t="n">
        <v>2</v>
      </c>
      <c r="G1503" s="11" t="n">
        <v>2</v>
      </c>
      <c r="H1503" s="8" t="n">
        <v>15.7867</v>
      </c>
      <c r="I1503" s="8" t="n">
        <v>15.7867</v>
      </c>
      <c r="J1503" s="8" t="n"/>
      <c r="K1503" s="7" t="inlineStr">
        <is>
          <t>SEM COTAÇÃO</t>
        </is>
      </c>
      <c r="L1503" s="8" t="n"/>
      <c r="M1503" s="12" t="n"/>
      <c r="N1503" s="7" t="inlineStr"/>
      <c r="O1503" s="7" t="inlineStr"/>
    </row>
    <row r="1504">
      <c r="A1504" s="7" t="n">
        <v>625101</v>
      </c>
      <c r="B1504" s="10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1" t="n">
        <v>1</v>
      </c>
      <c r="G1504" s="11" t="n">
        <v>1</v>
      </c>
      <c r="H1504" s="8" t="n">
        <v>16.7</v>
      </c>
      <c r="I1504" s="8" t="n">
        <v>16.7</v>
      </c>
      <c r="J1504" s="8" t="n"/>
      <c r="K1504" s="7" t="inlineStr">
        <is>
          <t>SEM COTAÇÃO</t>
        </is>
      </c>
      <c r="L1504" s="8" t="n"/>
      <c r="M1504" s="12" t="n"/>
      <c r="N1504" s="7" t="inlineStr"/>
      <c r="O1504" s="7" t="inlineStr"/>
    </row>
    <row r="1505">
      <c r="A1505" s="7" t="n">
        <v>621661</v>
      </c>
      <c r="B1505" s="10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1" t="n">
        <v>5</v>
      </c>
      <c r="G1505" s="11" t="n">
        <v>5</v>
      </c>
      <c r="H1505" s="8" t="n">
        <v>14.6467</v>
      </c>
      <c r="I1505" s="8" t="n">
        <v>13.7525</v>
      </c>
      <c r="J1505" s="8" t="n"/>
      <c r="K1505" s="7" t="inlineStr">
        <is>
          <t>SEM COTAÇÃO</t>
        </is>
      </c>
      <c r="L1505" s="8" t="n"/>
      <c r="M1505" s="12" t="n"/>
      <c r="N1505" s="7" t="inlineStr"/>
      <c r="O1505" s="7" t="inlineStr"/>
    </row>
    <row r="1506">
      <c r="A1506" s="7" t="n">
        <v>631641</v>
      </c>
      <c r="B1506" s="10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1" t="n">
        <v>3</v>
      </c>
      <c r="G1506" s="11" t="n">
        <v>3</v>
      </c>
      <c r="H1506" s="8" t="n">
        <v>10.035</v>
      </c>
      <c r="I1506" s="8" t="n">
        <v>10.035</v>
      </c>
      <c r="J1506" s="8" t="n"/>
      <c r="K1506" s="7" t="inlineStr">
        <is>
          <t>SEM COTAÇÃO</t>
        </is>
      </c>
      <c r="L1506" s="8" t="n"/>
      <c r="M1506" s="12" t="n"/>
      <c r="N1506" s="7" t="inlineStr"/>
      <c r="O1506" s="7" t="inlineStr"/>
    </row>
    <row r="1507">
      <c r="A1507" s="7" t="n">
        <v>621701</v>
      </c>
      <c r="B1507" s="10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1" t="n">
        <v>2</v>
      </c>
      <c r="G1507" s="11" t="n">
        <v>2</v>
      </c>
      <c r="H1507" s="8" t="n">
        <v>12.1817</v>
      </c>
      <c r="I1507" s="8" t="n">
        <v>12.1817</v>
      </c>
      <c r="J1507" s="8" t="n"/>
      <c r="K1507" s="7" t="inlineStr">
        <is>
          <t>SEM COTAÇÃO</t>
        </is>
      </c>
      <c r="L1507" s="8" t="n"/>
      <c r="M1507" s="12" t="n"/>
      <c r="N1507" s="7" t="inlineStr"/>
      <c r="O1507" s="7" t="inlineStr"/>
    </row>
    <row r="1508">
      <c r="A1508" s="7" t="n">
        <v>629411</v>
      </c>
      <c r="B1508" s="10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1" t="n">
        <v>1</v>
      </c>
      <c r="G1508" s="11" t="n">
        <v>1</v>
      </c>
      <c r="H1508" s="8" t="n">
        <v>9.710000000000001</v>
      </c>
      <c r="I1508" s="8" t="n">
        <v>9.710000000000001</v>
      </c>
      <c r="J1508" s="8" t="n"/>
      <c r="K1508" s="7" t="inlineStr">
        <is>
          <t>SEM COTAÇÃO</t>
        </is>
      </c>
      <c r="L1508" s="8" t="n"/>
      <c r="M1508" s="12" t="n"/>
      <c r="N1508" s="7" t="inlineStr"/>
      <c r="O1508" s="7" t="inlineStr"/>
    </row>
    <row r="1509">
      <c r="A1509" s="7" t="n">
        <v>648611</v>
      </c>
      <c r="B1509" s="10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1" t="n">
        <v>1</v>
      </c>
      <c r="G1509" s="11" t="n">
        <v>1</v>
      </c>
      <c r="H1509" s="8" t="n">
        <v>22.62</v>
      </c>
      <c r="I1509" s="8" t="n">
        <v>22.62</v>
      </c>
      <c r="J1509" s="8" t="n"/>
      <c r="K1509" s="7" t="inlineStr">
        <is>
          <t>SEM COTAÇÃO</t>
        </is>
      </c>
      <c r="L1509" s="8" t="n"/>
      <c r="M1509" s="12" t="n"/>
      <c r="N1509" s="7" t="inlineStr"/>
      <c r="O1509" s="7" t="inlineStr"/>
    </row>
    <row r="1510">
      <c r="A1510" s="7" t="n">
        <v>648581</v>
      </c>
      <c r="B1510" s="10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1" t="n">
        <v>1</v>
      </c>
      <c r="G1510" s="11" t="n">
        <v>1</v>
      </c>
      <c r="H1510" s="8" t="n">
        <v>28.13</v>
      </c>
      <c r="I1510" s="8" t="n">
        <v>28.13</v>
      </c>
      <c r="J1510" s="8" t="n"/>
      <c r="K1510" s="7" t="inlineStr">
        <is>
          <t>SEM COTAÇÃO</t>
        </is>
      </c>
      <c r="L1510" s="8" t="n"/>
      <c r="M1510" s="12" t="n"/>
      <c r="N1510" s="7" t="inlineStr"/>
      <c r="O1510" s="7" t="inlineStr"/>
    </row>
    <row r="1511">
      <c r="A1511" s="7" t="n">
        <v>663061</v>
      </c>
      <c r="B1511" s="10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1" t="n">
        <v>2</v>
      </c>
      <c r="G1511" s="11" t="n">
        <v>2</v>
      </c>
      <c r="H1511" s="8" t="n">
        <v>24.2358</v>
      </c>
      <c r="I1511" s="8" t="n">
        <v>24.2358</v>
      </c>
      <c r="J1511" s="8" t="n"/>
      <c r="K1511" s="7" t="inlineStr">
        <is>
          <t>SEM COTAÇÃO</t>
        </is>
      </c>
      <c r="L1511" s="8" t="n"/>
      <c r="M1511" s="12" t="n"/>
      <c r="N1511" s="7" t="inlineStr"/>
      <c r="O1511" s="7" t="inlineStr"/>
    </row>
    <row r="1512">
      <c r="A1512" s="7" t="n">
        <v>663071</v>
      </c>
      <c r="B1512" s="10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1" t="n">
        <v>6</v>
      </c>
      <c r="G1512" s="11" t="n">
        <v>6</v>
      </c>
      <c r="H1512" s="8" t="n">
        <v>24.2358</v>
      </c>
      <c r="I1512" s="8" t="n">
        <v>24.2358</v>
      </c>
      <c r="J1512" s="8" t="n"/>
      <c r="K1512" s="7" t="inlineStr">
        <is>
          <t>SEM COTAÇÃO</t>
        </is>
      </c>
      <c r="L1512" s="8" t="n"/>
      <c r="M1512" s="12" t="n"/>
      <c r="N1512" s="7" t="inlineStr"/>
      <c r="O1512" s="7" t="inlineStr"/>
    </row>
    <row r="1513">
      <c r="A1513" s="7" t="n">
        <v>656231</v>
      </c>
      <c r="B1513" s="10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1" t="n">
        <v>3</v>
      </c>
      <c r="G1513" s="11" t="n">
        <v>3</v>
      </c>
      <c r="H1513" s="8" t="n">
        <v>20.3392</v>
      </c>
      <c r="I1513" s="8" t="n">
        <v>17.4958</v>
      </c>
      <c r="J1513" s="8" t="n"/>
      <c r="K1513" s="7" t="inlineStr">
        <is>
          <t>SEM COTAÇÃO</t>
        </is>
      </c>
      <c r="L1513" s="8" t="n"/>
      <c r="M1513" s="12" t="n"/>
      <c r="N1513" s="7" t="inlineStr"/>
      <c r="O1513" s="7" t="inlineStr"/>
    </row>
    <row r="1514">
      <c r="A1514" s="7" t="n">
        <v>627431</v>
      </c>
      <c r="B1514" s="10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1" t="n">
        <v>2</v>
      </c>
      <c r="G1514" s="11" t="n">
        <v>2</v>
      </c>
      <c r="H1514" s="8" t="n">
        <v>12.9867</v>
      </c>
      <c r="I1514" s="8" t="n">
        <v>12.9867</v>
      </c>
      <c r="J1514" s="8" t="n"/>
      <c r="K1514" s="7" t="inlineStr">
        <is>
          <t>SEM COTAÇÃO</t>
        </is>
      </c>
      <c r="L1514" s="8" t="n"/>
      <c r="M1514" s="12" t="n"/>
      <c r="N1514" s="7" t="inlineStr"/>
      <c r="O1514" s="7" t="inlineStr"/>
    </row>
    <row r="1515">
      <c r="A1515" s="7" t="n">
        <v>627441</v>
      </c>
      <c r="B1515" s="10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1" t="n">
        <v>2</v>
      </c>
      <c r="G1515" s="11" t="n">
        <v>2</v>
      </c>
      <c r="H1515" s="8" t="n">
        <v>11.5517</v>
      </c>
      <c r="I1515" s="8" t="n">
        <v>11.5517</v>
      </c>
      <c r="J1515" s="8" t="n"/>
      <c r="K1515" s="7" t="inlineStr">
        <is>
          <t>SEM COTAÇÃO</t>
        </is>
      </c>
      <c r="L1515" s="8" t="n"/>
      <c r="M1515" s="12" t="n"/>
      <c r="N1515" s="7" t="inlineStr"/>
      <c r="O1515" s="7" t="inlineStr"/>
    </row>
    <row r="1516">
      <c r="A1516" s="7" t="n">
        <v>645091</v>
      </c>
      <c r="B1516" s="10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1" t="n">
        <v>1</v>
      </c>
      <c r="G1516" s="11" t="n">
        <v>1</v>
      </c>
      <c r="H1516" s="8" t="n">
        <v>22.39</v>
      </c>
      <c r="I1516" s="8" t="n">
        <v>22.39</v>
      </c>
      <c r="J1516" s="8" t="n"/>
      <c r="K1516" s="7" t="inlineStr">
        <is>
          <t>SEM COTAÇÃO</t>
        </is>
      </c>
      <c r="L1516" s="8" t="n"/>
      <c r="M1516" s="12" t="n"/>
      <c r="N1516" s="7" t="inlineStr"/>
      <c r="O1516" s="7" t="inlineStr"/>
    </row>
    <row r="1517">
      <c r="A1517" s="7" t="n">
        <v>645101</v>
      </c>
      <c r="B1517" s="10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1" t="n">
        <v>2</v>
      </c>
      <c r="G1517" s="11" t="n">
        <v>2</v>
      </c>
      <c r="H1517" s="8" t="n">
        <v>20.91</v>
      </c>
      <c r="I1517" s="8" t="n">
        <v>20.6192</v>
      </c>
      <c r="J1517" s="8" t="n"/>
      <c r="K1517" s="7" t="inlineStr">
        <is>
          <t>SEM COTAÇÃO</t>
        </is>
      </c>
      <c r="L1517" s="8" t="n"/>
      <c r="M1517" s="12" t="n"/>
      <c r="N1517" s="7" t="inlineStr"/>
      <c r="O1517" s="7" t="inlineStr"/>
    </row>
    <row r="1518">
      <c r="A1518" s="7" t="n">
        <v>648781</v>
      </c>
      <c r="B1518" s="10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1" t="n">
        <v>1</v>
      </c>
      <c r="G1518" s="11" t="n">
        <v>1</v>
      </c>
      <c r="H1518" s="8" t="n">
        <v>15.4</v>
      </c>
      <c r="I1518" s="8" t="n">
        <v>15.4</v>
      </c>
      <c r="J1518" s="8" t="n"/>
      <c r="K1518" s="7" t="inlineStr">
        <is>
          <t>SEM COTAÇÃO</t>
        </is>
      </c>
      <c r="L1518" s="8" t="n"/>
      <c r="M1518" s="12" t="n"/>
      <c r="N1518" s="7" t="inlineStr"/>
      <c r="O1518" s="7" t="inlineStr"/>
    </row>
    <row r="1519">
      <c r="A1519" s="7" t="n">
        <v>648771</v>
      </c>
      <c r="B1519" s="10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1" t="n">
        <v>1</v>
      </c>
      <c r="G1519" s="11" t="n">
        <v>1</v>
      </c>
      <c r="H1519" s="8" t="n">
        <v>15.4</v>
      </c>
      <c r="I1519" s="8" t="n">
        <v>15.4</v>
      </c>
      <c r="J1519" s="8" t="n"/>
      <c r="K1519" s="7" t="inlineStr">
        <is>
          <t>SEM COTAÇÃO</t>
        </is>
      </c>
      <c r="L1519" s="8" t="n"/>
      <c r="M1519" s="12" t="n"/>
      <c r="N1519" s="7" t="inlineStr"/>
      <c r="O1519" s="7" t="inlineStr"/>
    </row>
    <row r="1520">
      <c r="A1520" s="7" t="n">
        <v>648591</v>
      </c>
      <c r="B1520" s="10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1" t="n">
        <v>1</v>
      </c>
      <c r="G1520" s="11" t="n">
        <v>1</v>
      </c>
      <c r="H1520" s="8" t="n">
        <v>15.4</v>
      </c>
      <c r="I1520" s="8" t="n">
        <v>15.4</v>
      </c>
      <c r="J1520" s="8" t="n"/>
      <c r="K1520" s="7" t="inlineStr">
        <is>
          <t>SEM COTAÇÃO</t>
        </is>
      </c>
      <c r="L1520" s="8" t="n"/>
      <c r="M1520" s="12" t="n"/>
      <c r="N1520" s="7" t="inlineStr"/>
      <c r="O1520" s="7" t="inlineStr"/>
    </row>
    <row r="1521">
      <c r="A1521" s="7" t="n">
        <v>337761</v>
      </c>
      <c r="B1521" s="10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1" t="n">
        <v>1</v>
      </c>
      <c r="G1521" s="11" t="n">
        <v>1</v>
      </c>
      <c r="H1521" s="8" t="n">
        <v>45.4767</v>
      </c>
      <c r="I1521" s="8" t="n">
        <v>45.4767</v>
      </c>
      <c r="J1521" s="8" t="n"/>
      <c r="K1521" s="7" t="inlineStr">
        <is>
          <t>SEM COTAÇÃO</t>
        </is>
      </c>
      <c r="L1521" s="8" t="n"/>
      <c r="M1521" s="12" t="n"/>
      <c r="N1521" s="7" t="inlineStr"/>
      <c r="O1521" s="7" t="inlineStr"/>
    </row>
    <row r="1522">
      <c r="A1522" s="7" t="n">
        <v>666711</v>
      </c>
      <c r="B1522" s="10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1" t="n">
        <v>1</v>
      </c>
      <c r="G1522" s="11" t="n">
        <v>1</v>
      </c>
      <c r="H1522" s="8" t="n">
        <v>44.048</v>
      </c>
      <c r="I1522" s="8" t="n">
        <v>44.048</v>
      </c>
      <c r="J1522" s="8" t="n"/>
      <c r="K1522" s="7" t="inlineStr">
        <is>
          <t>SEM COTAÇÃO</t>
        </is>
      </c>
      <c r="L1522" s="8" t="n"/>
      <c r="M1522" s="12" t="n"/>
      <c r="N1522" s="7" t="inlineStr"/>
      <c r="O1522" s="7" t="inlineStr"/>
    </row>
    <row r="1523">
      <c r="A1523" s="7" t="n">
        <v>669071</v>
      </c>
      <c r="B1523" s="10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1" t="n">
        <v>1</v>
      </c>
      <c r="G1523" s="11" t="n">
        <v>1</v>
      </c>
      <c r="H1523" s="8" t="n"/>
      <c r="I1523" s="8" t="n"/>
      <c r="J1523" s="8" t="n"/>
      <c r="K1523" s="7" t="inlineStr">
        <is>
          <t>SEM COTAÇÃO</t>
        </is>
      </c>
      <c r="L1523" s="8" t="n"/>
      <c r="M1523" s="12" t="n"/>
      <c r="N1523" s="7" t="inlineStr"/>
      <c r="O1523" s="7" t="inlineStr"/>
    </row>
    <row r="1524">
      <c r="A1524" s="7" t="n">
        <v>329901</v>
      </c>
      <c r="B1524" s="10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1" t="n">
        <v>5</v>
      </c>
      <c r="G1524" s="11" t="n">
        <v>100</v>
      </c>
      <c r="H1524" s="8" t="n">
        <v>0.874</v>
      </c>
      <c r="I1524" s="8" t="n">
        <v>0.874</v>
      </c>
      <c r="J1524" s="8" t="n"/>
      <c r="K1524" s="7" t="inlineStr">
        <is>
          <t>SEM COTAÇÃO</t>
        </is>
      </c>
      <c r="L1524" s="8" t="n"/>
      <c r="M1524" s="12" t="n"/>
      <c r="N1524" s="7" t="inlineStr"/>
      <c r="O1524" s="7" t="inlineStr"/>
    </row>
    <row r="1525">
      <c r="A1525" s="7" t="n">
        <v>572701</v>
      </c>
      <c r="B1525" s="10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1" t="n">
        <v>23</v>
      </c>
      <c r="G1525" s="11" t="n">
        <v>23</v>
      </c>
      <c r="H1525" s="8" t="n">
        <v>1.28</v>
      </c>
      <c r="I1525" s="8" t="n">
        <v>1.2</v>
      </c>
      <c r="J1525" s="8" t="n"/>
      <c r="K1525" s="7" t="inlineStr">
        <is>
          <t>SEM COTAÇÃO</t>
        </is>
      </c>
      <c r="L1525" s="8" t="n"/>
      <c r="M1525" s="12" t="n"/>
      <c r="N1525" s="7" t="inlineStr"/>
      <c r="O1525" s="7" t="inlineStr"/>
    </row>
    <row r="1526">
      <c r="A1526" s="7" t="n">
        <v>661721</v>
      </c>
      <c r="B1526" s="10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1" t="n">
        <v>1</v>
      </c>
      <c r="G1526" s="11" t="n">
        <v>5</v>
      </c>
      <c r="H1526" s="8" t="n">
        <v>0.9892</v>
      </c>
      <c r="I1526" s="8" t="n">
        <v>0.9892</v>
      </c>
      <c r="J1526" s="8" t="n"/>
      <c r="K1526" s="7" t="inlineStr">
        <is>
          <t>SEM COTAÇÃO</t>
        </is>
      </c>
      <c r="L1526" s="8" t="n"/>
      <c r="M1526" s="12" t="n"/>
      <c r="N1526" s="7" t="inlineStr"/>
      <c r="O1526" s="7" t="inlineStr"/>
    </row>
    <row r="1527">
      <c r="A1527" s="7" t="n">
        <v>666561</v>
      </c>
      <c r="B1527" s="10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1" t="n">
        <v>1</v>
      </c>
      <c r="G1527" s="11" t="n">
        <v>7</v>
      </c>
      <c r="H1527" s="8" t="n">
        <v>0.3364</v>
      </c>
      <c r="I1527" s="8" t="n">
        <v>0.3364</v>
      </c>
      <c r="J1527" s="8" t="n"/>
      <c r="K1527" s="7" t="inlineStr">
        <is>
          <t>SEM COTAÇÃO</t>
        </is>
      </c>
      <c r="L1527" s="8" t="n"/>
      <c r="M1527" s="12" t="n"/>
      <c r="N1527" s="7" t="inlineStr"/>
      <c r="O1527" s="7" t="inlineStr"/>
    </row>
    <row r="1528">
      <c r="A1528" s="7" t="n">
        <v>643271</v>
      </c>
      <c r="B1528" s="10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1" t="n">
        <v>1</v>
      </c>
      <c r="G1528" s="11" t="n">
        <v>4</v>
      </c>
      <c r="H1528" s="8" t="n">
        <v>1.0092</v>
      </c>
      <c r="I1528" s="8" t="n">
        <v>1.0092</v>
      </c>
      <c r="J1528" s="8" t="n"/>
      <c r="K1528" s="7" t="inlineStr">
        <is>
          <t>SEM COTAÇÃO</t>
        </is>
      </c>
      <c r="L1528" s="8" t="n"/>
      <c r="M1528" s="12" t="n"/>
      <c r="N1528" s="7" t="inlineStr"/>
      <c r="O1528" s="7" t="inlineStr"/>
    </row>
    <row r="1529">
      <c r="A1529" s="7" t="n">
        <v>579001</v>
      </c>
      <c r="B1529" s="10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1" t="n">
        <v>2</v>
      </c>
      <c r="G1529" s="11" t="n">
        <v>17</v>
      </c>
      <c r="H1529" s="8" t="n">
        <v>2.605</v>
      </c>
      <c r="I1529" s="8" t="n">
        <v>2.3681</v>
      </c>
      <c r="J1529" s="8" t="n"/>
      <c r="K1529" s="7" t="inlineStr">
        <is>
          <t>SEM COTAÇÃO</t>
        </is>
      </c>
      <c r="L1529" s="8" t="n"/>
      <c r="M1529" s="12" t="n"/>
      <c r="N1529" s="7" t="inlineStr"/>
      <c r="O1529" s="7" t="inlineStr"/>
    </row>
    <row r="1530">
      <c r="A1530" s="7" t="n">
        <v>690801</v>
      </c>
      <c r="B1530" s="10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1" t="n">
        <v>4</v>
      </c>
      <c r="G1530" s="11" t="n">
        <v>4</v>
      </c>
      <c r="H1530" s="8" t="n">
        <v>1.15</v>
      </c>
      <c r="I1530" s="8" t="n">
        <v>1.15</v>
      </c>
      <c r="J1530" s="8" t="n"/>
      <c r="K1530" s="7" t="inlineStr">
        <is>
          <t>SEM COTAÇÃO</t>
        </is>
      </c>
      <c r="L1530" s="8" t="n"/>
      <c r="M1530" s="12" t="n"/>
      <c r="N1530" s="7" t="inlineStr"/>
      <c r="O1530" s="7" t="inlineStr"/>
    </row>
    <row r="1531">
      <c r="A1531" s="7" t="n">
        <v>595501</v>
      </c>
      <c r="B1531" s="10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1" t="n">
        <v>20</v>
      </c>
      <c r="G1531" s="11" t="n">
        <v>20</v>
      </c>
      <c r="H1531" s="8" t="n">
        <v>1.28</v>
      </c>
      <c r="I1531" s="8" t="n">
        <v>1.2</v>
      </c>
      <c r="J1531" s="8" t="n"/>
      <c r="K1531" s="7" t="inlineStr">
        <is>
          <t>SEM COTAÇÃO</t>
        </is>
      </c>
      <c r="L1531" s="8" t="n"/>
      <c r="M1531" s="12" t="n"/>
      <c r="N1531" s="7" t="inlineStr"/>
      <c r="O1531" s="7" t="inlineStr"/>
    </row>
    <row r="1532">
      <c r="A1532" s="7" t="n">
        <v>631031</v>
      </c>
      <c r="B1532" s="10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1" t="n">
        <v>2</v>
      </c>
      <c r="G1532" s="11" t="n">
        <v>17</v>
      </c>
      <c r="H1532" s="8" t="n">
        <v>1.1008</v>
      </c>
      <c r="I1532" s="8" t="n">
        <v>1.1008</v>
      </c>
      <c r="J1532" s="8" t="n"/>
      <c r="K1532" s="7" t="inlineStr">
        <is>
          <t>SEM COTAÇÃO</t>
        </is>
      </c>
      <c r="L1532" s="8" t="n"/>
      <c r="M1532" s="12" t="n"/>
      <c r="N1532" s="7" t="inlineStr"/>
      <c r="O1532" s="7" t="inlineStr"/>
    </row>
    <row r="1533">
      <c r="A1533" s="7" t="n">
        <v>569661</v>
      </c>
      <c r="B1533" s="10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1" t="n">
        <v>2</v>
      </c>
      <c r="G1533" s="11" t="n">
        <v>27</v>
      </c>
      <c r="H1533" s="8" t="n">
        <v>2.2479</v>
      </c>
      <c r="I1533" s="8" t="n">
        <v>2.2219</v>
      </c>
      <c r="J1533" s="8" t="n"/>
      <c r="K1533" s="7" t="inlineStr">
        <is>
          <t>SEM COTAÇÃO</t>
        </is>
      </c>
      <c r="L1533" s="8" t="n"/>
      <c r="M1533" s="12" t="n"/>
      <c r="N1533" s="7" t="inlineStr"/>
      <c r="O1533" s="7" t="inlineStr"/>
    </row>
    <row r="1534">
      <c r="A1534" s="7" t="n">
        <v>569701</v>
      </c>
      <c r="B1534" s="10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1" t="n">
        <v>3</v>
      </c>
      <c r="G1534" s="11" t="n">
        <v>37</v>
      </c>
      <c r="H1534" s="8" t="n">
        <v>2.248</v>
      </c>
      <c r="I1534" s="8" t="n">
        <v>2.2219</v>
      </c>
      <c r="J1534" s="8" t="n"/>
      <c r="K1534" s="7" t="inlineStr">
        <is>
          <t>SEM COTAÇÃO</t>
        </is>
      </c>
      <c r="L1534" s="8" t="n"/>
      <c r="M1534" s="12" t="n"/>
      <c r="N1534" s="7" t="inlineStr"/>
      <c r="O1534" s="7" t="inlineStr"/>
    </row>
    <row r="1535">
      <c r="A1535" s="7" t="n">
        <v>578921</v>
      </c>
      <c r="B1535" s="10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1" t="n">
        <v>2</v>
      </c>
      <c r="G1535" s="11" t="n">
        <v>31</v>
      </c>
      <c r="H1535" s="8" t="n">
        <v>2.2479</v>
      </c>
      <c r="I1535" s="8" t="n">
        <v>2.2219</v>
      </c>
      <c r="J1535" s="8" t="n"/>
      <c r="K1535" s="7" t="inlineStr">
        <is>
          <t>SEM COTAÇÃO</t>
        </is>
      </c>
      <c r="L1535" s="8" t="n"/>
      <c r="M1535" s="12" t="n"/>
      <c r="N1535" s="7" t="inlineStr"/>
      <c r="O1535" s="7" t="inlineStr"/>
    </row>
    <row r="1536">
      <c r="A1536" s="7" t="n">
        <v>578941</v>
      </c>
      <c r="B1536" s="10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1" t="n">
        <v>1</v>
      </c>
      <c r="G1536" s="11" t="n">
        <v>9</v>
      </c>
      <c r="H1536" s="8" t="n">
        <v>2.2479</v>
      </c>
      <c r="I1536" s="8" t="n">
        <v>2.2219</v>
      </c>
      <c r="J1536" s="8" t="n"/>
      <c r="K1536" s="7" t="inlineStr">
        <is>
          <t>SEM COTAÇÃO</t>
        </is>
      </c>
      <c r="L1536" s="8" t="n"/>
      <c r="M1536" s="12" t="n"/>
      <c r="N1536" s="7" t="inlineStr"/>
      <c r="O1536" s="7" t="inlineStr"/>
    </row>
    <row r="1537">
      <c r="A1537" s="7" t="n">
        <v>239061</v>
      </c>
      <c r="B1537" s="10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1" t="n">
        <v>1</v>
      </c>
      <c r="G1537" s="11" t="n">
        <v>1</v>
      </c>
      <c r="H1537" s="8" t="n">
        <v>19.62</v>
      </c>
      <c r="I1537" s="8" t="n">
        <v>19.62</v>
      </c>
      <c r="J1537" s="8" t="n"/>
      <c r="K1537" s="7" t="inlineStr">
        <is>
          <t>SEM COTAÇÃO</t>
        </is>
      </c>
      <c r="L1537" s="8" t="n"/>
      <c r="M1537" s="12" t="n"/>
      <c r="N1537" s="7" t="inlineStr"/>
      <c r="O1537" s="7" t="inlineStr"/>
    </row>
    <row r="1538">
      <c r="A1538" s="7" t="n">
        <v>238761</v>
      </c>
      <c r="B1538" s="10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1" t="n">
        <v>11</v>
      </c>
      <c r="G1538" s="11" t="n">
        <v>11</v>
      </c>
      <c r="H1538" s="8" t="n">
        <v>10.44</v>
      </c>
      <c r="I1538" s="8" t="n">
        <v>8.948700000000001</v>
      </c>
      <c r="J1538" s="13" t="n">
        <v>10.44</v>
      </c>
      <c r="K1538" s="7" t="inlineStr">
        <is>
          <t>DIMEC</t>
        </is>
      </c>
      <c r="L1538" s="8" t="n">
        <v>10.44</v>
      </c>
      <c r="M1538" s="12">
        <f>L1538/H1538-1</f>
        <v/>
      </c>
      <c r="N1538" s="15" t="inlineStr">
        <is>
          <t>OK (≤ últ. compra)</t>
        </is>
      </c>
      <c r="O1538" s="7" t="inlineStr"/>
    </row>
    <row r="1539">
      <c r="A1539" s="7" t="n">
        <v>628421</v>
      </c>
      <c r="B1539" s="10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1" t="n">
        <v>1</v>
      </c>
      <c r="G1539" s="11" t="n">
        <v>1</v>
      </c>
      <c r="H1539" s="8" t="n">
        <v>11.51</v>
      </c>
      <c r="I1539" s="8" t="n">
        <v>11.51</v>
      </c>
      <c r="J1539" s="8" t="n"/>
      <c r="K1539" s="7" t="inlineStr">
        <is>
          <t>SEM COTAÇÃO</t>
        </is>
      </c>
      <c r="L1539" s="8" t="n"/>
      <c r="M1539" s="12" t="n"/>
      <c r="N1539" s="7" t="inlineStr"/>
      <c r="O1539" s="7" t="inlineStr"/>
    </row>
    <row r="1540">
      <c r="A1540" s="7" t="n">
        <v>628431</v>
      </c>
      <c r="B1540" s="10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1" t="n">
        <v>1</v>
      </c>
      <c r="G1540" s="11" t="n">
        <v>1</v>
      </c>
      <c r="H1540" s="8" t="n">
        <v>11.51</v>
      </c>
      <c r="I1540" s="8" t="n">
        <v>11.51</v>
      </c>
      <c r="J1540" s="8" t="n"/>
      <c r="K1540" s="7" t="inlineStr">
        <is>
          <t>SEM COTAÇÃO</t>
        </is>
      </c>
      <c r="L1540" s="8" t="n"/>
      <c r="M1540" s="12" t="n"/>
      <c r="N1540" s="7" t="inlineStr"/>
      <c r="O1540" s="7" t="inlineStr"/>
    </row>
    <row r="1541">
      <c r="A1541" s="7" t="n">
        <v>628441</v>
      </c>
      <c r="B1541" s="10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1" t="n">
        <v>1</v>
      </c>
      <c r="G1541" s="11" t="n">
        <v>1</v>
      </c>
      <c r="H1541" s="8" t="n">
        <v>11.51</v>
      </c>
      <c r="I1541" s="8" t="n">
        <v>11.51</v>
      </c>
      <c r="J1541" s="8" t="n"/>
      <c r="K1541" s="7" t="inlineStr">
        <is>
          <t>SEM COTAÇÃO</t>
        </is>
      </c>
      <c r="L1541" s="8" t="n"/>
      <c r="M1541" s="12" t="n"/>
      <c r="N1541" s="7" t="inlineStr"/>
      <c r="O1541" s="7" t="inlineStr"/>
    </row>
    <row r="1542">
      <c r="A1542" s="7" t="n">
        <v>628461</v>
      </c>
      <c r="B1542" s="10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1" t="n">
        <v>1</v>
      </c>
      <c r="G1542" s="11" t="n">
        <v>1</v>
      </c>
      <c r="H1542" s="8" t="n">
        <v>11.51</v>
      </c>
      <c r="I1542" s="8" t="n">
        <v>11.51</v>
      </c>
      <c r="J1542" s="8" t="n"/>
      <c r="K1542" s="7" t="inlineStr">
        <is>
          <t>SEM COTAÇÃO</t>
        </is>
      </c>
      <c r="L1542" s="8" t="n"/>
      <c r="M1542" s="12" t="n"/>
      <c r="N1542" s="7" t="inlineStr"/>
      <c r="O1542" s="7" t="inlineStr"/>
    </row>
    <row r="1543">
      <c r="A1543" s="7" t="n">
        <v>635821</v>
      </c>
      <c r="B1543" s="10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1" t="n">
        <v>1</v>
      </c>
      <c r="G1543" s="11" t="n">
        <v>1</v>
      </c>
      <c r="H1543" s="8" t="n">
        <v>7.03</v>
      </c>
      <c r="I1543" s="8" t="n">
        <v>7.03</v>
      </c>
      <c r="J1543" s="8" t="n"/>
      <c r="K1543" s="7" t="inlineStr">
        <is>
          <t>SEM COTAÇÃO</t>
        </is>
      </c>
      <c r="L1543" s="8" t="n"/>
      <c r="M1543" s="12" t="n"/>
      <c r="N1543" s="7" t="inlineStr"/>
      <c r="O1543" s="7" t="inlineStr"/>
    </row>
    <row r="1544">
      <c r="A1544" s="7" t="n">
        <v>652941</v>
      </c>
      <c r="B1544" s="10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1" t="n">
        <v>1</v>
      </c>
      <c r="G1544" s="11" t="n">
        <v>1</v>
      </c>
      <c r="H1544" s="8" t="n">
        <v>10.15</v>
      </c>
      <c r="I1544" s="8" t="n">
        <v>10.15</v>
      </c>
      <c r="J1544" s="8" t="n"/>
      <c r="K1544" s="7" t="inlineStr">
        <is>
          <t>SEM COTAÇÃO</t>
        </is>
      </c>
      <c r="L1544" s="8" t="n"/>
      <c r="M1544" s="12" t="n"/>
      <c r="N1544" s="7" t="inlineStr"/>
      <c r="O1544" s="7" t="inlineStr"/>
    </row>
    <row r="1545">
      <c r="A1545" s="7" t="n">
        <v>635831</v>
      </c>
      <c r="B1545" s="10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1" t="n">
        <v>1</v>
      </c>
      <c r="G1545" s="11" t="n">
        <v>1</v>
      </c>
      <c r="H1545" s="8" t="n">
        <v>7.47</v>
      </c>
      <c r="I1545" s="8" t="n">
        <v>7.47</v>
      </c>
      <c r="J1545" s="8" t="n"/>
      <c r="K1545" s="7" t="inlineStr">
        <is>
          <t>SEM COTAÇÃO</t>
        </is>
      </c>
      <c r="L1545" s="8" t="n"/>
      <c r="M1545" s="12" t="n"/>
      <c r="N1545" s="7" t="inlineStr"/>
      <c r="O1545" s="7" t="inlineStr"/>
    </row>
    <row r="1546">
      <c r="A1546" s="7" t="n">
        <v>635841</v>
      </c>
      <c r="B1546" s="10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1" t="n">
        <v>3</v>
      </c>
      <c r="G1546" s="11" t="n">
        <v>3</v>
      </c>
      <c r="H1546" s="8" t="n">
        <v>7.16</v>
      </c>
      <c r="I1546" s="8" t="n">
        <v>7.16</v>
      </c>
      <c r="J1546" s="8" t="n"/>
      <c r="K1546" s="7" t="inlineStr">
        <is>
          <t>SEM COTAÇÃO</t>
        </is>
      </c>
      <c r="L1546" s="8" t="n"/>
      <c r="M1546" s="12" t="n"/>
      <c r="N1546" s="7" t="inlineStr"/>
      <c r="O1546" s="7" t="inlineStr"/>
    </row>
    <row r="1547">
      <c r="A1547" s="7" t="n">
        <v>609841</v>
      </c>
      <c r="B1547" s="10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1" t="n">
        <v>5</v>
      </c>
      <c r="G1547" s="11" t="n">
        <v>5</v>
      </c>
      <c r="H1547" s="8" t="n">
        <v>8.359999999999999</v>
      </c>
      <c r="I1547" s="8" t="n">
        <v>7.53</v>
      </c>
      <c r="J1547" s="8" t="n"/>
      <c r="K1547" s="7" t="inlineStr">
        <is>
          <t>SEM COTAÇÃO</t>
        </is>
      </c>
      <c r="L1547" s="8" t="n"/>
      <c r="M1547" s="12" t="n"/>
      <c r="N1547" s="7" t="inlineStr"/>
      <c r="O1547" s="7" t="inlineStr"/>
    </row>
    <row r="1548">
      <c r="A1548" s="7" t="n">
        <v>653161</v>
      </c>
      <c r="B1548" s="10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1" t="n">
        <v>1</v>
      </c>
      <c r="G1548" s="11" t="n">
        <v>1</v>
      </c>
      <c r="H1548" s="8" t="n"/>
      <c r="I1548" s="8" t="n"/>
      <c r="J1548" s="8" t="n"/>
      <c r="K1548" s="7" t="inlineStr">
        <is>
          <t>SEM COTAÇÃO</t>
        </is>
      </c>
      <c r="L1548" s="8" t="n"/>
      <c r="M1548" s="12" t="n"/>
      <c r="N1548" s="7" t="inlineStr"/>
      <c r="O1548" s="7" t="inlineStr"/>
    </row>
    <row r="1549">
      <c r="A1549" s="7" t="n">
        <v>653151</v>
      </c>
      <c r="B1549" s="10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1" t="n">
        <v>1</v>
      </c>
      <c r="G1549" s="11" t="n">
        <v>1</v>
      </c>
      <c r="H1549" s="8" t="n"/>
      <c r="I1549" s="8" t="n"/>
      <c r="J1549" s="8" t="n"/>
      <c r="K1549" s="7" t="inlineStr">
        <is>
          <t>SEM COTAÇÃO</t>
        </is>
      </c>
      <c r="L1549" s="8" t="n"/>
      <c r="M1549" s="12" t="n"/>
      <c r="N1549" s="7" t="inlineStr"/>
      <c r="O1549" s="7" t="inlineStr"/>
    </row>
    <row r="1550">
      <c r="A1550" s="7" t="n">
        <v>638601</v>
      </c>
      <c r="B1550" s="10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1" t="n">
        <v>6</v>
      </c>
      <c r="G1550" s="11" t="n">
        <v>6</v>
      </c>
      <c r="H1550" s="8" t="n">
        <v>4.75</v>
      </c>
      <c r="I1550" s="8" t="n">
        <v>4.75</v>
      </c>
      <c r="J1550" s="8" t="n"/>
      <c r="K1550" s="7" t="inlineStr">
        <is>
          <t>SEM COTAÇÃO</t>
        </is>
      </c>
      <c r="L1550" s="8" t="n"/>
      <c r="M1550" s="12" t="n"/>
      <c r="N1550" s="7" t="inlineStr"/>
      <c r="O1550" s="7" t="inlineStr"/>
    </row>
    <row r="1551">
      <c r="A1551" s="7" t="n">
        <v>635791</v>
      </c>
      <c r="B1551" s="10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1" t="n">
        <v>9</v>
      </c>
      <c r="G1551" s="11" t="n">
        <v>9</v>
      </c>
      <c r="H1551" s="8" t="n">
        <v>4.84</v>
      </c>
      <c r="I1551" s="8" t="n">
        <v>3.34</v>
      </c>
      <c r="J1551" s="8" t="n"/>
      <c r="K1551" s="7" t="inlineStr">
        <is>
          <t>SEM COTAÇÃO</t>
        </is>
      </c>
      <c r="L1551" s="8" t="n"/>
      <c r="M1551" s="12" t="n"/>
      <c r="N1551" s="7" t="inlineStr"/>
      <c r="O1551" s="7" t="inlineStr"/>
    </row>
    <row r="1552">
      <c r="A1552" s="7" t="n">
        <v>652961</v>
      </c>
      <c r="B1552" s="10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1" t="n">
        <v>3</v>
      </c>
      <c r="G1552" s="11" t="n">
        <v>3</v>
      </c>
      <c r="H1552" s="8" t="n">
        <v>4.75</v>
      </c>
      <c r="I1552" s="8" t="n">
        <v>4.75</v>
      </c>
      <c r="J1552" s="8" t="n"/>
      <c r="K1552" s="7" t="inlineStr">
        <is>
          <t>SEM COTAÇÃO</t>
        </is>
      </c>
      <c r="L1552" s="8" t="n"/>
      <c r="M1552" s="12" t="n"/>
      <c r="N1552" s="7" t="inlineStr"/>
      <c r="O1552" s="7" t="inlineStr"/>
    </row>
    <row r="1553">
      <c r="A1553" s="7" t="n">
        <v>652991</v>
      </c>
      <c r="B1553" s="10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1" t="n">
        <v>2</v>
      </c>
      <c r="G1553" s="11" t="n">
        <v>2</v>
      </c>
      <c r="H1553" s="8" t="n">
        <v>9.41</v>
      </c>
      <c r="I1553" s="8" t="n">
        <v>9.41</v>
      </c>
      <c r="J1553" s="8" t="n"/>
      <c r="K1553" s="7" t="inlineStr">
        <is>
          <t>SEM COTAÇÃO</t>
        </is>
      </c>
      <c r="L1553" s="8" t="n"/>
      <c r="M1553" s="12" t="n"/>
      <c r="N1553" s="7" t="inlineStr"/>
      <c r="O1553" s="7" t="inlineStr"/>
    </row>
    <row r="1554">
      <c r="A1554" s="7" t="n">
        <v>614751</v>
      </c>
      <c r="B1554" s="10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1" t="n">
        <v>12</v>
      </c>
      <c r="G1554" s="11" t="n">
        <v>12</v>
      </c>
      <c r="H1554" s="8" t="n">
        <v>4.84</v>
      </c>
      <c r="I1554" s="8" t="n">
        <v>3.34</v>
      </c>
      <c r="J1554" s="8" t="n"/>
      <c r="K1554" s="7" t="inlineStr">
        <is>
          <t>SEM COTAÇÃO</t>
        </is>
      </c>
      <c r="L1554" s="8" t="n"/>
      <c r="M1554" s="12" t="n"/>
      <c r="N1554" s="7" t="inlineStr"/>
      <c r="O1554" s="7" t="inlineStr"/>
    </row>
    <row r="1555">
      <c r="A1555" s="7" t="n">
        <v>653001</v>
      </c>
      <c r="B1555" s="10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1" t="n">
        <v>2</v>
      </c>
      <c r="G1555" s="11" t="n">
        <v>2</v>
      </c>
      <c r="H1555" s="8" t="n">
        <v>9.41</v>
      </c>
      <c r="I1555" s="8" t="n">
        <v>9.41</v>
      </c>
      <c r="J1555" s="8" t="n"/>
      <c r="K1555" s="7" t="inlineStr">
        <is>
          <t>SEM COTAÇÃO</t>
        </is>
      </c>
      <c r="L1555" s="8" t="n"/>
      <c r="M1555" s="12" t="n"/>
      <c r="N1555" s="7" t="inlineStr"/>
      <c r="O1555" s="7" t="inlineStr"/>
    </row>
    <row r="1556">
      <c r="A1556" s="7" t="n">
        <v>652981</v>
      </c>
      <c r="B1556" s="10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1" t="n">
        <v>2</v>
      </c>
      <c r="G1556" s="11" t="n">
        <v>2</v>
      </c>
      <c r="H1556" s="8" t="n">
        <v>6.43</v>
      </c>
      <c r="I1556" s="8" t="n">
        <v>6.43</v>
      </c>
      <c r="J1556" s="8" t="n"/>
      <c r="K1556" s="7" t="inlineStr">
        <is>
          <t>SEM COTAÇÃO</t>
        </is>
      </c>
      <c r="L1556" s="8" t="n"/>
      <c r="M1556" s="12" t="n"/>
      <c r="N1556" s="7" t="inlineStr"/>
      <c r="O1556" s="7" t="inlineStr"/>
    </row>
    <row r="1557">
      <c r="A1557" s="7" t="n">
        <v>652971</v>
      </c>
      <c r="B1557" s="10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1" t="n">
        <v>6</v>
      </c>
      <c r="G1557" s="11" t="n">
        <v>6</v>
      </c>
      <c r="H1557" s="8" t="n">
        <v>6.63</v>
      </c>
      <c r="I1557" s="8" t="n">
        <v>6.43</v>
      </c>
      <c r="J1557" s="8" t="n"/>
      <c r="K1557" s="7" t="inlineStr">
        <is>
          <t>SEM COTAÇÃO</t>
        </is>
      </c>
      <c r="L1557" s="8" t="n"/>
      <c r="M1557" s="12" t="n"/>
      <c r="N1557" s="7" t="inlineStr"/>
      <c r="O1557" s="7" t="inlineStr"/>
    </row>
    <row r="1558">
      <c r="A1558" s="7" t="n">
        <v>638611</v>
      </c>
      <c r="B1558" s="10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1" t="n">
        <v>7</v>
      </c>
      <c r="G1558" s="11" t="n">
        <v>7</v>
      </c>
      <c r="H1558" s="8" t="n">
        <v>4.75</v>
      </c>
      <c r="I1558" s="8" t="n">
        <v>4.75</v>
      </c>
      <c r="J1558" s="8" t="n"/>
      <c r="K1558" s="7" t="inlineStr">
        <is>
          <t>SEM COTAÇÃO</t>
        </is>
      </c>
      <c r="L1558" s="8" t="n"/>
      <c r="M1558" s="12" t="n"/>
      <c r="N1558" s="7" t="inlineStr"/>
      <c r="O1558" s="7" t="inlineStr"/>
    </row>
    <row r="1559">
      <c r="A1559" s="7" t="n">
        <v>635801</v>
      </c>
      <c r="B1559" s="10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1" t="n">
        <v>6</v>
      </c>
      <c r="G1559" s="11" t="n">
        <v>6</v>
      </c>
      <c r="H1559" s="8" t="n">
        <v>4.02</v>
      </c>
      <c r="I1559" s="8" t="n">
        <v>4.02</v>
      </c>
      <c r="J1559" s="8" t="n"/>
      <c r="K1559" s="7" t="inlineStr">
        <is>
          <t>SEM COTAÇÃO</t>
        </is>
      </c>
      <c r="L1559" s="8" t="n"/>
      <c r="M1559" s="12" t="n"/>
      <c r="N1559" s="7" t="inlineStr"/>
      <c r="O1559" s="7" t="inlineStr"/>
    </row>
    <row r="1560">
      <c r="A1560" s="7" t="n">
        <v>648541</v>
      </c>
      <c r="B1560" s="10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1" t="n">
        <v>3</v>
      </c>
      <c r="G1560" s="11" t="n">
        <v>3</v>
      </c>
      <c r="H1560" s="8" t="n">
        <v>18.7033</v>
      </c>
      <c r="I1560" s="8" t="n">
        <v>18.7033</v>
      </c>
      <c r="J1560" s="8" t="n"/>
      <c r="K1560" s="7" t="inlineStr">
        <is>
          <t>SEM COTAÇÃO</t>
        </is>
      </c>
      <c r="L1560" s="8" t="n"/>
      <c r="M1560" s="12" t="n"/>
      <c r="N1560" s="7" t="inlineStr"/>
      <c r="O1560" s="7" t="inlineStr"/>
    </row>
    <row r="1561">
      <c r="A1561" s="7" t="n">
        <v>648551</v>
      </c>
      <c r="B1561" s="10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1" t="n">
        <v>2</v>
      </c>
      <c r="G1561" s="11" t="n">
        <v>2</v>
      </c>
      <c r="H1561" s="8" t="n">
        <v>18.7033</v>
      </c>
      <c r="I1561" s="8" t="n">
        <v>18.7033</v>
      </c>
      <c r="J1561" s="8" t="n"/>
      <c r="K1561" s="7" t="inlineStr">
        <is>
          <t>SEM COTAÇÃO</t>
        </is>
      </c>
      <c r="L1561" s="8" t="n"/>
      <c r="M1561" s="12" t="n"/>
      <c r="N1561" s="7" t="inlineStr"/>
      <c r="O1561" s="7" t="inlineStr"/>
    </row>
    <row r="1562">
      <c r="A1562" s="7" t="n">
        <v>648561</v>
      </c>
      <c r="B1562" s="10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1" t="n">
        <v>1</v>
      </c>
      <c r="G1562" s="11" t="n">
        <v>1</v>
      </c>
      <c r="H1562" s="8" t="n">
        <v>18.15</v>
      </c>
      <c r="I1562" s="8" t="n">
        <v>18.15</v>
      </c>
      <c r="J1562" s="8" t="n"/>
      <c r="K1562" s="7" t="inlineStr">
        <is>
          <t>SEM COTAÇÃO</t>
        </is>
      </c>
      <c r="L1562" s="8" t="n"/>
      <c r="M1562" s="12" t="n"/>
      <c r="N1562" s="7" t="inlineStr"/>
      <c r="O1562" s="7" t="inlineStr"/>
    </row>
    <row r="1563">
      <c r="A1563" s="7" t="n">
        <v>648531</v>
      </c>
      <c r="B1563" s="10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1" t="n">
        <v>1</v>
      </c>
      <c r="G1563" s="11" t="n">
        <v>1</v>
      </c>
      <c r="H1563" s="8" t="n">
        <v>16.8742</v>
      </c>
      <c r="I1563" s="8" t="n">
        <v>16.8742</v>
      </c>
      <c r="J1563" s="8" t="n"/>
      <c r="K1563" s="7" t="inlineStr">
        <is>
          <t>SEM COTAÇÃO</t>
        </is>
      </c>
      <c r="L1563" s="8" t="n"/>
      <c r="M1563" s="12" t="n"/>
      <c r="N1563" s="7" t="inlineStr"/>
      <c r="O1563" s="7" t="inlineStr"/>
    </row>
    <row r="1564">
      <c r="A1564" s="7" t="n">
        <v>648641</v>
      </c>
      <c r="B1564" s="10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1" t="n">
        <v>3</v>
      </c>
      <c r="G1564" s="11" t="n">
        <v>3</v>
      </c>
      <c r="H1564" s="8" t="n">
        <v>18.89</v>
      </c>
      <c r="I1564" s="8" t="n">
        <v>18.89</v>
      </c>
      <c r="J1564" s="8" t="n"/>
      <c r="K1564" s="7" t="inlineStr">
        <is>
          <t>SEM COTAÇÃO</t>
        </is>
      </c>
      <c r="L1564" s="8" t="n"/>
      <c r="M1564" s="12" t="n"/>
      <c r="N1564" s="7" t="inlineStr"/>
      <c r="O1564" s="7" t="inlineStr"/>
    </row>
    <row r="1565">
      <c r="A1565" s="7" t="n">
        <v>2553</v>
      </c>
      <c r="B1565" s="10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1" t="n">
        <v>1</v>
      </c>
      <c r="G1565" s="11" t="n">
        <v>1</v>
      </c>
      <c r="H1565" s="8" t="n">
        <v>8.16</v>
      </c>
      <c r="I1565" s="8" t="n">
        <v>8.16</v>
      </c>
      <c r="J1565" s="8" t="n"/>
      <c r="K1565" s="7" t="inlineStr">
        <is>
          <t>SEM COTAÇÃO</t>
        </is>
      </c>
      <c r="L1565" s="8" t="n"/>
      <c r="M1565" s="12" t="n"/>
      <c r="N1565" s="7" t="inlineStr"/>
      <c r="O1565" s="7" t="inlineStr"/>
    </row>
    <row r="1566">
      <c r="A1566" s="7" t="n">
        <v>628401</v>
      </c>
      <c r="B1566" s="10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1" t="n">
        <v>3</v>
      </c>
      <c r="G1566" s="11" t="n">
        <v>3</v>
      </c>
      <c r="H1566" s="8" t="n">
        <v>6.66</v>
      </c>
      <c r="I1566" s="8" t="n">
        <v>6.66</v>
      </c>
      <c r="J1566" s="8" t="n"/>
      <c r="K1566" s="7" t="inlineStr">
        <is>
          <t>SEM COTAÇÃO</t>
        </is>
      </c>
      <c r="L1566" s="8" t="n"/>
      <c r="M1566" s="12" t="n"/>
      <c r="N1566" s="7" t="inlineStr"/>
      <c r="O1566" s="7" t="inlineStr"/>
    </row>
    <row r="1567">
      <c r="A1567" s="7" t="n">
        <v>628411</v>
      </c>
      <c r="B1567" s="10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1" t="n">
        <v>3</v>
      </c>
      <c r="G1567" s="11" t="n">
        <v>3</v>
      </c>
      <c r="H1567" s="8" t="n">
        <v>7.08</v>
      </c>
      <c r="I1567" s="8" t="n">
        <v>7.08</v>
      </c>
      <c r="J1567" s="8" t="n"/>
      <c r="K1567" s="7" t="inlineStr">
        <is>
          <t>SEM COTAÇÃO</t>
        </is>
      </c>
      <c r="L1567" s="8" t="n"/>
      <c r="M1567" s="12" t="n"/>
      <c r="N1567" s="7" t="inlineStr"/>
      <c r="O1567" s="7" t="inlineStr"/>
    </row>
    <row r="1568">
      <c r="A1568" s="7" t="n">
        <v>635981</v>
      </c>
      <c r="B1568" s="10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1" t="n">
        <v>1</v>
      </c>
      <c r="G1568" s="11" t="n">
        <v>1</v>
      </c>
      <c r="H1568" s="8" t="n">
        <v>7.65</v>
      </c>
      <c r="I1568" s="8" t="n">
        <v>7.65</v>
      </c>
      <c r="J1568" s="8" t="n"/>
      <c r="K1568" s="7" t="inlineStr">
        <is>
          <t>SEM COTAÇÃO</t>
        </is>
      </c>
      <c r="L1568" s="8" t="n"/>
      <c r="M1568" s="12" t="n"/>
      <c r="N1568" s="7" t="inlineStr"/>
      <c r="O1568" s="7" t="inlineStr"/>
    </row>
    <row r="1569">
      <c r="A1569" s="7" t="n">
        <v>648421</v>
      </c>
      <c r="B1569" s="10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1" t="n">
        <v>1</v>
      </c>
      <c r="G1569" s="11" t="n">
        <v>1</v>
      </c>
      <c r="H1569" s="8" t="n">
        <v>23.98</v>
      </c>
      <c r="I1569" s="8" t="n">
        <v>23.98</v>
      </c>
      <c r="J1569" s="8" t="n"/>
      <c r="K1569" s="7" t="inlineStr">
        <is>
          <t>SEM COTAÇÃO</t>
        </is>
      </c>
      <c r="L1569" s="8" t="n"/>
      <c r="M1569" s="12" t="n"/>
      <c r="N1569" s="7" t="inlineStr"/>
      <c r="O1569" s="7" t="inlineStr"/>
    </row>
    <row r="1570">
      <c r="A1570" s="7" t="n">
        <v>648411</v>
      </c>
      <c r="B1570" s="10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1" t="n">
        <v>1</v>
      </c>
      <c r="G1570" s="11" t="n">
        <v>1</v>
      </c>
      <c r="H1570" s="8" t="n">
        <v>24.54</v>
      </c>
      <c r="I1570" s="8" t="n">
        <v>24.54</v>
      </c>
      <c r="J1570" s="8" t="n"/>
      <c r="K1570" s="7" t="inlineStr">
        <is>
          <t>SEM COTAÇÃO</t>
        </is>
      </c>
      <c r="L1570" s="8" t="n"/>
      <c r="M1570" s="12" t="n"/>
      <c r="N1570" s="7" t="inlineStr"/>
      <c r="O1570" s="7" t="inlineStr"/>
    </row>
    <row r="1571">
      <c r="A1571" s="7" t="n">
        <v>655311</v>
      </c>
      <c r="B1571" s="10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1" t="n">
        <v>3</v>
      </c>
      <c r="G1571" s="11" t="n">
        <v>3</v>
      </c>
      <c r="H1571" s="8" t="n">
        <v>26.68</v>
      </c>
      <c r="I1571" s="8" t="n">
        <v>23.93</v>
      </c>
      <c r="J1571" s="8" t="n"/>
      <c r="K1571" s="7" t="inlineStr">
        <is>
          <t>SEM COTAÇÃO</t>
        </is>
      </c>
      <c r="L1571" s="8" t="n"/>
      <c r="M1571" s="12" t="n"/>
      <c r="N1571" s="7" t="inlineStr"/>
      <c r="O1571" s="7" t="inlineStr"/>
    </row>
    <row r="1572">
      <c r="A1572" s="7" t="n">
        <v>58961</v>
      </c>
      <c r="B1572" s="10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1" t="n">
        <v>2</v>
      </c>
      <c r="G1572" s="11" t="n">
        <v>2</v>
      </c>
      <c r="H1572" s="8" t="n">
        <v>3.19</v>
      </c>
      <c r="I1572" s="8" t="n">
        <v>3.19</v>
      </c>
      <c r="J1572" s="8" t="n"/>
      <c r="K1572" s="7" t="inlineStr">
        <is>
          <t>SEM COTAÇÃO</t>
        </is>
      </c>
      <c r="L1572" s="8" t="n"/>
      <c r="M1572" s="12" t="n"/>
      <c r="N1572" s="7" t="inlineStr"/>
      <c r="O1572" s="7" t="inlineStr"/>
    </row>
    <row r="1573">
      <c r="A1573" s="7" t="n">
        <v>341641</v>
      </c>
      <c r="B1573" s="10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1" t="n">
        <v>4</v>
      </c>
      <c r="G1573" s="11" t="n">
        <v>4</v>
      </c>
      <c r="H1573" s="8" t="n">
        <v>30.62</v>
      </c>
      <c r="I1573" s="8" t="n">
        <v>28.95</v>
      </c>
      <c r="J1573" s="8" t="n"/>
      <c r="K1573" s="7" t="inlineStr">
        <is>
          <t>SEM COTAÇÃO</t>
        </is>
      </c>
      <c r="L1573" s="8" t="n"/>
      <c r="M1573" s="12" t="n"/>
      <c r="N1573" s="7" t="inlineStr"/>
      <c r="O1573" s="7" t="inlineStr"/>
    </row>
    <row r="1574">
      <c r="A1574" s="7" t="n">
        <v>309701</v>
      </c>
      <c r="B1574" s="10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1" t="n">
        <v>3</v>
      </c>
      <c r="G1574" s="11" t="n">
        <v>3</v>
      </c>
      <c r="H1574" s="8" t="n">
        <v>45.815</v>
      </c>
      <c r="I1574" s="8" t="n">
        <v>42.55</v>
      </c>
      <c r="J1574" s="8" t="n"/>
      <c r="K1574" s="7" t="inlineStr">
        <is>
          <t>SEM COTAÇÃO</t>
        </is>
      </c>
      <c r="L1574" s="8" t="n"/>
      <c r="M1574" s="12" t="n"/>
      <c r="N1574" s="7" t="inlineStr"/>
      <c r="O1574" s="7" t="inlineStr"/>
    </row>
    <row r="1575">
      <c r="A1575" s="7" t="n">
        <v>230701</v>
      </c>
      <c r="B1575" s="10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1" t="n">
        <v>18</v>
      </c>
      <c r="G1575" s="11" t="n">
        <v>18</v>
      </c>
      <c r="H1575" s="8" t="n">
        <v>80.73</v>
      </c>
      <c r="I1575" s="8" t="n">
        <v>76.9175</v>
      </c>
      <c r="J1575" s="8" t="n"/>
      <c r="K1575" s="7" t="inlineStr">
        <is>
          <t>SEM COTAÇÃO</t>
        </is>
      </c>
      <c r="L1575" s="8" t="n"/>
      <c r="M1575" s="12" t="n"/>
      <c r="N1575" s="7" t="inlineStr"/>
      <c r="O1575" s="7" t="inlineStr"/>
    </row>
    <row r="1576">
      <c r="A1576" s="7" t="n">
        <v>230841</v>
      </c>
      <c r="B1576" s="10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1" t="n">
        <v>7</v>
      </c>
      <c r="G1576" s="11" t="n">
        <v>7</v>
      </c>
      <c r="H1576" s="8" t="n">
        <v>54.022</v>
      </c>
      <c r="I1576" s="8" t="n">
        <v>54.022</v>
      </c>
      <c r="J1576" s="8" t="n"/>
      <c r="K1576" s="7" t="inlineStr">
        <is>
          <t>SEM COTAÇÃO</t>
        </is>
      </c>
      <c r="L1576" s="8" t="n"/>
      <c r="M1576" s="12" t="n"/>
      <c r="N1576" s="7" t="inlineStr"/>
      <c r="O1576" s="7" t="inlineStr"/>
    </row>
    <row r="1577">
      <c r="A1577" s="7" t="n">
        <v>83081</v>
      </c>
      <c r="B1577" s="10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1" t="n">
        <v>9</v>
      </c>
      <c r="G1577" s="11" t="n">
        <v>9</v>
      </c>
      <c r="H1577" s="8" t="n">
        <v>15.94</v>
      </c>
      <c r="I1577" s="8" t="n">
        <v>14.765</v>
      </c>
      <c r="J1577" s="8" t="n"/>
      <c r="K1577" s="7" t="inlineStr">
        <is>
          <t>SEM COTAÇÃO</t>
        </is>
      </c>
      <c r="L1577" s="8" t="n"/>
      <c r="M1577" s="12" t="n"/>
      <c r="N1577" s="7" t="inlineStr"/>
      <c r="O1577" s="7" t="inlineStr"/>
    </row>
    <row r="1578">
      <c r="A1578" s="7" t="n">
        <v>17403</v>
      </c>
      <c r="B1578" s="10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1" t="n">
        <v>1</v>
      </c>
      <c r="G1578" s="11" t="n">
        <v>1</v>
      </c>
      <c r="H1578" s="8" t="n"/>
      <c r="I1578" s="8" t="n"/>
      <c r="J1578" s="8" t="n"/>
      <c r="K1578" s="7" t="inlineStr">
        <is>
          <t>SEM COTAÇÃO</t>
        </is>
      </c>
      <c r="L1578" s="8" t="n"/>
      <c r="M1578" s="12" t="n"/>
      <c r="N1578" s="7" t="inlineStr"/>
      <c r="O1578" s="7" t="inlineStr"/>
    </row>
    <row r="1579">
      <c r="A1579" s="7" t="n">
        <v>629131</v>
      </c>
      <c r="B1579" s="10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1" t="n">
        <v>1</v>
      </c>
      <c r="G1579" s="11" t="n">
        <v>1</v>
      </c>
      <c r="H1579" s="8" t="n">
        <v>4.26</v>
      </c>
      <c r="I1579" s="8" t="n">
        <v>4.26</v>
      </c>
      <c r="J1579" s="8" t="n"/>
      <c r="K1579" s="7" t="inlineStr">
        <is>
          <t>SEM COTAÇÃO</t>
        </is>
      </c>
      <c r="L1579" s="8" t="n"/>
      <c r="M1579" s="12" t="n"/>
      <c r="N1579" s="7" t="inlineStr"/>
      <c r="O1579" s="7" t="inlineStr"/>
    </row>
    <row r="1580">
      <c r="A1580" s="7" t="n">
        <v>573481</v>
      </c>
      <c r="B1580" s="10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1" t="n">
        <v>1</v>
      </c>
      <c r="G1580" s="11" t="n">
        <v>1</v>
      </c>
      <c r="H1580" s="8" t="n">
        <v>56.61</v>
      </c>
      <c r="I1580" s="8" t="n">
        <v>56.61</v>
      </c>
      <c r="J1580" s="8" t="n"/>
      <c r="K1580" s="7" t="inlineStr">
        <is>
          <t>SEM COTAÇÃO</t>
        </is>
      </c>
      <c r="L1580" s="8" t="n"/>
      <c r="M1580" s="12" t="n"/>
      <c r="N1580" s="7" t="inlineStr"/>
      <c r="O1580" s="7" t="inlineStr"/>
    </row>
    <row r="1581">
      <c r="A1581" s="7" t="n">
        <v>675471</v>
      </c>
      <c r="B1581" s="10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1" t="n">
        <v>3</v>
      </c>
      <c r="G1581" s="11" t="n">
        <v>3</v>
      </c>
      <c r="H1581" s="8" t="n"/>
      <c r="I1581" s="8" t="n"/>
      <c r="J1581" s="8" t="n"/>
      <c r="K1581" s="7" t="inlineStr">
        <is>
          <t>SEM COTAÇÃO</t>
        </is>
      </c>
      <c r="L1581" s="8" t="n"/>
      <c r="M1581" s="12" t="n"/>
      <c r="N1581" s="7" t="inlineStr"/>
      <c r="O1581" s="7" t="inlineStr"/>
    </row>
    <row r="1582">
      <c r="A1582" s="7" t="n">
        <v>675411</v>
      </c>
      <c r="B1582" s="10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1" t="n">
        <v>1</v>
      </c>
      <c r="G1582" s="11" t="n">
        <v>1</v>
      </c>
      <c r="H1582" s="8" t="n"/>
      <c r="I1582" s="8" t="n"/>
      <c r="J1582" s="8" t="n"/>
      <c r="K1582" s="7" t="inlineStr">
        <is>
          <t>SEM COTAÇÃO</t>
        </is>
      </c>
      <c r="L1582" s="8" t="n"/>
      <c r="M1582" s="12" t="n"/>
      <c r="N1582" s="7" t="inlineStr"/>
      <c r="O1582" s="7" t="inlineStr"/>
    </row>
    <row r="1583">
      <c r="A1583" s="7" t="n">
        <v>675491</v>
      </c>
      <c r="B1583" s="10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1" t="n">
        <v>1</v>
      </c>
      <c r="G1583" s="11" t="n">
        <v>1</v>
      </c>
      <c r="H1583" s="8" t="n"/>
      <c r="I1583" s="8" t="n"/>
      <c r="J1583" s="8" t="n"/>
      <c r="K1583" s="7" t="inlineStr">
        <is>
          <t>SEM COTAÇÃO</t>
        </is>
      </c>
      <c r="L1583" s="8" t="n"/>
      <c r="M1583" s="12" t="n"/>
      <c r="N1583" s="7" t="inlineStr"/>
      <c r="O1583" s="7" t="inlineStr"/>
    </row>
    <row r="1584">
      <c r="A1584" s="7" t="n">
        <v>675431</v>
      </c>
      <c r="B1584" s="10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1" t="n">
        <v>2</v>
      </c>
      <c r="G1584" s="11" t="n">
        <v>2</v>
      </c>
      <c r="H1584" s="8" t="n"/>
      <c r="I1584" s="8" t="n"/>
      <c r="J1584" s="8" t="n"/>
      <c r="K1584" s="7" t="inlineStr">
        <is>
          <t>SEM COTAÇÃO</t>
        </is>
      </c>
      <c r="L1584" s="8" t="n"/>
      <c r="M1584" s="12" t="n"/>
      <c r="N1584" s="7" t="inlineStr"/>
      <c r="O1584" s="7" t="inlineStr"/>
    </row>
    <row r="1585">
      <c r="A1585" s="7" t="n">
        <v>675441</v>
      </c>
      <c r="B1585" s="10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1" t="n">
        <v>1</v>
      </c>
      <c r="G1585" s="11" t="n">
        <v>1</v>
      </c>
      <c r="H1585" s="8" t="n"/>
      <c r="I1585" s="8" t="n"/>
      <c r="J1585" s="8" t="n"/>
      <c r="K1585" s="7" t="inlineStr">
        <is>
          <t>SEM COTAÇÃO</t>
        </is>
      </c>
      <c r="L1585" s="8" t="n"/>
      <c r="M1585" s="12" t="n"/>
      <c r="N1585" s="7" t="inlineStr"/>
      <c r="O1585" s="7" t="inlineStr"/>
    </row>
    <row r="1586">
      <c r="A1586" s="7" t="n">
        <v>675121</v>
      </c>
      <c r="B1586" s="10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1" t="n">
        <v>2</v>
      </c>
      <c r="G1586" s="11" t="n">
        <v>2</v>
      </c>
      <c r="H1586" s="8" t="n"/>
      <c r="I1586" s="8" t="n"/>
      <c r="J1586" s="8" t="n"/>
      <c r="K1586" s="7" t="inlineStr">
        <is>
          <t>SEM COTAÇÃO</t>
        </is>
      </c>
      <c r="L1586" s="8" t="n"/>
      <c r="M1586" s="12" t="n"/>
      <c r="N1586" s="7" t="inlineStr"/>
      <c r="O1586" s="7" t="inlineStr"/>
    </row>
    <row r="1587">
      <c r="A1587" s="7" t="n">
        <v>3533</v>
      </c>
      <c r="B1587" s="10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1" t="n">
        <v>4</v>
      </c>
      <c r="G1587" s="11" t="n">
        <v>4</v>
      </c>
      <c r="H1587" s="8" t="n">
        <v>5.05</v>
      </c>
      <c r="I1587" s="8" t="n">
        <v>4.68</v>
      </c>
      <c r="J1587" s="8" t="n"/>
      <c r="K1587" s="7" t="inlineStr">
        <is>
          <t>SEM COTAÇÃO</t>
        </is>
      </c>
      <c r="L1587" s="8" t="n"/>
      <c r="M1587" s="12" t="n"/>
      <c r="N1587" s="7" t="inlineStr"/>
      <c r="O1587" s="7" t="inlineStr"/>
    </row>
    <row r="1588">
      <c r="A1588" s="7" t="n">
        <v>393461</v>
      </c>
      <c r="B1588" s="10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1" t="n">
        <v>13</v>
      </c>
      <c r="G1588" s="11" t="n">
        <v>13</v>
      </c>
      <c r="H1588" s="8" t="n">
        <v>10.65</v>
      </c>
      <c r="I1588" s="8" t="n">
        <v>10.65</v>
      </c>
      <c r="J1588" s="13" t="n">
        <v>10.65</v>
      </c>
      <c r="K1588" s="7" t="inlineStr">
        <is>
          <t>DIMEC</t>
        </is>
      </c>
      <c r="L1588" s="8" t="n">
        <v>10.65</v>
      </c>
      <c r="M1588" s="12">
        <f>L1588/H1588-1</f>
        <v/>
      </c>
      <c r="N1588" s="15" t="inlineStr">
        <is>
          <t>OK (≤ menor hist.)</t>
        </is>
      </c>
      <c r="O1588" s="7" t="inlineStr"/>
    </row>
    <row r="1589">
      <c r="A1589" s="7" t="n">
        <v>452521</v>
      </c>
      <c r="B1589" s="10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1" t="n">
        <v>1</v>
      </c>
      <c r="G1589" s="11" t="n">
        <v>1</v>
      </c>
      <c r="H1589" s="8" t="n">
        <v>8.99</v>
      </c>
      <c r="I1589" s="8" t="n">
        <v>8.99</v>
      </c>
      <c r="J1589" s="8" t="n"/>
      <c r="K1589" s="7" t="inlineStr">
        <is>
          <t>SEM COTAÇÃO</t>
        </is>
      </c>
      <c r="L1589" s="8" t="n"/>
      <c r="M1589" s="12" t="n"/>
      <c r="N1589" s="7" t="inlineStr"/>
      <c r="O1589" s="7" t="inlineStr"/>
    </row>
    <row r="1590">
      <c r="A1590" s="7" t="n">
        <v>662701</v>
      </c>
      <c r="B1590" s="10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1" t="n">
        <v>1</v>
      </c>
      <c r="G1590" s="11" t="n">
        <v>1</v>
      </c>
      <c r="H1590" s="8" t="n">
        <v>26.4033</v>
      </c>
      <c r="I1590" s="8" t="n">
        <v>26.4033</v>
      </c>
      <c r="J1590" s="8" t="n"/>
      <c r="K1590" s="7" t="inlineStr">
        <is>
          <t>SEM COTAÇÃO</t>
        </is>
      </c>
      <c r="L1590" s="8" t="n"/>
      <c r="M1590" s="12" t="n"/>
      <c r="N1590" s="7" t="inlineStr"/>
      <c r="O1590" s="7" t="inlineStr"/>
    </row>
    <row r="1591">
      <c r="A1591" s="7" t="n">
        <v>575421</v>
      </c>
      <c r="B1591" s="10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1" t="n">
        <v>2</v>
      </c>
      <c r="G1591" s="11" t="n">
        <v>2</v>
      </c>
      <c r="H1591" s="8" t="n">
        <v>13.46</v>
      </c>
      <c r="I1591" s="8" t="n">
        <v>13.46</v>
      </c>
      <c r="J1591" s="8" t="n"/>
      <c r="K1591" s="7" t="inlineStr">
        <is>
          <t>SEM COTAÇÃO</t>
        </is>
      </c>
      <c r="L1591" s="8" t="n"/>
      <c r="M1591" s="12" t="n"/>
      <c r="N1591" s="7" t="inlineStr"/>
      <c r="O1591" s="7" t="inlineStr"/>
    </row>
    <row r="1592">
      <c r="A1592" s="7" t="n">
        <v>629181</v>
      </c>
      <c r="B1592" s="10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1" t="n">
        <v>1</v>
      </c>
      <c r="G1592" s="11" t="n">
        <v>1</v>
      </c>
      <c r="H1592" s="8" t="n">
        <v>19.45</v>
      </c>
      <c r="I1592" s="8" t="n">
        <v>19.45</v>
      </c>
      <c r="J1592" s="8" t="n"/>
      <c r="K1592" s="7" t="inlineStr">
        <is>
          <t>SEM COTAÇÃO</t>
        </is>
      </c>
      <c r="L1592" s="8" t="n"/>
      <c r="M1592" s="12" t="n"/>
      <c r="N1592" s="7" t="inlineStr"/>
      <c r="O1592" s="7" t="inlineStr"/>
    </row>
    <row r="1593">
      <c r="A1593" s="7" t="n">
        <v>232001</v>
      </c>
      <c r="B1593" s="10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1" t="n">
        <v>124</v>
      </c>
      <c r="G1593" s="11" t="n">
        <v>124</v>
      </c>
      <c r="H1593" s="8" t="n">
        <v>8.619999999999999</v>
      </c>
      <c r="I1593" s="8" t="n">
        <v>8.619999999999999</v>
      </c>
      <c r="J1593" s="8" t="n"/>
      <c r="K1593" s="7" t="inlineStr">
        <is>
          <t>SEM COTAÇÃO</t>
        </is>
      </c>
      <c r="L1593" s="8" t="n"/>
      <c r="M1593" s="12" t="n"/>
      <c r="N1593" s="7" t="inlineStr"/>
      <c r="O1593" s="7" t="inlineStr"/>
    </row>
    <row r="1594">
      <c r="A1594" s="7" t="n">
        <v>659051</v>
      </c>
      <c r="B1594" s="10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1" t="n">
        <v>1</v>
      </c>
      <c r="G1594" s="11" t="n">
        <v>1</v>
      </c>
      <c r="H1594" s="8" t="n"/>
      <c r="I1594" s="8" t="n"/>
      <c r="J1594" s="8" t="n"/>
      <c r="K1594" s="7" t="inlineStr">
        <is>
          <t>SEM COTAÇÃO</t>
        </is>
      </c>
      <c r="L1594" s="8" t="n"/>
      <c r="M1594" s="12" t="n"/>
      <c r="N1594" s="7" t="inlineStr"/>
      <c r="O1594" s="7" t="inlineStr"/>
    </row>
    <row r="1595">
      <c r="A1595" s="7" t="n">
        <v>615751</v>
      </c>
      <c r="B1595" s="10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1" t="n">
        <v>1</v>
      </c>
      <c r="G1595" s="11" t="n">
        <v>1</v>
      </c>
      <c r="H1595" s="8" t="n"/>
      <c r="I1595" s="8" t="n"/>
      <c r="J1595" s="8" t="n"/>
      <c r="K1595" s="7" t="inlineStr">
        <is>
          <t>SEM COTAÇÃO</t>
        </is>
      </c>
      <c r="L1595" s="8" t="n"/>
      <c r="M1595" s="12" t="n"/>
      <c r="N1595" s="7" t="inlineStr"/>
      <c r="O1595" s="7" t="inlineStr"/>
    </row>
    <row r="1596">
      <c r="A1596" s="7" t="n">
        <v>624421</v>
      </c>
      <c r="B1596" s="10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1" t="n">
        <v>1</v>
      </c>
      <c r="G1596" s="11" t="n">
        <v>1</v>
      </c>
      <c r="H1596" s="8" t="n">
        <v>7.59</v>
      </c>
      <c r="I1596" s="8" t="n">
        <v>7.59</v>
      </c>
      <c r="J1596" s="8" t="n"/>
      <c r="K1596" s="7" t="inlineStr">
        <is>
          <t>SEM COTAÇÃO</t>
        </is>
      </c>
      <c r="L1596" s="8" t="n"/>
      <c r="M1596" s="12" t="n"/>
      <c r="N1596" s="7" t="inlineStr"/>
      <c r="O1596" s="7" t="inlineStr"/>
    </row>
    <row r="1597">
      <c r="A1597" s="7" t="n">
        <v>613291</v>
      </c>
      <c r="B1597" s="10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1" t="n">
        <v>3</v>
      </c>
      <c r="G1597" s="11" t="n">
        <v>3</v>
      </c>
      <c r="H1597" s="8" t="n">
        <v>2.33</v>
      </c>
      <c r="I1597" s="8" t="n">
        <v>2.33</v>
      </c>
      <c r="J1597" s="8" t="n"/>
      <c r="K1597" s="7" t="inlineStr">
        <is>
          <t>SEM COTAÇÃO</t>
        </is>
      </c>
      <c r="L1597" s="8" t="n"/>
      <c r="M1597" s="12" t="n"/>
      <c r="N1597" s="7" t="inlineStr"/>
      <c r="O1597" s="7" t="inlineStr"/>
    </row>
    <row r="1598">
      <c r="A1598" s="7" t="n">
        <v>657871</v>
      </c>
      <c r="B1598" s="10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1" t="n">
        <v>1</v>
      </c>
      <c r="G1598" s="11" t="n">
        <v>1</v>
      </c>
      <c r="H1598" s="8" t="n">
        <v>2.33</v>
      </c>
      <c r="I1598" s="8" t="n">
        <v>2.33</v>
      </c>
      <c r="J1598" s="8" t="n"/>
      <c r="K1598" s="7" t="inlineStr">
        <is>
          <t>SEM COTAÇÃO</t>
        </is>
      </c>
      <c r="L1598" s="8" t="n"/>
      <c r="M1598" s="12" t="n"/>
      <c r="N1598" s="7" t="inlineStr"/>
      <c r="O1598" s="7" t="inlineStr"/>
    </row>
    <row r="1599">
      <c r="A1599" s="7" t="n">
        <v>30103</v>
      </c>
      <c r="B1599" s="10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1" t="n">
        <v>2</v>
      </c>
      <c r="G1599" s="11" t="n">
        <v>2</v>
      </c>
      <c r="H1599" s="8" t="n">
        <v>2.93</v>
      </c>
      <c r="I1599" s="8" t="n">
        <v>2.93</v>
      </c>
      <c r="J1599" s="8" t="n"/>
      <c r="K1599" s="7" t="inlineStr">
        <is>
          <t>SEM COTAÇÃO</t>
        </is>
      </c>
      <c r="L1599" s="8" t="n"/>
      <c r="M1599" s="12" t="n"/>
      <c r="N1599" s="7" t="inlineStr"/>
      <c r="O1599" s="7" t="inlineStr"/>
    </row>
    <row r="1600">
      <c r="A1600" s="7" t="n">
        <v>602151</v>
      </c>
      <c r="B1600" s="10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1" t="n">
        <v>1</v>
      </c>
      <c r="G1600" s="11" t="n">
        <v>2</v>
      </c>
      <c r="H1600" s="8" t="n">
        <v>23.3</v>
      </c>
      <c r="I1600" s="8" t="n">
        <v>23.3</v>
      </c>
      <c r="J1600" s="8" t="n"/>
      <c r="K1600" s="7" t="inlineStr">
        <is>
          <t>SEM COTAÇÃO</t>
        </is>
      </c>
      <c r="L1600" s="8" t="n"/>
      <c r="M1600" s="12" t="n"/>
      <c r="N1600" s="7" t="inlineStr"/>
      <c r="O1600" s="7" t="inlineStr"/>
    </row>
    <row r="1601">
      <c r="A1601" s="7" t="n">
        <v>29403</v>
      </c>
      <c r="B1601" s="10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1" t="n">
        <v>1</v>
      </c>
      <c r="G1601" s="11" t="n">
        <v>1</v>
      </c>
      <c r="H1601" s="8" t="n">
        <v>3.18</v>
      </c>
      <c r="I1601" s="8" t="n">
        <v>3.18</v>
      </c>
      <c r="J1601" s="8" t="n"/>
      <c r="K1601" s="7" t="inlineStr">
        <is>
          <t>SEM COTAÇÃO</t>
        </is>
      </c>
      <c r="L1601" s="8" t="n"/>
      <c r="M1601" s="12" t="n"/>
      <c r="N1601" s="7" t="inlineStr"/>
      <c r="O1601" s="7" t="inlineStr"/>
    </row>
    <row r="1602">
      <c r="A1602" s="7" t="n">
        <v>666581</v>
      </c>
      <c r="B1602" s="10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1" t="n">
        <v>1</v>
      </c>
      <c r="G1602" s="11" t="n">
        <v>2</v>
      </c>
      <c r="H1602" s="8" t="n">
        <v>2.97</v>
      </c>
      <c r="I1602" s="8" t="n">
        <v>2.97</v>
      </c>
      <c r="J1602" s="8" t="n"/>
      <c r="K1602" s="7" t="inlineStr">
        <is>
          <t>SEM COTAÇÃO</t>
        </is>
      </c>
      <c r="L1602" s="8" t="n"/>
      <c r="M1602" s="12" t="n"/>
      <c r="N1602" s="7" t="inlineStr"/>
      <c r="O1602" s="7" t="inlineStr"/>
    </row>
    <row r="1603">
      <c r="A1603" s="7" t="n">
        <v>654831</v>
      </c>
      <c r="B1603" s="10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1" t="n">
        <v>2</v>
      </c>
      <c r="G1603" s="11" t="n">
        <v>2</v>
      </c>
      <c r="H1603" s="8" t="n">
        <v>5.13</v>
      </c>
      <c r="I1603" s="8" t="n">
        <v>5.13</v>
      </c>
      <c r="J1603" s="8" t="n"/>
      <c r="K1603" s="7" t="inlineStr">
        <is>
          <t>SEM COTAÇÃO</t>
        </is>
      </c>
      <c r="L1603" s="8" t="n"/>
      <c r="M1603" s="12" t="n"/>
      <c r="N1603" s="7" t="inlineStr"/>
      <c r="O1603" s="7" t="inlineStr"/>
    </row>
    <row r="1604">
      <c r="A1604" s="7" t="n">
        <v>654881</v>
      </c>
      <c r="B1604" s="10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1" t="n">
        <v>2</v>
      </c>
      <c r="G1604" s="11" t="n">
        <v>2</v>
      </c>
      <c r="H1604" s="8" t="n">
        <v>5.49</v>
      </c>
      <c r="I1604" s="8" t="n">
        <v>5.13</v>
      </c>
      <c r="J1604" s="8" t="n"/>
      <c r="K1604" s="7" t="inlineStr">
        <is>
          <t>SEM COTAÇÃO</t>
        </is>
      </c>
      <c r="L1604" s="8" t="n"/>
      <c r="M1604" s="12" t="n"/>
      <c r="N1604" s="7" t="inlineStr"/>
      <c r="O1604" s="7" t="inlineStr"/>
    </row>
    <row r="1605">
      <c r="A1605" s="7" t="n">
        <v>654841</v>
      </c>
      <c r="B1605" s="10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1" t="n">
        <v>1</v>
      </c>
      <c r="G1605" s="11" t="n">
        <v>1</v>
      </c>
      <c r="H1605" s="8" t="n">
        <v>4.2</v>
      </c>
      <c r="I1605" s="8" t="n">
        <v>4.2</v>
      </c>
      <c r="J1605" s="8" t="n"/>
      <c r="K1605" s="7" t="inlineStr">
        <is>
          <t>SEM COTAÇÃO</t>
        </is>
      </c>
      <c r="L1605" s="8" t="n"/>
      <c r="M1605" s="12" t="n"/>
      <c r="N1605" s="7" t="inlineStr"/>
      <c r="O1605" s="7" t="inlineStr"/>
    </row>
    <row r="1606">
      <c r="A1606" s="7" t="n">
        <v>665701</v>
      </c>
      <c r="B1606" s="10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1" t="n">
        <v>1</v>
      </c>
      <c r="G1606" s="11" t="n">
        <v>1</v>
      </c>
      <c r="H1606" s="8" t="n">
        <v>5.35</v>
      </c>
      <c r="I1606" s="8" t="n">
        <v>5.35</v>
      </c>
      <c r="J1606" s="8" t="n"/>
      <c r="K1606" s="7" t="inlineStr">
        <is>
          <t>SEM COTAÇÃO</t>
        </is>
      </c>
      <c r="L1606" s="8" t="n"/>
      <c r="M1606" s="12" t="n"/>
      <c r="N1606" s="7" t="inlineStr"/>
      <c r="O1606" s="7" t="inlineStr"/>
    </row>
    <row r="1607">
      <c r="A1607" s="7" t="n">
        <v>665691</v>
      </c>
      <c r="B1607" s="10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1" t="n">
        <v>1</v>
      </c>
      <c r="G1607" s="11" t="n">
        <v>1</v>
      </c>
      <c r="H1607" s="8" t="n">
        <v>4.69</v>
      </c>
      <c r="I1607" s="8" t="n">
        <v>4.69</v>
      </c>
      <c r="J1607" s="8" t="n"/>
      <c r="K1607" s="7" t="inlineStr">
        <is>
          <t>SEM COTAÇÃO</t>
        </is>
      </c>
      <c r="L1607" s="8" t="n"/>
      <c r="M1607" s="12" t="n"/>
      <c r="N1607" s="7" t="inlineStr"/>
      <c r="O1607" s="7" t="inlineStr"/>
    </row>
    <row r="1608">
      <c r="A1608" s="7" t="n">
        <v>665681</v>
      </c>
      <c r="B1608" s="10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1" t="n">
        <v>1</v>
      </c>
      <c r="G1608" s="11" t="n">
        <v>1</v>
      </c>
      <c r="H1608" s="8" t="n">
        <v>4.69</v>
      </c>
      <c r="I1608" s="8" t="n">
        <v>4.69</v>
      </c>
      <c r="J1608" s="8" t="n"/>
      <c r="K1608" s="7" t="inlineStr">
        <is>
          <t>SEM COTAÇÃO</t>
        </is>
      </c>
      <c r="L1608" s="8" t="n"/>
      <c r="M1608" s="12" t="n"/>
      <c r="N1608" s="7" t="inlineStr"/>
      <c r="O1608" s="7" t="inlineStr"/>
    </row>
    <row r="1609">
      <c r="A1609" s="7" t="n">
        <v>665661</v>
      </c>
      <c r="B1609" s="10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1" t="n">
        <v>1</v>
      </c>
      <c r="G1609" s="11" t="n">
        <v>1</v>
      </c>
      <c r="H1609" s="8" t="n">
        <v>6.29</v>
      </c>
      <c r="I1609" s="8" t="n">
        <v>6.29</v>
      </c>
      <c r="J1609" s="8" t="n"/>
      <c r="K1609" s="7" t="inlineStr">
        <is>
          <t>SEM COTAÇÃO</t>
        </is>
      </c>
      <c r="L1609" s="8" t="n"/>
      <c r="M1609" s="12" t="n"/>
      <c r="N1609" s="7" t="inlineStr"/>
      <c r="O1609" s="7" t="inlineStr"/>
    </row>
    <row r="1610">
      <c r="A1610" s="7" t="n">
        <v>665651</v>
      </c>
      <c r="B1610" s="10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1" t="n">
        <v>1</v>
      </c>
      <c r="G1610" s="11" t="n">
        <v>1</v>
      </c>
      <c r="H1610" s="8" t="n">
        <v>6.29</v>
      </c>
      <c r="I1610" s="8" t="n">
        <v>6.29</v>
      </c>
      <c r="J1610" s="8" t="n"/>
      <c r="K1610" s="7" t="inlineStr">
        <is>
          <t>SEM COTAÇÃO</t>
        </is>
      </c>
      <c r="L1610" s="8" t="n"/>
      <c r="M1610" s="12" t="n"/>
      <c r="N1610" s="7" t="inlineStr"/>
      <c r="O1610" s="7" t="inlineStr"/>
    </row>
    <row r="1611">
      <c r="A1611" s="7" t="n">
        <v>665631</v>
      </c>
      <c r="B1611" s="10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1" t="n">
        <v>1</v>
      </c>
      <c r="G1611" s="11" t="n">
        <v>1</v>
      </c>
      <c r="H1611" s="8" t="n">
        <v>6.29</v>
      </c>
      <c r="I1611" s="8" t="n">
        <v>6.29</v>
      </c>
      <c r="J1611" s="8" t="n"/>
      <c r="K1611" s="7" t="inlineStr">
        <is>
          <t>SEM COTAÇÃO</t>
        </is>
      </c>
      <c r="L1611" s="8" t="n"/>
      <c r="M1611" s="12" t="n"/>
      <c r="N1611" s="7" t="inlineStr"/>
      <c r="O1611" s="7" t="inlineStr"/>
    </row>
    <row r="1612">
      <c r="A1612" s="7" t="n">
        <v>665621</v>
      </c>
      <c r="B1612" s="10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1" t="n">
        <v>1</v>
      </c>
      <c r="G1612" s="11" t="n">
        <v>1</v>
      </c>
      <c r="H1612" s="8" t="n">
        <v>6.29</v>
      </c>
      <c r="I1612" s="8" t="n">
        <v>6.29</v>
      </c>
      <c r="J1612" s="8" t="n"/>
      <c r="K1612" s="7" t="inlineStr">
        <is>
          <t>SEM COTAÇÃO</t>
        </is>
      </c>
      <c r="L1612" s="8" t="n"/>
      <c r="M1612" s="12" t="n"/>
      <c r="N1612" s="7" t="inlineStr"/>
      <c r="O1612" s="7" t="inlineStr"/>
    </row>
    <row r="1613">
      <c r="A1613" s="7" t="n">
        <v>665611</v>
      </c>
      <c r="B1613" s="10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1" t="n">
        <v>1</v>
      </c>
      <c r="G1613" s="11" t="n">
        <v>1</v>
      </c>
      <c r="H1613" s="8" t="n">
        <v>6.29</v>
      </c>
      <c r="I1613" s="8" t="n">
        <v>6.29</v>
      </c>
      <c r="J1613" s="8" t="n"/>
      <c r="K1613" s="7" t="inlineStr">
        <is>
          <t>SEM COTAÇÃO</t>
        </is>
      </c>
      <c r="L1613" s="8" t="n"/>
      <c r="M1613" s="12" t="n"/>
      <c r="N1613" s="7" t="inlineStr"/>
      <c r="O1613" s="7" t="inlineStr"/>
    </row>
    <row r="1614">
      <c r="A1614" s="7" t="n">
        <v>661941</v>
      </c>
      <c r="B1614" s="10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1" t="n">
        <v>1</v>
      </c>
      <c r="G1614" s="11" t="n">
        <v>1</v>
      </c>
      <c r="H1614" s="8" t="n"/>
      <c r="I1614" s="8" t="n"/>
      <c r="J1614" s="8" t="n"/>
      <c r="K1614" s="7" t="inlineStr">
        <is>
          <t>SEM COTAÇÃO</t>
        </is>
      </c>
      <c r="L1614" s="8" t="n"/>
      <c r="M1614" s="12" t="n"/>
      <c r="N1614" s="7" t="inlineStr"/>
      <c r="O1614" s="7" t="inlineStr"/>
    </row>
    <row r="1615">
      <c r="A1615" s="7" t="n">
        <v>661951</v>
      </c>
      <c r="B1615" s="10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1" t="n">
        <v>1</v>
      </c>
      <c r="G1615" s="11" t="n">
        <v>1</v>
      </c>
      <c r="H1615" s="8" t="n">
        <v>4.69</v>
      </c>
      <c r="I1615" s="8" t="n">
        <v>4.69</v>
      </c>
      <c r="J1615" s="8" t="n"/>
      <c r="K1615" s="7" t="inlineStr">
        <is>
          <t>SEM COTAÇÃO</t>
        </is>
      </c>
      <c r="L1615" s="8" t="n"/>
      <c r="M1615" s="12" t="n"/>
      <c r="N1615" s="7" t="inlineStr"/>
      <c r="O1615" s="7" t="inlineStr"/>
    </row>
    <row r="1616">
      <c r="A1616" s="7" t="n">
        <v>624411</v>
      </c>
      <c r="B1616" s="10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1" t="n">
        <v>5</v>
      </c>
      <c r="G1616" s="11" t="n">
        <v>5</v>
      </c>
      <c r="H1616" s="8" t="n">
        <v>7.9742</v>
      </c>
      <c r="I1616" s="8" t="n">
        <v>1.5968</v>
      </c>
      <c r="J1616" s="8" t="n"/>
      <c r="K1616" s="7" t="inlineStr">
        <is>
          <t>SEM COTAÇÃO</t>
        </is>
      </c>
      <c r="L1616" s="8" t="n"/>
      <c r="M1616" s="12" t="n"/>
      <c r="N1616" s="7" t="inlineStr"/>
      <c r="O1616" s="7" t="inlineStr"/>
    </row>
    <row r="1617">
      <c r="A1617" s="7" t="n">
        <v>600341</v>
      </c>
      <c r="B1617" s="10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1" t="n">
        <v>1</v>
      </c>
      <c r="G1617" s="11" t="n">
        <v>1</v>
      </c>
      <c r="H1617" s="8" t="n">
        <v>23.76</v>
      </c>
      <c r="I1617" s="8" t="n">
        <v>22.47</v>
      </c>
      <c r="J1617" s="8" t="n"/>
      <c r="K1617" s="7" t="inlineStr">
        <is>
          <t>SEM COTAÇÃO</t>
        </is>
      </c>
      <c r="L1617" s="8" t="n"/>
      <c r="M1617" s="12" t="n"/>
      <c r="N1617" s="7" t="inlineStr"/>
      <c r="O1617" s="7" t="inlineStr"/>
    </row>
    <row r="1618">
      <c r="A1618" s="7" t="n">
        <v>629731</v>
      </c>
      <c r="B1618" s="10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1" t="n">
        <v>1</v>
      </c>
      <c r="G1618" s="11" t="n">
        <v>1</v>
      </c>
      <c r="H1618" s="8" t="n">
        <v>11.94</v>
      </c>
      <c r="I1618" s="8" t="n">
        <v>11.94</v>
      </c>
      <c r="J1618" s="8" t="n"/>
      <c r="K1618" s="7" t="inlineStr">
        <is>
          <t>SEM COTAÇÃO</t>
        </is>
      </c>
      <c r="L1618" s="8" t="n"/>
      <c r="M1618" s="12" t="n"/>
      <c r="N1618" s="7" t="inlineStr"/>
      <c r="O1618" s="7" t="inlineStr"/>
    </row>
    <row r="1619">
      <c r="A1619" s="7" t="n">
        <v>593401</v>
      </c>
      <c r="B1619" s="10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1" t="n">
        <v>1</v>
      </c>
      <c r="G1619" s="11" t="n">
        <v>1</v>
      </c>
      <c r="H1619" s="8" t="n">
        <v>13.3</v>
      </c>
      <c r="I1619" s="8" t="n">
        <v>13.3</v>
      </c>
      <c r="J1619" s="8" t="n"/>
      <c r="K1619" s="7" t="inlineStr">
        <is>
          <t>SEM COTAÇÃO</t>
        </is>
      </c>
      <c r="L1619" s="8" t="n"/>
      <c r="M1619" s="12" t="n"/>
      <c r="N1619" s="7" t="inlineStr"/>
      <c r="O1619" s="7" t="inlineStr"/>
    </row>
    <row r="1620">
      <c r="A1620" s="7" t="n">
        <v>594631</v>
      </c>
      <c r="B1620" s="10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1" t="n">
        <v>1</v>
      </c>
      <c r="G1620" s="11" t="n">
        <v>1</v>
      </c>
      <c r="H1620" s="8" t="n">
        <v>14.51</v>
      </c>
      <c r="I1620" s="8" t="n">
        <v>14.51</v>
      </c>
      <c r="J1620" s="8" t="n"/>
      <c r="K1620" s="7" t="inlineStr">
        <is>
          <t>SEM COTAÇÃO</t>
        </is>
      </c>
      <c r="L1620" s="8" t="n"/>
      <c r="M1620" s="12" t="n"/>
      <c r="N1620" s="7" t="inlineStr"/>
      <c r="O1620" s="7" t="inlineStr"/>
    </row>
    <row r="1621">
      <c r="A1621" s="7" t="n">
        <v>577481</v>
      </c>
      <c r="B1621" s="10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1" t="n">
        <v>1</v>
      </c>
      <c r="G1621" s="11" t="n">
        <v>1</v>
      </c>
      <c r="H1621" s="8" t="n">
        <v>13.25</v>
      </c>
      <c r="I1621" s="8" t="n">
        <v>13.25</v>
      </c>
      <c r="J1621" s="8" t="n"/>
      <c r="K1621" s="7" t="inlineStr">
        <is>
          <t>SEM COTAÇÃO</t>
        </is>
      </c>
      <c r="L1621" s="8" t="n"/>
      <c r="M1621" s="12" t="n"/>
      <c r="N1621" s="7" t="inlineStr"/>
      <c r="O1621" s="7" t="inlineStr"/>
    </row>
    <row r="1622">
      <c r="A1622" s="7" t="n">
        <v>577461</v>
      </c>
      <c r="B1622" s="10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1" t="n">
        <v>1</v>
      </c>
      <c r="G1622" s="11" t="n">
        <v>1</v>
      </c>
      <c r="H1622" s="8" t="n">
        <v>18.4167</v>
      </c>
      <c r="I1622" s="8" t="n">
        <v>18.4167</v>
      </c>
      <c r="J1622" s="8" t="n"/>
      <c r="K1622" s="7" t="inlineStr">
        <is>
          <t>SEM COTAÇÃO</t>
        </is>
      </c>
      <c r="L1622" s="8" t="n"/>
      <c r="M1622" s="12" t="n"/>
      <c r="N1622" s="7" t="inlineStr"/>
      <c r="O1622" s="7" t="inlineStr"/>
    </row>
    <row r="1623">
      <c r="A1623" s="7" t="n">
        <v>556781</v>
      </c>
      <c r="B1623" s="10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1" t="n">
        <v>5</v>
      </c>
      <c r="G1623" s="11" t="n">
        <v>5</v>
      </c>
      <c r="H1623" s="8" t="n">
        <v>13.43</v>
      </c>
      <c r="I1623" s="8" t="n">
        <v>13.43</v>
      </c>
      <c r="J1623" s="8" t="n"/>
      <c r="K1623" s="7" t="inlineStr">
        <is>
          <t>SEM COTAÇÃO</t>
        </is>
      </c>
      <c r="L1623" s="8" t="n"/>
      <c r="M1623" s="12" t="n"/>
      <c r="N1623" s="7" t="inlineStr"/>
      <c r="O1623" s="7" t="inlineStr"/>
    </row>
    <row r="1624">
      <c r="A1624" s="7" t="n">
        <v>579861</v>
      </c>
      <c r="B1624" s="10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1" t="n">
        <v>1</v>
      </c>
      <c r="G1624" s="11" t="n">
        <v>1</v>
      </c>
      <c r="H1624" s="8" t="n">
        <v>12.1</v>
      </c>
      <c r="I1624" s="8" t="n">
        <v>12.1</v>
      </c>
      <c r="J1624" s="8" t="n"/>
      <c r="K1624" s="7" t="inlineStr">
        <is>
          <t>SEM COTAÇÃO</t>
        </is>
      </c>
      <c r="L1624" s="8" t="n"/>
      <c r="M1624" s="12" t="n"/>
      <c r="N1624" s="7" t="inlineStr"/>
      <c r="O1624" s="7" t="inlineStr"/>
    </row>
    <row r="1625">
      <c r="A1625" s="7" t="n">
        <v>599151</v>
      </c>
      <c r="B1625" s="10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1" t="n">
        <v>1</v>
      </c>
      <c r="G1625" s="11" t="n">
        <v>1</v>
      </c>
      <c r="H1625" s="8" t="n">
        <v>23.42</v>
      </c>
      <c r="I1625" s="8" t="n">
        <v>23.42</v>
      </c>
      <c r="J1625" s="8" t="n"/>
      <c r="K1625" s="7" t="inlineStr">
        <is>
          <t>SEM COTAÇÃO</t>
        </is>
      </c>
      <c r="L1625" s="8" t="n"/>
      <c r="M1625" s="12" t="n"/>
      <c r="N1625" s="7" t="inlineStr"/>
      <c r="O1625" s="7" t="inlineStr"/>
    </row>
    <row r="1626">
      <c r="A1626" s="7" t="n">
        <v>646151</v>
      </c>
      <c r="B1626" s="10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1" t="n">
        <v>1</v>
      </c>
      <c r="G1626" s="11" t="n">
        <v>2</v>
      </c>
      <c r="H1626" s="8" t="n">
        <v>3.73</v>
      </c>
      <c r="I1626" s="8" t="n">
        <v>3.0125</v>
      </c>
      <c r="J1626" s="8" t="n"/>
      <c r="K1626" s="7" t="inlineStr">
        <is>
          <t>SEM COTAÇÃO</t>
        </is>
      </c>
      <c r="L1626" s="8" t="n"/>
      <c r="M1626" s="12" t="n"/>
      <c r="N1626" s="7" t="inlineStr"/>
      <c r="O1626" s="7" t="inlineStr"/>
    </row>
    <row r="1627">
      <c r="A1627" s="7" t="n">
        <v>15</v>
      </c>
      <c r="B1627" s="10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1" t="n">
        <v>100</v>
      </c>
      <c r="G1627" s="11" t="n">
        <v>100</v>
      </c>
      <c r="H1627" s="8" t="n"/>
      <c r="I1627" s="8" t="n"/>
      <c r="J1627" s="8" t="n"/>
      <c r="K1627" s="7" t="inlineStr">
        <is>
          <t>SEM COTAÇÃO</t>
        </is>
      </c>
      <c r="L1627" s="8" t="n"/>
      <c r="M1627" s="12" t="n"/>
      <c r="N1627" s="7" t="inlineStr"/>
      <c r="O1627" s="7" t="inlineStr"/>
    </row>
    <row r="1628">
      <c r="A1628" s="7" t="n">
        <v>646221</v>
      </c>
      <c r="B1628" s="10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1" t="n">
        <v>1</v>
      </c>
      <c r="G1628" s="11" t="n">
        <v>1</v>
      </c>
      <c r="H1628" s="8" t="n">
        <v>64.6925</v>
      </c>
      <c r="I1628" s="8" t="n">
        <v>64.6925</v>
      </c>
      <c r="J1628" s="8" t="n"/>
      <c r="K1628" s="7" t="inlineStr">
        <is>
          <t>SEM COTAÇÃO</t>
        </is>
      </c>
      <c r="L1628" s="8" t="n"/>
      <c r="M1628" s="12" t="n"/>
      <c r="N1628" s="7" t="inlineStr"/>
      <c r="O1628" s="7" t="inlineStr"/>
    </row>
    <row r="1629">
      <c r="A1629" s="7" t="n">
        <v>604941</v>
      </c>
      <c r="B1629" s="10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1" t="n">
        <v>1</v>
      </c>
      <c r="G1629" s="11" t="n">
        <v>1</v>
      </c>
      <c r="H1629" s="8" t="n">
        <v>18.9925</v>
      </c>
      <c r="I1629" s="8" t="n">
        <v>18.9925</v>
      </c>
      <c r="J1629" s="13" t="n">
        <v>23.73</v>
      </c>
      <c r="K1629" s="7" t="inlineStr">
        <is>
          <t>DIMEC</t>
        </is>
      </c>
      <c r="L1629" s="8" t="n">
        <v>23.73</v>
      </c>
      <c r="M1629" s="12">
        <f>L1629/H1629-1</f>
        <v/>
      </c>
      <c r="N1629" s="14" t="inlineStr">
        <is>
          <t>ACIMA +24.9%</t>
        </is>
      </c>
      <c r="O1629" s="7" t="inlineStr"/>
    </row>
    <row r="1630">
      <c r="A1630" s="7" t="n">
        <v>604911</v>
      </c>
      <c r="B1630" s="10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1" t="n">
        <v>5</v>
      </c>
      <c r="G1630" s="11" t="n">
        <v>5</v>
      </c>
      <c r="H1630" s="8" t="n">
        <v>31.79</v>
      </c>
      <c r="I1630" s="8" t="n">
        <v>31.79</v>
      </c>
      <c r="J1630" s="8" t="n"/>
      <c r="K1630" s="7" t="inlineStr">
        <is>
          <t>SEM COTAÇÃO</t>
        </is>
      </c>
      <c r="L1630" s="8" t="n"/>
      <c r="M1630" s="12" t="n"/>
      <c r="N1630" s="7" t="inlineStr"/>
      <c r="O1630" s="7" t="inlineStr"/>
    </row>
    <row r="1631">
      <c r="A1631" s="7" t="n">
        <v>1194</v>
      </c>
      <c r="B1631" s="10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1" t="n">
        <v>1</v>
      </c>
      <c r="G1631" s="11" t="n">
        <v>1</v>
      </c>
      <c r="H1631" s="8" t="n">
        <v>47.8733</v>
      </c>
      <c r="I1631" s="8" t="n">
        <v>47.8733</v>
      </c>
      <c r="J1631" s="8" t="n"/>
      <c r="K1631" s="7" t="inlineStr">
        <is>
          <t>SEM COTAÇÃO</t>
        </is>
      </c>
      <c r="L1631" s="8" t="n"/>
      <c r="M1631" s="12" t="n"/>
      <c r="N1631" s="7" t="inlineStr"/>
      <c r="O1631" s="7" t="inlineStr"/>
    </row>
    <row r="1632">
      <c r="A1632" s="7" t="n">
        <v>604981</v>
      </c>
      <c r="B1632" s="10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1" t="n">
        <v>1</v>
      </c>
      <c r="G1632" s="11" t="n">
        <v>1</v>
      </c>
      <c r="H1632" s="8" t="n">
        <v>46.12</v>
      </c>
      <c r="I1632" s="8" t="n">
        <v>46.12</v>
      </c>
      <c r="J1632" s="8" t="n"/>
      <c r="K1632" s="7" t="inlineStr">
        <is>
          <t>SEM COTAÇÃO</t>
        </is>
      </c>
      <c r="L1632" s="8" t="n"/>
      <c r="M1632" s="12" t="n"/>
      <c r="N1632" s="7" t="inlineStr"/>
      <c r="O1632" s="7" t="inlineStr"/>
    </row>
    <row r="1633">
      <c r="A1633" s="7" t="n">
        <v>631191</v>
      </c>
      <c r="B1633" s="10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1" t="n">
        <v>1</v>
      </c>
      <c r="G1633" s="11" t="n">
        <v>1</v>
      </c>
      <c r="H1633" s="8" t="n">
        <v>77.16</v>
      </c>
      <c r="I1633" s="8" t="n">
        <v>77.16</v>
      </c>
      <c r="J1633" s="8" t="n"/>
      <c r="K1633" s="7" t="inlineStr">
        <is>
          <t>SEM COTAÇÃO</t>
        </is>
      </c>
      <c r="L1633" s="8" t="n"/>
      <c r="M1633" s="12" t="n"/>
      <c r="N1633" s="7" t="inlineStr"/>
      <c r="O1633" s="7" t="inlineStr"/>
    </row>
    <row r="1634">
      <c r="A1634" s="7" t="n">
        <v>630341</v>
      </c>
      <c r="B1634" s="10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1" t="n">
        <v>1</v>
      </c>
      <c r="G1634" s="11" t="n">
        <v>1</v>
      </c>
      <c r="H1634" s="8" t="n">
        <v>68.1833</v>
      </c>
      <c r="I1634" s="8" t="n">
        <v>68.1833</v>
      </c>
      <c r="J1634" s="8" t="n"/>
      <c r="K1634" s="7" t="inlineStr">
        <is>
          <t>SEM COTAÇÃO</t>
        </is>
      </c>
      <c r="L1634" s="8" t="n"/>
      <c r="M1634" s="12" t="n"/>
      <c r="N1634" s="7" t="inlineStr"/>
      <c r="O1634" s="7" t="inlineStr"/>
    </row>
    <row r="1635">
      <c r="A1635" s="7" t="n">
        <v>613351</v>
      </c>
      <c r="B1635" s="10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1" t="n">
        <v>2</v>
      </c>
      <c r="G1635" s="11" t="n">
        <v>2</v>
      </c>
      <c r="H1635" s="8" t="n">
        <v>42.96</v>
      </c>
      <c r="I1635" s="8" t="n">
        <v>42.96</v>
      </c>
      <c r="J1635" s="8" t="n"/>
      <c r="K1635" s="7" t="inlineStr">
        <is>
          <t>SEM COTAÇÃO</t>
        </is>
      </c>
      <c r="L1635" s="8" t="n"/>
      <c r="M1635" s="12" t="n"/>
      <c r="N1635" s="7" t="inlineStr"/>
      <c r="O1635" s="7" t="inlineStr"/>
    </row>
    <row r="1636">
      <c r="A1636" s="7" t="n">
        <v>630291</v>
      </c>
      <c r="B1636" s="10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1" t="n">
        <v>2</v>
      </c>
      <c r="G1636" s="11" t="n">
        <v>2</v>
      </c>
      <c r="H1636" s="8" t="n">
        <v>39.82</v>
      </c>
      <c r="I1636" s="8" t="n">
        <v>39.82</v>
      </c>
      <c r="J1636" s="8" t="n"/>
      <c r="K1636" s="7" t="inlineStr">
        <is>
          <t>SEM COTAÇÃO</t>
        </is>
      </c>
      <c r="L1636" s="8" t="n"/>
      <c r="M1636" s="12" t="n"/>
      <c r="N1636" s="7" t="inlineStr"/>
      <c r="O1636" s="7" t="inlineStr"/>
    </row>
    <row r="1637">
      <c r="A1637" s="7" t="n">
        <v>630301</v>
      </c>
      <c r="B1637" s="10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1" t="n">
        <v>1</v>
      </c>
      <c r="G1637" s="11" t="n">
        <v>1</v>
      </c>
      <c r="H1637" s="8" t="n">
        <v>39.82</v>
      </c>
      <c r="I1637" s="8" t="n">
        <v>39.82</v>
      </c>
      <c r="J1637" s="8" t="n"/>
      <c r="K1637" s="7" t="inlineStr">
        <is>
          <t>SEM COTAÇÃO</t>
        </is>
      </c>
      <c r="L1637" s="8" t="n"/>
      <c r="M1637" s="12" t="n"/>
      <c r="N1637" s="7" t="inlineStr"/>
      <c r="O1637" s="7" t="inlineStr"/>
    </row>
    <row r="1638">
      <c r="A1638" s="7" t="n">
        <v>646231</v>
      </c>
      <c r="B1638" s="10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1" t="n">
        <v>3</v>
      </c>
      <c r="G1638" s="11" t="n">
        <v>3</v>
      </c>
      <c r="H1638" s="8" t="n">
        <v>8.300000000000001</v>
      </c>
      <c r="I1638" s="8" t="n">
        <v>8.300000000000001</v>
      </c>
      <c r="J1638" s="8" t="n"/>
      <c r="K1638" s="7" t="inlineStr">
        <is>
          <t>SEM COTAÇÃO</t>
        </is>
      </c>
      <c r="L1638" s="8" t="n"/>
      <c r="M1638" s="12" t="n"/>
      <c r="N1638" s="7" t="inlineStr"/>
      <c r="O1638" s="7" t="inlineStr"/>
    </row>
    <row r="1639">
      <c r="A1639" s="7" t="n">
        <v>631181</v>
      </c>
      <c r="B1639" s="10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1" t="n">
        <v>1</v>
      </c>
      <c r="G1639" s="11" t="n">
        <v>1</v>
      </c>
      <c r="H1639" s="8" t="n">
        <v>20.9</v>
      </c>
      <c r="I1639" s="8" t="n">
        <v>20.9</v>
      </c>
      <c r="J1639" s="8" t="n"/>
      <c r="K1639" s="7" t="inlineStr">
        <is>
          <t>SEM COTAÇÃO</t>
        </is>
      </c>
      <c r="L1639" s="8" t="n"/>
      <c r="M1639" s="12" t="n"/>
      <c r="N1639" s="7" t="inlineStr"/>
      <c r="O1639" s="7" t="inlineStr"/>
    </row>
    <row r="1640">
      <c r="A1640" s="7" t="n">
        <v>604961</v>
      </c>
      <c r="B1640" s="10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1" t="n">
        <v>2</v>
      </c>
      <c r="G1640" s="11" t="n">
        <v>2</v>
      </c>
      <c r="H1640" s="8" t="n">
        <v>17.455</v>
      </c>
      <c r="I1640" s="8" t="n">
        <v>17.455</v>
      </c>
      <c r="J1640" s="8" t="n"/>
      <c r="K1640" s="7" t="inlineStr">
        <is>
          <t>SEM COTAÇÃO</t>
        </is>
      </c>
      <c r="L1640" s="8" t="n"/>
      <c r="M1640" s="12" t="n"/>
      <c r="N1640" s="7" t="inlineStr"/>
      <c r="O1640" s="7" t="inlineStr"/>
    </row>
    <row r="1641">
      <c r="A1641" s="7" t="n">
        <v>623691</v>
      </c>
      <c r="B1641" s="10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1" t="n">
        <v>4</v>
      </c>
      <c r="G1641" s="11" t="n">
        <v>4</v>
      </c>
      <c r="H1641" s="8" t="n">
        <v>9.81</v>
      </c>
      <c r="I1641" s="8" t="n">
        <v>9.56</v>
      </c>
      <c r="J1641" s="8" t="n"/>
      <c r="K1641" s="7" t="inlineStr">
        <is>
          <t>SEM COTAÇÃO</t>
        </is>
      </c>
      <c r="L1641" s="8" t="n"/>
      <c r="M1641" s="12" t="n"/>
      <c r="N1641" s="7" t="inlineStr"/>
      <c r="O1641" s="7" t="inlineStr"/>
    </row>
    <row r="1642">
      <c r="A1642" s="7" t="n">
        <v>611991</v>
      </c>
      <c r="B1642" s="10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1" t="n">
        <v>5</v>
      </c>
      <c r="G1642" s="11" t="n">
        <v>5</v>
      </c>
      <c r="H1642" s="8" t="n">
        <v>1.49</v>
      </c>
      <c r="I1642" s="8" t="n">
        <v>1.49</v>
      </c>
      <c r="J1642" s="13" t="n">
        <v>0.9</v>
      </c>
      <c r="K1642" s="7" t="inlineStr">
        <is>
          <t>DIMEC</t>
        </is>
      </c>
      <c r="L1642" s="8" t="n">
        <v>0.9</v>
      </c>
      <c r="M1642" s="12">
        <f>L1642/H1642-1</f>
        <v/>
      </c>
      <c r="N1642" s="15" t="inlineStr">
        <is>
          <t>OK (≤ menor hist.)</t>
        </is>
      </c>
      <c r="O1642" s="7" t="inlineStr"/>
    </row>
    <row r="1643">
      <c r="A1643" s="7" t="n">
        <v>645261</v>
      </c>
      <c r="B1643" s="10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1" t="n">
        <v>5</v>
      </c>
      <c r="G1643" s="11" t="n">
        <v>5</v>
      </c>
      <c r="H1643" s="8" t="n">
        <v>20.07</v>
      </c>
      <c r="I1643" s="8" t="n">
        <v>20.07</v>
      </c>
      <c r="J1643" s="8" t="n"/>
      <c r="K1643" s="7" t="inlineStr">
        <is>
          <t>SEM COTAÇÃO</t>
        </is>
      </c>
      <c r="L1643" s="8" t="n"/>
      <c r="M1643" s="12" t="n"/>
      <c r="N1643" s="7" t="inlineStr"/>
      <c r="O1643" s="7" t="inlineStr"/>
    </row>
    <row r="1644">
      <c r="A1644" s="7" t="n">
        <v>633971</v>
      </c>
      <c r="B1644" s="10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1" t="n">
        <v>4</v>
      </c>
      <c r="G1644" s="11" t="n">
        <v>4</v>
      </c>
      <c r="H1644" s="8" t="n">
        <v>2.75</v>
      </c>
      <c r="I1644" s="8" t="n">
        <v>2.75</v>
      </c>
      <c r="J1644" s="8" t="n"/>
      <c r="K1644" s="7" t="inlineStr">
        <is>
          <t>SEM COTAÇÃO</t>
        </is>
      </c>
      <c r="L1644" s="8" t="n"/>
      <c r="M1644" s="12" t="n"/>
      <c r="N1644" s="7" t="inlineStr"/>
      <c r="O1644" s="7" t="inlineStr"/>
    </row>
    <row r="1645">
      <c r="A1645" s="7" t="n">
        <v>629711</v>
      </c>
      <c r="B1645" s="10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1" t="n">
        <v>2</v>
      </c>
      <c r="G1645" s="11" t="n">
        <v>2</v>
      </c>
      <c r="H1645" s="8" t="n">
        <v>9.779999999999999</v>
      </c>
      <c r="I1645" s="8" t="n">
        <v>9.779999999999999</v>
      </c>
      <c r="J1645" s="8" t="n"/>
      <c r="K1645" s="7" t="inlineStr">
        <is>
          <t>SEM COTAÇÃO</t>
        </is>
      </c>
      <c r="L1645" s="8" t="n"/>
      <c r="M1645" s="12" t="n"/>
      <c r="N1645" s="7" t="inlineStr"/>
      <c r="O1645" s="7" t="inlineStr"/>
    </row>
    <row r="1646">
      <c r="A1646" s="7" t="n">
        <v>654111</v>
      </c>
      <c r="B1646" s="10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1" t="n">
        <v>4</v>
      </c>
      <c r="G1646" s="11" t="n">
        <v>4</v>
      </c>
      <c r="H1646" s="8" t="n">
        <v>2.98</v>
      </c>
      <c r="I1646" s="8" t="n">
        <v>2.98</v>
      </c>
      <c r="J1646" s="8" t="n"/>
      <c r="K1646" s="7" t="inlineStr">
        <is>
          <t>SEM COTAÇÃO</t>
        </is>
      </c>
      <c r="L1646" s="8" t="n"/>
      <c r="M1646" s="12" t="n"/>
      <c r="N1646" s="7" t="inlineStr"/>
      <c r="O1646" s="7" t="inlineStr"/>
    </row>
    <row r="1647">
      <c r="A1647" s="7" t="n">
        <v>654101</v>
      </c>
      <c r="B1647" s="10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1" t="n">
        <v>3</v>
      </c>
      <c r="G1647" s="11" t="n">
        <v>3</v>
      </c>
      <c r="H1647" s="8" t="n">
        <v>2.98</v>
      </c>
      <c r="I1647" s="8" t="n">
        <v>2.98</v>
      </c>
      <c r="J1647" s="8" t="n"/>
      <c r="K1647" s="7" t="inlineStr">
        <is>
          <t>SEM COTAÇÃO</t>
        </is>
      </c>
      <c r="L1647" s="8" t="n"/>
      <c r="M1647" s="12" t="n"/>
      <c r="N1647" s="7" t="inlineStr"/>
      <c r="O1647" s="7" t="inlineStr"/>
    </row>
    <row r="1648">
      <c r="A1648" s="7" t="n">
        <v>654091</v>
      </c>
      <c r="B1648" s="10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1" t="n">
        <v>2</v>
      </c>
      <c r="G1648" s="11" t="n">
        <v>2</v>
      </c>
      <c r="H1648" s="8" t="n">
        <v>6.8</v>
      </c>
      <c r="I1648" s="8" t="n">
        <v>6.8</v>
      </c>
      <c r="J1648" s="8" t="n"/>
      <c r="K1648" s="7" t="inlineStr">
        <is>
          <t>SEM COTAÇÃO</t>
        </is>
      </c>
      <c r="L1648" s="8" t="n"/>
      <c r="M1648" s="12" t="n"/>
      <c r="N1648" s="7" t="inlineStr"/>
      <c r="O1648" s="7" t="inlineStr"/>
    </row>
    <row r="1649">
      <c r="A1649" s="7" t="n">
        <v>633981</v>
      </c>
      <c r="B1649" s="10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1" t="n">
        <v>6</v>
      </c>
      <c r="G1649" s="11" t="n">
        <v>6</v>
      </c>
      <c r="H1649" s="8" t="n">
        <v>3.0383</v>
      </c>
      <c r="I1649" s="8" t="n">
        <v>3.0383</v>
      </c>
      <c r="J1649" s="8" t="n"/>
      <c r="K1649" s="7" t="inlineStr">
        <is>
          <t>SEM COTAÇÃO</t>
        </is>
      </c>
      <c r="L1649" s="8" t="n"/>
      <c r="M1649" s="12" t="n"/>
      <c r="N1649" s="7" t="inlineStr"/>
      <c r="O1649" s="7" t="inlineStr"/>
    </row>
    <row r="1650">
      <c r="A1650" s="7" t="n">
        <v>594331</v>
      </c>
      <c r="B1650" s="10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1" t="n">
        <v>1</v>
      </c>
      <c r="G1650" s="11" t="n">
        <v>1</v>
      </c>
      <c r="H1650" s="8" t="n">
        <v>21.99</v>
      </c>
      <c r="I1650" s="8" t="n">
        <v>21.99</v>
      </c>
      <c r="J1650" s="8" t="n"/>
      <c r="K1650" s="7" t="inlineStr">
        <is>
          <t>SEM COTAÇÃO</t>
        </is>
      </c>
      <c r="L1650" s="8" t="n"/>
      <c r="M1650" s="12" t="n"/>
      <c r="N1650" s="7" t="inlineStr"/>
      <c r="O1650" s="7" t="inlineStr"/>
    </row>
    <row r="1651">
      <c r="A1651" s="7" t="n">
        <v>577421</v>
      </c>
      <c r="B1651" s="10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1" t="n">
        <v>1</v>
      </c>
      <c r="G1651" s="11" t="n">
        <v>1</v>
      </c>
      <c r="H1651" s="8" t="n">
        <v>16.53</v>
      </c>
      <c r="I1651" s="8" t="n">
        <v>16.53</v>
      </c>
      <c r="J1651" s="8" t="n"/>
      <c r="K1651" s="7" t="inlineStr">
        <is>
          <t>SEM COTAÇÃO</t>
        </is>
      </c>
      <c r="L1651" s="8" t="n"/>
      <c r="M1651" s="12" t="n"/>
      <c r="N1651" s="7" t="inlineStr"/>
      <c r="O1651" s="7" t="inlineStr"/>
    </row>
    <row r="1652">
      <c r="A1652" s="7" t="n">
        <v>585101</v>
      </c>
      <c r="B1652" s="10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1" t="n">
        <v>1</v>
      </c>
      <c r="G1652" s="11" t="n">
        <v>1</v>
      </c>
      <c r="H1652" s="8" t="n">
        <v>10.64</v>
      </c>
      <c r="I1652" s="8" t="n">
        <v>10.36</v>
      </c>
      <c r="J1652" s="8" t="n"/>
      <c r="K1652" s="7" t="inlineStr">
        <is>
          <t>SEM COTAÇÃO</t>
        </is>
      </c>
      <c r="L1652" s="8" t="n"/>
      <c r="M1652" s="12" t="n"/>
      <c r="N1652" s="7" t="inlineStr"/>
      <c r="O1652" s="7" t="inlineStr"/>
    </row>
    <row r="1653">
      <c r="A1653" s="7" t="n">
        <v>646911</v>
      </c>
      <c r="B1653" s="10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1" t="n">
        <v>1</v>
      </c>
      <c r="G1653" s="11" t="n">
        <v>1</v>
      </c>
      <c r="H1653" s="8" t="n">
        <v>9.1867</v>
      </c>
      <c r="I1653" s="8" t="n">
        <v>9.1867</v>
      </c>
      <c r="J1653" s="8" t="n"/>
      <c r="K1653" s="7" t="inlineStr">
        <is>
          <t>SEM COTAÇÃO</t>
        </is>
      </c>
      <c r="L1653" s="8" t="n"/>
      <c r="M1653" s="12" t="n"/>
      <c r="N1653" s="7" t="inlineStr"/>
      <c r="O1653" s="7" t="inlineStr"/>
    </row>
    <row r="1654">
      <c r="A1654" s="7" t="n">
        <v>617221</v>
      </c>
      <c r="B1654" s="10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1" t="n">
        <v>2</v>
      </c>
      <c r="G1654" s="11" t="n">
        <v>2</v>
      </c>
      <c r="H1654" s="8" t="n">
        <v>12.6067</v>
      </c>
      <c r="I1654" s="8" t="n">
        <v>12.6067</v>
      </c>
      <c r="J1654" s="8" t="n"/>
      <c r="K1654" s="7" t="inlineStr">
        <is>
          <t>SEM COTAÇÃO</t>
        </is>
      </c>
      <c r="L1654" s="8" t="n"/>
      <c r="M1654" s="12" t="n"/>
      <c r="N1654" s="7" t="inlineStr"/>
      <c r="O1654" s="7" t="inlineStr"/>
    </row>
    <row r="1655">
      <c r="A1655" s="7" t="n">
        <v>632391</v>
      </c>
      <c r="B1655" s="10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1" t="n">
        <v>1</v>
      </c>
      <c r="G1655" s="11" t="n">
        <v>1</v>
      </c>
      <c r="H1655" s="8" t="n">
        <v>14.51</v>
      </c>
      <c r="I1655" s="8" t="n">
        <v>14.51</v>
      </c>
      <c r="J1655" s="8" t="n"/>
      <c r="K1655" s="7" t="inlineStr">
        <is>
          <t>SEM COTAÇÃO</t>
        </is>
      </c>
      <c r="L1655" s="8" t="n"/>
      <c r="M1655" s="12" t="n"/>
      <c r="N1655" s="7" t="inlineStr"/>
      <c r="O1655" s="7" t="inlineStr"/>
    </row>
    <row r="1656">
      <c r="A1656" s="7" t="n">
        <v>632341</v>
      </c>
      <c r="B1656" s="10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1" t="n">
        <v>1</v>
      </c>
      <c r="G1656" s="11" t="n">
        <v>1</v>
      </c>
      <c r="H1656" s="8" t="n">
        <v>20.42</v>
      </c>
      <c r="I1656" s="8" t="n">
        <v>20.42</v>
      </c>
      <c r="J1656" s="8" t="n"/>
      <c r="K1656" s="7" t="inlineStr">
        <is>
          <t>SEM COTAÇÃO</t>
        </is>
      </c>
      <c r="L1656" s="8" t="n"/>
      <c r="M1656" s="12" t="n"/>
      <c r="N1656" s="7" t="inlineStr"/>
      <c r="O1656" s="7" t="inlineStr"/>
    </row>
    <row r="1657">
      <c r="A1657" s="7" t="n">
        <v>632331</v>
      </c>
      <c r="B1657" s="10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1" t="n">
        <v>1</v>
      </c>
      <c r="G1657" s="11" t="n">
        <v>1</v>
      </c>
      <c r="H1657" s="8" t="n">
        <v>15.65</v>
      </c>
      <c r="I1657" s="8" t="n">
        <v>15.65</v>
      </c>
      <c r="J1657" s="8" t="n"/>
      <c r="K1657" s="7" t="inlineStr">
        <is>
          <t>SEM COTAÇÃO</t>
        </is>
      </c>
      <c r="L1657" s="8" t="n"/>
      <c r="M1657" s="12" t="n"/>
      <c r="N1657" s="7" t="inlineStr"/>
      <c r="O1657" s="7" t="inlineStr"/>
    </row>
    <row r="1658">
      <c r="A1658" s="7" t="n">
        <v>629681</v>
      </c>
      <c r="B1658" s="10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1" t="n">
        <v>1</v>
      </c>
      <c r="G1658" s="11" t="n">
        <v>1</v>
      </c>
      <c r="H1658" s="8" t="n">
        <v>2.95</v>
      </c>
      <c r="I1658" s="8" t="n">
        <v>2.95</v>
      </c>
      <c r="J1658" s="8" t="n"/>
      <c r="K1658" s="7" t="inlineStr">
        <is>
          <t>SEM COTAÇÃO</t>
        </is>
      </c>
      <c r="L1658" s="8" t="n"/>
      <c r="M1658" s="12" t="n"/>
      <c r="N1658" s="7" t="inlineStr"/>
      <c r="O1658" s="7" t="inlineStr"/>
    </row>
    <row r="1659">
      <c r="A1659" s="7" t="n">
        <v>608101</v>
      </c>
      <c r="B1659" s="10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1" t="n">
        <v>1</v>
      </c>
      <c r="G1659" s="11" t="n">
        <v>1</v>
      </c>
      <c r="H1659" s="8" t="n">
        <v>2.4</v>
      </c>
      <c r="I1659" s="8" t="n">
        <v>2.4</v>
      </c>
      <c r="J1659" s="8" t="n"/>
      <c r="K1659" s="7" t="inlineStr">
        <is>
          <t>SEM COTAÇÃO</t>
        </is>
      </c>
      <c r="L1659" s="8" t="n"/>
      <c r="M1659" s="12" t="n"/>
      <c r="N1659" s="7" t="inlineStr"/>
      <c r="O1659" s="7" t="inlineStr"/>
    </row>
    <row r="1660">
      <c r="A1660" s="7" t="n">
        <v>612831</v>
      </c>
      <c r="B1660" s="10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1" t="n">
        <v>3</v>
      </c>
      <c r="G1660" s="11" t="n">
        <v>3</v>
      </c>
      <c r="H1660" s="8" t="n">
        <v>2.95</v>
      </c>
      <c r="I1660" s="8" t="n">
        <v>2.95</v>
      </c>
      <c r="J1660" s="8" t="n"/>
      <c r="K1660" s="7" t="inlineStr">
        <is>
          <t>SEM COTAÇÃO</t>
        </is>
      </c>
      <c r="L1660" s="8" t="n"/>
      <c r="M1660" s="12" t="n"/>
      <c r="N1660" s="7" t="inlineStr"/>
      <c r="O1660" s="7" t="inlineStr"/>
    </row>
    <row r="1661">
      <c r="A1661" s="7" t="n">
        <v>612821</v>
      </c>
      <c r="B1661" s="10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1" t="n">
        <v>7</v>
      </c>
      <c r="G1661" s="11" t="n">
        <v>7</v>
      </c>
      <c r="H1661" s="8" t="n">
        <v>7.79</v>
      </c>
      <c r="I1661" s="8" t="n">
        <v>7.36</v>
      </c>
      <c r="J1661" s="8" t="n"/>
      <c r="K1661" s="7" t="inlineStr">
        <is>
          <t>SEM COTAÇÃO</t>
        </is>
      </c>
      <c r="L1661" s="8" t="n"/>
      <c r="M1661" s="12" t="n"/>
      <c r="N1661" s="7" t="inlineStr"/>
      <c r="O1661" s="7" t="inlineStr"/>
    </row>
    <row r="1662">
      <c r="A1662" s="7" t="n">
        <v>620981</v>
      </c>
      <c r="B1662" s="10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1" t="n">
        <v>2</v>
      </c>
      <c r="G1662" s="11" t="n">
        <v>2</v>
      </c>
      <c r="H1662" s="8" t="n">
        <v>11.95</v>
      </c>
      <c r="I1662" s="8" t="n">
        <v>11.95</v>
      </c>
      <c r="J1662" s="8" t="n"/>
      <c r="K1662" s="7" t="inlineStr">
        <is>
          <t>SEM COTAÇÃO</t>
        </is>
      </c>
      <c r="L1662" s="8" t="n"/>
      <c r="M1662" s="12" t="n"/>
      <c r="N1662" s="7" t="inlineStr"/>
      <c r="O1662" s="7" t="inlineStr"/>
    </row>
    <row r="1663">
      <c r="A1663" s="7" t="n">
        <v>484</v>
      </c>
      <c r="B1663" s="10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1" t="n">
        <v>1</v>
      </c>
      <c r="G1663" s="11" t="n">
        <v>1</v>
      </c>
      <c r="H1663" s="8" t="n">
        <v>6.4283</v>
      </c>
      <c r="I1663" s="8" t="n">
        <v>6.4283</v>
      </c>
      <c r="J1663" s="8" t="n"/>
      <c r="K1663" s="7" t="inlineStr">
        <is>
          <t>SEM COTAÇÃO</t>
        </is>
      </c>
      <c r="L1663" s="8" t="n"/>
      <c r="M1663" s="12" t="n"/>
      <c r="N1663" s="7" t="inlineStr"/>
      <c r="O1663" s="7" t="inlineStr"/>
    </row>
    <row r="1664">
      <c r="A1664" s="7" t="n">
        <v>264</v>
      </c>
      <c r="B1664" s="10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1" t="n">
        <v>1</v>
      </c>
      <c r="G1664" s="11" t="n">
        <v>1</v>
      </c>
      <c r="H1664" s="8" t="n"/>
      <c r="I1664" s="8" t="n"/>
      <c r="J1664" s="8" t="n"/>
      <c r="K1664" s="7" t="inlineStr">
        <is>
          <t>SEM COTAÇÃO</t>
        </is>
      </c>
      <c r="L1664" s="8" t="n"/>
      <c r="M1664" s="12" t="n"/>
      <c r="N1664" s="7" t="inlineStr"/>
      <c r="O1664" s="7" t="inlineStr"/>
    </row>
    <row r="1665">
      <c r="A1665" s="7" t="n">
        <v>559621</v>
      </c>
      <c r="B1665" s="10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1" t="n">
        <v>1</v>
      </c>
      <c r="G1665" s="11" t="n">
        <v>1</v>
      </c>
      <c r="H1665" s="8" t="n">
        <v>10.97</v>
      </c>
      <c r="I1665" s="8" t="n">
        <v>10.97</v>
      </c>
      <c r="J1665" s="8" t="n"/>
      <c r="K1665" s="7" t="inlineStr">
        <is>
          <t>SEM COTAÇÃO</t>
        </is>
      </c>
      <c r="L1665" s="8" t="n"/>
      <c r="M1665" s="12" t="n"/>
      <c r="N1665" s="7" t="inlineStr"/>
      <c r="O1665" s="7" t="inlineStr"/>
    </row>
    <row r="1666">
      <c r="A1666" s="7" t="n">
        <v>549701</v>
      </c>
      <c r="B1666" s="10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1" t="n">
        <v>2</v>
      </c>
      <c r="G1666" s="11" t="n">
        <v>2</v>
      </c>
      <c r="H1666" s="8" t="n">
        <v>3.51</v>
      </c>
      <c r="I1666" s="8" t="n">
        <v>3.51</v>
      </c>
      <c r="J1666" s="8" t="n"/>
      <c r="K1666" s="7" t="inlineStr">
        <is>
          <t>SEM COTAÇÃO</t>
        </is>
      </c>
      <c r="L1666" s="8" t="n"/>
      <c r="M1666" s="12" t="n"/>
      <c r="N1666" s="7" t="inlineStr"/>
      <c r="O1666" s="7" t="inlineStr"/>
    </row>
    <row r="1667">
      <c r="A1667" s="7" t="n">
        <v>626101</v>
      </c>
      <c r="B1667" s="10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1" t="n">
        <v>1</v>
      </c>
      <c r="G1667" s="11" t="n">
        <v>1</v>
      </c>
      <c r="H1667" s="8" t="n">
        <v>9.416700000000001</v>
      </c>
      <c r="I1667" s="8" t="n">
        <v>9.416700000000001</v>
      </c>
      <c r="J1667" s="8" t="n"/>
      <c r="K1667" s="7" t="inlineStr">
        <is>
          <t>SEM COTAÇÃO</t>
        </is>
      </c>
      <c r="L1667" s="8" t="n"/>
      <c r="M1667" s="12" t="n"/>
      <c r="N1667" s="7" t="inlineStr"/>
      <c r="O1667" s="7" t="inlineStr"/>
    </row>
    <row r="1668">
      <c r="A1668" s="7" t="n">
        <v>672401</v>
      </c>
      <c r="B1668" s="10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1" t="n">
        <v>3</v>
      </c>
      <c r="G1668" s="11" t="n">
        <v>3</v>
      </c>
      <c r="H1668" s="8" t="n">
        <v>8.58</v>
      </c>
      <c r="I1668" s="8" t="n">
        <v>8.58</v>
      </c>
      <c r="J1668" s="8" t="n"/>
      <c r="K1668" s="7" t="inlineStr">
        <is>
          <t>SEM COTAÇÃO</t>
        </is>
      </c>
      <c r="L1668" s="8" t="n"/>
      <c r="M1668" s="12" t="n"/>
      <c r="N1668" s="7" t="inlineStr"/>
      <c r="O1668" s="7" t="inlineStr"/>
    </row>
    <row r="1669">
      <c r="A1669" s="7" t="n">
        <v>598871</v>
      </c>
      <c r="B1669" s="10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1" t="n">
        <v>1</v>
      </c>
      <c r="G1669" s="11" t="n">
        <v>1</v>
      </c>
      <c r="H1669" s="8" t="n">
        <v>36.65</v>
      </c>
      <c r="I1669" s="8" t="n">
        <v>36.65</v>
      </c>
      <c r="J1669" s="8" t="n"/>
      <c r="K1669" s="7" t="inlineStr">
        <is>
          <t>SEM COTAÇÃO</t>
        </is>
      </c>
      <c r="L1669" s="8" t="n"/>
      <c r="M1669" s="12" t="n"/>
      <c r="N1669" s="7" t="inlineStr"/>
      <c r="O1669" s="7" t="inlineStr"/>
    </row>
    <row r="1670">
      <c r="A1670" s="7" t="n">
        <v>633551</v>
      </c>
      <c r="B1670" s="10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1" t="n">
        <v>1</v>
      </c>
      <c r="G1670" s="11" t="n">
        <v>1</v>
      </c>
      <c r="H1670" s="8" t="n">
        <v>14.99</v>
      </c>
      <c r="I1670" s="8" t="n">
        <v>14.99</v>
      </c>
      <c r="J1670" s="8" t="n"/>
      <c r="K1670" s="7" t="inlineStr">
        <is>
          <t>SEM COTAÇÃO</t>
        </is>
      </c>
      <c r="L1670" s="8" t="n"/>
      <c r="M1670" s="12" t="n"/>
      <c r="N1670" s="7" t="inlineStr"/>
      <c r="O1670" s="7" t="inlineStr"/>
    </row>
    <row r="1671">
      <c r="A1671" s="7" t="n">
        <v>633451</v>
      </c>
      <c r="B1671" s="10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1" t="n">
        <v>2</v>
      </c>
      <c r="G1671" s="11" t="n">
        <v>2</v>
      </c>
      <c r="H1671" s="8" t="n">
        <v>17.86</v>
      </c>
      <c r="I1671" s="8" t="n">
        <v>17.86</v>
      </c>
      <c r="J1671" s="8" t="n"/>
      <c r="K1671" s="7" t="inlineStr">
        <is>
          <t>SEM COTAÇÃO</t>
        </is>
      </c>
      <c r="L1671" s="8" t="n"/>
      <c r="M1671" s="12" t="n"/>
      <c r="N1671" s="7" t="inlineStr"/>
      <c r="O1671" s="7" t="inlineStr"/>
    </row>
    <row r="1672">
      <c r="A1672" s="7" t="n">
        <v>634231</v>
      </c>
      <c r="B1672" s="10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1" t="n">
        <v>3</v>
      </c>
      <c r="G1672" s="11" t="n">
        <v>3</v>
      </c>
      <c r="H1672" s="8" t="n">
        <v>12.96</v>
      </c>
      <c r="I1672" s="8" t="n">
        <v>12.96</v>
      </c>
      <c r="J1672" s="8" t="n"/>
      <c r="K1672" s="7" t="inlineStr">
        <is>
          <t>SEM COTAÇÃO</t>
        </is>
      </c>
      <c r="L1672" s="8" t="n"/>
      <c r="M1672" s="12" t="n"/>
      <c r="N1672" s="7" t="inlineStr"/>
      <c r="O1672" s="7" t="inlineStr"/>
    </row>
    <row r="1673">
      <c r="A1673" s="7" t="n">
        <v>633491</v>
      </c>
      <c r="B1673" s="10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1" t="n">
        <v>1</v>
      </c>
      <c r="G1673" s="11" t="n">
        <v>1</v>
      </c>
      <c r="H1673" s="8" t="n">
        <v>17.86</v>
      </c>
      <c r="I1673" s="8" t="n">
        <v>17.86</v>
      </c>
      <c r="J1673" s="8" t="n"/>
      <c r="K1673" s="7" t="inlineStr">
        <is>
          <t>SEM COTAÇÃO</t>
        </is>
      </c>
      <c r="L1673" s="8" t="n"/>
      <c r="M1673" s="12" t="n"/>
      <c r="N1673" s="7" t="inlineStr"/>
      <c r="O1673" s="7" t="inlineStr"/>
    </row>
    <row r="1674">
      <c r="A1674" s="7" t="n">
        <v>633481</v>
      </c>
      <c r="B1674" s="10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1" t="n">
        <v>3</v>
      </c>
      <c r="G1674" s="11" t="n">
        <v>3</v>
      </c>
      <c r="H1674" s="8" t="n">
        <v>17.86</v>
      </c>
      <c r="I1674" s="8" t="n">
        <v>17.86</v>
      </c>
      <c r="J1674" s="8" t="n"/>
      <c r="K1674" s="7" t="inlineStr">
        <is>
          <t>SEM COTAÇÃO</t>
        </is>
      </c>
      <c r="L1674" s="8" t="n"/>
      <c r="M1674" s="12" t="n"/>
      <c r="N1674" s="7" t="inlineStr"/>
      <c r="O1674" s="7" t="inlineStr"/>
    </row>
    <row r="1675">
      <c r="A1675" s="7" t="n">
        <v>633461</v>
      </c>
      <c r="B1675" s="10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1" t="n">
        <v>3</v>
      </c>
      <c r="G1675" s="11" t="n">
        <v>3</v>
      </c>
      <c r="H1675" s="8" t="n">
        <v>17.86</v>
      </c>
      <c r="I1675" s="8" t="n">
        <v>17.86</v>
      </c>
      <c r="J1675" s="8" t="n"/>
      <c r="K1675" s="7" t="inlineStr">
        <is>
          <t>SEM COTAÇÃO</t>
        </is>
      </c>
      <c r="L1675" s="8" t="n"/>
      <c r="M1675" s="12" t="n"/>
      <c r="N1675" s="7" t="inlineStr"/>
      <c r="O1675" s="7" t="inlineStr"/>
    </row>
    <row r="1676">
      <c r="A1676" s="7" t="n">
        <v>636841</v>
      </c>
      <c r="B1676" s="10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1" t="n">
        <v>1</v>
      </c>
      <c r="G1676" s="11" t="n">
        <v>1</v>
      </c>
      <c r="H1676" s="8" t="n">
        <v>17.86</v>
      </c>
      <c r="I1676" s="8" t="n">
        <v>17.86</v>
      </c>
      <c r="J1676" s="8" t="n"/>
      <c r="K1676" s="7" t="inlineStr">
        <is>
          <t>SEM COTAÇÃO</t>
        </is>
      </c>
      <c r="L1676" s="8" t="n"/>
      <c r="M1676" s="12" t="n"/>
      <c r="N1676" s="7" t="inlineStr"/>
      <c r="O1676" s="7" t="inlineStr"/>
    </row>
    <row r="1677">
      <c r="A1677" s="7" t="n">
        <v>633471</v>
      </c>
      <c r="B1677" s="10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1" t="n">
        <v>2</v>
      </c>
      <c r="G1677" s="11" t="n">
        <v>2</v>
      </c>
      <c r="H1677" s="8" t="n">
        <v>17.86</v>
      </c>
      <c r="I1677" s="8" t="n">
        <v>17.86</v>
      </c>
      <c r="J1677" s="8" t="n"/>
      <c r="K1677" s="7" t="inlineStr">
        <is>
          <t>SEM COTAÇÃO</t>
        </is>
      </c>
      <c r="L1677" s="8" t="n"/>
      <c r="M1677" s="12" t="n"/>
      <c r="N1677" s="7" t="inlineStr"/>
      <c r="O1677" s="7" t="inlineStr"/>
    </row>
    <row r="1678">
      <c r="A1678" s="7" t="n">
        <v>667281</v>
      </c>
      <c r="B1678" s="10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1" t="n">
        <v>1</v>
      </c>
      <c r="G1678" s="11" t="n">
        <v>1</v>
      </c>
      <c r="H1678" s="8" t="n">
        <v>13.91</v>
      </c>
      <c r="I1678" s="8" t="n">
        <v>13.91</v>
      </c>
      <c r="J1678" s="8" t="n"/>
      <c r="K1678" s="7" t="inlineStr">
        <is>
          <t>SEM COTAÇÃO</t>
        </is>
      </c>
      <c r="L1678" s="8" t="n"/>
      <c r="M1678" s="12" t="n"/>
      <c r="N1678" s="7" t="inlineStr"/>
      <c r="O1678" s="7" t="inlineStr"/>
    </row>
    <row r="1679">
      <c r="A1679" s="7" t="n">
        <v>614271</v>
      </c>
      <c r="B1679" s="10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1" t="n">
        <v>2</v>
      </c>
      <c r="G1679" s="11" t="n">
        <v>2</v>
      </c>
      <c r="H1679" s="8" t="n">
        <v>9.529999999999999</v>
      </c>
      <c r="I1679" s="8" t="n">
        <v>9.529999999999999</v>
      </c>
      <c r="J1679" s="8" t="n"/>
      <c r="K1679" s="7" t="inlineStr">
        <is>
          <t>SEM COTAÇÃO</t>
        </is>
      </c>
      <c r="L1679" s="8" t="n"/>
      <c r="M1679" s="12" t="n"/>
      <c r="N1679" s="7" t="inlineStr"/>
      <c r="O1679" s="7" t="inlineStr"/>
    </row>
    <row r="1680">
      <c r="A1680" s="7" t="n">
        <v>614281</v>
      </c>
      <c r="B1680" s="10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1" t="n">
        <v>2</v>
      </c>
      <c r="G1680" s="11" t="n">
        <v>2</v>
      </c>
      <c r="H1680" s="8" t="n">
        <v>9.529999999999999</v>
      </c>
      <c r="I1680" s="8" t="n">
        <v>9.529999999999999</v>
      </c>
      <c r="J1680" s="8" t="n"/>
      <c r="K1680" s="7" t="inlineStr">
        <is>
          <t>SEM COTAÇÃO</t>
        </is>
      </c>
      <c r="L1680" s="8" t="n"/>
      <c r="M1680" s="12" t="n"/>
      <c r="N1680" s="7" t="inlineStr"/>
      <c r="O1680" s="7" t="inlineStr"/>
    </row>
    <row r="1681">
      <c r="A1681" s="7" t="n">
        <v>656001</v>
      </c>
      <c r="B1681" s="10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1" t="n">
        <v>1</v>
      </c>
      <c r="G1681" s="11" t="n">
        <v>1</v>
      </c>
      <c r="H1681" s="8" t="n">
        <v>21.46</v>
      </c>
      <c r="I1681" s="8" t="n">
        <v>21.46</v>
      </c>
      <c r="J1681" s="8" t="n"/>
      <c r="K1681" s="7" t="inlineStr">
        <is>
          <t>SEM COTAÇÃO</t>
        </is>
      </c>
      <c r="L1681" s="8" t="n"/>
      <c r="M1681" s="12" t="n"/>
      <c r="N1681" s="7" t="inlineStr"/>
      <c r="O1681" s="7" t="inlineStr"/>
    </row>
    <row r="1682">
      <c r="A1682" s="7" t="n">
        <v>617211</v>
      </c>
      <c r="B1682" s="10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1" t="n">
        <v>1</v>
      </c>
      <c r="G1682" s="11" t="n">
        <v>1</v>
      </c>
      <c r="H1682" s="8" t="n">
        <v>14.82</v>
      </c>
      <c r="I1682" s="8" t="n">
        <v>14.82</v>
      </c>
      <c r="J1682" s="8" t="n"/>
      <c r="K1682" s="7" t="inlineStr">
        <is>
          <t>SEM COTAÇÃO</t>
        </is>
      </c>
      <c r="L1682" s="8" t="n"/>
      <c r="M1682" s="12" t="n"/>
      <c r="N1682" s="7" t="inlineStr"/>
      <c r="O1682" s="7" t="inlineStr"/>
    </row>
    <row r="1683">
      <c r="A1683" s="7" t="n">
        <v>672061</v>
      </c>
      <c r="B1683" s="10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1" t="n">
        <v>1</v>
      </c>
      <c r="G1683" s="11" t="n">
        <v>1</v>
      </c>
      <c r="H1683" s="8" t="n">
        <v>5.8467</v>
      </c>
      <c r="I1683" s="8" t="n">
        <v>5.8467</v>
      </c>
      <c r="J1683" s="8" t="n"/>
      <c r="K1683" s="7" t="inlineStr">
        <is>
          <t>SEM COTAÇÃO</t>
        </is>
      </c>
      <c r="L1683" s="8" t="n"/>
      <c r="M1683" s="12" t="n"/>
      <c r="N1683" s="7" t="inlineStr"/>
      <c r="O1683" s="7" t="inlineStr"/>
    </row>
    <row r="1684">
      <c r="A1684" s="7" t="n">
        <v>672081</v>
      </c>
      <c r="B1684" s="10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1" t="n">
        <v>1</v>
      </c>
      <c r="G1684" s="11" t="n">
        <v>1</v>
      </c>
      <c r="H1684" s="8" t="n">
        <v>5.8467</v>
      </c>
      <c r="I1684" s="8" t="n">
        <v>5.8467</v>
      </c>
      <c r="J1684" s="8" t="n"/>
      <c r="K1684" s="7" t="inlineStr">
        <is>
          <t>SEM COTAÇÃO</t>
        </is>
      </c>
      <c r="L1684" s="8" t="n"/>
      <c r="M1684" s="12" t="n"/>
      <c r="N1684" s="7" t="inlineStr"/>
      <c r="O1684" s="7" t="inlineStr"/>
    </row>
    <row r="1685">
      <c r="A1685" s="7" t="n">
        <v>647311</v>
      </c>
      <c r="B1685" s="10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1" t="n">
        <v>1</v>
      </c>
      <c r="G1685" s="11" t="n">
        <v>1</v>
      </c>
      <c r="H1685" s="8" t="n">
        <v>6.61</v>
      </c>
      <c r="I1685" s="8" t="n">
        <v>6.61</v>
      </c>
      <c r="J1685" s="8" t="n"/>
      <c r="K1685" s="7" t="inlineStr">
        <is>
          <t>SEM COTAÇÃO</t>
        </is>
      </c>
      <c r="L1685" s="8" t="n"/>
      <c r="M1685" s="12" t="n"/>
      <c r="N1685" s="7" t="inlineStr"/>
      <c r="O1685" s="7" t="inlineStr"/>
    </row>
    <row r="1686">
      <c r="A1686" s="7" t="n">
        <v>647321</v>
      </c>
      <c r="B1686" s="10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1" t="n">
        <v>1</v>
      </c>
      <c r="G1686" s="11" t="n">
        <v>1</v>
      </c>
      <c r="H1686" s="8" t="n">
        <v>6.61</v>
      </c>
      <c r="I1686" s="8" t="n">
        <v>6.61</v>
      </c>
      <c r="J1686" s="8" t="n"/>
      <c r="K1686" s="7" t="inlineStr">
        <is>
          <t>SEM COTAÇÃO</t>
        </is>
      </c>
      <c r="L1686" s="8" t="n"/>
      <c r="M1686" s="12" t="n"/>
      <c r="N1686" s="7" t="inlineStr"/>
      <c r="O1686" s="7" t="inlineStr"/>
    </row>
    <row r="1687">
      <c r="A1687" s="7" t="n">
        <v>647361</v>
      </c>
      <c r="B1687" s="10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1" t="n">
        <v>1</v>
      </c>
      <c r="G1687" s="11" t="n">
        <v>1</v>
      </c>
      <c r="H1687" s="8" t="n">
        <v>6.61</v>
      </c>
      <c r="I1687" s="8" t="n">
        <v>6.61</v>
      </c>
      <c r="J1687" s="8" t="n"/>
      <c r="K1687" s="7" t="inlineStr">
        <is>
          <t>SEM COTAÇÃO</t>
        </is>
      </c>
      <c r="L1687" s="8" t="n"/>
      <c r="M1687" s="12" t="n"/>
      <c r="N1687" s="7" t="inlineStr"/>
      <c r="O1687" s="7" t="inlineStr"/>
    </row>
    <row r="1688">
      <c r="A1688" s="7" t="n">
        <v>647331</v>
      </c>
      <c r="B1688" s="10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1" t="n">
        <v>1</v>
      </c>
      <c r="G1688" s="11" t="n">
        <v>1</v>
      </c>
      <c r="H1688" s="8" t="n">
        <v>6.61</v>
      </c>
      <c r="I1688" s="8" t="n">
        <v>6.61</v>
      </c>
      <c r="J1688" s="8" t="n"/>
      <c r="K1688" s="7" t="inlineStr">
        <is>
          <t>SEM COTAÇÃO</t>
        </is>
      </c>
      <c r="L1688" s="8" t="n"/>
      <c r="M1688" s="12" t="n"/>
      <c r="N1688" s="7" t="inlineStr"/>
      <c r="O1688" s="7" t="inlineStr"/>
    </row>
    <row r="1689">
      <c r="A1689" s="7" t="n">
        <v>647351</v>
      </c>
      <c r="B1689" s="10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1" t="n">
        <v>1</v>
      </c>
      <c r="G1689" s="11" t="n">
        <v>1</v>
      </c>
      <c r="H1689" s="8" t="n">
        <v>6.61</v>
      </c>
      <c r="I1689" s="8" t="n">
        <v>6.61</v>
      </c>
      <c r="J1689" s="8" t="n"/>
      <c r="K1689" s="7" t="inlineStr">
        <is>
          <t>SEM COTAÇÃO</t>
        </is>
      </c>
      <c r="L1689" s="8" t="n"/>
      <c r="M1689" s="12" t="n"/>
      <c r="N1689" s="7" t="inlineStr"/>
      <c r="O1689" s="7" t="inlineStr"/>
    </row>
    <row r="1690">
      <c r="A1690" s="7" t="n">
        <v>647341</v>
      </c>
      <c r="B1690" s="10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1" t="n">
        <v>1</v>
      </c>
      <c r="G1690" s="11" t="n">
        <v>1</v>
      </c>
      <c r="H1690" s="8" t="n">
        <v>6.61</v>
      </c>
      <c r="I1690" s="8" t="n">
        <v>6.61</v>
      </c>
      <c r="J1690" s="8" t="n"/>
      <c r="K1690" s="7" t="inlineStr">
        <is>
          <t>SEM COTAÇÃO</t>
        </is>
      </c>
      <c r="L1690" s="8" t="n"/>
      <c r="M1690" s="12" t="n"/>
      <c r="N1690" s="7" t="inlineStr"/>
      <c r="O1690" s="7" t="inlineStr"/>
    </row>
    <row r="1691">
      <c r="A1691" s="7" t="n">
        <v>672091</v>
      </c>
      <c r="B1691" s="10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1" t="n">
        <v>1</v>
      </c>
      <c r="G1691" s="11" t="n">
        <v>1</v>
      </c>
      <c r="H1691" s="8" t="n">
        <v>5.8467</v>
      </c>
      <c r="I1691" s="8" t="n">
        <v>5.8467</v>
      </c>
      <c r="J1691" s="8" t="n"/>
      <c r="K1691" s="7" t="inlineStr">
        <is>
          <t>SEM COTAÇÃO</t>
        </is>
      </c>
      <c r="L1691" s="8" t="n"/>
      <c r="M1691" s="12" t="n"/>
      <c r="N1691" s="7" t="inlineStr"/>
      <c r="O1691" s="7" t="inlineStr"/>
    </row>
    <row r="1692">
      <c r="A1692" s="7" t="n">
        <v>651781</v>
      </c>
      <c r="B1692" s="10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1" t="n">
        <v>1</v>
      </c>
      <c r="G1692" s="11" t="n">
        <v>1</v>
      </c>
      <c r="H1692" s="8" t="n">
        <v>5.0917</v>
      </c>
      <c r="I1692" s="8" t="n">
        <v>5.0917</v>
      </c>
      <c r="J1692" s="8" t="n"/>
      <c r="K1692" s="7" t="inlineStr">
        <is>
          <t>SEM COTAÇÃO</t>
        </is>
      </c>
      <c r="L1692" s="8" t="n"/>
      <c r="M1692" s="12" t="n"/>
      <c r="N1692" s="7" t="inlineStr"/>
      <c r="O1692" s="7" t="inlineStr"/>
    </row>
    <row r="1693">
      <c r="A1693" s="7" t="n">
        <v>672101</v>
      </c>
      <c r="B1693" s="10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1" t="n">
        <v>1</v>
      </c>
      <c r="G1693" s="11" t="n">
        <v>1</v>
      </c>
      <c r="H1693" s="8" t="n">
        <v>4.225</v>
      </c>
      <c r="I1693" s="8" t="n">
        <v>4.225</v>
      </c>
      <c r="J1693" s="8" t="n"/>
      <c r="K1693" s="7" t="inlineStr">
        <is>
          <t>SEM COTAÇÃO</t>
        </is>
      </c>
      <c r="L1693" s="8" t="n"/>
      <c r="M1693" s="12" t="n"/>
      <c r="N1693" s="7" t="inlineStr"/>
      <c r="O1693" s="7" t="inlineStr"/>
    </row>
    <row r="1694">
      <c r="A1694" s="7" t="n">
        <v>672111</v>
      </c>
      <c r="B1694" s="10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1" t="n">
        <v>1</v>
      </c>
      <c r="G1694" s="11" t="n">
        <v>1</v>
      </c>
      <c r="H1694" s="8" t="n">
        <v>4.2267</v>
      </c>
      <c r="I1694" s="8" t="n">
        <v>4.2267</v>
      </c>
      <c r="J1694" s="8" t="n"/>
      <c r="K1694" s="7" t="inlineStr">
        <is>
          <t>SEM COTAÇÃO</t>
        </is>
      </c>
      <c r="L1694" s="8" t="n"/>
      <c r="M1694" s="12" t="n"/>
      <c r="N1694" s="7" t="inlineStr"/>
      <c r="O1694" s="7" t="inlineStr"/>
    </row>
    <row r="1695">
      <c r="A1695" s="7" t="n">
        <v>672121</v>
      </c>
      <c r="B1695" s="10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1" t="n">
        <v>1</v>
      </c>
      <c r="G1695" s="11" t="n">
        <v>1</v>
      </c>
      <c r="H1695" s="8" t="n">
        <v>4.325</v>
      </c>
      <c r="I1695" s="8" t="n">
        <v>4.325</v>
      </c>
      <c r="J1695" s="8" t="n"/>
      <c r="K1695" s="7" t="inlineStr">
        <is>
          <t>SEM COTAÇÃO</t>
        </is>
      </c>
      <c r="L1695" s="8" t="n"/>
      <c r="M1695" s="12" t="n"/>
      <c r="N1695" s="7" t="inlineStr"/>
      <c r="O1695" s="7" t="inlineStr"/>
    </row>
    <row r="1696">
      <c r="A1696" s="7" t="n">
        <v>672131</v>
      </c>
      <c r="B1696" s="10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1" t="n">
        <v>1</v>
      </c>
      <c r="G1696" s="11" t="n">
        <v>1</v>
      </c>
      <c r="H1696" s="8" t="n">
        <v>5.8467</v>
      </c>
      <c r="I1696" s="8" t="n">
        <v>5.8467</v>
      </c>
      <c r="J1696" s="8" t="n"/>
      <c r="K1696" s="7" t="inlineStr">
        <is>
          <t>SEM COTAÇÃO</t>
        </is>
      </c>
      <c r="L1696" s="8" t="n"/>
      <c r="M1696" s="12" t="n"/>
      <c r="N1696" s="7" t="inlineStr"/>
      <c r="O1696" s="7" t="inlineStr"/>
    </row>
    <row r="1697">
      <c r="A1697" s="7" t="n">
        <v>651801</v>
      </c>
      <c r="B1697" s="10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1" t="n">
        <v>1</v>
      </c>
      <c r="G1697" s="11" t="n">
        <v>1</v>
      </c>
      <c r="H1697" s="8" t="n">
        <v>5.2367</v>
      </c>
      <c r="I1697" s="8" t="n">
        <v>5.2367</v>
      </c>
      <c r="J1697" s="8" t="n"/>
      <c r="K1697" s="7" t="inlineStr">
        <is>
          <t>SEM COTAÇÃO</t>
        </is>
      </c>
      <c r="L1697" s="8" t="n"/>
      <c r="M1697" s="12" t="n"/>
      <c r="N1697" s="7" t="inlineStr"/>
      <c r="O1697" s="7" t="inlineStr"/>
    </row>
    <row r="1698">
      <c r="A1698" s="7" t="n">
        <v>651811</v>
      </c>
      <c r="B1698" s="10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1" t="n">
        <v>1</v>
      </c>
      <c r="G1698" s="11" t="n">
        <v>1</v>
      </c>
      <c r="H1698" s="8" t="n">
        <v>5.0917</v>
      </c>
      <c r="I1698" s="8" t="n">
        <v>5.0917</v>
      </c>
      <c r="J1698" s="8" t="n"/>
      <c r="K1698" s="7" t="inlineStr">
        <is>
          <t>SEM COTAÇÃO</t>
        </is>
      </c>
      <c r="L1698" s="8" t="n"/>
      <c r="M1698" s="12" t="n"/>
      <c r="N1698" s="7" t="inlineStr"/>
      <c r="O1698" s="7" t="inlineStr"/>
    </row>
    <row r="1699">
      <c r="A1699" s="7" t="n">
        <v>651821</v>
      </c>
      <c r="B1699" s="10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1" t="n">
        <v>1</v>
      </c>
      <c r="G1699" s="11" t="n">
        <v>1</v>
      </c>
      <c r="H1699" s="8" t="n">
        <v>5.2383</v>
      </c>
      <c r="I1699" s="8" t="n">
        <v>5.2383</v>
      </c>
      <c r="J1699" s="8" t="n"/>
      <c r="K1699" s="7" t="inlineStr">
        <is>
          <t>SEM COTAÇÃO</t>
        </is>
      </c>
      <c r="L1699" s="8" t="n"/>
      <c r="M1699" s="12" t="n"/>
      <c r="N1699" s="7" t="inlineStr"/>
      <c r="O1699" s="7" t="inlineStr"/>
    </row>
    <row r="1700">
      <c r="A1700" s="7" t="n">
        <v>701601</v>
      </c>
      <c r="B1700" s="10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1" t="n">
        <v>2</v>
      </c>
      <c r="G1700" s="11" t="n">
        <v>2</v>
      </c>
      <c r="H1700" s="8" t="n">
        <v>5.93</v>
      </c>
      <c r="I1700" s="8" t="n">
        <v>5.93</v>
      </c>
      <c r="J1700" s="8" t="n"/>
      <c r="K1700" s="7" t="inlineStr">
        <is>
          <t>SEM COTAÇÃO</t>
        </is>
      </c>
      <c r="L1700" s="8" t="n"/>
      <c r="M1700" s="12" t="n"/>
      <c r="N1700" s="7" t="inlineStr"/>
      <c r="O1700" s="7" t="inlineStr"/>
    </row>
    <row r="1701">
      <c r="A1701" s="7" t="n">
        <v>701501</v>
      </c>
      <c r="B1701" s="10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1" t="n">
        <v>2</v>
      </c>
      <c r="G1701" s="11" t="n">
        <v>2</v>
      </c>
      <c r="H1701" s="8" t="n">
        <v>7.83</v>
      </c>
      <c r="I1701" s="8" t="n">
        <v>7.83</v>
      </c>
      <c r="J1701" s="8" t="n"/>
      <c r="K1701" s="7" t="inlineStr">
        <is>
          <t>SEM COTAÇÃO</t>
        </is>
      </c>
      <c r="L1701" s="8" t="n"/>
      <c r="M1701" s="12" t="n"/>
      <c r="N1701" s="7" t="inlineStr"/>
      <c r="O1701" s="7" t="inlineStr"/>
    </row>
    <row r="1702">
      <c r="A1702" s="7" t="n">
        <v>700901</v>
      </c>
      <c r="B1702" s="10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1" t="n">
        <v>1</v>
      </c>
      <c r="G1702" s="11" t="n">
        <v>1</v>
      </c>
      <c r="H1702" s="8" t="n">
        <v>5.93</v>
      </c>
      <c r="I1702" s="8" t="n">
        <v>5.93</v>
      </c>
      <c r="J1702" s="8" t="n"/>
      <c r="K1702" s="7" t="inlineStr">
        <is>
          <t>SEM COTAÇÃO</t>
        </is>
      </c>
      <c r="L1702" s="8" t="n"/>
      <c r="M1702" s="12" t="n"/>
      <c r="N1702" s="7" t="inlineStr"/>
      <c r="O1702" s="7" t="inlineStr"/>
    </row>
    <row r="1703">
      <c r="A1703" s="7" t="n">
        <v>702501</v>
      </c>
      <c r="B1703" s="10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1" t="n">
        <v>1</v>
      </c>
      <c r="G1703" s="11" t="n">
        <v>1</v>
      </c>
      <c r="H1703" s="8" t="n">
        <v>5.93</v>
      </c>
      <c r="I1703" s="8" t="n">
        <v>5.93</v>
      </c>
      <c r="J1703" s="8" t="n"/>
      <c r="K1703" s="7" t="inlineStr">
        <is>
          <t>SEM COTAÇÃO</t>
        </is>
      </c>
      <c r="L1703" s="8" t="n"/>
      <c r="M1703" s="12" t="n"/>
      <c r="N1703" s="7" t="inlineStr"/>
      <c r="O1703" s="7" t="inlineStr"/>
    </row>
    <row r="1704">
      <c r="A1704" s="7" t="n">
        <v>701001</v>
      </c>
      <c r="B1704" s="10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1" t="n">
        <v>1</v>
      </c>
      <c r="G1704" s="11" t="n">
        <v>1</v>
      </c>
      <c r="H1704" s="8" t="n">
        <v>5.93</v>
      </c>
      <c r="I1704" s="8" t="n">
        <v>5.93</v>
      </c>
      <c r="J1704" s="8" t="n"/>
      <c r="K1704" s="7" t="inlineStr">
        <is>
          <t>SEM COTAÇÃO</t>
        </is>
      </c>
      <c r="L1704" s="8" t="n"/>
      <c r="M1704" s="12" t="n"/>
      <c r="N1704" s="7" t="inlineStr"/>
      <c r="O1704" s="7" t="inlineStr"/>
    </row>
    <row r="1705">
      <c r="A1705" s="7" t="n">
        <v>702901</v>
      </c>
      <c r="B1705" s="10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1" t="n">
        <v>1</v>
      </c>
      <c r="G1705" s="11" t="n">
        <v>1</v>
      </c>
      <c r="H1705" s="8" t="n">
        <v>8.140000000000001</v>
      </c>
      <c r="I1705" s="8" t="n">
        <v>8.140000000000001</v>
      </c>
      <c r="J1705" s="8" t="n"/>
      <c r="K1705" s="7" t="inlineStr">
        <is>
          <t>SEM COTAÇÃO</t>
        </is>
      </c>
      <c r="L1705" s="8" t="n"/>
      <c r="M1705" s="12" t="n"/>
      <c r="N1705" s="7" t="inlineStr"/>
      <c r="O1705" s="7" t="inlineStr"/>
    </row>
    <row r="1706">
      <c r="A1706" s="7" t="n">
        <v>669441</v>
      </c>
      <c r="B1706" s="10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1" t="n">
        <v>2</v>
      </c>
      <c r="G1706" s="11" t="n">
        <v>2</v>
      </c>
      <c r="H1706" s="8" t="n">
        <v>5.67</v>
      </c>
      <c r="I1706" s="8" t="n">
        <v>5.67</v>
      </c>
      <c r="J1706" s="8" t="n"/>
      <c r="K1706" s="7" t="inlineStr">
        <is>
          <t>SEM COTAÇÃO</t>
        </is>
      </c>
      <c r="L1706" s="8" t="n"/>
      <c r="M1706" s="12" t="n"/>
      <c r="N1706" s="7" t="inlineStr"/>
      <c r="O1706" s="7" t="inlineStr"/>
    </row>
    <row r="1707">
      <c r="A1707" s="7" t="n">
        <v>669461</v>
      </c>
      <c r="B1707" s="10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1" t="n">
        <v>2</v>
      </c>
      <c r="G1707" s="11" t="n">
        <v>2</v>
      </c>
      <c r="H1707" s="8" t="n">
        <v>5.03</v>
      </c>
      <c r="I1707" s="8" t="n">
        <v>5.03</v>
      </c>
      <c r="J1707" s="8" t="n"/>
      <c r="K1707" s="7" t="inlineStr">
        <is>
          <t>SEM COTAÇÃO</t>
        </is>
      </c>
      <c r="L1707" s="8" t="n"/>
      <c r="M1707" s="12" t="n"/>
      <c r="N1707" s="7" t="inlineStr"/>
      <c r="O1707" s="7" t="inlineStr"/>
    </row>
    <row r="1708">
      <c r="A1708" s="7" t="n">
        <v>669471</v>
      </c>
      <c r="B1708" s="10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1" t="n">
        <v>1</v>
      </c>
      <c r="G1708" s="11" t="n">
        <v>1</v>
      </c>
      <c r="H1708" s="8" t="n">
        <v>5.03</v>
      </c>
      <c r="I1708" s="8" t="n">
        <v>5.03</v>
      </c>
      <c r="J1708" s="8" t="n"/>
      <c r="K1708" s="7" t="inlineStr">
        <is>
          <t>SEM COTAÇÃO</t>
        </is>
      </c>
      <c r="L1708" s="8" t="n"/>
      <c r="M1708" s="12" t="n"/>
      <c r="N1708" s="7" t="inlineStr"/>
      <c r="O1708" s="7" t="inlineStr"/>
    </row>
    <row r="1709">
      <c r="A1709" s="7" t="n">
        <v>641121</v>
      </c>
      <c r="B1709" s="10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1" t="n">
        <v>1</v>
      </c>
      <c r="G1709" s="11" t="n">
        <v>1</v>
      </c>
      <c r="H1709" s="8" t="n">
        <v>4.35</v>
      </c>
      <c r="I1709" s="8" t="n">
        <v>4.35</v>
      </c>
      <c r="J1709" s="8" t="n"/>
      <c r="K1709" s="7" t="inlineStr">
        <is>
          <t>SEM COTAÇÃO</t>
        </is>
      </c>
      <c r="L1709" s="8" t="n"/>
      <c r="M1709" s="12" t="n"/>
      <c r="N1709" s="7" t="inlineStr"/>
      <c r="O1709" s="7" t="inlineStr"/>
    </row>
    <row r="1710">
      <c r="A1710" s="7" t="n">
        <v>641161</v>
      </c>
      <c r="B1710" s="10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1" t="n">
        <v>1</v>
      </c>
      <c r="G1710" s="11" t="n">
        <v>1</v>
      </c>
      <c r="H1710" s="8" t="n">
        <v>5</v>
      </c>
      <c r="I1710" s="8" t="n">
        <v>5</v>
      </c>
      <c r="J1710" s="8" t="n"/>
      <c r="K1710" s="7" t="inlineStr">
        <is>
          <t>SEM COTAÇÃO</t>
        </is>
      </c>
      <c r="L1710" s="8" t="n"/>
      <c r="M1710" s="12" t="n"/>
      <c r="N1710" s="7" t="inlineStr"/>
      <c r="O1710" s="7" t="inlineStr"/>
    </row>
    <row r="1711">
      <c r="A1711" s="7" t="n">
        <v>641151</v>
      </c>
      <c r="B1711" s="10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1" t="n">
        <v>1</v>
      </c>
      <c r="G1711" s="11" t="n">
        <v>1</v>
      </c>
      <c r="H1711" s="8" t="n">
        <v>4.8</v>
      </c>
      <c r="I1711" s="8" t="n">
        <v>4.8</v>
      </c>
      <c r="J1711" s="8" t="n"/>
      <c r="K1711" s="7" t="inlineStr">
        <is>
          <t>SEM COTAÇÃO</t>
        </is>
      </c>
      <c r="L1711" s="8" t="n"/>
      <c r="M1711" s="12" t="n"/>
      <c r="N1711" s="7" t="inlineStr"/>
      <c r="O1711" s="7" t="inlineStr"/>
    </row>
    <row r="1712">
      <c r="A1712" s="7" t="n">
        <v>641141</v>
      </c>
      <c r="B1712" s="10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1" t="n">
        <v>1</v>
      </c>
      <c r="G1712" s="11" t="n">
        <v>1</v>
      </c>
      <c r="H1712" s="8" t="n">
        <v>5</v>
      </c>
      <c r="I1712" s="8" t="n">
        <v>5</v>
      </c>
      <c r="J1712" s="8" t="n"/>
      <c r="K1712" s="7" t="inlineStr">
        <is>
          <t>SEM COTAÇÃO</t>
        </is>
      </c>
      <c r="L1712" s="8" t="n"/>
      <c r="M1712" s="12" t="n"/>
      <c r="N1712" s="7" t="inlineStr"/>
      <c r="O1712" s="7" t="inlineStr"/>
    </row>
    <row r="1713">
      <c r="A1713" s="7" t="n">
        <v>641131</v>
      </c>
      <c r="B1713" s="10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1" t="n">
        <v>1</v>
      </c>
      <c r="G1713" s="11" t="n">
        <v>1</v>
      </c>
      <c r="H1713" s="8" t="n">
        <v>5</v>
      </c>
      <c r="I1713" s="8" t="n">
        <v>5</v>
      </c>
      <c r="J1713" s="8" t="n"/>
      <c r="K1713" s="7" t="inlineStr">
        <is>
          <t>SEM COTAÇÃO</t>
        </is>
      </c>
      <c r="L1713" s="8" t="n"/>
      <c r="M1713" s="12" t="n"/>
      <c r="N1713" s="7" t="inlineStr"/>
      <c r="O1713" s="7" t="inlineStr"/>
    </row>
    <row r="1714">
      <c r="A1714" s="7" t="n">
        <v>640991</v>
      </c>
      <c r="B1714" s="10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1" t="n">
        <v>1</v>
      </c>
      <c r="G1714" s="11" t="n">
        <v>1</v>
      </c>
      <c r="H1714" s="8" t="n">
        <v>6.54</v>
      </c>
      <c r="I1714" s="8" t="n">
        <v>6.54</v>
      </c>
      <c r="J1714" s="8" t="n"/>
      <c r="K1714" s="7" t="inlineStr">
        <is>
          <t>SEM COTAÇÃO</t>
        </is>
      </c>
      <c r="L1714" s="8" t="n"/>
      <c r="M1714" s="12" t="n"/>
      <c r="N1714" s="7" t="inlineStr"/>
      <c r="O1714" s="7" t="inlineStr"/>
    </row>
    <row r="1715">
      <c r="A1715" s="7" t="n">
        <v>640961</v>
      </c>
      <c r="B1715" s="10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1" t="n">
        <v>1</v>
      </c>
      <c r="G1715" s="11" t="n">
        <v>1</v>
      </c>
      <c r="H1715" s="8" t="n">
        <v>6.54</v>
      </c>
      <c r="I1715" s="8" t="n">
        <v>6.54</v>
      </c>
      <c r="J1715" s="8" t="n"/>
      <c r="K1715" s="7" t="inlineStr">
        <is>
          <t>SEM COTAÇÃO</t>
        </is>
      </c>
      <c r="L1715" s="8" t="n"/>
      <c r="M1715" s="12" t="n"/>
      <c r="N1715" s="7" t="inlineStr"/>
      <c r="O1715" s="7" t="inlineStr"/>
    </row>
    <row r="1716">
      <c r="A1716" s="7" t="n">
        <v>640951</v>
      </c>
      <c r="B1716" s="10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1" t="n">
        <v>2</v>
      </c>
      <c r="G1716" s="11" t="n">
        <v>2</v>
      </c>
      <c r="H1716" s="8" t="n">
        <v>6.54</v>
      </c>
      <c r="I1716" s="8" t="n">
        <v>6.54</v>
      </c>
      <c r="J1716" s="8" t="n"/>
      <c r="K1716" s="7" t="inlineStr">
        <is>
          <t>SEM COTAÇÃO</t>
        </is>
      </c>
      <c r="L1716" s="8" t="n"/>
      <c r="M1716" s="12" t="n"/>
      <c r="N1716" s="7" t="inlineStr"/>
      <c r="O1716" s="7" t="inlineStr"/>
    </row>
    <row r="1717">
      <c r="A1717" s="7" t="n">
        <v>635601</v>
      </c>
      <c r="B1717" s="10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1" t="n">
        <v>1</v>
      </c>
      <c r="G1717" s="11" t="n">
        <v>1</v>
      </c>
      <c r="H1717" s="8" t="n">
        <v>4.33</v>
      </c>
      <c r="I1717" s="8" t="n">
        <v>4.33</v>
      </c>
      <c r="J1717" s="8" t="n"/>
      <c r="K1717" s="7" t="inlineStr">
        <is>
          <t>SEM COTAÇÃO</t>
        </is>
      </c>
      <c r="L1717" s="8" t="n"/>
      <c r="M1717" s="12" t="n"/>
      <c r="N1717" s="7" t="inlineStr"/>
      <c r="O1717" s="7" t="inlineStr"/>
    </row>
    <row r="1718">
      <c r="A1718" s="7" t="n">
        <v>635611</v>
      </c>
      <c r="B1718" s="10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1" t="n">
        <v>1</v>
      </c>
      <c r="G1718" s="11" t="n">
        <v>1</v>
      </c>
      <c r="H1718" s="8" t="n">
        <v>3.66</v>
      </c>
      <c r="I1718" s="8" t="n">
        <v>3.66</v>
      </c>
      <c r="J1718" s="8" t="n"/>
      <c r="K1718" s="7" t="inlineStr">
        <is>
          <t>SEM COTAÇÃO</t>
        </is>
      </c>
      <c r="L1718" s="8" t="n"/>
      <c r="M1718" s="12" t="n"/>
      <c r="N1718" s="7" t="inlineStr"/>
      <c r="O1718" s="7" t="inlineStr"/>
    </row>
    <row r="1719">
      <c r="A1719" s="7" t="n">
        <v>641081</v>
      </c>
      <c r="B1719" s="10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1" t="n">
        <v>2</v>
      </c>
      <c r="G1719" s="11" t="n">
        <v>2</v>
      </c>
      <c r="H1719" s="8" t="n">
        <v>5.03</v>
      </c>
      <c r="I1719" s="8" t="n">
        <v>5.03</v>
      </c>
      <c r="J1719" s="8" t="n"/>
      <c r="K1719" s="7" t="inlineStr">
        <is>
          <t>SEM COTAÇÃO</t>
        </is>
      </c>
      <c r="L1719" s="8" t="n"/>
      <c r="M1719" s="12" t="n"/>
      <c r="N1719" s="7" t="inlineStr"/>
      <c r="O1719" s="7" t="inlineStr"/>
    </row>
    <row r="1720">
      <c r="A1720" s="7" t="n">
        <v>641071</v>
      </c>
      <c r="B1720" s="10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1" t="n">
        <v>1</v>
      </c>
      <c r="G1720" s="11" t="n">
        <v>1</v>
      </c>
      <c r="H1720" s="8" t="n">
        <v>4.6</v>
      </c>
      <c r="I1720" s="8" t="n">
        <v>4.6</v>
      </c>
      <c r="J1720" s="8" t="n"/>
      <c r="K1720" s="7" t="inlineStr">
        <is>
          <t>SEM COTAÇÃO</t>
        </is>
      </c>
      <c r="L1720" s="8" t="n"/>
      <c r="M1720" s="12" t="n"/>
      <c r="N1720" s="7" t="inlineStr"/>
      <c r="O1720" s="7" t="inlineStr"/>
    </row>
    <row r="1721">
      <c r="A1721" s="7" t="n">
        <v>641101</v>
      </c>
      <c r="B1721" s="10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1" t="n">
        <v>1</v>
      </c>
      <c r="G1721" s="11" t="n">
        <v>1</v>
      </c>
      <c r="H1721" s="8" t="n">
        <v>4.6</v>
      </c>
      <c r="I1721" s="8" t="n">
        <v>4.6</v>
      </c>
      <c r="J1721" s="8" t="n"/>
      <c r="K1721" s="7" t="inlineStr">
        <is>
          <t>SEM COTAÇÃO</t>
        </is>
      </c>
      <c r="L1721" s="8" t="n"/>
      <c r="M1721" s="12" t="n"/>
      <c r="N1721" s="7" t="inlineStr"/>
      <c r="O1721" s="7" t="inlineStr"/>
    </row>
    <row r="1722">
      <c r="A1722" s="7" t="n">
        <v>641041</v>
      </c>
      <c r="B1722" s="10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1" t="n">
        <v>2</v>
      </c>
      <c r="G1722" s="11" t="n">
        <v>2</v>
      </c>
      <c r="H1722" s="8" t="n">
        <v>4.72</v>
      </c>
      <c r="I1722" s="8" t="n">
        <v>4.72</v>
      </c>
      <c r="J1722" s="8" t="n"/>
      <c r="K1722" s="7" t="inlineStr">
        <is>
          <t>SEM COTAÇÃO</t>
        </is>
      </c>
      <c r="L1722" s="8" t="n"/>
      <c r="M1722" s="12" t="n"/>
      <c r="N1722" s="7" t="inlineStr"/>
      <c r="O1722" s="7" t="inlineStr"/>
    </row>
    <row r="1723">
      <c r="A1723" s="7" t="n">
        <v>641051</v>
      </c>
      <c r="B1723" s="10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1" t="n">
        <v>1</v>
      </c>
      <c r="G1723" s="11" t="n">
        <v>1</v>
      </c>
      <c r="H1723" s="8" t="n">
        <v>4.72</v>
      </c>
      <c r="I1723" s="8" t="n">
        <v>4.72</v>
      </c>
      <c r="J1723" s="8" t="n"/>
      <c r="K1723" s="7" t="inlineStr">
        <is>
          <t>SEM COTAÇÃO</t>
        </is>
      </c>
      <c r="L1723" s="8" t="n"/>
      <c r="M1723" s="12" t="n"/>
      <c r="N1723" s="7" t="inlineStr"/>
      <c r="O1723" s="7" t="inlineStr"/>
    </row>
    <row r="1724">
      <c r="A1724" s="7" t="n">
        <v>656451</v>
      </c>
      <c r="B1724" s="10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1" t="n">
        <v>1</v>
      </c>
      <c r="G1724" s="11" t="n">
        <v>1</v>
      </c>
      <c r="H1724" s="8" t="n">
        <v>4.72</v>
      </c>
      <c r="I1724" s="8" t="n">
        <v>4.72</v>
      </c>
      <c r="J1724" s="8" t="n"/>
      <c r="K1724" s="7" t="inlineStr">
        <is>
          <t>SEM COTAÇÃO</t>
        </is>
      </c>
      <c r="L1724" s="8" t="n"/>
      <c r="M1724" s="12" t="n"/>
      <c r="N1724" s="7" t="inlineStr"/>
      <c r="O1724" s="7" t="inlineStr"/>
    </row>
    <row r="1725">
      <c r="A1725" s="7" t="n">
        <v>641111</v>
      </c>
      <c r="B1725" s="10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1" t="n">
        <v>1</v>
      </c>
      <c r="G1725" s="11" t="n">
        <v>1</v>
      </c>
      <c r="H1725" s="8" t="n">
        <v>4.99</v>
      </c>
      <c r="I1725" s="8" t="n">
        <v>4.99</v>
      </c>
      <c r="J1725" s="8" t="n"/>
      <c r="K1725" s="7" t="inlineStr">
        <is>
          <t>SEM COTAÇÃO</t>
        </is>
      </c>
      <c r="L1725" s="8" t="n"/>
      <c r="M1725" s="12" t="n"/>
      <c r="N1725" s="7" t="inlineStr"/>
      <c r="O1725" s="7" t="inlineStr"/>
    </row>
    <row r="1726">
      <c r="A1726" s="7" t="n">
        <v>667091</v>
      </c>
      <c r="B1726" s="10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1" t="n">
        <v>1</v>
      </c>
      <c r="G1726" s="11" t="n">
        <v>1</v>
      </c>
      <c r="H1726" s="8" t="n"/>
      <c r="I1726" s="8" t="n"/>
      <c r="J1726" s="8" t="n"/>
      <c r="K1726" s="7" t="inlineStr">
        <is>
          <t>SEM COTAÇÃO</t>
        </is>
      </c>
      <c r="L1726" s="8" t="n"/>
      <c r="M1726" s="12" t="n"/>
      <c r="N1726" s="7" t="inlineStr"/>
      <c r="O1726" s="7" t="inlineStr"/>
    </row>
    <row r="1727">
      <c r="A1727" s="7" t="n">
        <v>667101</v>
      </c>
      <c r="B1727" s="10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1" t="n">
        <v>1</v>
      </c>
      <c r="G1727" s="11" t="n">
        <v>1</v>
      </c>
      <c r="H1727" s="8" t="n"/>
      <c r="I1727" s="8" t="n"/>
      <c r="J1727" s="8" t="n"/>
      <c r="K1727" s="7" t="inlineStr">
        <is>
          <t>SEM COTAÇÃO</t>
        </is>
      </c>
      <c r="L1727" s="8" t="n"/>
      <c r="M1727" s="12" t="n"/>
      <c r="N1727" s="7" t="inlineStr"/>
      <c r="O1727" s="7" t="inlineStr"/>
    </row>
    <row r="1728">
      <c r="A1728" s="7" t="n">
        <v>630801</v>
      </c>
      <c r="B1728" s="10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1" t="n">
        <v>1</v>
      </c>
      <c r="G1728" s="11" t="n">
        <v>1</v>
      </c>
      <c r="H1728" s="8" t="n">
        <v>4.09</v>
      </c>
      <c r="I1728" s="8" t="n">
        <v>3.99</v>
      </c>
      <c r="J1728" s="8" t="n"/>
      <c r="K1728" s="7" t="inlineStr">
        <is>
          <t>SEM COTAÇÃO</t>
        </is>
      </c>
      <c r="L1728" s="8" t="n"/>
      <c r="M1728" s="12" t="n"/>
      <c r="N1728" s="7" t="inlineStr"/>
      <c r="O1728" s="7" t="inlineStr"/>
    </row>
    <row r="1729">
      <c r="A1729" s="7" t="n">
        <v>630701</v>
      </c>
      <c r="B1729" s="10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1" t="n">
        <v>1</v>
      </c>
      <c r="G1729" s="11" t="n">
        <v>1</v>
      </c>
      <c r="H1729" s="8" t="n">
        <v>4.6033</v>
      </c>
      <c r="I1729" s="8" t="n">
        <v>4.6033</v>
      </c>
      <c r="J1729" s="8" t="n"/>
      <c r="K1729" s="7" t="inlineStr">
        <is>
          <t>SEM COTAÇÃO</t>
        </is>
      </c>
      <c r="L1729" s="8" t="n"/>
      <c r="M1729" s="12" t="n"/>
      <c r="N1729" s="7" t="inlineStr"/>
      <c r="O1729" s="7" t="inlineStr"/>
    </row>
    <row r="1730">
      <c r="A1730" s="7" t="n">
        <v>630731</v>
      </c>
      <c r="B1730" s="10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1" t="n">
        <v>1</v>
      </c>
      <c r="G1730" s="11" t="n">
        <v>1</v>
      </c>
      <c r="H1730" s="8" t="n">
        <v>0.7633</v>
      </c>
      <c r="I1730" s="8" t="n">
        <v>0.7633</v>
      </c>
      <c r="J1730" s="8" t="n"/>
      <c r="K1730" s="7" t="inlineStr">
        <is>
          <t>SEM COTAÇÃO</t>
        </is>
      </c>
      <c r="L1730" s="8" t="n"/>
      <c r="M1730" s="12" t="n"/>
      <c r="N1730" s="7" t="inlineStr"/>
      <c r="O1730" s="7" t="inlineStr"/>
    </row>
    <row r="1731">
      <c r="A1731" s="7" t="n">
        <v>630811</v>
      </c>
      <c r="B1731" s="10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1" t="n">
        <v>1</v>
      </c>
      <c r="G1731" s="11" t="n">
        <v>1</v>
      </c>
      <c r="H1731" s="8" t="n">
        <v>4.12</v>
      </c>
      <c r="I1731" s="8" t="n">
        <v>4.12</v>
      </c>
      <c r="J1731" s="8" t="n"/>
      <c r="K1731" s="7" t="inlineStr">
        <is>
          <t>SEM COTAÇÃO</t>
        </is>
      </c>
      <c r="L1731" s="8" t="n"/>
      <c r="M1731" s="12" t="n"/>
      <c r="N1731" s="7" t="inlineStr"/>
      <c r="O1731" s="7" t="inlineStr"/>
    </row>
    <row r="1732">
      <c r="A1732" s="7" t="n">
        <v>630721</v>
      </c>
      <c r="B1732" s="10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1" t="n">
        <v>1</v>
      </c>
      <c r="G1732" s="11" t="n">
        <v>1</v>
      </c>
      <c r="H1732" s="8" t="n">
        <v>3.99</v>
      </c>
      <c r="I1732" s="8" t="n">
        <v>3.99</v>
      </c>
      <c r="J1732" s="8" t="n"/>
      <c r="K1732" s="7" t="inlineStr">
        <is>
          <t>SEM COTAÇÃO</t>
        </is>
      </c>
      <c r="L1732" s="8" t="n"/>
      <c r="M1732" s="12" t="n"/>
      <c r="N1732" s="7" t="inlineStr"/>
      <c r="O1732" s="7" t="inlineStr"/>
    </row>
    <row r="1733">
      <c r="A1733" s="7" t="n">
        <v>630781</v>
      </c>
      <c r="B1733" s="10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1" t="n">
        <v>1</v>
      </c>
      <c r="G1733" s="11" t="n">
        <v>1</v>
      </c>
      <c r="H1733" s="8" t="n">
        <v>4.6033</v>
      </c>
      <c r="I1733" s="8" t="n">
        <v>4.6033</v>
      </c>
      <c r="J1733" s="8" t="n"/>
      <c r="K1733" s="7" t="inlineStr">
        <is>
          <t>SEM COTAÇÃO</t>
        </is>
      </c>
      <c r="L1733" s="8" t="n"/>
      <c r="M1733" s="12" t="n"/>
      <c r="N1733" s="7" t="inlineStr"/>
      <c r="O1733" s="7" t="inlineStr"/>
    </row>
    <row r="1734">
      <c r="A1734" s="7" t="n">
        <v>652801</v>
      </c>
      <c r="B1734" s="10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1" t="n">
        <v>1</v>
      </c>
      <c r="G1734" s="11" t="n">
        <v>1</v>
      </c>
      <c r="H1734" s="8" t="n">
        <v>5.83</v>
      </c>
      <c r="I1734" s="8" t="n">
        <v>5.83</v>
      </c>
      <c r="J1734" s="8" t="n"/>
      <c r="K1734" s="7" t="inlineStr">
        <is>
          <t>SEM COTAÇÃO</t>
        </is>
      </c>
      <c r="L1734" s="8" t="n"/>
      <c r="M1734" s="12" t="n"/>
      <c r="N1734" s="7" t="inlineStr"/>
      <c r="O1734" s="7" t="inlineStr"/>
    </row>
    <row r="1735">
      <c r="A1735" s="7" t="n">
        <v>652781</v>
      </c>
      <c r="B1735" s="10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1" t="n">
        <v>3</v>
      </c>
      <c r="G1735" s="11" t="n">
        <v>3</v>
      </c>
      <c r="H1735" s="8" t="n">
        <v>5.83</v>
      </c>
      <c r="I1735" s="8" t="n">
        <v>5.83</v>
      </c>
      <c r="J1735" s="8" t="n"/>
      <c r="K1735" s="7" t="inlineStr">
        <is>
          <t>SEM COTAÇÃO</t>
        </is>
      </c>
      <c r="L1735" s="8" t="n"/>
      <c r="M1735" s="12" t="n"/>
      <c r="N1735" s="7" t="inlineStr"/>
      <c r="O1735" s="7" t="inlineStr"/>
    </row>
    <row r="1736">
      <c r="A1736" s="7" t="n">
        <v>652791</v>
      </c>
      <c r="B1736" s="10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1" t="n">
        <v>1</v>
      </c>
      <c r="G1736" s="11" t="n">
        <v>1</v>
      </c>
      <c r="H1736" s="8" t="n">
        <v>5.83</v>
      </c>
      <c r="I1736" s="8" t="n">
        <v>5.83</v>
      </c>
      <c r="J1736" s="8" t="n"/>
      <c r="K1736" s="7" t="inlineStr">
        <is>
          <t>SEM COTAÇÃO</t>
        </is>
      </c>
      <c r="L1736" s="8" t="n"/>
      <c r="M1736" s="12" t="n"/>
      <c r="N1736" s="7" t="inlineStr"/>
      <c r="O1736" s="7" t="inlineStr"/>
    </row>
    <row r="1737">
      <c r="A1737" s="7" t="n">
        <v>647931</v>
      </c>
      <c r="B1737" s="10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1" t="n">
        <v>1</v>
      </c>
      <c r="G1737" s="11" t="n">
        <v>1</v>
      </c>
      <c r="H1737" s="8" t="n">
        <v>5.83</v>
      </c>
      <c r="I1737" s="8" t="n">
        <v>5.83</v>
      </c>
      <c r="J1737" s="8" t="n"/>
      <c r="K1737" s="7" t="inlineStr">
        <is>
          <t>SEM COTAÇÃO</t>
        </is>
      </c>
      <c r="L1737" s="8" t="n"/>
      <c r="M1737" s="12" t="n"/>
      <c r="N1737" s="7" t="inlineStr"/>
      <c r="O1737" s="7" t="inlineStr"/>
    </row>
    <row r="1738">
      <c r="A1738" s="7" t="n">
        <v>652811</v>
      </c>
      <c r="B1738" s="10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1" t="n">
        <v>1</v>
      </c>
      <c r="G1738" s="11" t="n">
        <v>1</v>
      </c>
      <c r="H1738" s="8" t="n">
        <v>5.83</v>
      </c>
      <c r="I1738" s="8" t="n">
        <v>5.83</v>
      </c>
      <c r="J1738" s="8" t="n"/>
      <c r="K1738" s="7" t="inlineStr">
        <is>
          <t>SEM COTAÇÃO</t>
        </is>
      </c>
      <c r="L1738" s="8" t="n"/>
      <c r="M1738" s="12" t="n"/>
      <c r="N1738" s="7" t="inlineStr"/>
      <c r="O1738" s="7" t="inlineStr"/>
    </row>
    <row r="1739">
      <c r="A1739" s="7" t="n">
        <v>652821</v>
      </c>
      <c r="B1739" s="10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1" t="n">
        <v>1</v>
      </c>
      <c r="G1739" s="11" t="n">
        <v>1</v>
      </c>
      <c r="H1739" s="8" t="n">
        <v>6.24</v>
      </c>
      <c r="I1739" s="8" t="n">
        <v>6.24</v>
      </c>
      <c r="J1739" s="8" t="n"/>
      <c r="K1739" s="7" t="inlineStr">
        <is>
          <t>SEM COTAÇÃO</t>
        </is>
      </c>
      <c r="L1739" s="8" t="n"/>
      <c r="M1739" s="12" t="n"/>
      <c r="N1739" s="7" t="inlineStr"/>
      <c r="O1739" s="7" t="inlineStr"/>
    </row>
    <row r="1740">
      <c r="A1740" s="7" t="n">
        <v>652831</v>
      </c>
      <c r="B1740" s="10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1" t="n">
        <v>1</v>
      </c>
      <c r="G1740" s="11" t="n">
        <v>1</v>
      </c>
      <c r="H1740" s="8" t="n">
        <v>6.24</v>
      </c>
      <c r="I1740" s="8" t="n">
        <v>6.24</v>
      </c>
      <c r="J1740" s="8" t="n"/>
      <c r="K1740" s="7" t="inlineStr">
        <is>
          <t>SEM COTAÇÃO</t>
        </is>
      </c>
      <c r="L1740" s="8" t="n"/>
      <c r="M1740" s="12" t="n"/>
      <c r="N1740" s="7" t="inlineStr"/>
      <c r="O1740" s="7" t="inlineStr"/>
    </row>
    <row r="1741">
      <c r="A1741" s="7" t="n">
        <v>652841</v>
      </c>
      <c r="B1741" s="10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1" t="n">
        <v>1</v>
      </c>
      <c r="G1741" s="11" t="n">
        <v>1</v>
      </c>
      <c r="H1741" s="8" t="n">
        <v>6.24</v>
      </c>
      <c r="I1741" s="8" t="n">
        <v>6.24</v>
      </c>
      <c r="J1741" s="8" t="n"/>
      <c r="K1741" s="7" t="inlineStr">
        <is>
          <t>SEM COTAÇÃO</t>
        </is>
      </c>
      <c r="L1741" s="8" t="n"/>
      <c r="M1741" s="12" t="n"/>
      <c r="N1741" s="7" t="inlineStr"/>
      <c r="O1741" s="7" t="inlineStr"/>
    </row>
    <row r="1742">
      <c r="A1742" s="7" t="n">
        <v>666931</v>
      </c>
      <c r="B1742" s="10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1" t="n">
        <v>1</v>
      </c>
      <c r="G1742" s="11" t="n">
        <v>1</v>
      </c>
      <c r="H1742" s="8" t="n"/>
      <c r="I1742" s="8" t="n"/>
      <c r="J1742" s="8" t="n"/>
      <c r="K1742" s="7" t="inlineStr">
        <is>
          <t>SEM COTAÇÃO</t>
        </is>
      </c>
      <c r="L1742" s="8" t="n"/>
      <c r="M1742" s="12" t="n"/>
      <c r="N1742" s="7" t="inlineStr"/>
      <c r="O1742" s="7" t="inlineStr"/>
    </row>
    <row r="1743">
      <c r="A1743" s="7" t="n">
        <v>670791</v>
      </c>
      <c r="B1743" s="10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1" t="n">
        <v>1</v>
      </c>
      <c r="G1743" s="11" t="n">
        <v>1</v>
      </c>
      <c r="H1743" s="8" t="n">
        <v>3.99</v>
      </c>
      <c r="I1743" s="8" t="n">
        <v>3.99</v>
      </c>
      <c r="J1743" s="8" t="n"/>
      <c r="K1743" s="7" t="inlineStr">
        <is>
          <t>SEM COTAÇÃO</t>
        </is>
      </c>
      <c r="L1743" s="8" t="n"/>
      <c r="M1743" s="12" t="n"/>
      <c r="N1743" s="7" t="inlineStr"/>
      <c r="O1743" s="7" t="inlineStr"/>
    </row>
    <row r="1744">
      <c r="A1744" s="7" t="n">
        <v>670781</v>
      </c>
      <c r="B1744" s="10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1" t="n">
        <v>1</v>
      </c>
      <c r="G1744" s="11" t="n">
        <v>1</v>
      </c>
      <c r="H1744" s="8" t="n">
        <v>3.99</v>
      </c>
      <c r="I1744" s="8" t="n">
        <v>3.99</v>
      </c>
      <c r="J1744" s="8" t="n"/>
      <c r="K1744" s="7" t="inlineStr">
        <is>
          <t>SEM COTAÇÃO</t>
        </is>
      </c>
      <c r="L1744" s="8" t="n"/>
      <c r="M1744" s="12" t="n"/>
      <c r="N1744" s="7" t="inlineStr"/>
      <c r="O1744" s="7" t="inlineStr"/>
    </row>
    <row r="1745">
      <c r="A1745" s="7" t="n">
        <v>635651</v>
      </c>
      <c r="B1745" s="10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1" t="n">
        <v>1</v>
      </c>
      <c r="G1745" s="11" t="n">
        <v>1</v>
      </c>
      <c r="H1745" s="8" t="n">
        <v>3.99</v>
      </c>
      <c r="I1745" s="8" t="n">
        <v>3.99</v>
      </c>
      <c r="J1745" s="8" t="n"/>
      <c r="K1745" s="7" t="inlineStr">
        <is>
          <t>SEM COTAÇÃO</t>
        </is>
      </c>
      <c r="L1745" s="8" t="n"/>
      <c r="M1745" s="12" t="n"/>
      <c r="N1745" s="7" t="inlineStr"/>
      <c r="O1745" s="7" t="inlineStr"/>
    </row>
    <row r="1746">
      <c r="A1746" s="7" t="n">
        <v>635671</v>
      </c>
      <c r="B1746" s="10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1" t="n">
        <v>1</v>
      </c>
      <c r="G1746" s="11" t="n">
        <v>1</v>
      </c>
      <c r="H1746" s="8" t="n">
        <v>4.09</v>
      </c>
      <c r="I1746" s="8" t="n">
        <v>3.99</v>
      </c>
      <c r="J1746" s="8" t="n"/>
      <c r="K1746" s="7" t="inlineStr">
        <is>
          <t>SEM COTAÇÃO</t>
        </is>
      </c>
      <c r="L1746" s="8" t="n"/>
      <c r="M1746" s="12" t="n"/>
      <c r="N1746" s="7" t="inlineStr"/>
      <c r="O1746" s="7" t="inlineStr"/>
    </row>
    <row r="1747">
      <c r="A1747" s="7" t="n">
        <v>670771</v>
      </c>
      <c r="B1747" s="10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1" t="n">
        <v>1</v>
      </c>
      <c r="G1747" s="11" t="n">
        <v>1</v>
      </c>
      <c r="H1747" s="8" t="n">
        <v>3.99</v>
      </c>
      <c r="I1747" s="8" t="n">
        <v>3.99</v>
      </c>
      <c r="J1747" s="8" t="n"/>
      <c r="K1747" s="7" t="inlineStr">
        <is>
          <t>SEM COTAÇÃO</t>
        </is>
      </c>
      <c r="L1747" s="8" t="n"/>
      <c r="M1747" s="12" t="n"/>
      <c r="N1747" s="7" t="inlineStr"/>
      <c r="O1747" s="7" t="inlineStr"/>
    </row>
    <row r="1748">
      <c r="A1748" s="7" t="n">
        <v>635691</v>
      </c>
      <c r="B1748" s="10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1" t="n">
        <v>1</v>
      </c>
      <c r="G1748" s="11" t="n">
        <v>1</v>
      </c>
      <c r="H1748" s="8" t="n">
        <v>4.12</v>
      </c>
      <c r="I1748" s="8" t="n">
        <v>3.99</v>
      </c>
      <c r="J1748" s="8" t="n"/>
      <c r="K1748" s="7" t="inlineStr">
        <is>
          <t>SEM COTAÇÃO</t>
        </is>
      </c>
      <c r="L1748" s="8" t="n"/>
      <c r="M1748" s="12" t="n"/>
      <c r="N1748" s="7" t="inlineStr"/>
      <c r="O1748" s="7" t="inlineStr"/>
    </row>
    <row r="1749">
      <c r="A1749" s="7" t="n">
        <v>670761</v>
      </c>
      <c r="B1749" s="10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1" t="n">
        <v>1</v>
      </c>
      <c r="G1749" s="11" t="n">
        <v>1</v>
      </c>
      <c r="H1749" s="8" t="n">
        <v>3.99</v>
      </c>
      <c r="I1749" s="8" t="n">
        <v>3.99</v>
      </c>
      <c r="J1749" s="8" t="n"/>
      <c r="K1749" s="7" t="inlineStr">
        <is>
          <t>SEM COTAÇÃO</t>
        </is>
      </c>
      <c r="L1749" s="8" t="n"/>
      <c r="M1749" s="12" t="n"/>
      <c r="N1749" s="7" t="inlineStr"/>
      <c r="O1749" s="7" t="inlineStr"/>
    </row>
    <row r="1750">
      <c r="A1750" s="7" t="n">
        <v>670741</v>
      </c>
      <c r="B1750" s="10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1" t="n">
        <v>1</v>
      </c>
      <c r="G1750" s="11" t="n">
        <v>1</v>
      </c>
      <c r="H1750" s="8" t="n">
        <v>3.99</v>
      </c>
      <c r="I1750" s="8" t="n">
        <v>3.99</v>
      </c>
      <c r="J1750" s="8" t="n"/>
      <c r="K1750" s="7" t="inlineStr">
        <is>
          <t>SEM COTAÇÃO</t>
        </is>
      </c>
      <c r="L1750" s="8" t="n"/>
      <c r="M1750" s="12" t="n"/>
      <c r="N1750" s="7" t="inlineStr"/>
      <c r="O1750" s="7" t="inlineStr"/>
    </row>
    <row r="1751">
      <c r="A1751" s="7" t="n">
        <v>670731</v>
      </c>
      <c r="B1751" s="10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1" t="n">
        <v>1</v>
      </c>
      <c r="G1751" s="11" t="n">
        <v>1</v>
      </c>
      <c r="H1751" s="8" t="n">
        <v>4.09</v>
      </c>
      <c r="I1751" s="8" t="n">
        <v>3.99</v>
      </c>
      <c r="J1751" s="8" t="n"/>
      <c r="K1751" s="7" t="inlineStr">
        <is>
          <t>SEM COTAÇÃO</t>
        </is>
      </c>
      <c r="L1751" s="8" t="n"/>
      <c r="M1751" s="12" t="n"/>
      <c r="N1751" s="7" t="inlineStr"/>
      <c r="O1751" s="7" t="inlineStr"/>
    </row>
    <row r="1752">
      <c r="A1752" s="7" t="n">
        <v>670721</v>
      </c>
      <c r="B1752" s="10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1" t="n">
        <v>2</v>
      </c>
      <c r="G1752" s="11" t="n">
        <v>2</v>
      </c>
      <c r="H1752" s="8" t="n">
        <v>4.09</v>
      </c>
      <c r="I1752" s="8" t="n">
        <v>3.99</v>
      </c>
      <c r="J1752" s="8" t="n"/>
      <c r="K1752" s="7" t="inlineStr">
        <is>
          <t>SEM COTAÇÃO</t>
        </is>
      </c>
      <c r="L1752" s="8" t="n"/>
      <c r="M1752" s="12" t="n"/>
      <c r="N1752" s="7" t="inlineStr"/>
      <c r="O1752" s="7" t="inlineStr"/>
    </row>
    <row r="1753">
      <c r="A1753" s="7" t="n">
        <v>670711</v>
      </c>
      <c r="B1753" s="10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1" t="n">
        <v>3</v>
      </c>
      <c r="G1753" s="11" t="n">
        <v>3</v>
      </c>
      <c r="H1753" s="8" t="n">
        <v>4.09</v>
      </c>
      <c r="I1753" s="8" t="n">
        <v>3.99</v>
      </c>
      <c r="J1753" s="8" t="n"/>
      <c r="K1753" s="7" t="inlineStr">
        <is>
          <t>SEM COTAÇÃO</t>
        </is>
      </c>
      <c r="L1753" s="8" t="n"/>
      <c r="M1753" s="12" t="n"/>
      <c r="N1753" s="7" t="inlineStr"/>
      <c r="O1753" s="7" t="inlineStr"/>
    </row>
    <row r="1754">
      <c r="A1754" s="7" t="n">
        <v>670701</v>
      </c>
      <c r="B1754" s="10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1" t="n">
        <v>2</v>
      </c>
      <c r="G1754" s="11" t="n">
        <v>2</v>
      </c>
      <c r="H1754" s="8" t="n">
        <v>4.09</v>
      </c>
      <c r="I1754" s="8" t="n">
        <v>3.99</v>
      </c>
      <c r="J1754" s="8" t="n"/>
      <c r="K1754" s="7" t="inlineStr">
        <is>
          <t>SEM COTAÇÃO</t>
        </is>
      </c>
      <c r="L1754" s="8" t="n"/>
      <c r="M1754" s="12" t="n"/>
      <c r="N1754" s="7" t="inlineStr"/>
      <c r="O1754" s="7" t="inlineStr"/>
    </row>
    <row r="1755">
      <c r="A1755" s="7" t="n">
        <v>630741</v>
      </c>
      <c r="B1755" s="10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1" t="n">
        <v>5</v>
      </c>
      <c r="G1755" s="11" t="n">
        <v>5</v>
      </c>
      <c r="H1755" s="8" t="n">
        <v>4.12</v>
      </c>
      <c r="I1755" s="8" t="n">
        <v>3.99</v>
      </c>
      <c r="J1755" s="8" t="n"/>
      <c r="K1755" s="7" t="inlineStr">
        <is>
          <t>SEM COTAÇÃO</t>
        </is>
      </c>
      <c r="L1755" s="8" t="n"/>
      <c r="M1755" s="12" t="n"/>
      <c r="N1755" s="7" t="inlineStr"/>
      <c r="O1755" s="7" t="inlineStr"/>
    </row>
    <row r="1756">
      <c r="A1756" s="7" t="n">
        <v>667111</v>
      </c>
      <c r="B1756" s="10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1" t="n">
        <v>1</v>
      </c>
      <c r="G1756" s="11" t="n">
        <v>1</v>
      </c>
      <c r="H1756" s="8" t="n">
        <v>0.1169</v>
      </c>
      <c r="I1756" s="8" t="n">
        <v>0.1169</v>
      </c>
      <c r="J1756" s="8" t="n"/>
      <c r="K1756" s="7" t="inlineStr">
        <is>
          <t>SEM COTAÇÃO</t>
        </is>
      </c>
      <c r="L1756" s="8" t="n"/>
      <c r="M1756" s="12" t="n"/>
      <c r="N1756" s="7" t="inlineStr"/>
      <c r="O1756" s="7" t="inlineStr"/>
    </row>
    <row r="1757">
      <c r="A1757" s="7" t="n">
        <v>667121</v>
      </c>
      <c r="B1757" s="10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1" t="n">
        <v>1</v>
      </c>
      <c r="G1757" s="11" t="n">
        <v>1</v>
      </c>
      <c r="H1757" s="8" t="n"/>
      <c r="I1757" s="8" t="n"/>
      <c r="J1757" s="8" t="n"/>
      <c r="K1757" s="7" t="inlineStr">
        <is>
          <t>SEM COTAÇÃO</t>
        </is>
      </c>
      <c r="L1757" s="8" t="n"/>
      <c r="M1757" s="12" t="n"/>
      <c r="N1757" s="7" t="inlineStr"/>
      <c r="O1757" s="7" t="inlineStr"/>
    </row>
    <row r="1758">
      <c r="A1758" s="7" t="n">
        <v>652861</v>
      </c>
      <c r="B1758" s="10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1" t="n">
        <v>1</v>
      </c>
      <c r="G1758" s="11" t="n">
        <v>1</v>
      </c>
      <c r="H1758" s="8" t="n">
        <v>4.09</v>
      </c>
      <c r="I1758" s="8" t="n">
        <v>3.99</v>
      </c>
      <c r="J1758" s="8" t="n"/>
      <c r="K1758" s="7" t="inlineStr">
        <is>
          <t>SEM COTAÇÃO</t>
        </is>
      </c>
      <c r="L1758" s="8" t="n"/>
      <c r="M1758" s="12" t="n"/>
      <c r="N1758" s="7" t="inlineStr"/>
      <c r="O1758" s="7" t="inlineStr"/>
    </row>
    <row r="1759">
      <c r="A1759" s="7" t="n">
        <v>652881</v>
      </c>
      <c r="B1759" s="10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1" t="n">
        <v>2</v>
      </c>
      <c r="G1759" s="11" t="n">
        <v>2</v>
      </c>
      <c r="H1759" s="8" t="n">
        <v>4.33</v>
      </c>
      <c r="I1759" s="8" t="n">
        <v>4.33</v>
      </c>
      <c r="J1759" s="8" t="n"/>
      <c r="K1759" s="7" t="inlineStr">
        <is>
          <t>SEM COTAÇÃO</t>
        </is>
      </c>
      <c r="L1759" s="8" t="n"/>
      <c r="M1759" s="12" t="n"/>
      <c r="N1759" s="7" t="inlineStr"/>
      <c r="O1759" s="7" t="inlineStr"/>
    </row>
    <row r="1760">
      <c r="A1760" s="7" t="n">
        <v>647971</v>
      </c>
      <c r="B1760" s="10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1" t="n">
        <v>4</v>
      </c>
      <c r="G1760" s="11" t="n">
        <v>4</v>
      </c>
      <c r="H1760" s="8" t="n">
        <v>4.12</v>
      </c>
      <c r="I1760" s="8" t="n">
        <v>3.99</v>
      </c>
      <c r="J1760" s="8" t="n"/>
      <c r="K1760" s="7" t="inlineStr">
        <is>
          <t>SEM COTAÇÃO</t>
        </is>
      </c>
      <c r="L1760" s="8" t="n"/>
      <c r="M1760" s="12" t="n"/>
      <c r="N1760" s="7" t="inlineStr"/>
      <c r="O1760" s="7" t="inlineStr"/>
    </row>
    <row r="1761">
      <c r="A1761" s="7" t="n">
        <v>647961</v>
      </c>
      <c r="B1761" s="10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1" t="n">
        <v>1</v>
      </c>
      <c r="G1761" s="11" t="n">
        <v>1</v>
      </c>
      <c r="H1761" s="8" t="n">
        <v>3.99</v>
      </c>
      <c r="I1761" s="8" t="n">
        <v>3.99</v>
      </c>
      <c r="J1761" s="8" t="n"/>
      <c r="K1761" s="7" t="inlineStr">
        <is>
          <t>SEM COTAÇÃO</t>
        </is>
      </c>
      <c r="L1761" s="8" t="n"/>
      <c r="M1761" s="12" t="n"/>
      <c r="N1761" s="7" t="inlineStr"/>
      <c r="O1761" s="7" t="inlineStr"/>
    </row>
    <row r="1762">
      <c r="A1762" s="7" t="n">
        <v>648031</v>
      </c>
      <c r="B1762" s="10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1" t="n">
        <v>3</v>
      </c>
      <c r="G1762" s="11" t="n">
        <v>3</v>
      </c>
      <c r="H1762" s="8" t="n">
        <v>4.09</v>
      </c>
      <c r="I1762" s="8" t="n">
        <v>3.99</v>
      </c>
      <c r="J1762" s="8" t="n"/>
      <c r="K1762" s="7" t="inlineStr">
        <is>
          <t>SEM COTAÇÃO</t>
        </is>
      </c>
      <c r="L1762" s="8" t="n"/>
      <c r="M1762" s="12" t="n"/>
      <c r="N1762" s="7" t="inlineStr"/>
      <c r="O1762" s="7" t="inlineStr"/>
    </row>
    <row r="1763">
      <c r="A1763" s="7" t="n">
        <v>652871</v>
      </c>
      <c r="B1763" s="10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1" t="n">
        <v>1</v>
      </c>
      <c r="G1763" s="11" t="n">
        <v>1</v>
      </c>
      <c r="H1763" s="8" t="n">
        <v>4.58</v>
      </c>
      <c r="I1763" s="8" t="n">
        <v>4.58</v>
      </c>
      <c r="J1763" s="8" t="n"/>
      <c r="K1763" s="7" t="inlineStr">
        <is>
          <t>SEM COTAÇÃO</t>
        </is>
      </c>
      <c r="L1763" s="8" t="n"/>
      <c r="M1763" s="12" t="n"/>
      <c r="N1763" s="7" t="inlineStr"/>
      <c r="O1763" s="7" t="inlineStr"/>
    </row>
    <row r="1764">
      <c r="A1764" s="7" t="n">
        <v>648041</v>
      </c>
      <c r="B1764" s="10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1" t="n">
        <v>1</v>
      </c>
      <c r="G1764" s="11" t="n">
        <v>1</v>
      </c>
      <c r="H1764" s="8" t="n">
        <v>3.99</v>
      </c>
      <c r="I1764" s="8" t="n">
        <v>3.99</v>
      </c>
      <c r="J1764" s="8" t="n"/>
      <c r="K1764" s="7" t="inlineStr">
        <is>
          <t>SEM COTAÇÃO</t>
        </is>
      </c>
      <c r="L1764" s="8" t="n"/>
      <c r="M1764" s="12" t="n"/>
      <c r="N1764" s="7" t="inlineStr"/>
      <c r="O1764" s="7" t="inlineStr"/>
    </row>
    <row r="1765">
      <c r="A1765" s="7" t="n">
        <v>648021</v>
      </c>
      <c r="B1765" s="10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1" t="n">
        <v>2</v>
      </c>
      <c r="G1765" s="11" t="n">
        <v>2</v>
      </c>
      <c r="H1765" s="8" t="n">
        <v>4.58</v>
      </c>
      <c r="I1765" s="8" t="n">
        <v>4.58</v>
      </c>
      <c r="J1765" s="8" t="n"/>
      <c r="K1765" s="7" t="inlineStr">
        <is>
          <t>SEM COTAÇÃO</t>
        </is>
      </c>
      <c r="L1765" s="8" t="n"/>
      <c r="M1765" s="12" t="n"/>
      <c r="N1765" s="7" t="inlineStr"/>
      <c r="O1765" s="7" t="inlineStr"/>
    </row>
    <row r="1766">
      <c r="A1766" s="7" t="n">
        <v>647981</v>
      </c>
      <c r="B1766" s="10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1" t="n">
        <v>2</v>
      </c>
      <c r="G1766" s="11" t="n">
        <v>2</v>
      </c>
      <c r="H1766" s="8" t="n">
        <v>4.58</v>
      </c>
      <c r="I1766" s="8" t="n">
        <v>4.58</v>
      </c>
      <c r="J1766" s="8" t="n"/>
      <c r="K1766" s="7" t="inlineStr">
        <is>
          <t>SEM COTAÇÃO</t>
        </is>
      </c>
      <c r="L1766" s="8" t="n"/>
      <c r="M1766" s="12" t="n"/>
      <c r="N1766" s="7" t="inlineStr"/>
      <c r="O1766" s="7" t="inlineStr"/>
    </row>
    <row r="1767">
      <c r="A1767" s="7" t="n">
        <v>652761</v>
      </c>
      <c r="B1767" s="10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1" t="n">
        <v>1</v>
      </c>
      <c r="G1767" s="11" t="n">
        <v>1</v>
      </c>
      <c r="H1767" s="8" t="n">
        <v>4.58</v>
      </c>
      <c r="I1767" s="8" t="n">
        <v>4.58</v>
      </c>
      <c r="J1767" s="8" t="n"/>
      <c r="K1767" s="7" t="inlineStr">
        <is>
          <t>SEM COTAÇÃO</t>
        </is>
      </c>
      <c r="L1767" s="8" t="n"/>
      <c r="M1767" s="12" t="n"/>
      <c r="N1767" s="7" t="inlineStr"/>
      <c r="O1767" s="7" t="inlineStr"/>
    </row>
    <row r="1768">
      <c r="A1768" s="7" t="n">
        <v>652901</v>
      </c>
      <c r="B1768" s="10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1" t="n">
        <v>2</v>
      </c>
      <c r="G1768" s="11" t="n">
        <v>2</v>
      </c>
      <c r="H1768" s="8" t="n">
        <v>3.99</v>
      </c>
      <c r="I1768" s="8" t="n">
        <v>3.99</v>
      </c>
      <c r="J1768" s="8" t="n"/>
      <c r="K1768" s="7" t="inlineStr">
        <is>
          <t>SEM COTAÇÃO</t>
        </is>
      </c>
      <c r="L1768" s="8" t="n"/>
      <c r="M1768" s="12" t="n"/>
      <c r="N1768" s="7" t="inlineStr"/>
      <c r="O1768" s="7" t="inlineStr"/>
    </row>
    <row r="1769">
      <c r="A1769" s="7" t="n">
        <v>652891</v>
      </c>
      <c r="B1769" s="10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1" t="n">
        <v>1</v>
      </c>
      <c r="G1769" s="11" t="n">
        <v>1</v>
      </c>
      <c r="H1769" s="8" t="n">
        <v>4.58</v>
      </c>
      <c r="I1769" s="8" t="n">
        <v>4.58</v>
      </c>
      <c r="J1769" s="8" t="n"/>
      <c r="K1769" s="7" t="inlineStr">
        <is>
          <t>SEM COTAÇÃO</t>
        </is>
      </c>
      <c r="L1769" s="8" t="n"/>
      <c r="M1769" s="12" t="n"/>
      <c r="N1769" s="7" t="inlineStr"/>
      <c r="O1769" s="7" t="inlineStr"/>
    </row>
    <row r="1770">
      <c r="A1770" s="7" t="n">
        <v>648061</v>
      </c>
      <c r="B1770" s="10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1" t="n">
        <v>1</v>
      </c>
      <c r="G1770" s="11" t="n">
        <v>1</v>
      </c>
      <c r="H1770" s="8" t="n">
        <v>4.58</v>
      </c>
      <c r="I1770" s="8" t="n">
        <v>4.58</v>
      </c>
      <c r="J1770" s="8" t="n"/>
      <c r="K1770" s="7" t="inlineStr">
        <is>
          <t>SEM COTAÇÃO</t>
        </is>
      </c>
      <c r="L1770" s="8" t="n"/>
      <c r="M1770" s="12" t="n"/>
      <c r="N1770" s="7" t="inlineStr"/>
      <c r="O1770" s="7" t="inlineStr"/>
    </row>
    <row r="1771">
      <c r="A1771" s="7" t="n">
        <v>652741</v>
      </c>
      <c r="B1771" s="10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1" t="n">
        <v>2</v>
      </c>
      <c r="G1771" s="11" t="n">
        <v>2</v>
      </c>
      <c r="H1771" s="8" t="n">
        <v>3.99</v>
      </c>
      <c r="I1771" s="8" t="n">
        <v>3.99</v>
      </c>
      <c r="J1771" s="8" t="n"/>
      <c r="K1771" s="7" t="inlineStr">
        <is>
          <t>SEM COTAÇÃO</t>
        </is>
      </c>
      <c r="L1771" s="8" t="n"/>
      <c r="M1771" s="12" t="n"/>
      <c r="N1771" s="7" t="inlineStr"/>
      <c r="O1771" s="7" t="inlineStr"/>
    </row>
    <row r="1772">
      <c r="A1772" s="7" t="n">
        <v>652751</v>
      </c>
      <c r="B1772" s="10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1" t="n">
        <v>2</v>
      </c>
      <c r="G1772" s="11" t="n">
        <v>2</v>
      </c>
      <c r="H1772" s="8" t="n">
        <v>4.58</v>
      </c>
      <c r="I1772" s="8" t="n">
        <v>4.58</v>
      </c>
      <c r="J1772" s="8" t="n"/>
      <c r="K1772" s="7" t="inlineStr">
        <is>
          <t>SEM COTAÇÃO</t>
        </is>
      </c>
      <c r="L1772" s="8" t="n"/>
      <c r="M1772" s="12" t="n"/>
      <c r="N1772" s="7" t="inlineStr"/>
      <c r="O1772" s="7" t="inlineStr"/>
    </row>
    <row r="1773">
      <c r="A1773" s="7" t="n">
        <v>648091</v>
      </c>
      <c r="B1773" s="10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1" t="n">
        <v>1</v>
      </c>
      <c r="G1773" s="11" t="n">
        <v>1</v>
      </c>
      <c r="H1773" s="8" t="n">
        <v>3.99</v>
      </c>
      <c r="I1773" s="8" t="n">
        <v>3.99</v>
      </c>
      <c r="J1773" s="8" t="n"/>
      <c r="K1773" s="7" t="inlineStr">
        <is>
          <t>SEM COTAÇÃO</t>
        </is>
      </c>
      <c r="L1773" s="8" t="n"/>
      <c r="M1773" s="12" t="n"/>
      <c r="N1773" s="7" t="inlineStr"/>
      <c r="O1773" s="7" t="inlineStr"/>
    </row>
    <row r="1774">
      <c r="A1774" s="7" t="n">
        <v>648071</v>
      </c>
      <c r="B1774" s="10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1" t="n">
        <v>2</v>
      </c>
      <c r="G1774" s="11" t="n">
        <v>2</v>
      </c>
      <c r="H1774" s="8" t="n">
        <v>4.09</v>
      </c>
      <c r="I1774" s="8" t="n">
        <v>3.99</v>
      </c>
      <c r="J1774" s="8" t="n"/>
      <c r="K1774" s="7" t="inlineStr">
        <is>
          <t>SEM COTAÇÃO</t>
        </is>
      </c>
      <c r="L1774" s="8" t="n"/>
      <c r="M1774" s="12" t="n"/>
      <c r="N1774" s="7" t="inlineStr"/>
      <c r="O1774" s="7" t="inlineStr"/>
    </row>
    <row r="1775">
      <c r="A1775" s="7" t="n">
        <v>648051</v>
      </c>
      <c r="B1775" s="10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1" t="n">
        <v>1</v>
      </c>
      <c r="G1775" s="11" t="n">
        <v>1</v>
      </c>
      <c r="H1775" s="8" t="n">
        <v>4.12</v>
      </c>
      <c r="I1775" s="8" t="n">
        <v>4.12</v>
      </c>
      <c r="J1775" s="8" t="n"/>
      <c r="K1775" s="7" t="inlineStr">
        <is>
          <t>SEM COTAÇÃO</t>
        </is>
      </c>
      <c r="L1775" s="8" t="n"/>
      <c r="M1775" s="12" t="n"/>
      <c r="N1775" s="7" t="inlineStr"/>
      <c r="O1775" s="7" t="inlineStr"/>
    </row>
    <row r="1776">
      <c r="A1776" s="7" t="n">
        <v>235621</v>
      </c>
      <c r="B1776" s="10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1" t="n">
        <v>2</v>
      </c>
      <c r="G1776" s="11" t="n">
        <v>2</v>
      </c>
      <c r="H1776" s="8" t="n">
        <v>272.59</v>
      </c>
      <c r="I1776" s="8" t="n">
        <v>242.54</v>
      </c>
      <c r="J1776" s="8" t="n"/>
      <c r="K1776" s="7" t="inlineStr">
        <is>
          <t>SEM COTAÇÃO</t>
        </is>
      </c>
      <c r="L1776" s="8" t="n"/>
      <c r="M1776" s="12" t="n"/>
      <c r="N1776" s="7" t="inlineStr"/>
      <c r="O1776" s="7" t="inlineStr"/>
    </row>
    <row r="1777">
      <c r="A1777" s="7" t="n">
        <v>234561</v>
      </c>
      <c r="B1777" s="10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1" t="n">
        <v>4</v>
      </c>
      <c r="G1777" s="11" t="n">
        <v>4</v>
      </c>
      <c r="H1777" s="8" t="n">
        <v>27.154</v>
      </c>
      <c r="I1777" s="8" t="n">
        <v>24.8683</v>
      </c>
      <c r="J1777" s="8" t="n"/>
      <c r="K1777" s="7" t="inlineStr">
        <is>
          <t>SEM COTAÇÃO</t>
        </is>
      </c>
      <c r="L1777" s="8" t="n"/>
      <c r="M1777" s="12" t="n"/>
      <c r="N1777" s="7" t="inlineStr"/>
      <c r="O1777" s="7" t="inlineStr"/>
    </row>
    <row r="1778">
      <c r="A1778" s="7" t="n">
        <v>234861</v>
      </c>
      <c r="B1778" s="10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1" t="n">
        <v>1</v>
      </c>
      <c r="G1778" s="11" t="n">
        <v>1</v>
      </c>
      <c r="H1778" s="8" t="n">
        <v>21.71</v>
      </c>
      <c r="I1778" s="8" t="n">
        <v>21.71</v>
      </c>
      <c r="J1778" s="13" t="n">
        <v>24.96</v>
      </c>
      <c r="K1778" s="7" t="inlineStr">
        <is>
          <t>DIMEC</t>
        </is>
      </c>
      <c r="L1778" s="8" t="n">
        <v>24.96</v>
      </c>
      <c r="M1778" s="12">
        <f>L1778/H1778-1</f>
        <v/>
      </c>
      <c r="N1778" s="14" t="inlineStr">
        <is>
          <t>ACIMA +15.0%</t>
        </is>
      </c>
      <c r="O1778" s="7" t="inlineStr"/>
    </row>
    <row r="1779">
      <c r="A1779" s="7" t="n">
        <v>234881</v>
      </c>
      <c r="B1779" s="10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1" t="n">
        <v>1</v>
      </c>
      <c r="G1779" s="11" t="n">
        <v>1</v>
      </c>
      <c r="H1779" s="8" t="n">
        <v>41.75</v>
      </c>
      <c r="I1779" s="8" t="n">
        <v>41.75</v>
      </c>
      <c r="J1779" s="13" t="n">
        <v>43.2</v>
      </c>
      <c r="K1779" s="7" t="inlineStr">
        <is>
          <t>DIMEC</t>
        </is>
      </c>
      <c r="L1779" s="8" t="n">
        <v>43.2</v>
      </c>
      <c r="M1779" s="12">
        <f>L1779/H1779-1</f>
        <v/>
      </c>
      <c r="N1779" s="14" t="inlineStr">
        <is>
          <t>ACIMA +3.5%</t>
        </is>
      </c>
      <c r="O1779" s="7" t="inlineStr"/>
    </row>
    <row r="1780">
      <c r="A1780" s="7" t="n">
        <v>601481</v>
      </c>
      <c r="B1780" s="10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1" t="n">
        <v>1</v>
      </c>
      <c r="G1780" s="11" t="n">
        <v>1</v>
      </c>
      <c r="H1780" s="8" t="n">
        <v>33.415</v>
      </c>
      <c r="I1780" s="8" t="n">
        <v>33.415</v>
      </c>
      <c r="J1780" s="8" t="n"/>
      <c r="K1780" s="7" t="inlineStr">
        <is>
          <t>SEM COTAÇÃO</t>
        </is>
      </c>
      <c r="L1780" s="8" t="n"/>
      <c r="M1780" s="12" t="n"/>
      <c r="N1780" s="7" t="inlineStr"/>
      <c r="O1780" s="7" t="inlineStr"/>
    </row>
    <row r="1781">
      <c r="A1781" s="7" t="n">
        <v>570961</v>
      </c>
      <c r="B1781" s="10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1" t="n">
        <v>1</v>
      </c>
      <c r="G1781" s="11" t="n">
        <v>1</v>
      </c>
      <c r="H1781" s="8" t="n">
        <v>23.24</v>
      </c>
      <c r="I1781" s="8" t="n">
        <v>23.24</v>
      </c>
      <c r="J1781" s="8" t="n"/>
      <c r="K1781" s="7" t="inlineStr">
        <is>
          <t>SEM COTAÇÃO</t>
        </is>
      </c>
      <c r="L1781" s="8" t="n"/>
      <c r="M1781" s="12" t="n"/>
      <c r="N1781" s="7" t="inlineStr"/>
      <c r="O1781" s="7" t="inlineStr"/>
    </row>
    <row r="1782">
      <c r="A1782" s="7" t="n">
        <v>613791</v>
      </c>
      <c r="B1782" s="10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1" t="n">
        <v>2</v>
      </c>
      <c r="G1782" s="11" t="n">
        <v>2</v>
      </c>
      <c r="H1782" s="8" t="n">
        <v>2.83</v>
      </c>
      <c r="I1782" s="8" t="n">
        <v>2.83</v>
      </c>
      <c r="J1782" s="13" t="n">
        <v>2.83</v>
      </c>
      <c r="K1782" s="7" t="inlineStr">
        <is>
          <t>DIMEC</t>
        </is>
      </c>
      <c r="L1782" s="8" t="n">
        <v>2.83</v>
      </c>
      <c r="M1782" s="12">
        <f>L1782/H1782-1</f>
        <v/>
      </c>
      <c r="N1782" s="15" t="inlineStr">
        <is>
          <t>OK (≤ menor hist.)</t>
        </is>
      </c>
      <c r="O1782" s="7" t="inlineStr"/>
    </row>
    <row r="1783">
      <c r="A1783" s="7" t="n">
        <v>648331</v>
      </c>
      <c r="B1783" s="10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1" t="n">
        <v>1</v>
      </c>
      <c r="G1783" s="11" t="n">
        <v>1</v>
      </c>
      <c r="H1783" s="8" t="n">
        <v>11.4</v>
      </c>
      <c r="I1783" s="8" t="n">
        <v>11.4</v>
      </c>
      <c r="J1783" s="8" t="n"/>
      <c r="K1783" s="7" t="inlineStr">
        <is>
          <t>SEM COTAÇÃO</t>
        </is>
      </c>
      <c r="L1783" s="8" t="n"/>
      <c r="M1783" s="12" t="n"/>
      <c r="N1783" s="7" t="inlineStr"/>
      <c r="O1783" s="7" t="inlineStr"/>
    </row>
    <row r="1784">
      <c r="A1784" s="7" t="n">
        <v>656561</v>
      </c>
      <c r="B1784" s="10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1" t="n">
        <v>1</v>
      </c>
      <c r="G1784" s="11" t="n">
        <v>1</v>
      </c>
      <c r="H1784" s="8" t="n">
        <v>3.5533</v>
      </c>
      <c r="I1784" s="8" t="n">
        <v>3.5533</v>
      </c>
      <c r="J1784" s="8" t="n"/>
      <c r="K1784" s="7" t="inlineStr">
        <is>
          <t>SEM COTAÇÃO</t>
        </is>
      </c>
      <c r="L1784" s="8" t="n"/>
      <c r="M1784" s="12" t="n"/>
      <c r="N1784" s="7" t="inlineStr"/>
      <c r="O1784" s="7" t="inlineStr"/>
    </row>
    <row r="1785">
      <c r="A1785" s="7" t="n">
        <v>540961</v>
      </c>
      <c r="B1785" s="10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1" t="n">
        <v>13</v>
      </c>
      <c r="G1785" s="11" t="n">
        <v>13</v>
      </c>
      <c r="H1785" s="8" t="n">
        <v>12.32</v>
      </c>
      <c r="I1785" s="8" t="n">
        <v>12.32</v>
      </c>
      <c r="J1785" s="13" t="n">
        <v>12.33</v>
      </c>
      <c r="K1785" s="7" t="inlineStr">
        <is>
          <t>DIMEC</t>
        </is>
      </c>
      <c r="L1785" s="8" t="n">
        <v>12.33</v>
      </c>
      <c r="M1785" s="12">
        <f>L1785/H1785-1</f>
        <v/>
      </c>
      <c r="N1785" s="14" t="inlineStr">
        <is>
          <t>ACIMA +0.1%</t>
        </is>
      </c>
      <c r="O1785" s="7" t="inlineStr"/>
    </row>
    <row r="1786">
      <c r="A1786" s="7" t="n">
        <v>651561</v>
      </c>
      <c r="B1786" s="10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1" t="n">
        <v>6</v>
      </c>
      <c r="G1786" s="11" t="n">
        <v>6</v>
      </c>
      <c r="H1786" s="8" t="n">
        <v>3.59</v>
      </c>
      <c r="I1786" s="8" t="n">
        <v>3.59</v>
      </c>
      <c r="J1786" s="8" t="n"/>
      <c r="K1786" s="7" t="inlineStr">
        <is>
          <t>SEM COTAÇÃO</t>
        </is>
      </c>
      <c r="L1786" s="8" t="n"/>
      <c r="M1786" s="12" t="n"/>
      <c r="N1786" s="7" t="inlineStr"/>
      <c r="O1786" s="7" t="inlineStr"/>
    </row>
    <row r="1787">
      <c r="A1787" s="7" t="n">
        <v>541301</v>
      </c>
      <c r="B1787" s="10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1" t="n">
        <v>17</v>
      </c>
      <c r="G1787" s="11" t="n">
        <v>17</v>
      </c>
      <c r="H1787" s="8" t="n">
        <v>2.15</v>
      </c>
      <c r="I1787" s="8" t="n">
        <v>2.15</v>
      </c>
      <c r="J1787" s="13" t="n">
        <v>2.15</v>
      </c>
      <c r="K1787" s="7" t="inlineStr">
        <is>
          <t>DIMEC</t>
        </is>
      </c>
      <c r="L1787" s="8" t="n">
        <v>2.15</v>
      </c>
      <c r="M1787" s="12">
        <f>L1787/H1787-1</f>
        <v/>
      </c>
      <c r="N1787" s="15" t="inlineStr">
        <is>
          <t>OK (≤ menor hist.)</t>
        </is>
      </c>
      <c r="O1787" s="7" t="inlineStr"/>
    </row>
    <row r="1788">
      <c r="A1788" s="7" t="n">
        <v>541421</v>
      </c>
      <c r="B1788" s="10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1" t="n">
        <v>41</v>
      </c>
      <c r="G1788" s="11" t="n">
        <v>41</v>
      </c>
      <c r="H1788" s="8" t="n">
        <v>3.71</v>
      </c>
      <c r="I1788" s="8" t="n">
        <v>3.71</v>
      </c>
      <c r="J1788" s="13" t="n">
        <v>3.71</v>
      </c>
      <c r="K1788" s="7" t="inlineStr">
        <is>
          <t>DIMEC</t>
        </is>
      </c>
      <c r="L1788" s="8" t="n">
        <v>3.71</v>
      </c>
      <c r="M1788" s="12">
        <f>L1788/H1788-1</f>
        <v/>
      </c>
      <c r="N1788" s="15" t="inlineStr">
        <is>
          <t>OK (≤ menor hist.)</t>
        </is>
      </c>
      <c r="O1788" s="7" t="inlineStr"/>
    </row>
    <row r="1789">
      <c r="A1789" s="7" t="n">
        <v>552501</v>
      </c>
      <c r="B1789" s="10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1" t="n">
        <v>14</v>
      </c>
      <c r="G1789" s="11" t="n">
        <v>14</v>
      </c>
      <c r="H1789" s="8" t="n">
        <v>5.98</v>
      </c>
      <c r="I1789" s="8" t="n">
        <v>5.97</v>
      </c>
      <c r="J1789" s="13" t="n">
        <v>5.98</v>
      </c>
      <c r="K1789" s="7" t="inlineStr">
        <is>
          <t>DIMEC</t>
        </is>
      </c>
      <c r="L1789" s="8" t="n">
        <v>5.98</v>
      </c>
      <c r="M1789" s="12">
        <f>L1789/H1789-1</f>
        <v/>
      </c>
      <c r="N1789" s="15" t="inlineStr">
        <is>
          <t>OK (≤ últ. compra)</t>
        </is>
      </c>
      <c r="O1789" s="7" t="inlineStr"/>
    </row>
    <row r="1790">
      <c r="A1790" s="7" t="n">
        <v>552861</v>
      </c>
      <c r="B1790" s="10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1" t="n">
        <v>1</v>
      </c>
      <c r="G1790" s="11" t="n">
        <v>1</v>
      </c>
      <c r="H1790" s="8" t="n">
        <v>2.59</v>
      </c>
      <c r="I1790" s="8" t="n">
        <v>2.59</v>
      </c>
      <c r="J1790" s="8" t="n"/>
      <c r="K1790" s="7" t="inlineStr">
        <is>
          <t>SEM COTAÇÃO</t>
        </is>
      </c>
      <c r="L1790" s="8" t="n"/>
      <c r="M1790" s="12" t="n"/>
      <c r="N1790" s="7" t="inlineStr"/>
      <c r="O1790" s="7" t="inlineStr"/>
    </row>
    <row r="1791">
      <c r="A1791" s="7" t="n">
        <v>552901</v>
      </c>
      <c r="B1791" s="10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1" t="n">
        <v>1</v>
      </c>
      <c r="G1791" s="11" t="n">
        <v>1</v>
      </c>
      <c r="H1791" s="8" t="n">
        <v>1.5425</v>
      </c>
      <c r="I1791" s="8" t="n">
        <v>1.5425</v>
      </c>
      <c r="J1791" s="8" t="n"/>
      <c r="K1791" s="7" t="inlineStr">
        <is>
          <t>SEM COTAÇÃO</t>
        </is>
      </c>
      <c r="L1791" s="8" t="n"/>
      <c r="M1791" s="12" t="n"/>
      <c r="N1791" s="7" t="inlineStr"/>
      <c r="O1791" s="7" t="inlineStr"/>
    </row>
    <row r="1792">
      <c r="A1792" s="7" t="n">
        <v>578121</v>
      </c>
      <c r="B1792" s="10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1" t="n">
        <v>9</v>
      </c>
      <c r="G1792" s="11" t="n">
        <v>9</v>
      </c>
      <c r="H1792" s="8" t="n">
        <v>6.844</v>
      </c>
      <c r="I1792" s="8" t="n">
        <v>6.48</v>
      </c>
      <c r="J1792" s="8" t="n"/>
      <c r="K1792" s="7" t="inlineStr">
        <is>
          <t>SEM COTAÇÃO</t>
        </is>
      </c>
      <c r="L1792" s="8" t="n"/>
      <c r="M1792" s="12" t="n"/>
      <c r="N1792" s="7" t="inlineStr"/>
      <c r="O1792" s="7" t="inlineStr"/>
    </row>
    <row r="1793">
      <c r="A1793" s="7" t="n">
        <v>618551</v>
      </c>
      <c r="B1793" s="10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1" t="n">
        <v>2</v>
      </c>
      <c r="G1793" s="11" t="n">
        <v>2</v>
      </c>
      <c r="H1793" s="8" t="n">
        <v>7.99</v>
      </c>
      <c r="I1793" s="8" t="n">
        <v>7.99</v>
      </c>
      <c r="J1793" s="8" t="n"/>
      <c r="K1793" s="7" t="inlineStr">
        <is>
          <t>SEM COTAÇÃO</t>
        </is>
      </c>
      <c r="L1793" s="8" t="n"/>
      <c r="M1793" s="12" t="n"/>
      <c r="N1793" s="7" t="inlineStr"/>
      <c r="O1793" s="7" t="inlineStr"/>
    </row>
    <row r="1794">
      <c r="A1794" s="7" t="n">
        <v>589961</v>
      </c>
      <c r="B1794" s="10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1" t="n">
        <v>1</v>
      </c>
      <c r="G1794" s="11" t="n">
        <v>1</v>
      </c>
      <c r="H1794" s="8" t="n">
        <v>13.94</v>
      </c>
      <c r="I1794" s="8" t="n">
        <v>13.94</v>
      </c>
      <c r="J1794" s="8" t="n"/>
      <c r="K1794" s="7" t="inlineStr">
        <is>
          <t>SEM COTAÇÃO</t>
        </is>
      </c>
      <c r="L1794" s="8" t="n"/>
      <c r="M1794" s="12" t="n"/>
      <c r="N1794" s="7" t="inlineStr"/>
      <c r="O1794" s="7" t="inlineStr"/>
    </row>
    <row r="1795">
      <c r="A1795" s="7" t="n">
        <v>604531</v>
      </c>
      <c r="B1795" s="10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1" t="n">
        <v>1</v>
      </c>
      <c r="G1795" s="11" t="n">
        <v>1</v>
      </c>
      <c r="H1795" s="8" t="n">
        <v>12.44</v>
      </c>
      <c r="I1795" s="8" t="n">
        <v>12.44</v>
      </c>
      <c r="J1795" s="8" t="n"/>
      <c r="K1795" s="7" t="inlineStr">
        <is>
          <t>SEM COTAÇÃO</t>
        </is>
      </c>
      <c r="L1795" s="8" t="n"/>
      <c r="M1795" s="12" t="n"/>
      <c r="N1795" s="7" t="inlineStr"/>
      <c r="O1795" s="7" t="inlineStr"/>
    </row>
    <row r="1796">
      <c r="A1796" s="7" t="n">
        <v>631231</v>
      </c>
      <c r="B1796" s="10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1" t="n">
        <v>1</v>
      </c>
      <c r="G1796" s="11" t="n">
        <v>1</v>
      </c>
      <c r="H1796" s="8" t="n">
        <v>17.21</v>
      </c>
      <c r="I1796" s="8" t="n">
        <v>17.21</v>
      </c>
      <c r="J1796" s="8" t="n"/>
      <c r="K1796" s="7" t="inlineStr">
        <is>
          <t>SEM COTAÇÃO</t>
        </is>
      </c>
      <c r="L1796" s="8" t="n"/>
      <c r="M1796" s="12" t="n"/>
      <c r="N1796" s="7" t="inlineStr"/>
      <c r="O1796" s="7" t="inlineStr"/>
    </row>
    <row r="1797">
      <c r="A1797" s="7" t="n">
        <v>582421</v>
      </c>
      <c r="B1797" s="10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1" t="n">
        <v>1</v>
      </c>
      <c r="G1797" s="11" t="n">
        <v>1</v>
      </c>
      <c r="H1797" s="8" t="n">
        <v>28.74</v>
      </c>
      <c r="I1797" s="8" t="n">
        <v>28.74</v>
      </c>
      <c r="J1797" s="8" t="n"/>
      <c r="K1797" s="7" t="inlineStr">
        <is>
          <t>SEM COTAÇÃO</t>
        </is>
      </c>
      <c r="L1797" s="8" t="n"/>
      <c r="M1797" s="12" t="n"/>
      <c r="N1797" s="7" t="inlineStr"/>
      <c r="O1797" s="7" t="inlineStr"/>
    </row>
    <row r="1798">
      <c r="A1798" s="7" t="n">
        <v>582441</v>
      </c>
      <c r="B1798" s="10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1" t="n">
        <v>1</v>
      </c>
      <c r="G1798" s="11" t="n">
        <v>1</v>
      </c>
      <c r="H1798" s="8" t="n">
        <v>26.67</v>
      </c>
      <c r="I1798" s="8" t="n">
        <v>26.67</v>
      </c>
      <c r="J1798" s="8" t="n"/>
      <c r="K1798" s="7" t="inlineStr">
        <is>
          <t>SEM COTAÇÃO</t>
        </is>
      </c>
      <c r="L1798" s="8" t="n"/>
      <c r="M1798" s="12" t="n"/>
      <c r="N1798" s="7" t="inlineStr"/>
      <c r="O1798" s="7" t="inlineStr"/>
    </row>
    <row r="1799">
      <c r="A1799" s="7" t="n">
        <v>38203</v>
      </c>
      <c r="B1799" s="10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1" t="n">
        <v>1</v>
      </c>
      <c r="G1799" s="11" t="n">
        <v>1</v>
      </c>
      <c r="H1799" s="8" t="n">
        <v>44</v>
      </c>
      <c r="I1799" s="8" t="n">
        <v>44</v>
      </c>
      <c r="J1799" s="8" t="n"/>
      <c r="K1799" s="7" t="inlineStr">
        <is>
          <t>SEM COTAÇÃO</t>
        </is>
      </c>
      <c r="L1799" s="8" t="n"/>
      <c r="M1799" s="12" t="n"/>
      <c r="N1799" s="7" t="inlineStr"/>
      <c r="O1799" s="7" t="inlineStr"/>
    </row>
    <row r="1800">
      <c r="A1800" s="7" t="n">
        <v>660381</v>
      </c>
      <c r="B1800" s="10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1" t="n">
        <v>1</v>
      </c>
      <c r="G1800" s="11" t="n">
        <v>1</v>
      </c>
      <c r="H1800" s="8" t="n">
        <v>16.89</v>
      </c>
      <c r="I1800" s="8" t="n">
        <v>16.89</v>
      </c>
      <c r="J1800" s="8" t="n"/>
      <c r="K1800" s="7" t="inlineStr">
        <is>
          <t>SEM COTAÇÃO</t>
        </is>
      </c>
      <c r="L1800" s="8" t="n"/>
      <c r="M1800" s="12" t="n"/>
      <c r="N1800" s="7" t="inlineStr"/>
      <c r="O1800" s="7" t="inlineStr"/>
    </row>
    <row r="1801">
      <c r="A1801" s="7" t="n">
        <v>671341</v>
      </c>
      <c r="B1801" s="10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1" t="n">
        <v>1</v>
      </c>
      <c r="G1801" s="11" t="n">
        <v>1</v>
      </c>
      <c r="H1801" s="8" t="n">
        <v>29.94</v>
      </c>
      <c r="I1801" s="8" t="n">
        <v>29.94</v>
      </c>
      <c r="J1801" s="8" t="n"/>
      <c r="K1801" s="7" t="inlineStr">
        <is>
          <t>SEM COTAÇÃO</t>
        </is>
      </c>
      <c r="L1801" s="8" t="n"/>
      <c r="M1801" s="12" t="n"/>
      <c r="N1801" s="7" t="inlineStr"/>
      <c r="O1801" s="7" t="inlineStr"/>
    </row>
    <row r="1802">
      <c r="A1802" s="7" t="n">
        <v>631171</v>
      </c>
      <c r="B1802" s="10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1" t="n">
        <v>13</v>
      </c>
      <c r="G1802" s="11" t="n">
        <v>13</v>
      </c>
      <c r="H1802" s="8" t="n">
        <v>16.3492</v>
      </c>
      <c r="I1802" s="8" t="n">
        <v>16.3492</v>
      </c>
      <c r="J1802" s="13" t="n">
        <v>19.83</v>
      </c>
      <c r="K1802" s="7" t="inlineStr">
        <is>
          <t>DIMEC</t>
        </is>
      </c>
      <c r="L1802" s="8" t="n">
        <v>19.83</v>
      </c>
      <c r="M1802" s="12">
        <f>L1802/H1802-1</f>
        <v/>
      </c>
      <c r="N1802" s="14" t="inlineStr">
        <is>
          <t>ACIMA +21.3%</t>
        </is>
      </c>
      <c r="O1802" s="7" t="inlineStr"/>
    </row>
    <row r="1803">
      <c r="A1803" s="7" t="n">
        <v>658021</v>
      </c>
      <c r="B1803" s="10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1" t="n">
        <v>1</v>
      </c>
      <c r="G1803" s="11" t="n">
        <v>1</v>
      </c>
      <c r="H1803" s="8" t="n">
        <v>75.47</v>
      </c>
      <c r="I1803" s="8" t="n">
        <v>75.47</v>
      </c>
      <c r="J1803" s="8" t="n"/>
      <c r="K1803" s="7" t="inlineStr">
        <is>
          <t>SEM COTAÇÃO</t>
        </is>
      </c>
      <c r="L1803" s="8" t="n"/>
      <c r="M1803" s="12" t="n"/>
      <c r="N1803" s="7" t="inlineStr"/>
      <c r="O1803" s="7" t="inlineStr"/>
    </row>
    <row r="1804">
      <c r="A1804" s="7" t="n">
        <v>634911</v>
      </c>
      <c r="B1804" s="10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1" t="n">
        <v>1</v>
      </c>
      <c r="G1804" s="11" t="n">
        <v>1</v>
      </c>
      <c r="H1804" s="8" t="n">
        <v>34.86</v>
      </c>
      <c r="I1804" s="8" t="n">
        <v>34.86</v>
      </c>
      <c r="J1804" s="8" t="n"/>
      <c r="K1804" s="7" t="inlineStr">
        <is>
          <t>SEM COTAÇÃO</t>
        </is>
      </c>
      <c r="L1804" s="8" t="n"/>
      <c r="M1804" s="12" t="n"/>
      <c r="N1804" s="7" t="inlineStr"/>
      <c r="O1804" s="7" t="inlineStr"/>
    </row>
    <row r="1805">
      <c r="A1805" s="7" t="n">
        <v>642951</v>
      </c>
      <c r="B1805" s="10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1" t="n">
        <v>1</v>
      </c>
      <c r="G1805" s="11" t="n">
        <v>1</v>
      </c>
      <c r="H1805" s="8" t="n">
        <v>16.33</v>
      </c>
      <c r="I1805" s="8" t="n">
        <v>16.33</v>
      </c>
      <c r="J1805" s="8" t="n"/>
      <c r="K1805" s="7" t="inlineStr">
        <is>
          <t>SEM COTAÇÃO</t>
        </is>
      </c>
      <c r="L1805" s="8" t="n"/>
      <c r="M1805" s="12" t="n"/>
      <c r="N1805" s="7" t="inlineStr"/>
      <c r="O1805" s="7" t="inlineStr"/>
    </row>
    <row r="1806">
      <c r="A1806" s="7" t="n">
        <v>303461</v>
      </c>
      <c r="B1806" s="10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1" t="n">
        <v>3</v>
      </c>
      <c r="G1806" s="11" t="n">
        <v>3</v>
      </c>
      <c r="H1806" s="8" t="n">
        <v>16.86</v>
      </c>
      <c r="I1806" s="8" t="n">
        <v>14</v>
      </c>
      <c r="J1806" s="8" t="n"/>
      <c r="K1806" s="7" t="inlineStr">
        <is>
          <t>SEM COTAÇÃO</t>
        </is>
      </c>
      <c r="L1806" s="8" t="n"/>
      <c r="M1806" s="12" t="n"/>
      <c r="N1806" s="7" t="inlineStr"/>
      <c r="O1806" s="7" t="inlineStr"/>
    </row>
    <row r="1807">
      <c r="A1807" s="7" t="n">
        <v>273221</v>
      </c>
      <c r="B1807" s="10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1" t="n">
        <v>1</v>
      </c>
      <c r="G1807" s="11" t="n">
        <v>1</v>
      </c>
      <c r="H1807" s="8" t="n">
        <v>5.95</v>
      </c>
      <c r="I1807" s="8" t="n">
        <v>5.95</v>
      </c>
      <c r="J1807" s="8" t="n"/>
      <c r="K1807" s="7" t="inlineStr">
        <is>
          <t>SEM COTAÇÃO</t>
        </is>
      </c>
      <c r="L1807" s="8" t="n"/>
      <c r="M1807" s="12" t="n"/>
      <c r="N1807" s="7" t="inlineStr"/>
      <c r="O1807" s="7" t="inlineStr"/>
    </row>
    <row r="1808">
      <c r="A1808" s="7" t="n">
        <v>637031</v>
      </c>
      <c r="B1808" s="10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1" t="n">
        <v>3</v>
      </c>
      <c r="G1808" s="11" t="n">
        <v>3</v>
      </c>
      <c r="H1808" s="8" t="n">
        <v>14.4967</v>
      </c>
      <c r="I1808" s="8" t="n">
        <v>14.4967</v>
      </c>
      <c r="J1808" s="8" t="n"/>
      <c r="K1808" s="7" t="inlineStr">
        <is>
          <t>SEM COTAÇÃO</t>
        </is>
      </c>
      <c r="L1808" s="8" t="n"/>
      <c r="M1808" s="12" t="n"/>
      <c r="N1808" s="7" t="inlineStr"/>
      <c r="O1808" s="7" t="inlineStr"/>
    </row>
    <row r="1809">
      <c r="A1809" s="7" t="n">
        <v>605921</v>
      </c>
      <c r="B1809" s="10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1" t="n">
        <v>1</v>
      </c>
      <c r="G1809" s="11" t="n">
        <v>1</v>
      </c>
      <c r="H1809" s="8" t="n">
        <v>20.46</v>
      </c>
      <c r="I1809" s="8" t="n">
        <v>20.46</v>
      </c>
      <c r="J1809" s="8" t="n"/>
      <c r="K1809" s="7" t="inlineStr">
        <is>
          <t>SEM COTAÇÃO</t>
        </is>
      </c>
      <c r="L1809" s="8" t="n"/>
      <c r="M1809" s="12" t="n"/>
      <c r="N1809" s="7" t="inlineStr"/>
      <c r="O1809" s="7" t="inlineStr"/>
    </row>
    <row r="1810">
      <c r="A1810" s="7" t="n">
        <v>607431</v>
      </c>
      <c r="B1810" s="10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1" t="n">
        <v>6</v>
      </c>
      <c r="G1810" s="11" t="n">
        <v>6</v>
      </c>
      <c r="H1810" s="8" t="n">
        <v>9.51</v>
      </c>
      <c r="I1810" s="8" t="n">
        <v>9.51</v>
      </c>
      <c r="J1810" s="13" t="n">
        <v>9.76</v>
      </c>
      <c r="K1810" s="7" t="inlineStr">
        <is>
          <t>DIMEC</t>
        </is>
      </c>
      <c r="L1810" s="8" t="n">
        <v>9.76</v>
      </c>
      <c r="M1810" s="12">
        <f>L1810/H1810-1</f>
        <v/>
      </c>
      <c r="N1810" s="14" t="inlineStr">
        <is>
          <t>ACIMA +2.6%</t>
        </is>
      </c>
      <c r="O1810" s="7" t="inlineStr"/>
    </row>
    <row r="1811">
      <c r="A1811" s="7" t="n">
        <v>660351</v>
      </c>
      <c r="B1811" s="10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1" t="n">
        <v>6</v>
      </c>
      <c r="G1811" s="11" t="n">
        <v>6</v>
      </c>
      <c r="H1811" s="8" t="n">
        <v>15.99</v>
      </c>
      <c r="I1811" s="8" t="n">
        <v>15.99</v>
      </c>
      <c r="J1811" s="13" t="n">
        <v>16.73</v>
      </c>
      <c r="K1811" s="7" t="inlineStr">
        <is>
          <t>DIMEC</t>
        </is>
      </c>
      <c r="L1811" s="8" t="n">
        <v>16.73</v>
      </c>
      <c r="M1811" s="12">
        <f>L1811/H1811-1</f>
        <v/>
      </c>
      <c r="N1811" s="14" t="inlineStr">
        <is>
          <t>ACIMA +4.6%</t>
        </is>
      </c>
      <c r="O1811" s="7" t="inlineStr"/>
    </row>
    <row r="1812">
      <c r="A1812" s="7" t="n">
        <v>243061</v>
      </c>
      <c r="B1812" s="10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1" t="n">
        <v>14</v>
      </c>
      <c r="G1812" s="11" t="n">
        <v>14</v>
      </c>
      <c r="H1812" s="8" t="n">
        <v>15.58</v>
      </c>
      <c r="I1812" s="8" t="n">
        <v>13.1</v>
      </c>
      <c r="J1812" s="13" t="n">
        <v>16.45</v>
      </c>
      <c r="K1812" s="7" t="inlineStr">
        <is>
          <t>DIMEC</t>
        </is>
      </c>
      <c r="L1812" s="8" t="n">
        <v>16.45</v>
      </c>
      <c r="M1812" s="12">
        <f>L1812/H1812-1</f>
        <v/>
      </c>
      <c r="N1812" s="14" t="inlineStr">
        <is>
          <t>ACIMA +5.6%</t>
        </is>
      </c>
      <c r="O1812" s="7" t="inlineStr"/>
    </row>
    <row r="1813">
      <c r="A1813" s="7" t="n">
        <v>642961</v>
      </c>
      <c r="B1813" s="10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1" t="n">
        <v>1</v>
      </c>
      <c r="G1813" s="11" t="n">
        <v>1</v>
      </c>
      <c r="H1813" s="8" t="n">
        <v>16.6</v>
      </c>
      <c r="I1813" s="8" t="n">
        <v>16.6</v>
      </c>
      <c r="J1813" s="8" t="n"/>
      <c r="K1813" s="7" t="inlineStr">
        <is>
          <t>SEM COTAÇÃO</t>
        </is>
      </c>
      <c r="L1813" s="8" t="n"/>
      <c r="M1813" s="12" t="n"/>
      <c r="N1813" s="7" t="inlineStr"/>
      <c r="O1813" s="7" t="inlineStr"/>
    </row>
    <row r="1814">
      <c r="A1814" s="7" t="n">
        <v>490681</v>
      </c>
      <c r="B1814" s="10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1" t="n">
        <v>1</v>
      </c>
      <c r="G1814" s="11" t="n">
        <v>1</v>
      </c>
      <c r="H1814" s="8" t="n">
        <v>43.99</v>
      </c>
      <c r="I1814" s="8" t="n">
        <v>32.78</v>
      </c>
      <c r="J1814" s="8" t="n"/>
      <c r="K1814" s="7" t="inlineStr">
        <is>
          <t>SEM COTAÇÃO</t>
        </is>
      </c>
      <c r="L1814" s="8" t="n"/>
      <c r="M1814" s="12" t="n"/>
      <c r="N1814" s="7" t="inlineStr"/>
      <c r="O1814" s="7" t="inlineStr"/>
    </row>
    <row r="1815">
      <c r="A1815" s="7" t="n">
        <v>599221</v>
      </c>
      <c r="B1815" s="10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1" t="n">
        <v>1</v>
      </c>
      <c r="G1815" s="11" t="n">
        <v>1</v>
      </c>
      <c r="H1815" s="8" t="n"/>
      <c r="I1815" s="8" t="n"/>
      <c r="J1815" s="8" t="n"/>
      <c r="K1815" s="7" t="inlineStr">
        <is>
          <t>SEM COTAÇÃO</t>
        </is>
      </c>
      <c r="L1815" s="8" t="n"/>
      <c r="M1815" s="12" t="n"/>
      <c r="N1815" s="7" t="inlineStr"/>
      <c r="O1815" s="7" t="inlineStr"/>
    </row>
    <row r="1816">
      <c r="A1816" s="7" t="n">
        <v>583621</v>
      </c>
      <c r="B1816" s="10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1" t="n">
        <v>15</v>
      </c>
      <c r="G1816" s="11" t="n">
        <v>15</v>
      </c>
      <c r="H1816" s="8" t="n">
        <v>2.5058</v>
      </c>
      <c r="I1816" s="8" t="n">
        <v>2.245</v>
      </c>
      <c r="J1816" s="8" t="n"/>
      <c r="K1816" s="7" t="inlineStr">
        <is>
          <t>SEM COTAÇÃO</t>
        </is>
      </c>
      <c r="L1816" s="8" t="n"/>
      <c r="M1816" s="12" t="n"/>
      <c r="N1816" s="7" t="inlineStr"/>
      <c r="O1816" s="7" t="inlineStr"/>
    </row>
    <row r="1817">
      <c r="A1817" s="7" t="n">
        <v>3823</v>
      </c>
      <c r="B1817" s="10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1" t="n">
        <v>1</v>
      </c>
      <c r="G1817" s="11" t="n">
        <v>1</v>
      </c>
      <c r="H1817" s="8" t="n">
        <v>2.2544</v>
      </c>
      <c r="I1817" s="8" t="n">
        <v>2.2544</v>
      </c>
      <c r="J1817" s="8" t="n"/>
      <c r="K1817" s="7" t="inlineStr">
        <is>
          <t>SEM COTAÇÃO</t>
        </is>
      </c>
      <c r="L1817" s="8" t="n"/>
      <c r="M1817" s="12" t="n"/>
      <c r="N1817" s="7" t="inlineStr"/>
      <c r="O1817" s="7" t="inlineStr"/>
    </row>
    <row r="1818">
      <c r="A1818" s="7" t="n">
        <v>672801</v>
      </c>
      <c r="B1818" s="10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1" t="n">
        <v>2</v>
      </c>
      <c r="G1818" s="11" t="n">
        <v>2</v>
      </c>
      <c r="H1818" s="8" t="n">
        <v>2.3067</v>
      </c>
      <c r="I1818" s="8" t="n">
        <v>2.3067</v>
      </c>
      <c r="J1818" s="8" t="n"/>
      <c r="K1818" s="7" t="inlineStr">
        <is>
          <t>SEM COTAÇÃO</t>
        </is>
      </c>
      <c r="L1818" s="8" t="n"/>
      <c r="M1818" s="12" t="n"/>
      <c r="N1818" s="7" t="inlineStr"/>
      <c r="O1818" s="7" t="inlineStr"/>
    </row>
    <row r="1819">
      <c r="A1819" s="7" t="n">
        <v>21941</v>
      </c>
      <c r="B1819" s="10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1" t="n">
        <v>1</v>
      </c>
      <c r="G1819" s="11" t="n">
        <v>1</v>
      </c>
      <c r="H1819" s="8" t="n">
        <v>0.45</v>
      </c>
      <c r="I1819" s="8" t="n">
        <v>0.45</v>
      </c>
      <c r="J1819" s="13" t="n">
        <v>0.32</v>
      </c>
      <c r="K1819" s="7" t="inlineStr">
        <is>
          <t>DIMEC</t>
        </is>
      </c>
      <c r="L1819" s="8" t="n">
        <v>0.32</v>
      </c>
      <c r="M1819" s="12">
        <f>L1819/H1819-1</f>
        <v/>
      </c>
      <c r="N1819" s="15" t="inlineStr">
        <is>
          <t>OK (≤ menor hist.)</t>
        </is>
      </c>
      <c r="O1819" s="7" t="inlineStr"/>
    </row>
    <row r="1820">
      <c r="A1820" s="7" t="n">
        <v>613831</v>
      </c>
      <c r="B1820" s="10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1" t="n">
        <v>2</v>
      </c>
      <c r="G1820" s="11" t="n">
        <v>2</v>
      </c>
      <c r="H1820" s="8" t="n">
        <v>7.09</v>
      </c>
      <c r="I1820" s="8" t="n">
        <v>7.09</v>
      </c>
      <c r="J1820" s="13" t="n">
        <v>7.42</v>
      </c>
      <c r="K1820" s="7" t="inlineStr">
        <is>
          <t>DIMEC</t>
        </is>
      </c>
      <c r="L1820" s="8" t="n">
        <v>7.42</v>
      </c>
      <c r="M1820" s="12">
        <f>L1820/H1820-1</f>
        <v/>
      </c>
      <c r="N1820" s="14" t="inlineStr">
        <is>
          <t>ACIMA +4.7%</t>
        </is>
      </c>
      <c r="O1820" s="7" t="inlineStr"/>
    </row>
    <row r="1821">
      <c r="A1821" s="7" t="n">
        <v>565341</v>
      </c>
      <c r="B1821" s="10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1" t="n">
        <v>5</v>
      </c>
      <c r="G1821" s="11" t="n">
        <v>5</v>
      </c>
      <c r="H1821" s="8" t="n">
        <v>1.84</v>
      </c>
      <c r="I1821" s="8" t="n">
        <v>1.84</v>
      </c>
      <c r="J1821" s="8" t="n"/>
      <c r="K1821" s="7" t="inlineStr">
        <is>
          <t>SEM COTAÇÃO</t>
        </is>
      </c>
      <c r="L1821" s="8" t="n"/>
      <c r="M1821" s="12" t="n"/>
      <c r="N1821" s="7" t="inlineStr"/>
      <c r="O1821" s="7" t="inlineStr"/>
    </row>
    <row r="1822">
      <c r="A1822" s="7" t="n">
        <v>543981</v>
      </c>
      <c r="B1822" s="10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1" t="n">
        <v>4</v>
      </c>
      <c r="G1822" s="11" t="n">
        <v>4</v>
      </c>
      <c r="H1822" s="8" t="n">
        <v>1.79</v>
      </c>
      <c r="I1822" s="8" t="n">
        <v>1.79</v>
      </c>
      <c r="J1822" s="8" t="n"/>
      <c r="K1822" s="7" t="inlineStr">
        <is>
          <t>SEM COTAÇÃO</t>
        </is>
      </c>
      <c r="L1822" s="8" t="n"/>
      <c r="M1822" s="12" t="n"/>
      <c r="N1822" s="7" t="inlineStr"/>
      <c r="O1822" s="7" t="inlineStr"/>
    </row>
    <row r="1823">
      <c r="A1823" s="7" t="n">
        <v>591221</v>
      </c>
      <c r="B1823" s="10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1" t="n">
        <v>4</v>
      </c>
      <c r="G1823" s="11" t="n">
        <v>4</v>
      </c>
      <c r="H1823" s="8" t="n">
        <v>3.52</v>
      </c>
      <c r="I1823" s="8" t="n">
        <v>3.52</v>
      </c>
      <c r="J1823" s="13" t="n">
        <v>4.4</v>
      </c>
      <c r="K1823" s="7" t="inlineStr">
        <is>
          <t>DIMEC</t>
        </is>
      </c>
      <c r="L1823" s="8" t="n">
        <v>4.4</v>
      </c>
      <c r="M1823" s="12">
        <f>L1823/H1823-1</f>
        <v/>
      </c>
      <c r="N1823" s="14" t="inlineStr">
        <is>
          <t>ACIMA +25.0%</t>
        </is>
      </c>
      <c r="O1823" s="7" t="inlineStr"/>
    </row>
    <row r="1824">
      <c r="A1824" s="7" t="n">
        <v>646991</v>
      </c>
      <c r="B1824" s="10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1" t="n">
        <v>1</v>
      </c>
      <c r="G1824" s="11" t="n">
        <v>1</v>
      </c>
      <c r="H1824" s="8" t="n">
        <v>69.4517</v>
      </c>
      <c r="I1824" s="8" t="n">
        <v>69.4517</v>
      </c>
      <c r="J1824" s="8" t="n"/>
      <c r="K1824" s="7" t="inlineStr">
        <is>
          <t>SEM COTAÇÃO</t>
        </is>
      </c>
      <c r="L1824" s="8" t="n"/>
      <c r="M1824" s="12" t="n"/>
      <c r="N1824" s="7" t="inlineStr"/>
      <c r="O1824" s="7" t="inlineStr"/>
    </row>
    <row r="1825">
      <c r="A1825" s="7" t="n">
        <v>641971</v>
      </c>
      <c r="B1825" s="10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1" t="n">
        <v>5</v>
      </c>
      <c r="G1825" s="11" t="n">
        <v>5</v>
      </c>
      <c r="H1825" s="8" t="n">
        <v>127.5667</v>
      </c>
      <c r="I1825" s="8" t="n">
        <v>101.32</v>
      </c>
      <c r="J1825" s="8" t="n"/>
      <c r="K1825" s="7" t="inlineStr">
        <is>
          <t>SEM COTAÇÃO</t>
        </is>
      </c>
      <c r="L1825" s="8" t="n"/>
      <c r="M1825" s="12" t="n"/>
      <c r="N1825" s="7" t="inlineStr"/>
      <c r="O1825" s="7" t="inlineStr"/>
    </row>
    <row r="1826">
      <c r="A1826" s="7" t="n">
        <v>676011</v>
      </c>
      <c r="B1826" s="10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1" t="n">
        <v>1</v>
      </c>
      <c r="G1826" s="11" t="n">
        <v>1</v>
      </c>
      <c r="H1826" s="8" t="n">
        <v>48.69</v>
      </c>
      <c r="I1826" s="8" t="n">
        <v>48.69</v>
      </c>
      <c r="J1826" s="8" t="n"/>
      <c r="K1826" s="7" t="inlineStr">
        <is>
          <t>SEM COTAÇÃO</t>
        </is>
      </c>
      <c r="L1826" s="8" t="n"/>
      <c r="M1826" s="12" t="n"/>
      <c r="N1826" s="7" t="inlineStr"/>
      <c r="O1826" s="7" t="inlineStr"/>
    </row>
    <row r="1827">
      <c r="A1827" s="7" t="n">
        <v>4781</v>
      </c>
      <c r="B1827" s="10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1" t="n">
        <v>1</v>
      </c>
      <c r="G1827" s="11" t="n">
        <v>1</v>
      </c>
      <c r="H1827" s="8" t="n">
        <v>26.9</v>
      </c>
      <c r="I1827" s="8" t="n">
        <v>26.9</v>
      </c>
      <c r="J1827" s="8" t="n"/>
      <c r="K1827" s="7" t="inlineStr">
        <is>
          <t>SEM COTAÇÃO</t>
        </is>
      </c>
      <c r="L1827" s="8" t="n"/>
      <c r="M1827" s="12" t="n"/>
      <c r="N1827" s="7" t="inlineStr"/>
      <c r="O1827" s="7" t="inlineStr"/>
    </row>
    <row r="1828">
      <c r="A1828" s="7" t="n">
        <v>623501</v>
      </c>
      <c r="B1828" s="10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1" t="n">
        <v>1</v>
      </c>
      <c r="G1828" s="11" t="n">
        <v>1</v>
      </c>
      <c r="H1828" s="8" t="n">
        <v>26.01</v>
      </c>
      <c r="I1828" s="8" t="n">
        <v>24.87</v>
      </c>
      <c r="J1828" s="8" t="n"/>
      <c r="K1828" s="7" t="inlineStr">
        <is>
          <t>SEM COTAÇÃO</t>
        </is>
      </c>
      <c r="L1828" s="8" t="n"/>
      <c r="M1828" s="12" t="n"/>
      <c r="N1828" s="7" t="inlineStr"/>
      <c r="O1828" s="7" t="inlineStr"/>
    </row>
    <row r="1829">
      <c r="A1829" s="7" t="n">
        <v>609821</v>
      </c>
      <c r="B1829" s="10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1" t="n">
        <v>14</v>
      </c>
      <c r="G1829" s="11" t="n">
        <v>14</v>
      </c>
      <c r="H1829" s="8" t="n">
        <v>8.380000000000001</v>
      </c>
      <c r="I1829" s="8" t="n">
        <v>7.89</v>
      </c>
      <c r="J1829" s="8" t="n"/>
      <c r="K1829" s="7" t="inlineStr">
        <is>
          <t>SEM COTAÇÃO</t>
        </is>
      </c>
      <c r="L1829" s="8" t="n"/>
      <c r="M1829" s="12" t="n"/>
      <c r="N1829" s="7" t="inlineStr"/>
      <c r="O1829" s="7" t="inlineStr"/>
    </row>
    <row r="1830">
      <c r="A1830" s="7" t="n">
        <v>430141</v>
      </c>
      <c r="B1830" s="10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1" t="n">
        <v>9</v>
      </c>
      <c r="G1830" s="11" t="n">
        <v>9</v>
      </c>
      <c r="H1830" s="8" t="n">
        <v>69.76000000000001</v>
      </c>
      <c r="I1830" s="8" t="n">
        <v>51.6738</v>
      </c>
      <c r="J1830" s="8" t="n"/>
      <c r="K1830" s="7" t="inlineStr">
        <is>
          <t>SEM COTAÇÃO</t>
        </is>
      </c>
      <c r="L1830" s="8" t="n"/>
      <c r="M1830" s="12" t="n"/>
      <c r="N1830" s="7" t="inlineStr"/>
      <c r="O1830" s="7" t="inlineStr"/>
    </row>
    <row r="1831">
      <c r="A1831" s="7" t="n">
        <v>146841</v>
      </c>
      <c r="B1831" s="10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1" t="n">
        <v>18</v>
      </c>
      <c r="G1831" s="11" t="n">
        <v>18</v>
      </c>
      <c r="H1831" s="8" t="n">
        <v>5.16</v>
      </c>
      <c r="I1831" s="8" t="n">
        <v>5.16</v>
      </c>
      <c r="J1831" s="8" t="n"/>
      <c r="K1831" s="7" t="inlineStr">
        <is>
          <t>SEM COTAÇÃO</t>
        </is>
      </c>
      <c r="L1831" s="8" t="n"/>
      <c r="M1831" s="12" t="n"/>
      <c r="N1831" s="7" t="inlineStr"/>
      <c r="O1831" s="7" t="inlineStr"/>
    </row>
    <row r="1832">
      <c r="A1832" s="7" t="n">
        <v>626071</v>
      </c>
      <c r="B1832" s="10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1" t="n">
        <v>1</v>
      </c>
      <c r="G1832" s="11" t="n">
        <v>38</v>
      </c>
      <c r="H1832" s="8" t="n">
        <v>2.4223</v>
      </c>
      <c r="I1832" s="8" t="n">
        <v>1.1388</v>
      </c>
      <c r="J1832" s="13" t="n">
        <v>2.256458333333333</v>
      </c>
      <c r="K1832" s="7" t="inlineStr">
        <is>
          <t>DIMEC</t>
        </is>
      </c>
      <c r="L1832" s="8" t="n">
        <v>2.256458333333333</v>
      </c>
      <c r="M1832" s="12">
        <f>L1832/H1832-1</f>
        <v/>
      </c>
      <c r="N1832" s="15" t="inlineStr">
        <is>
          <t>OK (≤ últ. compra)</t>
        </is>
      </c>
      <c r="O1832" s="7" t="inlineStr">
        <is>
          <t>DIMEC: 1 emb = 48 un</t>
        </is>
      </c>
    </row>
    <row r="1833">
      <c r="A1833" s="7" t="n">
        <v>4813</v>
      </c>
      <c r="B1833" s="10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1" t="n">
        <v>1</v>
      </c>
      <c r="G1833" s="11" t="n">
        <v>27</v>
      </c>
      <c r="H1833" s="8" t="n"/>
      <c r="I1833" s="8" t="n"/>
      <c r="J1833" s="8" t="n"/>
      <c r="K1833" s="7" t="inlineStr">
        <is>
          <t>SEM COTAÇÃO</t>
        </is>
      </c>
      <c r="L1833" s="8" t="n"/>
      <c r="M1833" s="12" t="n"/>
      <c r="N1833" s="7" t="inlineStr"/>
      <c r="O1833" s="7" t="inlineStr"/>
    </row>
    <row r="1834">
      <c r="A1834" s="7" t="n">
        <v>616361</v>
      </c>
      <c r="B1834" s="10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1" t="n">
        <v>13</v>
      </c>
      <c r="G1834" s="11" t="n">
        <v>13</v>
      </c>
      <c r="H1834" s="8" t="n">
        <v>35.69</v>
      </c>
      <c r="I1834" s="8" t="n">
        <v>31.99</v>
      </c>
      <c r="J1834" s="8" t="n"/>
      <c r="K1834" s="7" t="inlineStr">
        <is>
          <t>SEM COTAÇÃO</t>
        </is>
      </c>
      <c r="L1834" s="8" t="n"/>
      <c r="M1834" s="12" t="n"/>
      <c r="N1834" s="7" t="inlineStr"/>
      <c r="O1834" s="7" t="inlineStr"/>
    </row>
    <row r="1835">
      <c r="A1835" s="7" t="n">
        <v>663091</v>
      </c>
      <c r="B1835" s="10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1" t="n">
        <v>2</v>
      </c>
      <c r="G1835" s="11" t="n">
        <v>2</v>
      </c>
      <c r="H1835" s="8" t="n">
        <v>13.63</v>
      </c>
      <c r="I1835" s="8" t="n">
        <v>13.63</v>
      </c>
      <c r="J1835" s="8" t="n"/>
      <c r="K1835" s="7" t="inlineStr">
        <is>
          <t>SEM COTAÇÃO</t>
        </is>
      </c>
      <c r="L1835" s="8" t="n"/>
      <c r="M1835" s="12" t="n"/>
      <c r="N1835" s="7" t="inlineStr"/>
      <c r="O1835" s="7" t="inlineStr"/>
    </row>
    <row r="1836">
      <c r="A1836" s="7" t="n">
        <v>664511</v>
      </c>
      <c r="B1836" s="10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1" t="n">
        <v>1</v>
      </c>
      <c r="G1836" s="11" t="n">
        <v>1</v>
      </c>
      <c r="H1836" s="8" t="n">
        <v>20.1</v>
      </c>
      <c r="I1836" s="8" t="n">
        <v>20.1</v>
      </c>
      <c r="J1836" s="8" t="n"/>
      <c r="K1836" s="7" t="inlineStr">
        <is>
          <t>SEM COTAÇÃO</t>
        </is>
      </c>
      <c r="L1836" s="8" t="n"/>
      <c r="M1836" s="12" t="n"/>
      <c r="N1836" s="7" t="inlineStr"/>
      <c r="O1836" s="7" t="inlineStr"/>
    </row>
    <row r="1837">
      <c r="A1837" s="7" t="n">
        <v>599981</v>
      </c>
      <c r="B1837" s="10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1" t="n">
        <v>1</v>
      </c>
      <c r="G1837" s="11" t="n">
        <v>1</v>
      </c>
      <c r="H1837" s="8" t="n">
        <v>21.6</v>
      </c>
      <c r="I1837" s="8" t="n">
        <v>21.6</v>
      </c>
      <c r="J1837" s="8" t="n"/>
      <c r="K1837" s="7" t="inlineStr">
        <is>
          <t>SEM COTAÇÃO</t>
        </is>
      </c>
      <c r="L1837" s="8" t="n"/>
      <c r="M1837" s="12" t="n"/>
      <c r="N1837" s="7" t="inlineStr"/>
      <c r="O1837" s="7" t="inlineStr"/>
    </row>
    <row r="1838">
      <c r="A1838" s="7" t="n">
        <v>183</v>
      </c>
      <c r="B1838" s="10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1" t="n">
        <v>1</v>
      </c>
      <c r="G1838" s="11" t="n">
        <v>1</v>
      </c>
      <c r="H1838" s="8" t="n">
        <v>16.29</v>
      </c>
      <c r="I1838" s="8" t="n">
        <v>16.29</v>
      </c>
      <c r="J1838" s="8" t="n"/>
      <c r="K1838" s="7" t="inlineStr">
        <is>
          <t>SEM COTAÇÃO</t>
        </is>
      </c>
      <c r="L1838" s="8" t="n"/>
      <c r="M1838" s="12" t="n"/>
      <c r="N1838" s="7" t="inlineStr"/>
      <c r="O1838" s="7" t="inlineStr"/>
    </row>
    <row r="1839">
      <c r="A1839" s="7" t="n">
        <v>659481</v>
      </c>
      <c r="B1839" s="10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1" t="n">
        <v>1</v>
      </c>
      <c r="G1839" s="11" t="n">
        <v>1</v>
      </c>
      <c r="H1839" s="8" t="n">
        <v>15.49</v>
      </c>
      <c r="I1839" s="8" t="n">
        <v>15.49</v>
      </c>
      <c r="J1839" s="8" t="n"/>
      <c r="K1839" s="7" t="inlineStr">
        <is>
          <t>SEM COTAÇÃO</t>
        </is>
      </c>
      <c r="L1839" s="8" t="n"/>
      <c r="M1839" s="12" t="n"/>
      <c r="N1839" s="7" t="inlineStr"/>
      <c r="O1839" s="7" t="inlineStr"/>
    </row>
    <row r="1840">
      <c r="A1840" s="7" t="n">
        <v>582101</v>
      </c>
      <c r="B1840" s="10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1" t="n">
        <v>1</v>
      </c>
      <c r="G1840" s="11" t="n">
        <v>1</v>
      </c>
      <c r="H1840" s="8" t="n">
        <v>25.94</v>
      </c>
      <c r="I1840" s="8" t="n">
        <v>25.94</v>
      </c>
      <c r="J1840" s="8" t="n"/>
      <c r="K1840" s="7" t="inlineStr">
        <is>
          <t>SEM COTAÇÃO</t>
        </is>
      </c>
      <c r="L1840" s="8" t="n"/>
      <c r="M1840" s="12" t="n"/>
      <c r="N1840" s="7" t="inlineStr"/>
      <c r="O1840" s="7" t="inlineStr"/>
    </row>
    <row r="1841">
      <c r="A1841" s="7" t="n">
        <v>633191</v>
      </c>
      <c r="B1841" s="10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1" t="n">
        <v>1</v>
      </c>
      <c r="G1841" s="11" t="n">
        <v>1</v>
      </c>
      <c r="H1841" s="8" t="n">
        <v>25.94</v>
      </c>
      <c r="I1841" s="8" t="n">
        <v>25.94</v>
      </c>
      <c r="J1841" s="8" t="n"/>
      <c r="K1841" s="7" t="inlineStr">
        <is>
          <t>SEM COTAÇÃO</t>
        </is>
      </c>
      <c r="L1841" s="8" t="n"/>
      <c r="M1841" s="12" t="n"/>
      <c r="N1841" s="7" t="inlineStr"/>
      <c r="O1841" s="7" t="inlineStr"/>
    </row>
    <row r="1842">
      <c r="A1842" s="7" t="n">
        <v>581901</v>
      </c>
      <c r="B1842" s="10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1" t="n">
        <v>1</v>
      </c>
      <c r="G1842" s="11" t="n">
        <v>1</v>
      </c>
      <c r="H1842" s="8" t="n">
        <v>25.93</v>
      </c>
      <c r="I1842" s="8" t="n">
        <v>25.93</v>
      </c>
      <c r="J1842" s="8" t="n"/>
      <c r="K1842" s="7" t="inlineStr">
        <is>
          <t>SEM COTAÇÃO</t>
        </is>
      </c>
      <c r="L1842" s="8" t="n"/>
      <c r="M1842" s="12" t="n"/>
      <c r="N1842" s="7" t="inlineStr"/>
      <c r="O1842" s="7" t="inlineStr"/>
    </row>
    <row r="1843">
      <c r="A1843" s="7" t="n">
        <v>670481</v>
      </c>
      <c r="B1843" s="10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1" t="n">
        <v>1</v>
      </c>
      <c r="G1843" s="11" t="n">
        <v>1</v>
      </c>
      <c r="H1843" s="8" t="n">
        <v>49.9</v>
      </c>
      <c r="I1843" s="8" t="n">
        <v>49.9</v>
      </c>
      <c r="J1843" s="8" t="n"/>
      <c r="K1843" s="7" t="inlineStr">
        <is>
          <t>SEM COTAÇÃO</t>
        </is>
      </c>
      <c r="L1843" s="8" t="n"/>
      <c r="M1843" s="12" t="n"/>
      <c r="N1843" s="7" t="inlineStr"/>
      <c r="O1843" s="7" t="inlineStr"/>
    </row>
    <row r="1844">
      <c r="A1844" s="7" t="n">
        <v>249121</v>
      </c>
      <c r="B1844" s="10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1" t="n">
        <v>2</v>
      </c>
      <c r="G1844" s="11" t="n">
        <v>2</v>
      </c>
      <c r="H1844" s="8" t="n"/>
      <c r="I1844" s="8" t="n"/>
      <c r="J1844" s="8" t="n"/>
      <c r="K1844" s="7" t="inlineStr">
        <is>
          <t>SEM COTAÇÃO</t>
        </is>
      </c>
      <c r="L1844" s="8" t="n"/>
      <c r="M1844" s="12" t="n"/>
      <c r="N1844" s="7" t="inlineStr"/>
      <c r="O1844" s="7" t="inlineStr"/>
    </row>
    <row r="1845">
      <c r="A1845" s="7" t="n">
        <v>248621</v>
      </c>
      <c r="B1845" s="10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1" t="n">
        <v>2</v>
      </c>
      <c r="G1845" s="11" t="n">
        <v>2</v>
      </c>
      <c r="H1845" s="8" t="n">
        <v>10.99</v>
      </c>
      <c r="I1845" s="8" t="n">
        <v>10.99</v>
      </c>
      <c r="J1845" s="8" t="n"/>
      <c r="K1845" s="7" t="inlineStr">
        <is>
          <t>SEM COTAÇÃO</t>
        </is>
      </c>
      <c r="L1845" s="8" t="n"/>
      <c r="M1845" s="12" t="n"/>
      <c r="N1845" s="7" t="inlineStr"/>
      <c r="O1845" s="7" t="inlineStr"/>
    </row>
    <row r="1846">
      <c r="A1846" s="7" t="n">
        <v>249041</v>
      </c>
      <c r="B1846" s="10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1" t="n">
        <v>1</v>
      </c>
      <c r="G1846" s="11" t="n">
        <v>1</v>
      </c>
      <c r="H1846" s="8" t="n">
        <v>15.75</v>
      </c>
      <c r="I1846" s="8" t="n">
        <v>15.75</v>
      </c>
      <c r="J1846" s="8" t="n"/>
      <c r="K1846" s="7" t="inlineStr">
        <is>
          <t>SEM COTAÇÃO</t>
        </is>
      </c>
      <c r="L1846" s="8" t="n"/>
      <c r="M1846" s="12" t="n"/>
      <c r="N1846" s="7" t="inlineStr"/>
      <c r="O1846" s="7" t="inlineStr"/>
    </row>
    <row r="1847">
      <c r="A1847" s="7" t="n">
        <v>249001</v>
      </c>
      <c r="B1847" s="10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1" t="n">
        <v>2</v>
      </c>
      <c r="G1847" s="11" t="n">
        <v>2</v>
      </c>
      <c r="H1847" s="8" t="n">
        <v>18.78</v>
      </c>
      <c r="I1847" s="8" t="n">
        <v>18.78</v>
      </c>
      <c r="J1847" s="8" t="n"/>
      <c r="K1847" s="7" t="inlineStr">
        <is>
          <t>SEM COTAÇÃO</t>
        </is>
      </c>
      <c r="L1847" s="8" t="n"/>
      <c r="M1847" s="12" t="n"/>
      <c r="N1847" s="7" t="inlineStr"/>
      <c r="O1847" s="7" t="inlineStr"/>
    </row>
    <row r="1848">
      <c r="A1848" s="7" t="n">
        <v>631801</v>
      </c>
      <c r="B1848" s="10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1" t="n">
        <v>2</v>
      </c>
      <c r="G1848" s="11" t="n">
        <v>2</v>
      </c>
      <c r="H1848" s="8" t="n">
        <v>6.06</v>
      </c>
      <c r="I1848" s="8" t="n">
        <v>5.97</v>
      </c>
      <c r="J1848" s="8" t="n"/>
      <c r="K1848" s="7" t="inlineStr">
        <is>
          <t>SEM COTAÇÃO</t>
        </is>
      </c>
      <c r="L1848" s="8" t="n"/>
      <c r="M1848" s="12" t="n"/>
      <c r="N1848" s="7" t="inlineStr"/>
      <c r="O1848" s="7" t="inlineStr"/>
    </row>
    <row r="1849">
      <c r="A1849" s="7" t="n">
        <v>669101</v>
      </c>
      <c r="B1849" s="10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1" t="n">
        <v>14</v>
      </c>
      <c r="G1849" s="11" t="n">
        <v>14</v>
      </c>
      <c r="H1849" s="8" t="n">
        <v>0.7919</v>
      </c>
      <c r="I1849" s="8" t="n">
        <v>0.7919</v>
      </c>
      <c r="J1849" s="8" t="n"/>
      <c r="K1849" s="7" t="inlineStr">
        <is>
          <t>SEM COTAÇÃO</t>
        </is>
      </c>
      <c r="L1849" s="8" t="n"/>
      <c r="M1849" s="12" t="n"/>
      <c r="N1849" s="7" t="inlineStr"/>
      <c r="O1849" s="7" t="inlineStr"/>
    </row>
    <row r="1850">
      <c r="A1850" s="7" t="n">
        <v>669111</v>
      </c>
      <c r="B1850" s="10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1" t="n">
        <v>13</v>
      </c>
      <c r="G1850" s="11" t="n">
        <v>13</v>
      </c>
      <c r="H1850" s="8" t="n">
        <v>0.7919</v>
      </c>
      <c r="I1850" s="8" t="n">
        <v>0.7919</v>
      </c>
      <c r="J1850" s="8" t="n"/>
      <c r="K1850" s="7" t="inlineStr">
        <is>
          <t>SEM COTAÇÃO</t>
        </is>
      </c>
      <c r="L1850" s="8" t="n"/>
      <c r="M1850" s="12" t="n"/>
      <c r="N1850" s="7" t="inlineStr"/>
      <c r="O1850" s="7" t="inlineStr"/>
    </row>
    <row r="1851">
      <c r="A1851" s="7" t="n">
        <v>673151</v>
      </c>
      <c r="B1851" s="10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1" t="n">
        <v>5</v>
      </c>
      <c r="G1851" s="11" t="n">
        <v>5</v>
      </c>
      <c r="H1851" s="8" t="n">
        <v>5.97</v>
      </c>
      <c r="I1851" s="8" t="n">
        <v>5.97</v>
      </c>
      <c r="J1851" s="8" t="n"/>
      <c r="K1851" s="7" t="inlineStr">
        <is>
          <t>SEM COTAÇÃO</t>
        </is>
      </c>
      <c r="L1851" s="8" t="n"/>
      <c r="M1851" s="12" t="n"/>
      <c r="N1851" s="7" t="inlineStr"/>
      <c r="O1851" s="7" t="inlineStr"/>
    </row>
    <row r="1852">
      <c r="A1852" s="7" t="n">
        <v>1623</v>
      </c>
      <c r="B1852" s="10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1" t="n">
        <v>6</v>
      </c>
      <c r="G1852" s="11" t="n">
        <v>6</v>
      </c>
      <c r="H1852" s="8" t="n">
        <v>5.97</v>
      </c>
      <c r="I1852" s="8" t="n">
        <v>5.97</v>
      </c>
      <c r="J1852" s="8" t="n"/>
      <c r="K1852" s="7" t="inlineStr">
        <is>
          <t>SEM COTAÇÃO</t>
        </is>
      </c>
      <c r="L1852" s="8" t="n"/>
      <c r="M1852" s="12" t="n"/>
      <c r="N1852" s="7" t="inlineStr"/>
      <c r="O1852" s="7" t="inlineStr"/>
    </row>
    <row r="1853">
      <c r="A1853" s="7" t="n">
        <v>673171</v>
      </c>
      <c r="B1853" s="10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1" t="n">
        <v>1</v>
      </c>
      <c r="G1853" s="11" t="n">
        <v>1</v>
      </c>
      <c r="H1853" s="8" t="n">
        <v>5.97</v>
      </c>
      <c r="I1853" s="8" t="n">
        <v>5.97</v>
      </c>
      <c r="J1853" s="8" t="n"/>
      <c r="K1853" s="7" t="inlineStr">
        <is>
          <t>SEM COTAÇÃO</t>
        </is>
      </c>
      <c r="L1853" s="8" t="n"/>
      <c r="M1853" s="12" t="n"/>
      <c r="N1853" s="7" t="inlineStr"/>
      <c r="O1853" s="7" t="inlineStr"/>
    </row>
    <row r="1854">
      <c r="A1854" s="7" t="n">
        <v>623311</v>
      </c>
      <c r="B1854" s="10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1" t="n">
        <v>15</v>
      </c>
      <c r="G1854" s="11" t="n">
        <v>15</v>
      </c>
      <c r="H1854" s="8" t="n">
        <v>6.06</v>
      </c>
      <c r="I1854" s="8" t="n">
        <v>5.97</v>
      </c>
      <c r="J1854" s="8" t="n"/>
      <c r="K1854" s="7" t="inlineStr">
        <is>
          <t>SEM COTAÇÃO</t>
        </is>
      </c>
      <c r="L1854" s="8" t="n"/>
      <c r="M1854" s="12" t="n"/>
      <c r="N1854" s="7" t="inlineStr"/>
      <c r="O1854" s="7" t="inlineStr"/>
    </row>
    <row r="1855">
      <c r="A1855" s="7" t="n">
        <v>25503</v>
      </c>
      <c r="B1855" s="10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1" t="n">
        <v>7</v>
      </c>
      <c r="G1855" s="11" t="n">
        <v>7</v>
      </c>
      <c r="H1855" s="8" t="n">
        <v>6.06</v>
      </c>
      <c r="I1855" s="8" t="n">
        <v>6.06</v>
      </c>
      <c r="J1855" s="8" t="n"/>
      <c r="K1855" s="7" t="inlineStr">
        <is>
          <t>SEM COTAÇÃO</t>
        </is>
      </c>
      <c r="L1855" s="8" t="n"/>
      <c r="M1855" s="12" t="n"/>
      <c r="N1855" s="7" t="inlineStr"/>
      <c r="O1855" s="7" t="inlineStr"/>
    </row>
    <row r="1856">
      <c r="A1856" s="7" t="n">
        <v>669121</v>
      </c>
      <c r="B1856" s="10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1" t="n">
        <v>2</v>
      </c>
      <c r="G1856" s="11" t="n">
        <v>2</v>
      </c>
      <c r="H1856" s="8" t="n">
        <v>6.06</v>
      </c>
      <c r="I1856" s="8" t="n">
        <v>5.97</v>
      </c>
      <c r="J1856" s="8" t="n"/>
      <c r="K1856" s="7" t="inlineStr">
        <is>
          <t>SEM COTAÇÃO</t>
        </is>
      </c>
      <c r="L1856" s="8" t="n"/>
      <c r="M1856" s="12" t="n"/>
      <c r="N1856" s="7" t="inlineStr"/>
      <c r="O1856" s="7" t="inlineStr"/>
    </row>
    <row r="1857">
      <c r="A1857" s="7" t="n">
        <v>1783</v>
      </c>
      <c r="B1857" s="10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1" t="n">
        <v>10</v>
      </c>
      <c r="G1857" s="11" t="n">
        <v>10</v>
      </c>
      <c r="H1857" s="8" t="n">
        <v>0.79</v>
      </c>
      <c r="I1857" s="8" t="n">
        <v>0.79</v>
      </c>
      <c r="J1857" s="8" t="n"/>
      <c r="K1857" s="7" t="inlineStr">
        <is>
          <t>SEM COTAÇÃO</t>
        </is>
      </c>
      <c r="L1857" s="8" t="n"/>
      <c r="M1857" s="12" t="n"/>
      <c r="N1857" s="7" t="inlineStr"/>
      <c r="O1857" s="7" t="inlineStr"/>
    </row>
    <row r="1858">
      <c r="A1858" s="7" t="n">
        <v>1773</v>
      </c>
      <c r="B1858" s="10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1" t="n">
        <v>11</v>
      </c>
      <c r="G1858" s="11" t="n">
        <v>11</v>
      </c>
      <c r="H1858" s="8" t="n">
        <v>0.79</v>
      </c>
      <c r="I1858" s="8" t="n">
        <v>0.79</v>
      </c>
      <c r="J1858" s="8" t="n"/>
      <c r="K1858" s="7" t="inlineStr">
        <is>
          <t>SEM COTAÇÃO</t>
        </is>
      </c>
      <c r="L1858" s="8" t="n"/>
      <c r="M1858" s="12" t="n"/>
      <c r="N1858" s="7" t="inlineStr"/>
      <c r="O1858" s="7" t="inlineStr"/>
    </row>
    <row r="1859">
      <c r="A1859" s="7" t="n">
        <v>651881</v>
      </c>
      <c r="B1859" s="10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1" t="n">
        <v>1</v>
      </c>
      <c r="G1859" s="11" t="n">
        <v>1</v>
      </c>
      <c r="H1859" s="8" t="n">
        <v>0.82</v>
      </c>
      <c r="I1859" s="8" t="n">
        <v>0.82</v>
      </c>
      <c r="J1859" s="8" t="n"/>
      <c r="K1859" s="7" t="inlineStr">
        <is>
          <t>SEM COTAÇÃO</t>
        </is>
      </c>
      <c r="L1859" s="8" t="n"/>
      <c r="M1859" s="12" t="n"/>
      <c r="N1859" s="7" t="inlineStr"/>
      <c r="O1859" s="7" t="inlineStr"/>
    </row>
    <row r="1860">
      <c r="A1860" s="7" t="n">
        <v>631821</v>
      </c>
      <c r="B1860" s="10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1" t="n">
        <v>6</v>
      </c>
      <c r="G1860" s="11" t="n">
        <v>6</v>
      </c>
      <c r="H1860" s="8" t="n">
        <v>6.06</v>
      </c>
      <c r="I1860" s="8" t="n">
        <v>5.97</v>
      </c>
      <c r="J1860" s="8" t="n"/>
      <c r="K1860" s="7" t="inlineStr">
        <is>
          <t>SEM COTAÇÃO</t>
        </is>
      </c>
      <c r="L1860" s="8" t="n"/>
      <c r="M1860" s="12" t="n"/>
      <c r="N1860" s="7" t="inlineStr"/>
      <c r="O1860" s="7" t="inlineStr"/>
    </row>
    <row r="1861">
      <c r="A1861" s="7" t="n">
        <v>631831</v>
      </c>
      <c r="B1861" s="10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1" t="n">
        <v>9</v>
      </c>
      <c r="G1861" s="11" t="n">
        <v>9</v>
      </c>
      <c r="H1861" s="8" t="n">
        <v>6.06</v>
      </c>
      <c r="I1861" s="8" t="n">
        <v>5.97</v>
      </c>
      <c r="J1861" s="8" t="n"/>
      <c r="K1861" s="7" t="inlineStr">
        <is>
          <t>SEM COTAÇÃO</t>
        </is>
      </c>
      <c r="L1861" s="8" t="n"/>
      <c r="M1861" s="12" t="n"/>
      <c r="N1861" s="7" t="inlineStr"/>
      <c r="O1861" s="7" t="inlineStr"/>
    </row>
    <row r="1862">
      <c r="A1862" s="7" t="n">
        <v>669091</v>
      </c>
      <c r="B1862" s="10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1" t="n">
        <v>4</v>
      </c>
      <c r="G1862" s="11" t="n">
        <v>4</v>
      </c>
      <c r="H1862" s="8" t="n">
        <v>5.97</v>
      </c>
      <c r="I1862" s="8" t="n">
        <v>5.97</v>
      </c>
      <c r="J1862" s="8" t="n"/>
      <c r="K1862" s="7" t="inlineStr">
        <is>
          <t>SEM COTAÇÃO</t>
        </is>
      </c>
      <c r="L1862" s="8" t="n"/>
      <c r="M1862" s="12" t="n"/>
      <c r="N1862" s="7" t="inlineStr"/>
      <c r="O1862" s="7" t="inlineStr"/>
    </row>
    <row r="1863">
      <c r="A1863" s="7" t="n">
        <v>647401</v>
      </c>
      <c r="B1863" s="10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1" t="n">
        <v>1</v>
      </c>
      <c r="G1863" s="11" t="n">
        <v>1</v>
      </c>
      <c r="H1863" s="8" t="n">
        <v>0.89</v>
      </c>
      <c r="I1863" s="8" t="n">
        <v>0.89</v>
      </c>
      <c r="J1863" s="8" t="n"/>
      <c r="K1863" s="7" t="inlineStr">
        <is>
          <t>SEM COTAÇÃO</t>
        </is>
      </c>
      <c r="L1863" s="8" t="n"/>
      <c r="M1863" s="12" t="n"/>
      <c r="N1863" s="7" t="inlineStr"/>
      <c r="O1863" s="7" t="inlineStr"/>
    </row>
    <row r="1864">
      <c r="A1864" s="7" t="n">
        <v>647391</v>
      </c>
      <c r="B1864" s="10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1" t="n">
        <v>1</v>
      </c>
      <c r="G1864" s="11" t="n">
        <v>1</v>
      </c>
      <c r="H1864" s="8" t="n">
        <v>0.89</v>
      </c>
      <c r="I1864" s="8" t="n">
        <v>0.89</v>
      </c>
      <c r="J1864" s="8" t="n"/>
      <c r="K1864" s="7" t="inlineStr">
        <is>
          <t>SEM COTAÇÃO</t>
        </is>
      </c>
      <c r="L1864" s="8" t="n"/>
      <c r="M1864" s="12" t="n"/>
      <c r="N1864" s="7" t="inlineStr"/>
      <c r="O1864" s="7" t="inlineStr"/>
    </row>
    <row r="1865">
      <c r="A1865" s="7" t="n">
        <v>647411</v>
      </c>
      <c r="B1865" s="10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1" t="n">
        <v>1</v>
      </c>
      <c r="G1865" s="11" t="n">
        <v>1</v>
      </c>
      <c r="H1865" s="8" t="n">
        <v>0.89</v>
      </c>
      <c r="I1865" s="8" t="n">
        <v>0.89</v>
      </c>
      <c r="J1865" s="8" t="n"/>
      <c r="K1865" s="7" t="inlineStr">
        <is>
          <t>SEM COTAÇÃO</t>
        </is>
      </c>
      <c r="L1865" s="8" t="n"/>
      <c r="M1865" s="12" t="n"/>
      <c r="N1865" s="7" t="inlineStr"/>
      <c r="O1865" s="7" t="inlineStr"/>
    </row>
    <row r="1866">
      <c r="A1866" s="7" t="n">
        <v>647381</v>
      </c>
      <c r="B1866" s="10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1" t="n">
        <v>1</v>
      </c>
      <c r="G1866" s="11" t="n">
        <v>1</v>
      </c>
      <c r="H1866" s="8" t="n">
        <v>1.71</v>
      </c>
      <c r="I1866" s="8" t="n">
        <v>1.71</v>
      </c>
      <c r="J1866" s="8" t="n"/>
      <c r="K1866" s="7" t="inlineStr">
        <is>
          <t>SEM COTAÇÃO</t>
        </is>
      </c>
      <c r="L1866" s="8" t="n"/>
      <c r="M1866" s="12" t="n"/>
      <c r="N1866" s="7" t="inlineStr"/>
      <c r="O1866" s="7" t="inlineStr"/>
    </row>
    <row r="1867">
      <c r="A1867" s="7" t="n">
        <v>647371</v>
      </c>
      <c r="B1867" s="10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1" t="n">
        <v>1</v>
      </c>
      <c r="G1867" s="11" t="n">
        <v>1</v>
      </c>
      <c r="H1867" s="8" t="n">
        <v>1.71</v>
      </c>
      <c r="I1867" s="8" t="n">
        <v>1.71</v>
      </c>
      <c r="J1867" s="8" t="n"/>
      <c r="K1867" s="7" t="inlineStr">
        <is>
          <t>SEM COTAÇÃO</t>
        </is>
      </c>
      <c r="L1867" s="8" t="n"/>
      <c r="M1867" s="12" t="n"/>
      <c r="N1867" s="7" t="inlineStr"/>
      <c r="O1867" s="7" t="inlineStr"/>
    </row>
    <row r="1868">
      <c r="A1868" s="7" t="n">
        <v>663701</v>
      </c>
      <c r="B1868" s="10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1" t="n">
        <v>2</v>
      </c>
      <c r="G1868" s="11" t="n">
        <v>2</v>
      </c>
      <c r="H1868" s="8" t="n">
        <v>2.71</v>
      </c>
      <c r="I1868" s="8" t="n">
        <v>2.71</v>
      </c>
      <c r="J1868" s="8" t="n"/>
      <c r="K1868" s="7" t="inlineStr">
        <is>
          <t>SEM COTAÇÃO</t>
        </is>
      </c>
      <c r="L1868" s="8" t="n"/>
      <c r="M1868" s="12" t="n"/>
      <c r="N1868" s="7" t="inlineStr"/>
      <c r="O1868" s="7" t="inlineStr"/>
    </row>
    <row r="1869">
      <c r="A1869" s="7" t="n">
        <v>663711</v>
      </c>
      <c r="B1869" s="10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1" t="n">
        <v>1</v>
      </c>
      <c r="G1869" s="11" t="n">
        <v>1</v>
      </c>
      <c r="H1869" s="8" t="n">
        <v>2.71</v>
      </c>
      <c r="I1869" s="8" t="n">
        <v>2.71</v>
      </c>
      <c r="J1869" s="8" t="n"/>
      <c r="K1869" s="7" t="inlineStr">
        <is>
          <t>SEM COTAÇÃO</t>
        </is>
      </c>
      <c r="L1869" s="8" t="n"/>
      <c r="M1869" s="12" t="n"/>
      <c r="N1869" s="7" t="inlineStr"/>
      <c r="O1869" s="7" t="inlineStr"/>
    </row>
    <row r="1870">
      <c r="A1870" s="7" t="n">
        <v>632001</v>
      </c>
      <c r="B1870" s="10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1" t="n">
        <v>28</v>
      </c>
      <c r="G1870" s="11" t="n">
        <v>28</v>
      </c>
      <c r="H1870" s="8" t="n">
        <v>1.77</v>
      </c>
      <c r="I1870" s="8" t="n">
        <v>1.77</v>
      </c>
      <c r="J1870" s="8" t="n"/>
      <c r="K1870" s="7" t="inlineStr">
        <is>
          <t>SEM COTAÇÃO</t>
        </is>
      </c>
      <c r="L1870" s="8" t="n"/>
      <c r="M1870" s="12" t="n"/>
      <c r="N1870" s="7" t="inlineStr"/>
      <c r="O1870" s="7" t="inlineStr"/>
    </row>
    <row r="1871">
      <c r="A1871" s="7" t="n">
        <v>632021</v>
      </c>
      <c r="B1871" s="10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1" t="n">
        <v>5</v>
      </c>
      <c r="G1871" s="11" t="n">
        <v>5</v>
      </c>
      <c r="H1871" s="8" t="n">
        <v>1.77</v>
      </c>
      <c r="I1871" s="8" t="n">
        <v>1.77</v>
      </c>
      <c r="J1871" s="8" t="n"/>
      <c r="K1871" s="7" t="inlineStr">
        <is>
          <t>SEM COTAÇÃO</t>
        </is>
      </c>
      <c r="L1871" s="8" t="n"/>
      <c r="M1871" s="12" t="n"/>
      <c r="N1871" s="7" t="inlineStr"/>
      <c r="O1871" s="7" t="inlineStr"/>
    </row>
    <row r="1872">
      <c r="A1872" s="7" t="n">
        <v>631851</v>
      </c>
      <c r="B1872" s="10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1" t="n">
        <v>1</v>
      </c>
      <c r="G1872" s="11" t="n">
        <v>1</v>
      </c>
      <c r="H1872" s="8" t="n">
        <v>5.075</v>
      </c>
      <c r="I1872" s="8" t="n">
        <v>5.075</v>
      </c>
      <c r="J1872" s="8" t="n"/>
      <c r="K1872" s="7" t="inlineStr">
        <is>
          <t>SEM COTAÇÃO</t>
        </is>
      </c>
      <c r="L1872" s="8" t="n"/>
      <c r="M1872" s="12" t="n"/>
      <c r="N1872" s="7" t="inlineStr"/>
      <c r="O1872" s="7" t="inlineStr"/>
    </row>
    <row r="1873">
      <c r="A1873" s="7" t="n">
        <v>631881</v>
      </c>
      <c r="B1873" s="10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1" t="n">
        <v>2</v>
      </c>
      <c r="G1873" s="11" t="n">
        <v>2</v>
      </c>
      <c r="H1873" s="8" t="n">
        <v>5.97</v>
      </c>
      <c r="I1873" s="8" t="n">
        <v>5.97</v>
      </c>
      <c r="J1873" s="8" t="n"/>
      <c r="K1873" s="7" t="inlineStr">
        <is>
          <t>SEM COTAÇÃO</t>
        </is>
      </c>
      <c r="L1873" s="8" t="n"/>
      <c r="M1873" s="12" t="n"/>
      <c r="N1873" s="7" t="inlineStr"/>
      <c r="O1873" s="7" t="inlineStr"/>
    </row>
    <row r="1874">
      <c r="A1874" s="7" t="n">
        <v>567201</v>
      </c>
      <c r="B1874" s="10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1" t="n">
        <v>3</v>
      </c>
      <c r="G1874" s="11" t="n">
        <v>3</v>
      </c>
      <c r="H1874" s="8" t="n">
        <v>14.415</v>
      </c>
      <c r="I1874" s="8" t="n">
        <v>13.635</v>
      </c>
      <c r="J1874" s="8" t="n"/>
      <c r="K1874" s="7" t="inlineStr">
        <is>
          <t>SEM COTAÇÃO</t>
        </is>
      </c>
      <c r="L1874" s="8" t="n"/>
      <c r="M1874" s="12" t="n"/>
      <c r="N1874" s="7" t="inlineStr"/>
      <c r="O1874" s="7" t="inlineStr"/>
    </row>
    <row r="1875">
      <c r="A1875" s="7" t="n">
        <v>590071</v>
      </c>
      <c r="B1875" s="10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1" t="n">
        <v>1</v>
      </c>
      <c r="G1875" s="11" t="n">
        <v>1</v>
      </c>
      <c r="H1875" s="8" t="n">
        <v>9.33</v>
      </c>
      <c r="I1875" s="8" t="n">
        <v>9.33</v>
      </c>
      <c r="J1875" s="8" t="n"/>
      <c r="K1875" s="7" t="inlineStr">
        <is>
          <t>SEM COTAÇÃO</t>
        </is>
      </c>
      <c r="L1875" s="8" t="n"/>
      <c r="M1875" s="12" t="n"/>
      <c r="N1875" s="7" t="inlineStr"/>
      <c r="O1875" s="7" t="inlineStr"/>
    </row>
    <row r="1876">
      <c r="A1876" s="7" t="n">
        <v>606091</v>
      </c>
      <c r="B1876" s="10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1" t="n">
        <v>1</v>
      </c>
      <c r="G1876" s="11" t="n">
        <v>5</v>
      </c>
      <c r="H1876" s="8" t="n">
        <v>3.6033</v>
      </c>
      <c r="I1876" s="8" t="n">
        <v>3.6033</v>
      </c>
      <c r="J1876" s="8" t="n"/>
      <c r="K1876" s="7" t="inlineStr">
        <is>
          <t>SEM COTAÇÃO</t>
        </is>
      </c>
      <c r="L1876" s="8" t="n"/>
      <c r="M1876" s="12" t="n"/>
      <c r="N1876" s="7" t="inlineStr"/>
      <c r="O1876" s="7" t="inlineStr"/>
    </row>
    <row r="1877">
      <c r="A1877" s="7" t="n">
        <v>606101</v>
      </c>
      <c r="B1877" s="10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1" t="n">
        <v>1</v>
      </c>
      <c r="G1877" s="11" t="n">
        <v>1</v>
      </c>
      <c r="H1877" s="8" t="n">
        <v>3.4858</v>
      </c>
      <c r="I1877" s="8" t="n">
        <v>3.4858</v>
      </c>
      <c r="J1877" s="8" t="n"/>
      <c r="K1877" s="7" t="inlineStr">
        <is>
          <t>SEM COTAÇÃO</t>
        </is>
      </c>
      <c r="L1877" s="8" t="n"/>
      <c r="M1877" s="12" t="n"/>
      <c r="N1877" s="7" t="inlineStr"/>
      <c r="O1877" s="7" t="inlineStr"/>
    </row>
    <row r="1878">
      <c r="A1878" s="7" t="n">
        <v>577401</v>
      </c>
      <c r="B1878" s="10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1" t="n">
        <v>1</v>
      </c>
      <c r="G1878" s="11" t="n">
        <v>1</v>
      </c>
      <c r="H1878" s="8" t="n">
        <v>11.65</v>
      </c>
      <c r="I1878" s="8" t="n">
        <v>9.529999999999999</v>
      </c>
      <c r="J1878" s="8" t="n"/>
      <c r="K1878" s="7" t="inlineStr">
        <is>
          <t>SEM COTAÇÃO</t>
        </is>
      </c>
      <c r="L1878" s="8" t="n"/>
      <c r="M1878" s="12" t="n"/>
      <c r="N1878" s="7" t="inlineStr"/>
      <c r="O1878" s="7" t="inlineStr"/>
    </row>
    <row r="1879">
      <c r="A1879" s="7" t="n">
        <v>665811</v>
      </c>
      <c r="B1879" s="10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1" t="n">
        <v>1</v>
      </c>
      <c r="G1879" s="11" t="n">
        <v>4</v>
      </c>
      <c r="H1879" s="8" t="n">
        <v>4.305</v>
      </c>
      <c r="I1879" s="8" t="n">
        <v>4.305</v>
      </c>
      <c r="J1879" s="8" t="n"/>
      <c r="K1879" s="7" t="inlineStr">
        <is>
          <t>SEM COTAÇÃO</t>
        </is>
      </c>
      <c r="L1879" s="8" t="n"/>
      <c r="M1879" s="12" t="n"/>
      <c r="N1879" s="7" t="inlineStr"/>
      <c r="O1879" s="7" t="inlineStr"/>
    </row>
    <row r="1880">
      <c r="A1880" s="7" t="n">
        <v>641581</v>
      </c>
      <c r="B1880" s="10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1" t="n">
        <v>1</v>
      </c>
      <c r="G1880" s="11" t="n">
        <v>1</v>
      </c>
      <c r="H1880" s="8" t="n">
        <v>6.4017</v>
      </c>
      <c r="I1880" s="8" t="n">
        <v>6.4017</v>
      </c>
      <c r="J1880" s="8" t="n"/>
      <c r="K1880" s="7" t="inlineStr">
        <is>
          <t>SEM COTAÇÃO</t>
        </is>
      </c>
      <c r="L1880" s="8" t="n"/>
      <c r="M1880" s="12" t="n"/>
      <c r="N1880" s="7" t="inlineStr"/>
      <c r="O1880" s="7" t="inlineStr"/>
    </row>
    <row r="1881">
      <c r="A1881" s="7" t="n">
        <v>672381</v>
      </c>
      <c r="B1881" s="10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1" t="n">
        <v>1</v>
      </c>
      <c r="G1881" s="11" t="n">
        <v>1</v>
      </c>
      <c r="H1881" s="8" t="n">
        <v>4.25</v>
      </c>
      <c r="I1881" s="8" t="n">
        <v>4</v>
      </c>
      <c r="J1881" s="8" t="n"/>
      <c r="K1881" s="7" t="inlineStr">
        <is>
          <t>SEM COTAÇÃO</t>
        </is>
      </c>
      <c r="L1881" s="8" t="n"/>
      <c r="M1881" s="12" t="n"/>
      <c r="N1881" s="7" t="inlineStr"/>
      <c r="O1881" s="7" t="inlineStr"/>
    </row>
    <row r="1882">
      <c r="A1882" s="7" t="n">
        <v>647101</v>
      </c>
      <c r="B1882" s="10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1" t="n">
        <v>1</v>
      </c>
      <c r="G1882" s="11" t="n">
        <v>1</v>
      </c>
      <c r="H1882" s="8" t="n">
        <v>6.81</v>
      </c>
      <c r="I1882" s="8" t="n">
        <v>6.81</v>
      </c>
      <c r="J1882" s="8" t="n"/>
      <c r="K1882" s="7" t="inlineStr">
        <is>
          <t>SEM COTAÇÃO</t>
        </is>
      </c>
      <c r="L1882" s="8" t="n"/>
      <c r="M1882" s="12" t="n"/>
      <c r="N1882" s="7" t="inlineStr"/>
      <c r="O1882" s="7" t="inlineStr"/>
    </row>
    <row r="1883">
      <c r="A1883" s="7" t="n">
        <v>560021</v>
      </c>
      <c r="B1883" s="10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1" t="n">
        <v>1</v>
      </c>
      <c r="G1883" s="11" t="n">
        <v>1</v>
      </c>
      <c r="H1883" s="8" t="n">
        <v>3.95</v>
      </c>
      <c r="I1883" s="8" t="n">
        <v>3.95</v>
      </c>
      <c r="J1883" s="8" t="n"/>
      <c r="K1883" s="7" t="inlineStr">
        <is>
          <t>SEM COTAÇÃO</t>
        </is>
      </c>
      <c r="L1883" s="8" t="n"/>
      <c r="M1883" s="12" t="n"/>
      <c r="N1883" s="7" t="inlineStr"/>
      <c r="O1883" s="7" t="inlineStr"/>
    </row>
    <row r="1884">
      <c r="A1884" s="7" t="n">
        <v>562161</v>
      </c>
      <c r="B1884" s="10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1" t="n">
        <v>3</v>
      </c>
      <c r="G1884" s="11" t="n">
        <v>3</v>
      </c>
      <c r="H1884" s="8" t="n">
        <v>5.99</v>
      </c>
      <c r="I1884" s="8" t="n">
        <v>5.99</v>
      </c>
      <c r="J1884" s="8" t="n"/>
      <c r="K1884" s="7" t="inlineStr">
        <is>
          <t>SEM COTAÇÃO</t>
        </is>
      </c>
      <c r="L1884" s="8" t="n"/>
      <c r="M1884" s="12" t="n"/>
      <c r="N1884" s="7" t="inlineStr"/>
      <c r="O1884" s="7" t="inlineStr"/>
    </row>
    <row r="1885">
      <c r="A1885" s="7" t="n">
        <v>614721</v>
      </c>
      <c r="B1885" s="10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1" t="n">
        <v>4</v>
      </c>
      <c r="G1885" s="11" t="n">
        <v>4</v>
      </c>
      <c r="H1885" s="8" t="n">
        <v>13.5833</v>
      </c>
      <c r="I1885" s="8" t="n">
        <v>13.1458</v>
      </c>
      <c r="J1885" s="8" t="n"/>
      <c r="K1885" s="7" t="inlineStr">
        <is>
          <t>SEM COTAÇÃO</t>
        </is>
      </c>
      <c r="L1885" s="8" t="n"/>
      <c r="M1885" s="12" t="n"/>
      <c r="N1885" s="7" t="inlineStr"/>
      <c r="O1885" s="7" t="inlineStr"/>
    </row>
    <row r="1886">
      <c r="A1886" s="7" t="n">
        <v>675321</v>
      </c>
      <c r="B1886" s="10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1" t="n">
        <v>4</v>
      </c>
      <c r="G1886" s="11" t="n">
        <v>4</v>
      </c>
      <c r="H1886" s="8" t="n"/>
      <c r="I1886" s="8" t="n"/>
      <c r="J1886" s="8" t="n"/>
      <c r="K1886" s="7" t="inlineStr">
        <is>
          <t>SEM COTAÇÃO</t>
        </is>
      </c>
      <c r="L1886" s="8" t="n"/>
      <c r="M1886" s="12" t="n"/>
      <c r="N1886" s="7" t="inlineStr"/>
      <c r="O1886" s="7" t="inlineStr"/>
    </row>
    <row r="1887">
      <c r="A1887" s="7" t="n">
        <v>643971</v>
      </c>
      <c r="B1887" s="10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1" t="n">
        <v>1</v>
      </c>
      <c r="G1887" s="11" t="n">
        <v>1</v>
      </c>
      <c r="H1887" s="8" t="n">
        <v>39.97</v>
      </c>
      <c r="I1887" s="8" t="n">
        <v>36.95</v>
      </c>
      <c r="J1887" s="8" t="n"/>
      <c r="K1887" s="7" t="inlineStr">
        <is>
          <t>SEM COTAÇÃO</t>
        </is>
      </c>
      <c r="L1887" s="8" t="n"/>
      <c r="M1887" s="12" t="n"/>
      <c r="N1887" s="7" t="inlineStr"/>
      <c r="O1887" s="7" t="inlineStr"/>
    </row>
    <row r="1888">
      <c r="A1888" s="7" t="n">
        <v>532361</v>
      </c>
      <c r="B1888" s="10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1" t="n">
        <v>41</v>
      </c>
      <c r="G1888" s="11" t="n">
        <v>41</v>
      </c>
      <c r="H1888" s="8" t="n">
        <v>2.23</v>
      </c>
      <c r="I1888" s="8" t="n">
        <v>2.23</v>
      </c>
      <c r="J1888" s="13" t="n">
        <v>2.23</v>
      </c>
      <c r="K1888" s="7" t="inlineStr">
        <is>
          <t>DIMEC</t>
        </is>
      </c>
      <c r="L1888" s="8" t="n">
        <v>2.23</v>
      </c>
      <c r="M1888" s="12">
        <f>L1888/H1888-1</f>
        <v/>
      </c>
      <c r="N1888" s="15" t="inlineStr">
        <is>
          <t>OK (≤ menor hist.)</t>
        </is>
      </c>
      <c r="O1888" s="7" t="inlineStr"/>
    </row>
    <row r="1889">
      <c r="A1889" s="7" t="n">
        <v>532401</v>
      </c>
      <c r="B1889" s="10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1" t="n">
        <v>95</v>
      </c>
      <c r="G1889" s="11" t="n">
        <v>95</v>
      </c>
      <c r="H1889" s="8" t="n">
        <v>3.14</v>
      </c>
      <c r="I1889" s="8" t="n">
        <v>3.14</v>
      </c>
      <c r="J1889" s="13" t="n">
        <v>3.14</v>
      </c>
      <c r="K1889" s="7" t="inlineStr">
        <is>
          <t>DIMEC</t>
        </is>
      </c>
      <c r="L1889" s="8" t="n">
        <v>3.14</v>
      </c>
      <c r="M1889" s="12">
        <f>L1889/H1889-1</f>
        <v/>
      </c>
      <c r="N1889" s="15" t="inlineStr">
        <is>
          <t>OK (≤ menor hist.)</t>
        </is>
      </c>
      <c r="O1889" s="7" t="inlineStr"/>
    </row>
    <row r="1890">
      <c r="A1890" s="7" t="n">
        <v>3023</v>
      </c>
      <c r="B1890" s="10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1" t="n">
        <v>1</v>
      </c>
      <c r="G1890" s="11" t="n">
        <v>1</v>
      </c>
      <c r="H1890" s="8" t="n">
        <v>19.44</v>
      </c>
      <c r="I1890" s="8" t="n">
        <v>19.44</v>
      </c>
      <c r="J1890" s="8" t="n"/>
      <c r="K1890" s="7" t="inlineStr">
        <is>
          <t>SEM COTAÇÃO</t>
        </is>
      </c>
      <c r="L1890" s="8" t="n"/>
      <c r="M1890" s="12" t="n"/>
      <c r="N1890" s="7" t="inlineStr"/>
      <c r="O1890" s="7" t="inlineStr"/>
    </row>
    <row r="1891">
      <c r="A1891" s="7" t="n">
        <v>606871</v>
      </c>
      <c r="B1891" s="10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1" t="n">
        <v>1</v>
      </c>
      <c r="G1891" s="11" t="n">
        <v>1</v>
      </c>
      <c r="H1891" s="8" t="n">
        <v>20.48</v>
      </c>
      <c r="I1891" s="8" t="n">
        <v>20.48</v>
      </c>
      <c r="J1891" s="13" t="n">
        <v>20.48</v>
      </c>
      <c r="K1891" s="7" t="inlineStr">
        <is>
          <t>DIMEC</t>
        </is>
      </c>
      <c r="L1891" s="8" t="n">
        <v>20.48</v>
      </c>
      <c r="M1891" s="12">
        <f>L1891/H1891-1</f>
        <v/>
      </c>
      <c r="N1891" s="15" t="inlineStr">
        <is>
          <t>OK (≤ menor hist.)</t>
        </is>
      </c>
      <c r="O1891" s="7" t="inlineStr"/>
    </row>
    <row r="1892">
      <c r="A1892" s="7" t="n">
        <v>3013</v>
      </c>
      <c r="B1892" s="10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1" t="n">
        <v>2</v>
      </c>
      <c r="G1892" s="11" t="n">
        <v>2</v>
      </c>
      <c r="H1892" s="8" t="n">
        <v>19.16</v>
      </c>
      <c r="I1892" s="8" t="n">
        <v>19.16</v>
      </c>
      <c r="J1892" s="8" t="n"/>
      <c r="K1892" s="7" t="inlineStr">
        <is>
          <t>SEM COTAÇÃO</t>
        </is>
      </c>
      <c r="L1892" s="8" t="n"/>
      <c r="M1892" s="12" t="n"/>
      <c r="N1892" s="7" t="inlineStr"/>
      <c r="O1892" s="7" t="inlineStr"/>
    </row>
    <row r="1893">
      <c r="A1893" s="7" t="n">
        <v>3043</v>
      </c>
      <c r="B1893" s="10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1" t="n">
        <v>2</v>
      </c>
      <c r="G1893" s="11" t="n">
        <v>2</v>
      </c>
      <c r="H1893" s="8" t="n">
        <v>20.93</v>
      </c>
      <c r="I1893" s="8" t="n">
        <v>20.93</v>
      </c>
      <c r="J1893" s="8" t="n"/>
      <c r="K1893" s="7" t="inlineStr">
        <is>
          <t>SEM COTAÇÃO</t>
        </is>
      </c>
      <c r="L1893" s="8" t="n"/>
      <c r="M1893" s="12" t="n"/>
      <c r="N1893" s="7" t="inlineStr"/>
      <c r="O1893" s="7" t="inlineStr"/>
    </row>
    <row r="1894">
      <c r="A1894" s="7" t="n">
        <v>3003</v>
      </c>
      <c r="B1894" s="10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1" t="n">
        <v>1</v>
      </c>
      <c r="G1894" s="11" t="n">
        <v>1</v>
      </c>
      <c r="H1894" s="8" t="n">
        <v>20.93</v>
      </c>
      <c r="I1894" s="8" t="n">
        <v>20.93</v>
      </c>
      <c r="J1894" s="8" t="n"/>
      <c r="K1894" s="7" t="inlineStr">
        <is>
          <t>SEM COTAÇÃO</t>
        </is>
      </c>
      <c r="L1894" s="8" t="n"/>
      <c r="M1894" s="12" t="n"/>
      <c r="N1894" s="7" t="inlineStr"/>
      <c r="O1894" s="7" t="inlineStr"/>
    </row>
    <row r="1895">
      <c r="A1895" s="7" t="n">
        <v>3033</v>
      </c>
      <c r="B1895" s="10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1" t="n">
        <v>2</v>
      </c>
      <c r="G1895" s="11" t="n">
        <v>2</v>
      </c>
      <c r="H1895" s="8" t="n">
        <v>20.92</v>
      </c>
      <c r="I1895" s="8" t="n">
        <v>20.92</v>
      </c>
      <c r="J1895" s="8" t="n"/>
      <c r="K1895" s="7" t="inlineStr">
        <is>
          <t>SEM COTAÇÃO</t>
        </is>
      </c>
      <c r="L1895" s="8" t="n"/>
      <c r="M1895" s="12" t="n"/>
      <c r="N1895" s="7" t="inlineStr"/>
      <c r="O1895" s="7" t="inlineStr"/>
    </row>
    <row r="1896">
      <c r="A1896" s="7" t="n">
        <v>616141</v>
      </c>
      <c r="B1896" s="10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1" t="n">
        <v>1</v>
      </c>
      <c r="G1896" s="11" t="n">
        <v>1</v>
      </c>
      <c r="H1896" s="8" t="n">
        <v>18.69</v>
      </c>
      <c r="I1896" s="8" t="n">
        <v>18.69</v>
      </c>
      <c r="J1896" s="13" t="n">
        <v>19.89</v>
      </c>
      <c r="K1896" s="7" t="inlineStr">
        <is>
          <t>DIMEC</t>
        </is>
      </c>
      <c r="L1896" s="8" t="n">
        <v>19.89</v>
      </c>
      <c r="M1896" s="12">
        <f>L1896/H1896-1</f>
        <v/>
      </c>
      <c r="N1896" s="14" t="inlineStr">
        <is>
          <t>ACIMA +6.4%</t>
        </is>
      </c>
      <c r="O1896" s="7" t="inlineStr"/>
    </row>
    <row r="1897">
      <c r="A1897" s="7" t="n">
        <v>671121</v>
      </c>
      <c r="B1897" s="10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1" t="n">
        <v>2</v>
      </c>
      <c r="G1897" s="11" t="n">
        <v>2</v>
      </c>
      <c r="H1897" s="8" t="n">
        <v>21.99</v>
      </c>
      <c r="I1897" s="8" t="n">
        <v>21.99</v>
      </c>
      <c r="J1897" s="8" t="n"/>
      <c r="K1897" s="7" t="inlineStr">
        <is>
          <t>SEM COTAÇÃO</t>
        </is>
      </c>
      <c r="L1897" s="8" t="n"/>
      <c r="M1897" s="12" t="n"/>
      <c r="N1897" s="7" t="inlineStr"/>
      <c r="O1897" s="7" t="inlineStr"/>
    </row>
    <row r="1898">
      <c r="A1898" s="7" t="n">
        <v>591031</v>
      </c>
      <c r="B1898" s="10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1" t="n">
        <v>2</v>
      </c>
      <c r="G1898" s="11" t="n">
        <v>2</v>
      </c>
      <c r="H1898" s="8" t="n">
        <v>20.43</v>
      </c>
      <c r="I1898" s="8" t="n">
        <v>19.65</v>
      </c>
      <c r="J1898" s="13" t="n">
        <v>20.43</v>
      </c>
      <c r="K1898" s="7" t="inlineStr">
        <is>
          <t>DIMEC</t>
        </is>
      </c>
      <c r="L1898" s="8" t="n">
        <v>20.43</v>
      </c>
      <c r="M1898" s="12">
        <f>L1898/H1898-1</f>
        <v/>
      </c>
      <c r="N1898" s="15" t="inlineStr">
        <is>
          <t>OK (≤ últ. compra)</t>
        </is>
      </c>
      <c r="O1898" s="7" t="inlineStr"/>
    </row>
    <row r="1899">
      <c r="A1899" s="7" t="n">
        <v>594901</v>
      </c>
      <c r="B1899" s="10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1" t="n">
        <v>1</v>
      </c>
      <c r="G1899" s="11" t="n">
        <v>1</v>
      </c>
      <c r="H1899" s="8" t="n">
        <v>23.3</v>
      </c>
      <c r="I1899" s="8" t="n">
        <v>23.3</v>
      </c>
      <c r="J1899" s="13" t="n">
        <v>20.48</v>
      </c>
      <c r="K1899" s="7" t="inlineStr">
        <is>
          <t>DIMEC</t>
        </is>
      </c>
      <c r="L1899" s="8" t="n">
        <v>20.48</v>
      </c>
      <c r="M1899" s="12">
        <f>L1899/H1899-1</f>
        <v/>
      </c>
      <c r="N1899" s="15" t="inlineStr">
        <is>
          <t>OK (≤ menor hist.)</t>
        </is>
      </c>
      <c r="O1899" s="7" t="inlineStr"/>
    </row>
    <row r="1900">
      <c r="A1900" s="7" t="n">
        <v>656551</v>
      </c>
      <c r="B1900" s="10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1" t="n">
        <v>1</v>
      </c>
      <c r="G1900" s="11" t="n">
        <v>1</v>
      </c>
      <c r="H1900" s="8" t="n">
        <v>5.045</v>
      </c>
      <c r="I1900" s="8" t="n">
        <v>5.045</v>
      </c>
      <c r="J1900" s="8" t="n"/>
      <c r="K1900" s="7" t="inlineStr">
        <is>
          <t>SEM COTAÇÃO</t>
        </is>
      </c>
      <c r="L1900" s="8" t="n"/>
      <c r="M1900" s="12" t="n"/>
      <c r="N1900" s="7" t="inlineStr"/>
      <c r="O1900" s="7" t="inlineStr"/>
    </row>
    <row r="1901">
      <c r="A1901" s="7" t="n">
        <v>657661</v>
      </c>
      <c r="B1901" s="10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1" t="n">
        <v>1</v>
      </c>
      <c r="G1901" s="11" t="n">
        <v>1</v>
      </c>
      <c r="H1901" s="8" t="n">
        <v>4.865</v>
      </c>
      <c r="I1901" s="8" t="n">
        <v>4.865</v>
      </c>
      <c r="J1901" s="8" t="n"/>
      <c r="K1901" s="7" t="inlineStr">
        <is>
          <t>SEM COTAÇÃO</t>
        </is>
      </c>
      <c r="L1901" s="8" t="n"/>
      <c r="M1901" s="12" t="n"/>
      <c r="N1901" s="7" t="inlineStr"/>
      <c r="O1901" s="7" t="inlineStr"/>
    </row>
    <row r="1902">
      <c r="A1902" s="7" t="n">
        <v>547461</v>
      </c>
      <c r="B1902" s="10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1" t="n">
        <v>28</v>
      </c>
      <c r="G1902" s="11" t="n">
        <v>28</v>
      </c>
      <c r="H1902" s="8" t="n">
        <v>1.86</v>
      </c>
      <c r="I1902" s="8" t="n">
        <v>1.86</v>
      </c>
      <c r="J1902" s="13" t="n">
        <v>1.86</v>
      </c>
      <c r="K1902" s="7" t="inlineStr">
        <is>
          <t>DIMEC</t>
        </is>
      </c>
      <c r="L1902" s="8" t="n">
        <v>1.86</v>
      </c>
      <c r="M1902" s="12">
        <f>L1902/H1902-1</f>
        <v/>
      </c>
      <c r="N1902" s="15" t="inlineStr">
        <is>
          <t>OK (≤ menor hist.)</t>
        </is>
      </c>
      <c r="O1902" s="7" t="inlineStr"/>
    </row>
    <row r="1903">
      <c r="A1903" s="7" t="n">
        <v>541021</v>
      </c>
      <c r="B1903" s="10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1" t="n">
        <v>4</v>
      </c>
      <c r="G1903" s="11" t="n">
        <v>4</v>
      </c>
      <c r="H1903" s="8" t="n">
        <v>8.1</v>
      </c>
      <c r="I1903" s="8" t="n">
        <v>8.1</v>
      </c>
      <c r="J1903" s="13" t="n">
        <v>8.1</v>
      </c>
      <c r="K1903" s="7" t="inlineStr">
        <is>
          <t>DIMEC</t>
        </is>
      </c>
      <c r="L1903" s="8" t="n">
        <v>8.1</v>
      </c>
      <c r="M1903" s="12">
        <f>L1903/H1903-1</f>
        <v/>
      </c>
      <c r="N1903" s="15" t="inlineStr">
        <is>
          <t>OK (≤ menor hist.)</t>
        </is>
      </c>
      <c r="O1903" s="7" t="inlineStr"/>
    </row>
    <row r="1904">
      <c r="A1904" s="7" t="n">
        <v>541381</v>
      </c>
      <c r="B1904" s="10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1" t="n">
        <v>33</v>
      </c>
      <c r="G1904" s="11" t="n">
        <v>33</v>
      </c>
      <c r="H1904" s="8" t="n">
        <v>5.02</v>
      </c>
      <c r="I1904" s="8" t="n">
        <v>5.02</v>
      </c>
      <c r="J1904" s="13" t="n">
        <v>5.02</v>
      </c>
      <c r="K1904" s="7" t="inlineStr">
        <is>
          <t>DIMEC</t>
        </is>
      </c>
      <c r="L1904" s="8" t="n">
        <v>5.02</v>
      </c>
      <c r="M1904" s="12">
        <f>L1904/H1904-1</f>
        <v/>
      </c>
      <c r="N1904" s="15" t="inlineStr">
        <is>
          <t>OK (≤ menor hist.)</t>
        </is>
      </c>
      <c r="O1904" s="7" t="inlineStr"/>
    </row>
    <row r="1905">
      <c r="A1905" s="7" t="n">
        <v>13903</v>
      </c>
      <c r="B1905" s="10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1" t="n">
        <v>2</v>
      </c>
      <c r="G1905" s="11" t="n">
        <v>2</v>
      </c>
      <c r="H1905" s="8" t="n">
        <v>4.25</v>
      </c>
      <c r="I1905" s="8" t="n">
        <v>4.25</v>
      </c>
      <c r="J1905" s="8" t="n"/>
      <c r="K1905" s="7" t="inlineStr">
        <is>
          <t>SEM COTAÇÃO</t>
        </is>
      </c>
      <c r="L1905" s="8" t="n"/>
      <c r="M1905" s="12" t="n"/>
      <c r="N1905" s="7" t="inlineStr"/>
      <c r="O1905" s="7" t="inlineStr"/>
    </row>
    <row r="1906">
      <c r="A1906" s="7" t="n">
        <v>596631</v>
      </c>
      <c r="B1906" s="10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1" t="n">
        <v>7</v>
      </c>
      <c r="G1906" s="11" t="n">
        <v>7</v>
      </c>
      <c r="H1906" s="8" t="n">
        <v>2.8038</v>
      </c>
      <c r="I1906" s="8" t="n">
        <v>2.65</v>
      </c>
      <c r="J1906" s="8" t="n"/>
      <c r="K1906" s="7" t="inlineStr">
        <is>
          <t>SEM COTAÇÃO</t>
        </is>
      </c>
      <c r="L1906" s="8" t="n"/>
      <c r="M1906" s="12" t="n"/>
      <c r="N1906" s="7" t="inlineStr"/>
      <c r="O1906" s="7" t="inlineStr"/>
    </row>
    <row r="1907">
      <c r="A1907" s="7" t="n">
        <v>552921</v>
      </c>
      <c r="B1907" s="10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1" t="n">
        <v>1</v>
      </c>
      <c r="G1907" s="11" t="n">
        <v>1</v>
      </c>
      <c r="H1907" s="8" t="n">
        <v>2.08</v>
      </c>
      <c r="I1907" s="8" t="n">
        <v>2.08</v>
      </c>
      <c r="J1907" s="8" t="n"/>
      <c r="K1907" s="7" t="inlineStr">
        <is>
          <t>SEM COTAÇÃO</t>
        </is>
      </c>
      <c r="L1907" s="8" t="n"/>
      <c r="M1907" s="12" t="n"/>
      <c r="N1907" s="7" t="inlineStr"/>
      <c r="O1907" s="7" t="inlineStr"/>
    </row>
    <row r="1908">
      <c r="A1908" s="7" t="n">
        <v>596641</v>
      </c>
      <c r="B1908" s="10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1" t="n">
        <v>1</v>
      </c>
      <c r="G1908" s="11" t="n">
        <v>1</v>
      </c>
      <c r="H1908" s="8" t="n">
        <v>3.2244</v>
      </c>
      <c r="I1908" s="8" t="n">
        <v>3.2244</v>
      </c>
      <c r="J1908" s="8" t="n"/>
      <c r="K1908" s="7" t="inlineStr">
        <is>
          <t>SEM COTAÇÃO</t>
        </is>
      </c>
      <c r="L1908" s="8" t="n"/>
      <c r="M1908" s="12" t="n"/>
      <c r="N1908" s="7" t="inlineStr"/>
      <c r="O1908" s="7" t="inlineStr"/>
    </row>
    <row r="1909">
      <c r="A1909" s="7" t="n">
        <v>602961</v>
      </c>
      <c r="B1909" s="10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1" t="n">
        <v>2</v>
      </c>
      <c r="G1909" s="11" t="n">
        <v>2</v>
      </c>
      <c r="H1909" s="8" t="n">
        <v>5.2318</v>
      </c>
      <c r="I1909" s="8" t="n">
        <v>5.2318</v>
      </c>
      <c r="J1909" s="8" t="n"/>
      <c r="K1909" s="7" t="inlineStr">
        <is>
          <t>SEM COTAÇÃO</t>
        </is>
      </c>
      <c r="L1909" s="8" t="n"/>
      <c r="M1909" s="12" t="n"/>
      <c r="N1909" s="7" t="inlineStr"/>
      <c r="O1909" s="7" t="inlineStr"/>
    </row>
    <row r="1910">
      <c r="A1910" s="7" t="n">
        <v>645451</v>
      </c>
      <c r="B1910" s="10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1" t="n">
        <v>2</v>
      </c>
      <c r="G1910" s="11" t="n">
        <v>2</v>
      </c>
      <c r="H1910" s="8" t="n">
        <v>4.09</v>
      </c>
      <c r="I1910" s="8" t="n">
        <v>4.09</v>
      </c>
      <c r="J1910" s="8" t="n"/>
      <c r="K1910" s="7" t="inlineStr">
        <is>
          <t>SEM COTAÇÃO</t>
        </is>
      </c>
      <c r="L1910" s="8" t="n"/>
      <c r="M1910" s="12" t="n"/>
      <c r="N1910" s="7" t="inlineStr"/>
      <c r="O1910" s="7" t="inlineStr"/>
    </row>
    <row r="1911">
      <c r="A1911" s="7" t="n">
        <v>648341</v>
      </c>
      <c r="B1911" s="10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1" t="n">
        <v>2</v>
      </c>
      <c r="G1911" s="11" t="n">
        <v>2</v>
      </c>
      <c r="H1911" s="8" t="n">
        <v>5.84</v>
      </c>
      <c r="I1911" s="8" t="n">
        <v>5.84</v>
      </c>
      <c r="J1911" s="8" t="n"/>
      <c r="K1911" s="7" t="inlineStr">
        <is>
          <t>SEM COTAÇÃO</t>
        </is>
      </c>
      <c r="L1911" s="8" t="n"/>
      <c r="M1911" s="12" t="n"/>
      <c r="N1911" s="7" t="inlineStr"/>
      <c r="O1911" s="7" t="inlineStr"/>
    </row>
    <row r="1912">
      <c r="A1912" s="7" t="n">
        <v>569941</v>
      </c>
      <c r="B1912" s="10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1" t="n">
        <v>4</v>
      </c>
      <c r="G1912" s="11" t="n">
        <v>4</v>
      </c>
      <c r="H1912" s="8" t="n">
        <v>13.36</v>
      </c>
      <c r="I1912" s="8" t="n">
        <v>13.15</v>
      </c>
      <c r="J1912" s="8" t="n"/>
      <c r="K1912" s="7" t="inlineStr">
        <is>
          <t>SEM COTAÇÃO</t>
        </is>
      </c>
      <c r="L1912" s="8" t="n"/>
      <c r="M1912" s="12" t="n"/>
      <c r="N1912" s="7" t="inlineStr"/>
      <c r="O1912" s="7" t="inlineStr"/>
    </row>
    <row r="1913">
      <c r="A1913" s="7" t="n">
        <v>638951</v>
      </c>
      <c r="B1913" s="10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1" t="n">
        <v>3</v>
      </c>
      <c r="G1913" s="11" t="n">
        <v>3</v>
      </c>
      <c r="H1913" s="8" t="n">
        <v>8.279999999999999</v>
      </c>
      <c r="I1913" s="8" t="n">
        <v>8.15</v>
      </c>
      <c r="J1913" s="8" t="n"/>
      <c r="K1913" s="7" t="inlineStr">
        <is>
          <t>SEM COTAÇÃO</t>
        </is>
      </c>
      <c r="L1913" s="8" t="n"/>
      <c r="M1913" s="12" t="n"/>
      <c r="N1913" s="7" t="inlineStr"/>
      <c r="O1913" s="7" t="inlineStr"/>
    </row>
    <row r="1914">
      <c r="A1914" s="7" t="n">
        <v>560921</v>
      </c>
      <c r="B1914" s="10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1" t="n">
        <v>28</v>
      </c>
      <c r="G1914" s="11" t="n">
        <v>28</v>
      </c>
      <c r="H1914" s="8" t="n">
        <v>11.16</v>
      </c>
      <c r="I1914" s="8" t="n">
        <v>10.99</v>
      </c>
      <c r="J1914" s="8" t="n"/>
      <c r="K1914" s="7" t="inlineStr">
        <is>
          <t>SEM COTAÇÃO</t>
        </is>
      </c>
      <c r="L1914" s="8" t="n"/>
      <c r="M1914" s="12" t="n"/>
      <c r="N1914" s="7" t="inlineStr"/>
      <c r="O1914" s="7" t="inlineStr"/>
    </row>
    <row r="1915">
      <c r="A1915" s="7" t="n">
        <v>625191</v>
      </c>
      <c r="B1915" s="10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1" t="n">
        <v>4</v>
      </c>
      <c r="G1915" s="11" t="n">
        <v>4</v>
      </c>
      <c r="H1915" s="8" t="n">
        <v>5.59</v>
      </c>
      <c r="I1915" s="8" t="n">
        <v>5.59</v>
      </c>
      <c r="J1915" s="8" t="n"/>
      <c r="K1915" s="7" t="inlineStr">
        <is>
          <t>SEM COTAÇÃO</t>
        </is>
      </c>
      <c r="L1915" s="8" t="n"/>
      <c r="M1915" s="12" t="n"/>
      <c r="N1915" s="7" t="inlineStr"/>
      <c r="O1915" s="7" t="inlineStr"/>
    </row>
    <row r="1916">
      <c r="A1916" s="7" t="n">
        <v>96261</v>
      </c>
      <c r="B1916" s="10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1" t="n">
        <v>1</v>
      </c>
      <c r="G1916" s="11" t="n">
        <v>1</v>
      </c>
      <c r="H1916" s="8" t="n">
        <v>9.960000000000001</v>
      </c>
      <c r="I1916" s="8" t="n">
        <v>9.960000000000001</v>
      </c>
      <c r="J1916" s="8" t="n"/>
      <c r="K1916" s="7" t="inlineStr">
        <is>
          <t>SEM COTAÇÃO</t>
        </is>
      </c>
      <c r="L1916" s="8" t="n"/>
      <c r="M1916" s="12" t="n"/>
      <c r="N1916" s="7" t="inlineStr"/>
      <c r="O1916" s="7" t="inlineStr"/>
    </row>
    <row r="1917">
      <c r="A1917" s="7" t="n">
        <v>355201</v>
      </c>
      <c r="B1917" s="10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1" t="n">
        <v>15</v>
      </c>
      <c r="G1917" s="11" t="n">
        <v>15</v>
      </c>
      <c r="H1917" s="8" t="n">
        <v>4.42</v>
      </c>
      <c r="I1917" s="8" t="n">
        <v>4.42</v>
      </c>
      <c r="J1917" s="8" t="n"/>
      <c r="K1917" s="7" t="inlineStr">
        <is>
          <t>SEM COTAÇÃO</t>
        </is>
      </c>
      <c r="L1917" s="8" t="n"/>
      <c r="M1917" s="12" t="n"/>
      <c r="N1917" s="7" t="inlineStr"/>
      <c r="O1917" s="7" t="inlineStr"/>
    </row>
    <row r="1918">
      <c r="A1918" s="7" t="n">
        <v>355241</v>
      </c>
      <c r="B1918" s="10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1" t="n">
        <v>7</v>
      </c>
      <c r="G1918" s="11" t="n">
        <v>7</v>
      </c>
      <c r="H1918" s="8" t="n">
        <v>20.57</v>
      </c>
      <c r="I1918" s="8" t="n">
        <v>14.66</v>
      </c>
      <c r="J1918" s="8" t="n"/>
      <c r="K1918" s="7" t="inlineStr">
        <is>
          <t>SEM COTAÇÃO</t>
        </is>
      </c>
      <c r="L1918" s="8" t="n"/>
      <c r="M1918" s="12" t="n"/>
      <c r="N1918" s="7" t="inlineStr"/>
      <c r="O1918" s="7" t="inlineStr"/>
    </row>
    <row r="1919">
      <c r="A1919" s="7" t="n">
        <v>240601</v>
      </c>
      <c r="B1919" s="10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1" t="n">
        <v>4</v>
      </c>
      <c r="G1919" s="11" t="n">
        <v>4</v>
      </c>
      <c r="H1919" s="8" t="n">
        <v>21.8386</v>
      </c>
      <c r="I1919" s="8" t="n">
        <v>20.78</v>
      </c>
      <c r="J1919" s="8" t="n"/>
      <c r="K1919" s="7" t="inlineStr">
        <is>
          <t>SEM COTAÇÃO</t>
        </is>
      </c>
      <c r="L1919" s="8" t="n"/>
      <c r="M1919" s="12" t="n"/>
      <c r="N1919" s="7" t="inlineStr"/>
      <c r="O1919" s="7" t="inlineStr"/>
    </row>
    <row r="1920">
      <c r="A1920" s="7" t="n">
        <v>240241</v>
      </c>
      <c r="B1920" s="10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1" t="n">
        <v>7</v>
      </c>
      <c r="G1920" s="11" t="n">
        <v>7</v>
      </c>
      <c r="H1920" s="8" t="n">
        <v>27.925</v>
      </c>
      <c r="I1920" s="8" t="n">
        <v>25.425</v>
      </c>
      <c r="J1920" s="8" t="n"/>
      <c r="K1920" s="7" t="inlineStr">
        <is>
          <t>SEM COTAÇÃO</t>
        </is>
      </c>
      <c r="L1920" s="8" t="n"/>
      <c r="M1920" s="12" t="n"/>
      <c r="N1920" s="7" t="inlineStr"/>
      <c r="O1920" s="7" t="inlineStr"/>
    </row>
    <row r="1921">
      <c r="A1921" s="7" t="n">
        <v>582241</v>
      </c>
      <c r="B1921" s="10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1" t="n">
        <v>21</v>
      </c>
      <c r="G1921" s="11" t="n">
        <v>21</v>
      </c>
      <c r="H1921" s="8" t="n">
        <v>47.24</v>
      </c>
      <c r="I1921" s="8" t="n">
        <v>43.5075</v>
      </c>
      <c r="J1921" s="8" t="n"/>
      <c r="K1921" s="7" t="inlineStr">
        <is>
          <t>SEM COTAÇÃO</t>
        </is>
      </c>
      <c r="L1921" s="8" t="n"/>
      <c r="M1921" s="12" t="n"/>
      <c r="N1921" s="7" t="inlineStr"/>
      <c r="O1921" s="7" t="inlineStr"/>
    </row>
    <row r="1922">
      <c r="A1922" s="7" t="n">
        <v>566701</v>
      </c>
      <c r="B1922" s="10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1" t="n">
        <v>2</v>
      </c>
      <c r="G1922" s="11" t="n">
        <v>2</v>
      </c>
      <c r="H1922" s="8" t="n">
        <v>57.135</v>
      </c>
      <c r="I1922" s="8" t="n">
        <v>41.344</v>
      </c>
      <c r="J1922" s="8" t="n"/>
      <c r="K1922" s="7" t="inlineStr">
        <is>
          <t>SEM COTAÇÃO</t>
        </is>
      </c>
      <c r="L1922" s="8" t="n"/>
      <c r="M1922" s="12" t="n"/>
      <c r="N1922" s="7" t="inlineStr"/>
      <c r="O1922" s="7" t="inlineStr"/>
    </row>
    <row r="1923">
      <c r="A1923" s="7" t="n">
        <v>606861</v>
      </c>
      <c r="B1923" s="10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1" t="n">
        <v>3</v>
      </c>
      <c r="G1923" s="11" t="n">
        <v>3</v>
      </c>
      <c r="H1923" s="8" t="n">
        <v>13.49</v>
      </c>
      <c r="I1923" s="8" t="n">
        <v>13.49</v>
      </c>
      <c r="J1923" s="13" t="n">
        <v>14.17</v>
      </c>
      <c r="K1923" s="7" t="inlineStr">
        <is>
          <t>DIMEC</t>
        </is>
      </c>
      <c r="L1923" s="8" t="n">
        <v>14.17</v>
      </c>
      <c r="M1923" s="12">
        <f>L1923/H1923-1</f>
        <v/>
      </c>
      <c r="N1923" s="14" t="inlineStr">
        <is>
          <t>ACIMA +5.0%</t>
        </is>
      </c>
      <c r="O1923" s="7" t="inlineStr"/>
    </row>
    <row r="1924">
      <c r="A1924" s="7" t="n">
        <v>1063</v>
      </c>
      <c r="B1924" s="10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1" t="n">
        <v>1</v>
      </c>
      <c r="G1924" s="11" t="n">
        <v>1</v>
      </c>
      <c r="H1924" s="8" t="n">
        <v>38.29</v>
      </c>
      <c r="I1924" s="8" t="n">
        <v>38.29</v>
      </c>
      <c r="J1924" s="8" t="n"/>
      <c r="K1924" s="7" t="inlineStr">
        <is>
          <t>SEM COTAÇÃO</t>
        </is>
      </c>
      <c r="L1924" s="8" t="n"/>
      <c r="M1924" s="12" t="n"/>
      <c r="N1924" s="7" t="inlineStr"/>
      <c r="O1924" s="7" t="inlineStr"/>
    </row>
    <row r="1925">
      <c r="A1925" s="7" t="n">
        <v>676021</v>
      </c>
      <c r="B1925" s="10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1" t="n">
        <v>1</v>
      </c>
      <c r="G1925" s="11" t="n">
        <v>1</v>
      </c>
      <c r="H1925" s="8" t="n">
        <v>18.51</v>
      </c>
      <c r="I1925" s="8" t="n">
        <v>18.51</v>
      </c>
      <c r="J1925" s="8" t="n"/>
      <c r="K1925" s="7" t="inlineStr">
        <is>
          <t>SEM COTAÇÃO</t>
        </is>
      </c>
      <c r="L1925" s="8" t="n"/>
      <c r="M1925" s="12" t="n"/>
      <c r="N1925" s="7" t="inlineStr"/>
      <c r="O1925" s="7" t="inlineStr"/>
    </row>
    <row r="1926">
      <c r="A1926" s="7" t="n">
        <v>550941</v>
      </c>
      <c r="B1926" s="10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1" t="n">
        <v>2</v>
      </c>
      <c r="G1926" s="11" t="n">
        <v>2</v>
      </c>
      <c r="H1926" s="8" t="n">
        <v>1.35</v>
      </c>
      <c r="I1926" s="8" t="n">
        <v>1.35</v>
      </c>
      <c r="J1926" s="13" t="n">
        <v>1.35</v>
      </c>
      <c r="K1926" s="7" t="inlineStr">
        <is>
          <t>DIMEC</t>
        </is>
      </c>
      <c r="L1926" s="8" t="n">
        <v>1.35</v>
      </c>
      <c r="M1926" s="12">
        <f>L1926/H1926-1</f>
        <v/>
      </c>
      <c r="N1926" s="15" t="inlineStr">
        <is>
          <t>OK (≤ menor hist.)</t>
        </is>
      </c>
      <c r="O1926" s="7" t="inlineStr"/>
    </row>
    <row r="1927">
      <c r="A1927" s="7" t="n">
        <v>652451</v>
      </c>
      <c r="B1927" s="10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1" t="n">
        <v>3</v>
      </c>
      <c r="G1927" s="11" t="n">
        <v>9</v>
      </c>
      <c r="H1927" s="8" t="n"/>
      <c r="I1927" s="8" t="n"/>
      <c r="J1927" s="8" t="n"/>
      <c r="K1927" s="7" t="inlineStr">
        <is>
          <t>SEM COTAÇÃO</t>
        </is>
      </c>
      <c r="L1927" s="8" t="n"/>
      <c r="M1927" s="12" t="n"/>
      <c r="N1927" s="7" t="inlineStr"/>
      <c r="O1927" s="7" t="inlineStr"/>
    </row>
    <row r="1928">
      <c r="A1928" s="7" t="n">
        <v>34803</v>
      </c>
      <c r="B1928" s="10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1" t="n">
        <v>5</v>
      </c>
      <c r="G1928" s="11" t="n">
        <v>5</v>
      </c>
      <c r="H1928" s="8" t="n">
        <v>20.68</v>
      </c>
      <c r="I1928" s="8" t="n">
        <v>20.68</v>
      </c>
      <c r="J1928" s="8" t="n"/>
      <c r="K1928" s="7" t="inlineStr">
        <is>
          <t>SEM COTAÇÃO</t>
        </is>
      </c>
      <c r="L1928" s="8" t="n"/>
      <c r="M1928" s="12" t="n"/>
      <c r="N1928" s="7" t="inlineStr"/>
      <c r="O1928" s="7" t="inlineStr"/>
    </row>
    <row r="1929">
      <c r="A1929" s="7" t="n">
        <v>589581</v>
      </c>
      <c r="B1929" s="10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1" t="n">
        <v>6</v>
      </c>
      <c r="G1929" s="11" t="n">
        <v>6</v>
      </c>
      <c r="H1929" s="8" t="n">
        <v>37.185</v>
      </c>
      <c r="I1929" s="8" t="n">
        <v>27.3967</v>
      </c>
      <c r="J1929" s="8" t="n"/>
      <c r="K1929" s="7" t="inlineStr">
        <is>
          <t>SEM COTAÇÃO</t>
        </is>
      </c>
      <c r="L1929" s="8" t="n"/>
      <c r="M1929" s="12" t="n"/>
      <c r="N1929" s="7" t="inlineStr"/>
      <c r="O1929" s="7" t="inlineStr"/>
    </row>
    <row r="1930">
      <c r="A1930" s="7" t="n">
        <v>589611</v>
      </c>
      <c r="B1930" s="10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1" t="n">
        <v>6</v>
      </c>
      <c r="G1930" s="11" t="n">
        <v>6</v>
      </c>
      <c r="H1930" s="8" t="n">
        <v>28</v>
      </c>
      <c r="I1930" s="8" t="n">
        <v>7.05</v>
      </c>
      <c r="J1930" s="8" t="n"/>
      <c r="K1930" s="7" t="inlineStr">
        <is>
          <t>SEM COTAÇÃO</t>
        </is>
      </c>
      <c r="L1930" s="8" t="n"/>
      <c r="M1930" s="12" t="n"/>
      <c r="N1930" s="7" t="inlineStr"/>
      <c r="O1930" s="7" t="inlineStr"/>
    </row>
    <row r="1931">
      <c r="A1931" s="7" t="n">
        <v>622951</v>
      </c>
      <c r="B1931" s="10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1" t="n">
        <v>7</v>
      </c>
      <c r="G1931" s="11" t="n">
        <v>7</v>
      </c>
      <c r="H1931" s="8" t="n">
        <v>38.6417</v>
      </c>
      <c r="I1931" s="8" t="n">
        <v>31.31</v>
      </c>
      <c r="J1931" s="8" t="n"/>
      <c r="K1931" s="7" t="inlineStr">
        <is>
          <t>SEM COTAÇÃO</t>
        </is>
      </c>
      <c r="L1931" s="8" t="n"/>
      <c r="M1931" s="12" t="n"/>
      <c r="N1931" s="7" t="inlineStr"/>
      <c r="O1931" s="7" t="inlineStr"/>
    </row>
    <row r="1932">
      <c r="A1932" s="7" t="n">
        <v>671851</v>
      </c>
      <c r="B1932" s="10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1" t="n">
        <v>3</v>
      </c>
      <c r="G1932" s="11" t="n">
        <v>3</v>
      </c>
      <c r="H1932" s="8" t="n">
        <v>36.79</v>
      </c>
      <c r="I1932" s="8" t="n">
        <v>30.505</v>
      </c>
      <c r="J1932" s="8" t="n"/>
      <c r="K1932" s="7" t="inlineStr">
        <is>
          <t>SEM COTAÇÃO</t>
        </is>
      </c>
      <c r="L1932" s="8" t="n"/>
      <c r="M1932" s="12" t="n"/>
      <c r="N1932" s="7" t="inlineStr"/>
      <c r="O1932" s="7" t="inlineStr"/>
    </row>
    <row r="1933">
      <c r="A1933" s="7" t="n">
        <v>653681</v>
      </c>
      <c r="B1933" s="10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1" t="n">
        <v>3</v>
      </c>
      <c r="G1933" s="11" t="n">
        <v>3</v>
      </c>
      <c r="H1933" s="8" t="n">
        <v>9.74</v>
      </c>
      <c r="I1933" s="8" t="n">
        <v>9.74</v>
      </c>
      <c r="J1933" s="8" t="n"/>
      <c r="K1933" s="7" t="inlineStr">
        <is>
          <t>SEM COTAÇÃO</t>
        </is>
      </c>
      <c r="L1933" s="8" t="n"/>
      <c r="M1933" s="12" t="n"/>
      <c r="N1933" s="7" t="inlineStr"/>
      <c r="O1933" s="7" t="inlineStr"/>
    </row>
    <row r="1934">
      <c r="A1934" s="7" t="n">
        <v>653691</v>
      </c>
      <c r="B1934" s="10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1" t="n">
        <v>2</v>
      </c>
      <c r="G1934" s="11" t="n">
        <v>2</v>
      </c>
      <c r="H1934" s="8" t="n">
        <v>9.550000000000001</v>
      </c>
      <c r="I1934" s="8" t="n">
        <v>9.550000000000001</v>
      </c>
      <c r="J1934" s="8" t="n"/>
      <c r="K1934" s="7" t="inlineStr">
        <is>
          <t>SEM COTAÇÃO</t>
        </is>
      </c>
      <c r="L1934" s="8" t="n"/>
      <c r="M1934" s="12" t="n"/>
      <c r="N1934" s="7" t="inlineStr"/>
      <c r="O1934" s="7" t="inlineStr"/>
    </row>
    <row r="1935">
      <c r="A1935" s="7" t="n">
        <v>315441</v>
      </c>
      <c r="B1935" s="10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1" t="n">
        <v>12</v>
      </c>
      <c r="G1935" s="11" t="n">
        <v>12</v>
      </c>
      <c r="H1935" s="8" t="n">
        <v>7.02</v>
      </c>
      <c r="I1935" s="8" t="n">
        <v>7.02</v>
      </c>
      <c r="J1935" s="8" t="n"/>
      <c r="K1935" s="7" t="inlineStr">
        <is>
          <t>SEM COTAÇÃO</t>
        </is>
      </c>
      <c r="L1935" s="8" t="n"/>
      <c r="M1935" s="12" t="n"/>
      <c r="N1935" s="7" t="inlineStr"/>
      <c r="O1935" s="7" t="inlineStr"/>
    </row>
    <row r="1936">
      <c r="A1936" s="7" t="n">
        <v>647491</v>
      </c>
      <c r="B1936" s="10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1" t="n">
        <v>1</v>
      </c>
      <c r="G1936" s="11" t="n">
        <v>1</v>
      </c>
      <c r="H1936" s="8" t="n">
        <v>16.7</v>
      </c>
      <c r="I1936" s="8" t="n">
        <v>16.7</v>
      </c>
      <c r="J1936" s="8" t="n"/>
      <c r="K1936" s="7" t="inlineStr">
        <is>
          <t>SEM COTAÇÃO</t>
        </is>
      </c>
      <c r="L1936" s="8" t="n"/>
      <c r="M1936" s="12" t="n"/>
      <c r="N1936" s="7" t="inlineStr"/>
      <c r="O1936" s="7" t="inlineStr"/>
    </row>
    <row r="1937">
      <c r="A1937" s="7" t="n">
        <v>611701</v>
      </c>
      <c r="B1937" s="10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1" t="n">
        <v>1</v>
      </c>
      <c r="G1937" s="11" t="n">
        <v>1</v>
      </c>
      <c r="H1937" s="8" t="n">
        <v>14.74</v>
      </c>
      <c r="I1937" s="8" t="n">
        <v>14.74</v>
      </c>
      <c r="J1937" s="8" t="n"/>
      <c r="K1937" s="7" t="inlineStr">
        <is>
          <t>SEM COTAÇÃO</t>
        </is>
      </c>
      <c r="L1937" s="8" t="n"/>
      <c r="M1937" s="12" t="n"/>
      <c r="N1937" s="7" t="inlineStr"/>
      <c r="O1937" s="7" t="inlineStr"/>
    </row>
    <row r="1938">
      <c r="A1938" s="7" t="n">
        <v>250761</v>
      </c>
      <c r="B1938" s="10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1" t="n">
        <v>144</v>
      </c>
      <c r="G1938" s="11" t="n">
        <v>144</v>
      </c>
      <c r="H1938" s="8" t="n">
        <v>1.2</v>
      </c>
      <c r="I1938" s="8" t="n">
        <v>1.08</v>
      </c>
      <c r="J1938" s="8" t="n"/>
      <c r="K1938" s="7" t="inlineStr">
        <is>
          <t>SEM COTAÇÃO</t>
        </is>
      </c>
      <c r="L1938" s="8" t="n"/>
      <c r="M1938" s="12" t="n"/>
      <c r="N1938" s="7" t="inlineStr"/>
      <c r="O1938" s="7" t="inlineStr"/>
    </row>
    <row r="1939">
      <c r="A1939" s="7" t="n">
        <v>250801</v>
      </c>
      <c r="B1939" s="10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1" t="n">
        <v>3</v>
      </c>
      <c r="G1939" s="11" t="n">
        <v>3</v>
      </c>
      <c r="H1939" s="8" t="n">
        <v>4.6964</v>
      </c>
      <c r="I1939" s="8" t="n">
        <v>4.6964</v>
      </c>
      <c r="J1939" s="8" t="n"/>
      <c r="K1939" s="7" t="inlineStr">
        <is>
          <t>SEM COTAÇÃO</t>
        </is>
      </c>
      <c r="L1939" s="8" t="n"/>
      <c r="M1939" s="12" t="n"/>
      <c r="N1939" s="7" t="inlineStr"/>
      <c r="O1939" s="7" t="inlineStr"/>
    </row>
    <row r="1940">
      <c r="A1940" s="7" t="n">
        <v>654971</v>
      </c>
      <c r="B1940" s="10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1" t="n">
        <v>1</v>
      </c>
      <c r="G1940" s="11" t="n">
        <v>1</v>
      </c>
      <c r="H1940" s="8" t="n">
        <v>29.5</v>
      </c>
      <c r="I1940" s="8" t="n">
        <v>29.5</v>
      </c>
      <c r="J1940" s="8" t="n"/>
      <c r="K1940" s="7" t="inlineStr">
        <is>
          <t>SEM COTAÇÃO</t>
        </is>
      </c>
      <c r="L1940" s="8" t="n"/>
      <c r="M1940" s="12" t="n"/>
      <c r="N1940" s="7" t="inlineStr"/>
      <c r="O1940" s="7" t="inlineStr"/>
    </row>
    <row r="1941">
      <c r="A1941" s="7" t="n">
        <v>550481</v>
      </c>
      <c r="B1941" s="10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1" t="n">
        <v>2</v>
      </c>
      <c r="G1941" s="11" t="n">
        <v>2</v>
      </c>
      <c r="H1941" s="8" t="n">
        <v>10.32</v>
      </c>
      <c r="I1941" s="8" t="n">
        <v>10.32</v>
      </c>
      <c r="J1941" s="8" t="n"/>
      <c r="K1941" s="7" t="inlineStr">
        <is>
          <t>SEM COTAÇÃO</t>
        </is>
      </c>
      <c r="L1941" s="8" t="n"/>
      <c r="M1941" s="12" t="n"/>
      <c r="N1941" s="7" t="inlineStr"/>
      <c r="O1941" s="7" t="inlineStr"/>
    </row>
    <row r="1942">
      <c r="A1942" s="7" t="n">
        <v>636341</v>
      </c>
      <c r="B1942" s="10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1" t="n">
        <v>1</v>
      </c>
      <c r="G1942" s="11" t="n">
        <v>1</v>
      </c>
      <c r="H1942" s="8" t="n">
        <v>115.42</v>
      </c>
      <c r="I1942" s="8" t="n">
        <v>102.85</v>
      </c>
      <c r="J1942" s="8" t="n"/>
      <c r="K1942" s="7" t="inlineStr">
        <is>
          <t>SEM COTAÇÃO</t>
        </is>
      </c>
      <c r="L1942" s="8" t="n"/>
      <c r="M1942" s="12" t="n"/>
      <c r="N1942" s="7" t="inlineStr"/>
      <c r="O1942" s="7" t="inlineStr"/>
    </row>
    <row r="1943">
      <c r="A1943" s="7" t="n">
        <v>539681</v>
      </c>
      <c r="B1943" s="10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1" t="n">
        <v>4</v>
      </c>
      <c r="G1943" s="11" t="n">
        <v>4</v>
      </c>
      <c r="H1943" s="8" t="n">
        <v>51.0667</v>
      </c>
      <c r="I1943" s="8" t="n">
        <v>51.0667</v>
      </c>
      <c r="J1943" s="8" t="n"/>
      <c r="K1943" s="7" t="inlineStr">
        <is>
          <t>SEM COTAÇÃO</t>
        </is>
      </c>
      <c r="L1943" s="8" t="n"/>
      <c r="M1943" s="12" t="n"/>
      <c r="N1943" s="7" t="inlineStr"/>
      <c r="O1943" s="7" t="inlineStr"/>
    </row>
    <row r="1944">
      <c r="A1944" s="7" t="n">
        <v>638781</v>
      </c>
      <c r="B1944" s="10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1" t="n">
        <v>1</v>
      </c>
      <c r="G1944" s="11" t="n">
        <v>1</v>
      </c>
      <c r="H1944" s="8" t="n">
        <v>79.90000000000001</v>
      </c>
      <c r="I1944" s="8" t="n">
        <v>79.90000000000001</v>
      </c>
      <c r="J1944" s="8" t="n"/>
      <c r="K1944" s="7" t="inlineStr">
        <is>
          <t>SEM COTAÇÃO</t>
        </is>
      </c>
      <c r="L1944" s="8" t="n"/>
      <c r="M1944" s="12" t="n"/>
      <c r="N1944" s="7" t="inlineStr"/>
      <c r="O1944" s="7" t="inlineStr"/>
    </row>
    <row r="1945">
      <c r="A1945" s="7" t="n">
        <v>622611</v>
      </c>
      <c r="B1945" s="10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1" t="n">
        <v>2</v>
      </c>
      <c r="G1945" s="11" t="n">
        <v>2</v>
      </c>
      <c r="H1945" s="8" t="n">
        <v>164.855</v>
      </c>
      <c r="I1945" s="8" t="n">
        <v>164.855</v>
      </c>
      <c r="J1945" s="8" t="n"/>
      <c r="K1945" s="7" t="inlineStr">
        <is>
          <t>SEM COTAÇÃO</t>
        </is>
      </c>
      <c r="L1945" s="8" t="n"/>
      <c r="M1945" s="12" t="n"/>
      <c r="N1945" s="7" t="inlineStr"/>
      <c r="O1945" s="7" t="inlineStr"/>
    </row>
    <row r="1946">
      <c r="A1946" s="7" t="n">
        <v>525381</v>
      </c>
      <c r="B1946" s="10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1" t="n">
        <v>4</v>
      </c>
      <c r="G1946" s="11" t="n">
        <v>4</v>
      </c>
      <c r="H1946" s="8" t="n">
        <v>28.99</v>
      </c>
      <c r="I1946" s="8" t="n">
        <v>28.99</v>
      </c>
      <c r="J1946" s="8" t="n"/>
      <c r="K1946" s="7" t="inlineStr">
        <is>
          <t>SEM COTAÇÃO</t>
        </is>
      </c>
      <c r="L1946" s="8" t="n"/>
      <c r="M1946" s="12" t="n"/>
      <c r="N1946" s="7" t="inlineStr"/>
      <c r="O1946" s="7" t="inlineStr"/>
    </row>
    <row r="1947">
      <c r="A1947" s="7" t="n">
        <v>525401</v>
      </c>
      <c r="B1947" s="10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1" t="n">
        <v>1</v>
      </c>
      <c r="G1947" s="11" t="n">
        <v>1</v>
      </c>
      <c r="H1947" s="8" t="n">
        <v>55.08</v>
      </c>
      <c r="I1947" s="8" t="n">
        <v>55.08</v>
      </c>
      <c r="J1947" s="8" t="n"/>
      <c r="K1947" s="7" t="inlineStr">
        <is>
          <t>SEM COTAÇÃO</t>
        </is>
      </c>
      <c r="L1947" s="8" t="n"/>
      <c r="M1947" s="12" t="n"/>
      <c r="N1947" s="7" t="inlineStr"/>
      <c r="O1947" s="7" t="inlineStr"/>
    </row>
    <row r="1948">
      <c r="A1948" s="7" t="n">
        <v>630881</v>
      </c>
      <c r="B1948" s="10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1" t="n">
        <v>5</v>
      </c>
      <c r="G1948" s="11" t="n">
        <v>5</v>
      </c>
      <c r="H1948" s="8" t="n">
        <v>40.2</v>
      </c>
      <c r="I1948" s="8" t="n">
        <v>39.65</v>
      </c>
      <c r="J1948" s="8" t="n"/>
      <c r="K1948" s="7" t="inlineStr">
        <is>
          <t>SEM COTAÇÃO</t>
        </is>
      </c>
      <c r="L1948" s="8" t="n"/>
      <c r="M1948" s="12" t="n"/>
      <c r="N1948" s="7" t="inlineStr"/>
      <c r="O1948" s="7" t="inlineStr"/>
    </row>
    <row r="1949">
      <c r="A1949" s="7" t="n">
        <v>630871</v>
      </c>
      <c r="B1949" s="10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1" t="n">
        <v>3</v>
      </c>
      <c r="G1949" s="11" t="n">
        <v>3</v>
      </c>
      <c r="H1949" s="8" t="n">
        <v>40.33</v>
      </c>
      <c r="I1949" s="8" t="n">
        <v>40.33</v>
      </c>
      <c r="J1949" s="8" t="n"/>
      <c r="K1949" s="7" t="inlineStr">
        <is>
          <t>SEM COTAÇÃO</t>
        </is>
      </c>
      <c r="L1949" s="8" t="n"/>
      <c r="M1949" s="12" t="n"/>
      <c r="N1949" s="7" t="inlineStr"/>
      <c r="O1949" s="7" t="inlineStr"/>
    </row>
    <row r="1950">
      <c r="A1950" s="7" t="n">
        <v>630891</v>
      </c>
      <c r="B1950" s="10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1" t="n">
        <v>3</v>
      </c>
      <c r="G1950" s="11" t="n">
        <v>3</v>
      </c>
      <c r="H1950" s="8" t="n">
        <v>40.33</v>
      </c>
      <c r="I1950" s="8" t="n">
        <v>39.65</v>
      </c>
      <c r="J1950" s="8" t="n"/>
      <c r="K1950" s="7" t="inlineStr">
        <is>
          <t>SEM COTAÇÃO</t>
        </is>
      </c>
      <c r="L1950" s="8" t="n"/>
      <c r="M1950" s="12" t="n"/>
      <c r="N1950" s="7" t="inlineStr"/>
      <c r="O1950" s="7" t="inlineStr"/>
    </row>
    <row r="1951">
      <c r="A1951" s="7" t="n">
        <v>537601</v>
      </c>
      <c r="B1951" s="10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1" t="n">
        <v>20</v>
      </c>
      <c r="G1951" s="11" t="n">
        <v>20</v>
      </c>
      <c r="H1951" s="8" t="n">
        <v>10.49</v>
      </c>
      <c r="I1951" s="8" t="n">
        <v>9.68</v>
      </c>
      <c r="J1951" s="8" t="n"/>
      <c r="K1951" s="7" t="inlineStr">
        <is>
          <t>SEM COTAÇÃO</t>
        </is>
      </c>
      <c r="L1951" s="8" t="n"/>
      <c r="M1951" s="12" t="n"/>
      <c r="N1951" s="7" t="inlineStr"/>
      <c r="O1951" s="7" t="inlineStr"/>
    </row>
    <row r="1952">
      <c r="A1952" s="7" t="n">
        <v>541641</v>
      </c>
      <c r="B1952" s="10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1" t="n">
        <v>9</v>
      </c>
      <c r="G1952" s="11" t="n">
        <v>9</v>
      </c>
      <c r="H1952" s="8" t="n">
        <v>10.49</v>
      </c>
      <c r="I1952" s="8" t="n">
        <v>9.68</v>
      </c>
      <c r="J1952" s="8" t="n"/>
      <c r="K1952" s="7" t="inlineStr">
        <is>
          <t>SEM COTAÇÃO</t>
        </is>
      </c>
      <c r="L1952" s="8" t="n"/>
      <c r="M1952" s="12" t="n"/>
      <c r="N1952" s="7" t="inlineStr"/>
      <c r="O1952" s="7" t="inlineStr"/>
    </row>
    <row r="1953">
      <c r="A1953" s="7" t="n">
        <v>541661</v>
      </c>
      <c r="B1953" s="10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1" t="n">
        <v>4</v>
      </c>
      <c r="G1953" s="11" t="n">
        <v>4</v>
      </c>
      <c r="H1953" s="8" t="n">
        <v>10.49</v>
      </c>
      <c r="I1953" s="8" t="n">
        <v>9.68</v>
      </c>
      <c r="J1953" s="8" t="n"/>
      <c r="K1953" s="7" t="inlineStr">
        <is>
          <t>SEM COTAÇÃO</t>
        </is>
      </c>
      <c r="L1953" s="8" t="n"/>
      <c r="M1953" s="12" t="n"/>
      <c r="N1953" s="7" t="inlineStr"/>
      <c r="O1953" s="7" t="inlineStr"/>
    </row>
    <row r="1954">
      <c r="A1954" s="7" t="n">
        <v>628351</v>
      </c>
      <c r="B1954" s="10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1" t="n">
        <v>3</v>
      </c>
      <c r="G1954" s="11" t="n">
        <v>3</v>
      </c>
      <c r="H1954" s="8" t="n">
        <v>31.84</v>
      </c>
      <c r="I1954" s="8" t="n">
        <v>31.84</v>
      </c>
      <c r="J1954" s="8" t="n"/>
      <c r="K1954" s="7" t="inlineStr">
        <is>
          <t>SEM COTAÇÃO</t>
        </is>
      </c>
      <c r="L1954" s="8" t="n"/>
      <c r="M1954" s="12" t="n"/>
      <c r="N1954" s="7" t="inlineStr"/>
      <c r="O1954" s="7" t="inlineStr"/>
    </row>
    <row r="1955">
      <c r="A1955" s="7" t="n">
        <v>634211</v>
      </c>
      <c r="B1955" s="10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1" t="n">
        <v>1</v>
      </c>
      <c r="G1955" s="11" t="n">
        <v>1</v>
      </c>
      <c r="H1955" s="8" t="n">
        <v>36.92</v>
      </c>
      <c r="I1955" s="8" t="n">
        <v>36.92</v>
      </c>
      <c r="J1955" s="8" t="n"/>
      <c r="K1955" s="7" t="inlineStr">
        <is>
          <t>SEM COTAÇÃO</t>
        </is>
      </c>
      <c r="L1955" s="8" t="n"/>
      <c r="M1955" s="12" t="n"/>
      <c r="N1955" s="7" t="inlineStr"/>
      <c r="O1955" s="7" t="inlineStr"/>
    </row>
    <row r="1956">
      <c r="A1956" s="7" t="n">
        <v>628341</v>
      </c>
      <c r="B1956" s="10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1" t="n">
        <v>5</v>
      </c>
      <c r="G1956" s="11" t="n">
        <v>5</v>
      </c>
      <c r="H1956" s="8" t="n">
        <v>31.84</v>
      </c>
      <c r="I1956" s="8" t="n">
        <v>31.84</v>
      </c>
      <c r="J1956" s="8" t="n"/>
      <c r="K1956" s="7" t="inlineStr">
        <is>
          <t>SEM COTAÇÃO</t>
        </is>
      </c>
      <c r="L1956" s="8" t="n"/>
      <c r="M1956" s="12" t="n"/>
      <c r="N1956" s="7" t="inlineStr"/>
      <c r="O1956" s="7" t="inlineStr"/>
    </row>
    <row r="1957">
      <c r="A1957" s="7" t="n">
        <v>621131</v>
      </c>
      <c r="B1957" s="10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1" t="n">
        <v>1</v>
      </c>
      <c r="G1957" s="11" t="n">
        <v>1</v>
      </c>
      <c r="H1957" s="8" t="n">
        <v>34.7033</v>
      </c>
      <c r="I1957" s="8" t="n">
        <v>34.7033</v>
      </c>
      <c r="J1957" s="8" t="n"/>
      <c r="K1957" s="7" t="inlineStr">
        <is>
          <t>SEM COTAÇÃO</t>
        </is>
      </c>
      <c r="L1957" s="8" t="n"/>
      <c r="M1957" s="12" t="n"/>
      <c r="N1957" s="7" t="inlineStr"/>
      <c r="O1957" s="7" t="inlineStr"/>
    </row>
    <row r="1958">
      <c r="A1958" s="7" t="n">
        <v>614481</v>
      </c>
      <c r="B1958" s="10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1" t="n">
        <v>2</v>
      </c>
      <c r="G1958" s="11" t="n">
        <v>2</v>
      </c>
      <c r="H1958" s="8" t="n">
        <v>87.53619999999999</v>
      </c>
      <c r="I1958" s="8" t="n">
        <v>87.53619999999999</v>
      </c>
      <c r="J1958" s="8" t="n"/>
      <c r="K1958" s="7" t="inlineStr">
        <is>
          <t>SEM COTAÇÃO</t>
        </is>
      </c>
      <c r="L1958" s="8" t="n"/>
      <c r="M1958" s="12" t="n"/>
      <c r="N1958" s="7" t="inlineStr"/>
      <c r="O1958" s="7" t="inlineStr"/>
    </row>
    <row r="1959">
      <c r="A1959" s="7" t="n">
        <v>651681</v>
      </c>
      <c r="B1959" s="10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1" t="n">
        <v>1</v>
      </c>
      <c r="G1959" s="11" t="n">
        <v>1</v>
      </c>
      <c r="H1959" s="8" t="n">
        <v>36.6483</v>
      </c>
      <c r="I1959" s="8" t="n">
        <v>36.6483</v>
      </c>
      <c r="J1959" s="8" t="n"/>
      <c r="K1959" s="7" t="inlineStr">
        <is>
          <t>SEM COTAÇÃO</t>
        </is>
      </c>
      <c r="L1959" s="8" t="n"/>
      <c r="M1959" s="12" t="n"/>
      <c r="N1959" s="7" t="inlineStr"/>
      <c r="O1959" s="7" t="inlineStr"/>
    </row>
    <row r="1960">
      <c r="A1960" s="7" t="n">
        <v>641701</v>
      </c>
      <c r="B1960" s="10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1" t="n">
        <v>1</v>
      </c>
      <c r="G1960" s="11" t="n">
        <v>1</v>
      </c>
      <c r="H1960" s="8" t="n">
        <v>39.9</v>
      </c>
      <c r="I1960" s="8" t="n">
        <v>39.9</v>
      </c>
      <c r="J1960" s="8" t="n"/>
      <c r="K1960" s="7" t="inlineStr">
        <is>
          <t>SEM COTAÇÃO</t>
        </is>
      </c>
      <c r="L1960" s="8" t="n"/>
      <c r="M1960" s="12" t="n"/>
      <c r="N1960" s="7" t="inlineStr"/>
      <c r="O1960" s="7" t="inlineStr"/>
    </row>
    <row r="1961">
      <c r="A1961" s="7" t="n">
        <v>614451</v>
      </c>
      <c r="B1961" s="10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1" t="n">
        <v>1</v>
      </c>
      <c r="G1961" s="11" t="n">
        <v>1</v>
      </c>
      <c r="H1961" s="8" t="n">
        <v>87.53619999999999</v>
      </c>
      <c r="I1961" s="8" t="n">
        <v>87.53619999999999</v>
      </c>
      <c r="J1961" s="8" t="n"/>
      <c r="K1961" s="7" t="inlineStr">
        <is>
          <t>SEM COTAÇÃO</t>
        </is>
      </c>
      <c r="L1961" s="8" t="n"/>
      <c r="M1961" s="12" t="n"/>
      <c r="N1961" s="7" t="inlineStr"/>
      <c r="O1961" s="7" t="inlineStr"/>
    </row>
    <row r="1962">
      <c r="A1962" s="7" t="n">
        <v>614461</v>
      </c>
      <c r="B1962" s="10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1" t="n">
        <v>2</v>
      </c>
      <c r="G1962" s="11" t="n">
        <v>2</v>
      </c>
      <c r="H1962" s="8" t="n">
        <v>87.53619999999999</v>
      </c>
      <c r="I1962" s="8" t="n">
        <v>87.53619999999999</v>
      </c>
      <c r="J1962" s="8" t="n"/>
      <c r="K1962" s="7" t="inlineStr">
        <is>
          <t>SEM COTAÇÃO</t>
        </is>
      </c>
      <c r="L1962" s="8" t="n"/>
      <c r="M1962" s="12" t="n"/>
      <c r="N1962" s="7" t="inlineStr"/>
      <c r="O1962" s="7" t="inlineStr"/>
    </row>
    <row r="1963">
      <c r="A1963" s="7" t="n">
        <v>617081</v>
      </c>
      <c r="B1963" s="10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1" t="n">
        <v>7</v>
      </c>
      <c r="G1963" s="11" t="n">
        <v>7</v>
      </c>
      <c r="H1963" s="8" t="n">
        <v>36.98</v>
      </c>
      <c r="I1963" s="8" t="n">
        <v>36.98</v>
      </c>
      <c r="J1963" s="8" t="n"/>
      <c r="K1963" s="7" t="inlineStr">
        <is>
          <t>SEM COTAÇÃO</t>
        </is>
      </c>
      <c r="L1963" s="8" t="n"/>
      <c r="M1963" s="12" t="n"/>
      <c r="N1963" s="7" t="inlineStr"/>
      <c r="O1963" s="7" t="inlineStr"/>
    </row>
    <row r="1964">
      <c r="A1964" s="7" t="n">
        <v>616531</v>
      </c>
      <c r="B1964" s="10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1" t="n">
        <v>2</v>
      </c>
      <c r="G1964" s="11" t="n">
        <v>2</v>
      </c>
      <c r="H1964" s="8" t="n">
        <v>36.98</v>
      </c>
      <c r="I1964" s="8" t="n">
        <v>36.98</v>
      </c>
      <c r="J1964" s="8" t="n"/>
      <c r="K1964" s="7" t="inlineStr">
        <is>
          <t>SEM COTAÇÃO</t>
        </is>
      </c>
      <c r="L1964" s="8" t="n"/>
      <c r="M1964" s="12" t="n"/>
      <c r="N1964" s="7" t="inlineStr"/>
      <c r="O1964" s="7" t="inlineStr"/>
    </row>
    <row r="1965">
      <c r="A1965" s="7" t="n">
        <v>616521</v>
      </c>
      <c r="B1965" s="10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1" t="n">
        <v>4</v>
      </c>
      <c r="G1965" s="11" t="n">
        <v>4</v>
      </c>
      <c r="H1965" s="8" t="n">
        <v>36.98</v>
      </c>
      <c r="I1965" s="8" t="n">
        <v>36.98</v>
      </c>
      <c r="J1965" s="8" t="n"/>
      <c r="K1965" s="7" t="inlineStr">
        <is>
          <t>SEM COTAÇÃO</t>
        </is>
      </c>
      <c r="L1965" s="8" t="n"/>
      <c r="M1965" s="12" t="n"/>
      <c r="N1965" s="7" t="inlineStr"/>
      <c r="O1965" s="7" t="inlineStr"/>
    </row>
    <row r="1966">
      <c r="A1966" s="7" t="n">
        <v>635911</v>
      </c>
      <c r="B1966" s="10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1" t="n">
        <v>1</v>
      </c>
      <c r="G1966" s="11" t="n">
        <v>1</v>
      </c>
      <c r="H1966" s="8" t="n">
        <v>51.88</v>
      </c>
      <c r="I1966" s="8" t="n">
        <v>51.88</v>
      </c>
      <c r="J1966" s="8" t="n"/>
      <c r="K1966" s="7" t="inlineStr">
        <is>
          <t>SEM COTAÇÃO</t>
        </is>
      </c>
      <c r="L1966" s="8" t="n"/>
      <c r="M1966" s="12" t="n"/>
      <c r="N1966" s="7" t="inlineStr"/>
      <c r="O1966" s="7" t="inlineStr"/>
    </row>
    <row r="1967">
      <c r="A1967" s="7" t="n">
        <v>637731</v>
      </c>
      <c r="B1967" s="10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1" t="n">
        <v>1</v>
      </c>
      <c r="G1967" s="11" t="n">
        <v>1</v>
      </c>
      <c r="H1967" s="8" t="n">
        <v>65.0667</v>
      </c>
      <c r="I1967" s="8" t="n">
        <v>65.0667</v>
      </c>
      <c r="J1967" s="8" t="n"/>
      <c r="K1967" s="7" t="inlineStr">
        <is>
          <t>SEM COTAÇÃO</t>
        </is>
      </c>
      <c r="L1967" s="8" t="n"/>
      <c r="M1967" s="12" t="n"/>
      <c r="N1967" s="7" t="inlineStr"/>
      <c r="O1967" s="7" t="inlineStr"/>
    </row>
    <row r="1968">
      <c r="A1968" s="7" t="n">
        <v>662061</v>
      </c>
      <c r="B1968" s="10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1" t="n">
        <v>1</v>
      </c>
      <c r="G1968" s="11" t="n">
        <v>8</v>
      </c>
      <c r="H1968" s="8" t="n">
        <v>17.0712</v>
      </c>
      <c r="I1968" s="8" t="n">
        <v>15.7038</v>
      </c>
      <c r="J1968" s="8" t="n"/>
      <c r="K1968" s="7" t="inlineStr">
        <is>
          <t>SEM COTAÇÃO</t>
        </is>
      </c>
      <c r="L1968" s="8" t="n"/>
      <c r="M1968" s="12" t="n"/>
      <c r="N1968" s="7" t="inlineStr"/>
      <c r="O1968" s="7" t="inlineStr"/>
    </row>
    <row r="1969">
      <c r="A1969" s="7" t="n">
        <v>671801</v>
      </c>
      <c r="B1969" s="10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1" t="n">
        <v>1</v>
      </c>
      <c r="G1969" s="11" t="n">
        <v>2</v>
      </c>
      <c r="H1969" s="8" t="n">
        <v>12.5812</v>
      </c>
      <c r="I1969" s="8" t="n">
        <v>12.5812</v>
      </c>
      <c r="J1969" s="8" t="n"/>
      <c r="K1969" s="7" t="inlineStr">
        <is>
          <t>SEM COTAÇÃO</t>
        </is>
      </c>
      <c r="L1969" s="8" t="n"/>
      <c r="M1969" s="12" t="n"/>
      <c r="N1969" s="7" t="inlineStr"/>
      <c r="O1969" s="7" t="inlineStr"/>
    </row>
    <row r="1970">
      <c r="A1970" s="7" t="n">
        <v>664201</v>
      </c>
      <c r="B1970" s="10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1" t="n">
        <v>1</v>
      </c>
      <c r="G1970" s="11" t="n">
        <v>1</v>
      </c>
      <c r="H1970" s="8" t="n">
        <v>12.1762</v>
      </c>
      <c r="I1970" s="8" t="n">
        <v>12.1762</v>
      </c>
      <c r="J1970" s="8" t="n"/>
      <c r="K1970" s="7" t="inlineStr">
        <is>
          <t>SEM COTAÇÃO</t>
        </is>
      </c>
      <c r="L1970" s="8" t="n"/>
      <c r="M1970" s="12" t="n"/>
      <c r="N1970" s="7" t="inlineStr"/>
      <c r="O1970" s="7" t="inlineStr"/>
    </row>
    <row r="1971">
      <c r="A1971" s="7" t="n">
        <v>662001</v>
      </c>
      <c r="B1971" s="10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1" t="n">
        <v>5</v>
      </c>
      <c r="G1971" s="11" t="n">
        <v>5</v>
      </c>
      <c r="H1971" s="8" t="n">
        <v>61.99</v>
      </c>
      <c r="I1971" s="8" t="n">
        <v>59</v>
      </c>
      <c r="J1971" s="8" t="n"/>
      <c r="K1971" s="7" t="inlineStr">
        <is>
          <t>SEM COTAÇÃO</t>
        </is>
      </c>
      <c r="L1971" s="8" t="n"/>
      <c r="M1971" s="12" t="n"/>
      <c r="N1971" s="7" t="inlineStr"/>
      <c r="O1971" s="7" t="inlineStr"/>
    </row>
    <row r="1972">
      <c r="A1972" s="7" t="n">
        <v>656791</v>
      </c>
      <c r="B1972" s="10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1" t="n">
        <v>14</v>
      </c>
      <c r="G1972" s="11" t="n">
        <v>14</v>
      </c>
      <c r="H1972" s="8" t="n">
        <v>16.99</v>
      </c>
      <c r="I1972" s="8" t="n">
        <v>16.99</v>
      </c>
      <c r="J1972" s="8" t="n"/>
      <c r="K1972" s="7" t="inlineStr">
        <is>
          <t>SEM COTAÇÃO</t>
        </is>
      </c>
      <c r="L1972" s="8" t="n"/>
      <c r="M1972" s="12" t="n"/>
      <c r="N1972" s="7" t="inlineStr"/>
      <c r="O1972" s="7" t="inlineStr"/>
    </row>
    <row r="1973">
      <c r="A1973" s="7" t="n">
        <v>669731</v>
      </c>
      <c r="B1973" s="10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1" t="n">
        <v>11</v>
      </c>
      <c r="G1973" s="11" t="n">
        <v>11</v>
      </c>
      <c r="H1973" s="8" t="n">
        <v>16.99</v>
      </c>
      <c r="I1973" s="8" t="n">
        <v>16.99</v>
      </c>
      <c r="J1973" s="8" t="n"/>
      <c r="K1973" s="7" t="inlineStr">
        <is>
          <t>SEM COTAÇÃO</t>
        </is>
      </c>
      <c r="L1973" s="8" t="n"/>
      <c r="M1973" s="12" t="n"/>
      <c r="N1973" s="7" t="inlineStr"/>
      <c r="O1973" s="7" t="inlineStr"/>
    </row>
    <row r="1974">
      <c r="A1974" s="7" t="n">
        <v>662191</v>
      </c>
      <c r="B1974" s="10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1" t="n">
        <v>13</v>
      </c>
      <c r="G1974" s="11" t="n">
        <v>13</v>
      </c>
      <c r="H1974" s="8" t="n">
        <v>25.99</v>
      </c>
      <c r="I1974" s="8" t="n">
        <v>25.99</v>
      </c>
      <c r="J1974" s="8" t="n"/>
      <c r="K1974" s="7" t="inlineStr">
        <is>
          <t>SEM COTAÇÃO</t>
        </is>
      </c>
      <c r="L1974" s="8" t="n"/>
      <c r="M1974" s="12" t="n"/>
      <c r="N1974" s="7" t="inlineStr"/>
      <c r="O1974" s="7" t="inlineStr"/>
    </row>
    <row r="1975">
      <c r="A1975" s="7" t="n">
        <v>650921</v>
      </c>
      <c r="B1975" s="10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1" t="n">
        <v>9</v>
      </c>
      <c r="G1975" s="11" t="n">
        <v>9</v>
      </c>
      <c r="H1975" s="8" t="n">
        <v>34.9</v>
      </c>
      <c r="I1975" s="8" t="n">
        <v>32.7483</v>
      </c>
      <c r="J1975" s="8" t="n"/>
      <c r="K1975" s="7" t="inlineStr">
        <is>
          <t>SEM COTAÇÃO</t>
        </is>
      </c>
      <c r="L1975" s="8" t="n"/>
      <c r="M1975" s="12" t="n"/>
      <c r="N1975" s="7" t="inlineStr"/>
      <c r="O1975" s="7" t="inlineStr"/>
    </row>
    <row r="1976">
      <c r="A1976" s="7" t="n">
        <v>562881</v>
      </c>
      <c r="B1976" s="10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1" t="n">
        <v>1</v>
      </c>
      <c r="G1976" s="11" t="n">
        <v>5</v>
      </c>
      <c r="H1976" s="8" t="n">
        <v>16.29</v>
      </c>
      <c r="I1976" s="8" t="n">
        <v>15.8938</v>
      </c>
      <c r="J1976" s="8" t="n"/>
      <c r="K1976" s="7" t="inlineStr">
        <is>
          <t>SEM COTAÇÃO</t>
        </is>
      </c>
      <c r="L1976" s="8" t="n"/>
      <c r="M1976" s="12" t="n"/>
      <c r="N1976" s="7" t="inlineStr"/>
      <c r="O1976" s="7" t="inlineStr"/>
    </row>
    <row r="1977">
      <c r="A1977" s="7" t="n">
        <v>564481</v>
      </c>
      <c r="B1977" s="10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1" t="n">
        <v>9</v>
      </c>
      <c r="G1977" s="11" t="n">
        <v>9</v>
      </c>
      <c r="H1977" s="8" t="n">
        <v>30.99</v>
      </c>
      <c r="I1977" s="8" t="n">
        <v>28.0833</v>
      </c>
      <c r="J1977" s="8" t="n"/>
      <c r="K1977" s="7" t="inlineStr">
        <is>
          <t>SEM COTAÇÃO</t>
        </is>
      </c>
      <c r="L1977" s="8" t="n"/>
      <c r="M1977" s="12" t="n"/>
      <c r="N1977" s="7" t="inlineStr"/>
      <c r="O1977" s="7" t="inlineStr"/>
    </row>
    <row r="1978">
      <c r="A1978" s="7" t="n">
        <v>544401</v>
      </c>
      <c r="B1978" s="10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1" t="n">
        <v>12</v>
      </c>
      <c r="G1978" s="11" t="n">
        <v>12</v>
      </c>
      <c r="H1978" s="8" t="n">
        <v>33.9</v>
      </c>
      <c r="I1978" s="8" t="n">
        <v>27.7017</v>
      </c>
      <c r="J1978" s="8" t="n"/>
      <c r="K1978" s="7" t="inlineStr">
        <is>
          <t>SEM COTAÇÃO</t>
        </is>
      </c>
      <c r="L1978" s="8" t="n"/>
      <c r="M1978" s="12" t="n"/>
      <c r="N1978" s="7" t="inlineStr"/>
      <c r="O1978" s="7" t="inlineStr"/>
    </row>
    <row r="1979">
      <c r="A1979" s="7" t="n">
        <v>654141</v>
      </c>
      <c r="B1979" s="10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1" t="n">
        <v>8</v>
      </c>
      <c r="G1979" s="11" t="n">
        <v>8</v>
      </c>
      <c r="H1979" s="8" t="n">
        <v>25.99</v>
      </c>
      <c r="I1979" s="8" t="n">
        <v>25.99</v>
      </c>
      <c r="J1979" s="8" t="n"/>
      <c r="K1979" s="7" t="inlineStr">
        <is>
          <t>SEM COTAÇÃO</t>
        </is>
      </c>
      <c r="L1979" s="8" t="n"/>
      <c r="M1979" s="12" t="n"/>
      <c r="N1979" s="7" t="inlineStr"/>
      <c r="O1979" s="7" t="inlineStr"/>
    </row>
    <row r="1980">
      <c r="A1980" s="7" t="n">
        <v>654151</v>
      </c>
      <c r="B1980" s="10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1" t="n">
        <v>15</v>
      </c>
      <c r="G1980" s="11" t="n">
        <v>15</v>
      </c>
      <c r="H1980" s="8" t="n">
        <v>25.99</v>
      </c>
      <c r="I1980" s="8" t="n">
        <v>25.99</v>
      </c>
      <c r="J1980" s="8" t="n"/>
      <c r="K1980" s="7" t="inlineStr">
        <is>
          <t>SEM COTAÇÃO</t>
        </is>
      </c>
      <c r="L1980" s="8" t="n"/>
      <c r="M1980" s="12" t="n"/>
      <c r="N1980" s="7" t="inlineStr"/>
      <c r="O1980" s="7" t="inlineStr"/>
    </row>
    <row r="1981">
      <c r="A1981" s="7" t="n">
        <v>596761</v>
      </c>
      <c r="B1981" s="10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1" t="n">
        <v>7</v>
      </c>
      <c r="G1981" s="11" t="n">
        <v>7</v>
      </c>
      <c r="H1981" s="8" t="n">
        <v>34.9</v>
      </c>
      <c r="I1981" s="8" t="n">
        <v>32.475</v>
      </c>
      <c r="J1981" s="8" t="n"/>
      <c r="K1981" s="7" t="inlineStr">
        <is>
          <t>SEM COTAÇÃO</t>
        </is>
      </c>
      <c r="L1981" s="8" t="n"/>
      <c r="M1981" s="12" t="n"/>
      <c r="N1981" s="7" t="inlineStr"/>
      <c r="O1981" s="7" t="inlineStr"/>
    </row>
    <row r="1982">
      <c r="A1982" s="7" t="n">
        <v>596791</v>
      </c>
      <c r="B1982" s="10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1" t="n">
        <v>4</v>
      </c>
      <c r="G1982" s="11" t="n">
        <v>4</v>
      </c>
      <c r="H1982" s="8" t="n">
        <v>34.9</v>
      </c>
      <c r="I1982" s="8" t="n">
        <v>34.24</v>
      </c>
      <c r="J1982" s="8" t="n"/>
      <c r="K1982" s="7" t="inlineStr">
        <is>
          <t>SEM COTAÇÃO</t>
        </is>
      </c>
      <c r="L1982" s="8" t="n"/>
      <c r="M1982" s="12" t="n"/>
      <c r="N1982" s="7" t="inlineStr"/>
      <c r="O1982" s="7" t="inlineStr"/>
    </row>
    <row r="1983">
      <c r="A1983" s="7" t="n">
        <v>537941</v>
      </c>
      <c r="B1983" s="10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1" t="n">
        <v>2</v>
      </c>
      <c r="G1983" s="11" t="n">
        <v>13</v>
      </c>
      <c r="H1983" s="8" t="n">
        <v>20.155</v>
      </c>
      <c r="I1983" s="8" t="n">
        <v>16.1388</v>
      </c>
      <c r="J1983" s="8" t="n"/>
      <c r="K1983" s="7" t="inlineStr">
        <is>
          <t>SEM COTAÇÃO</t>
        </is>
      </c>
      <c r="L1983" s="8" t="n"/>
      <c r="M1983" s="12" t="n"/>
      <c r="N1983" s="7" t="inlineStr"/>
      <c r="O1983" s="7" t="inlineStr"/>
    </row>
    <row r="1984">
      <c r="A1984" s="7" t="n">
        <v>675951</v>
      </c>
      <c r="B1984" s="10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1" t="n">
        <v>4</v>
      </c>
      <c r="G1984" s="11" t="n">
        <v>4</v>
      </c>
      <c r="H1984" s="8" t="n">
        <v>18.49</v>
      </c>
      <c r="I1984" s="8" t="n">
        <v>18.49</v>
      </c>
      <c r="J1984" s="8" t="n"/>
      <c r="K1984" s="7" t="inlineStr">
        <is>
          <t>SEM COTAÇÃO</t>
        </is>
      </c>
      <c r="L1984" s="8" t="n"/>
      <c r="M1984" s="12" t="n"/>
      <c r="N1984" s="7" t="inlineStr"/>
      <c r="O1984" s="7" t="inlineStr"/>
    </row>
    <row r="1985">
      <c r="A1985" s="7" t="n">
        <v>699301</v>
      </c>
      <c r="B1985" s="10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1" t="n">
        <v>9</v>
      </c>
      <c r="G1985" s="11" t="n">
        <v>9</v>
      </c>
      <c r="H1985" s="8" t="n">
        <v>25.99</v>
      </c>
      <c r="I1985" s="8" t="n">
        <v>25.99</v>
      </c>
      <c r="J1985" s="8" t="n"/>
      <c r="K1985" s="7" t="inlineStr">
        <is>
          <t>SEM COTAÇÃO</t>
        </is>
      </c>
      <c r="L1985" s="8" t="n"/>
      <c r="M1985" s="12" t="n"/>
      <c r="N1985" s="7" t="inlineStr"/>
      <c r="O1985" s="7" t="inlineStr"/>
    </row>
    <row r="1986">
      <c r="A1986" s="7" t="n">
        <v>699401</v>
      </c>
      <c r="B1986" s="10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1" t="n">
        <v>8</v>
      </c>
      <c r="G1986" s="11" t="n">
        <v>8</v>
      </c>
      <c r="H1986" s="8" t="n">
        <v>25.99</v>
      </c>
      <c r="I1986" s="8" t="n">
        <v>25.99</v>
      </c>
      <c r="J1986" s="8" t="n"/>
      <c r="K1986" s="7" t="inlineStr">
        <is>
          <t>SEM COTAÇÃO</t>
        </is>
      </c>
      <c r="L1986" s="8" t="n"/>
      <c r="M1986" s="12" t="n"/>
      <c r="N1986" s="7" t="inlineStr"/>
      <c r="O1986" s="7" t="inlineStr"/>
    </row>
    <row r="1987">
      <c r="A1987" s="7" t="n">
        <v>650631</v>
      </c>
      <c r="B1987" s="10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1" t="n">
        <v>1</v>
      </c>
      <c r="G1987" s="11" t="n">
        <v>5</v>
      </c>
      <c r="H1987" s="8" t="n">
        <v>5.49</v>
      </c>
      <c r="I1987" s="8" t="n">
        <v>5.49</v>
      </c>
      <c r="J1987" s="8" t="n"/>
      <c r="K1987" s="7" t="inlineStr">
        <is>
          <t>SEM COTAÇÃO</t>
        </is>
      </c>
      <c r="L1987" s="8" t="n"/>
      <c r="M1987" s="12" t="n"/>
      <c r="N1987" s="7" t="inlineStr"/>
      <c r="O1987" s="7" t="inlineStr"/>
    </row>
    <row r="1988">
      <c r="A1988" s="7" t="n">
        <v>537581</v>
      </c>
      <c r="B1988" s="10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1" t="n">
        <v>1</v>
      </c>
      <c r="G1988" s="11" t="n">
        <v>3</v>
      </c>
      <c r="H1988" s="8" t="n">
        <v>20.1562</v>
      </c>
      <c r="I1988" s="8" t="n">
        <v>16.1388</v>
      </c>
      <c r="J1988" s="8" t="n"/>
      <c r="K1988" s="7" t="inlineStr">
        <is>
          <t>SEM COTAÇÃO</t>
        </is>
      </c>
      <c r="L1988" s="8" t="n"/>
      <c r="M1988" s="12" t="n"/>
      <c r="N1988" s="7" t="inlineStr"/>
      <c r="O1988" s="7" t="inlineStr"/>
    </row>
    <row r="1989">
      <c r="A1989" s="7" t="n">
        <v>664241</v>
      </c>
      <c r="B1989" s="10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1" t="n">
        <v>2</v>
      </c>
      <c r="G1989" s="11" t="n">
        <v>14</v>
      </c>
      <c r="H1989" s="8" t="n">
        <v>18.7388</v>
      </c>
      <c r="I1989" s="8" t="n">
        <v>16.4475</v>
      </c>
      <c r="J1989" s="8" t="n"/>
      <c r="K1989" s="7" t="inlineStr">
        <is>
          <t>SEM COTAÇÃO</t>
        </is>
      </c>
      <c r="L1989" s="8" t="n"/>
      <c r="M1989" s="12" t="n"/>
      <c r="N1989" s="7" t="inlineStr"/>
      <c r="O1989" s="7" t="inlineStr"/>
    </row>
    <row r="1990">
      <c r="A1990" s="7" t="n">
        <v>668331</v>
      </c>
      <c r="B1990" s="10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1" t="n">
        <v>2</v>
      </c>
      <c r="G1990" s="11" t="n">
        <v>10</v>
      </c>
      <c r="H1990" s="8" t="n">
        <v>16.4062</v>
      </c>
      <c r="I1990" s="8" t="n">
        <v>15.7038</v>
      </c>
      <c r="J1990" s="8" t="n"/>
      <c r="K1990" s="7" t="inlineStr">
        <is>
          <t>SEM COTAÇÃO</t>
        </is>
      </c>
      <c r="L1990" s="8" t="n"/>
      <c r="M1990" s="12" t="n"/>
      <c r="N1990" s="7" t="inlineStr"/>
      <c r="O1990" s="7" t="inlineStr"/>
    </row>
    <row r="1991">
      <c r="A1991" s="7" t="n">
        <v>668341</v>
      </c>
      <c r="B1991" s="10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1" t="n">
        <v>2</v>
      </c>
      <c r="G1991" s="11" t="n">
        <v>7</v>
      </c>
      <c r="H1991" s="8" t="n">
        <v>29.76</v>
      </c>
      <c r="I1991" s="8" t="n">
        <v>29.76</v>
      </c>
      <c r="J1991" s="8" t="n"/>
      <c r="K1991" s="7" t="inlineStr">
        <is>
          <t>SEM COTAÇÃO</t>
        </is>
      </c>
      <c r="L1991" s="8" t="n"/>
      <c r="M1991" s="12" t="n"/>
      <c r="N1991" s="7" t="inlineStr"/>
      <c r="O1991" s="7" t="inlineStr"/>
    </row>
    <row r="1992">
      <c r="A1992" s="7" t="n">
        <v>537921</v>
      </c>
      <c r="B1992" s="10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1" t="n">
        <v>1</v>
      </c>
      <c r="G1992" s="11" t="n">
        <v>1</v>
      </c>
      <c r="H1992" s="8" t="n">
        <v>27.28</v>
      </c>
      <c r="I1992" s="8" t="n">
        <v>21.2688</v>
      </c>
      <c r="J1992" s="8" t="n"/>
      <c r="K1992" s="7" t="inlineStr">
        <is>
          <t>SEM COTAÇÃO</t>
        </is>
      </c>
      <c r="L1992" s="8" t="n"/>
      <c r="M1992" s="12" t="n"/>
      <c r="N1992" s="7" t="inlineStr"/>
      <c r="O1992" s="7" t="inlineStr"/>
    </row>
    <row r="1993">
      <c r="A1993" s="7" t="n">
        <v>572481</v>
      </c>
      <c r="B1993" s="10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1" t="n">
        <v>3</v>
      </c>
      <c r="G1993" s="11" t="n">
        <v>3</v>
      </c>
      <c r="H1993" s="8" t="n">
        <v>18.17</v>
      </c>
      <c r="I1993" s="8" t="n">
        <v>18.17</v>
      </c>
      <c r="J1993" s="8" t="n"/>
      <c r="K1993" s="7" t="inlineStr">
        <is>
          <t>SEM COTAÇÃO</t>
        </is>
      </c>
      <c r="L1993" s="8" t="n"/>
      <c r="M1993" s="12" t="n"/>
      <c r="N1993" s="7" t="inlineStr"/>
      <c r="O1993" s="7" t="inlineStr"/>
    </row>
    <row r="1994">
      <c r="A1994" s="7" t="n">
        <v>572501</v>
      </c>
      <c r="B1994" s="10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1" t="n">
        <v>3</v>
      </c>
      <c r="G1994" s="11" t="n">
        <v>3</v>
      </c>
      <c r="H1994" s="8" t="n">
        <v>18.26</v>
      </c>
      <c r="I1994" s="8" t="n">
        <v>18.17</v>
      </c>
      <c r="J1994" s="8" t="n"/>
      <c r="K1994" s="7" t="inlineStr">
        <is>
          <t>SEM COTAÇÃO</t>
        </is>
      </c>
      <c r="L1994" s="8" t="n"/>
      <c r="M1994" s="12" t="n"/>
      <c r="N1994" s="7" t="inlineStr"/>
      <c r="O1994" s="7" t="inlineStr"/>
    </row>
    <row r="1995">
      <c r="A1995" s="7" t="n">
        <v>623821</v>
      </c>
      <c r="B1995" s="10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1" t="n">
        <v>1</v>
      </c>
      <c r="G1995" s="11" t="n">
        <v>1</v>
      </c>
      <c r="H1995" s="8" t="n">
        <v>15.77</v>
      </c>
      <c r="I1995" s="8" t="n">
        <v>15.77</v>
      </c>
      <c r="J1995" s="8" t="n"/>
      <c r="K1995" s="7" t="inlineStr">
        <is>
          <t>SEM COTAÇÃO</t>
        </is>
      </c>
      <c r="L1995" s="8" t="n"/>
      <c r="M1995" s="12" t="n"/>
      <c r="N1995" s="7" t="inlineStr"/>
      <c r="O1995" s="7" t="inlineStr"/>
    </row>
    <row r="1996">
      <c r="A1996" s="7" t="n">
        <v>649251</v>
      </c>
      <c r="B1996" s="10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1" t="n">
        <v>1</v>
      </c>
      <c r="G1996" s="11" t="n">
        <v>1</v>
      </c>
      <c r="H1996" s="8" t="n">
        <v>33.8383</v>
      </c>
      <c r="I1996" s="8" t="n">
        <v>33.8383</v>
      </c>
      <c r="J1996" s="8" t="n"/>
      <c r="K1996" s="7" t="inlineStr">
        <is>
          <t>SEM COTAÇÃO</t>
        </is>
      </c>
      <c r="L1996" s="8" t="n"/>
      <c r="M1996" s="12" t="n"/>
      <c r="N1996" s="7" t="inlineStr"/>
      <c r="O1996" s="7" t="inlineStr"/>
    </row>
    <row r="1997">
      <c r="A1997" s="7" t="n">
        <v>649261</v>
      </c>
      <c r="B1997" s="10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1" t="n">
        <v>2</v>
      </c>
      <c r="G1997" s="11" t="n">
        <v>2</v>
      </c>
      <c r="H1997" s="8" t="n">
        <v>34.7033</v>
      </c>
      <c r="I1997" s="8" t="n">
        <v>34.7033</v>
      </c>
      <c r="J1997" s="8" t="n"/>
      <c r="K1997" s="7" t="inlineStr">
        <is>
          <t>SEM COTAÇÃO</t>
        </is>
      </c>
      <c r="L1997" s="8" t="n"/>
      <c r="M1997" s="12" t="n"/>
      <c r="N1997" s="7" t="inlineStr"/>
      <c r="O1997" s="7" t="inlineStr"/>
    </row>
    <row r="1998">
      <c r="A1998" s="7" t="n">
        <v>649271</v>
      </c>
      <c r="B1998" s="10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1" t="n">
        <v>1</v>
      </c>
      <c r="G1998" s="11" t="n">
        <v>1</v>
      </c>
      <c r="H1998" s="8" t="n">
        <v>121.12</v>
      </c>
      <c r="I1998" s="8" t="n">
        <v>121.12</v>
      </c>
      <c r="J1998" s="8" t="n"/>
      <c r="K1998" s="7" t="inlineStr">
        <is>
          <t>SEM COTAÇÃO</t>
        </is>
      </c>
      <c r="L1998" s="8" t="n"/>
      <c r="M1998" s="12" t="n"/>
      <c r="N1998" s="7" t="inlineStr"/>
      <c r="O1998" s="7" t="inlineStr"/>
    </row>
    <row r="1999">
      <c r="A1999" s="7" t="n">
        <v>649281</v>
      </c>
      <c r="B1999" s="10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1" t="n">
        <v>1</v>
      </c>
      <c r="G1999" s="11" t="n">
        <v>1</v>
      </c>
      <c r="H1999" s="8" t="n">
        <v>121.13</v>
      </c>
      <c r="I1999" s="8" t="n">
        <v>121.13</v>
      </c>
      <c r="J1999" s="8" t="n"/>
      <c r="K1999" s="7" t="inlineStr">
        <is>
          <t>SEM COTAÇÃO</t>
        </is>
      </c>
      <c r="L1999" s="8" t="n"/>
      <c r="M1999" s="12" t="n"/>
      <c r="N1999" s="7" t="inlineStr"/>
      <c r="O1999" s="7" t="inlineStr"/>
    </row>
    <row r="2000">
      <c r="A2000" s="7" t="n">
        <v>649301</v>
      </c>
      <c r="B2000" s="10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1" t="n">
        <v>1</v>
      </c>
      <c r="G2000" s="11" t="n">
        <v>1</v>
      </c>
      <c r="H2000" s="8" t="n">
        <v>116.16</v>
      </c>
      <c r="I2000" s="8" t="n">
        <v>116.16</v>
      </c>
      <c r="J2000" s="8" t="n"/>
      <c r="K2000" s="7" t="inlineStr">
        <is>
          <t>SEM COTAÇÃO</t>
        </is>
      </c>
      <c r="L2000" s="8" t="n"/>
      <c r="M2000" s="12" t="n"/>
      <c r="N2000" s="7" t="inlineStr"/>
      <c r="O2000" s="7" t="inlineStr"/>
    </row>
    <row r="2001">
      <c r="A2001" s="7" t="n">
        <v>649311</v>
      </c>
      <c r="B2001" s="10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1" t="n">
        <v>1</v>
      </c>
      <c r="G2001" s="11" t="n">
        <v>1</v>
      </c>
      <c r="H2001" s="8" t="n">
        <v>82.005</v>
      </c>
      <c r="I2001" s="8" t="n">
        <v>82.005</v>
      </c>
      <c r="J2001" s="8" t="n"/>
      <c r="K2001" s="7" t="inlineStr">
        <is>
          <t>SEM COTAÇÃO</t>
        </is>
      </c>
      <c r="L2001" s="8" t="n"/>
      <c r="M2001" s="12" t="n"/>
      <c r="N2001" s="7" t="inlineStr"/>
      <c r="O2001" s="7" t="inlineStr"/>
    </row>
    <row r="2002">
      <c r="A2002" s="7" t="n">
        <v>537821</v>
      </c>
      <c r="B2002" s="10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1" t="n">
        <v>5</v>
      </c>
      <c r="G2002" s="11" t="n">
        <v>5</v>
      </c>
      <c r="H2002" s="8" t="n">
        <v>47.7</v>
      </c>
      <c r="I2002" s="8" t="n">
        <v>44.7033</v>
      </c>
      <c r="J2002" s="8" t="n"/>
      <c r="K2002" s="7" t="inlineStr">
        <is>
          <t>SEM COTAÇÃO</t>
        </is>
      </c>
      <c r="L2002" s="8" t="n"/>
      <c r="M2002" s="12" t="n"/>
      <c r="N2002" s="7" t="inlineStr"/>
      <c r="O2002" s="7" t="inlineStr"/>
    </row>
    <row r="2003">
      <c r="A2003" s="7" t="n">
        <v>544421</v>
      </c>
      <c r="B2003" s="10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1" t="n">
        <v>1</v>
      </c>
      <c r="G2003" s="11" t="n">
        <v>1</v>
      </c>
      <c r="H2003" s="8" t="n">
        <v>35.0217</v>
      </c>
      <c r="I2003" s="8" t="n">
        <v>35.0217</v>
      </c>
      <c r="J2003" s="8" t="n"/>
      <c r="K2003" s="7" t="inlineStr">
        <is>
          <t>SEM COTAÇÃO</t>
        </is>
      </c>
      <c r="L2003" s="8" t="n"/>
      <c r="M2003" s="12" t="n"/>
      <c r="N2003" s="7" t="inlineStr"/>
      <c r="O2003" s="7" t="inlineStr"/>
    </row>
    <row r="2004">
      <c r="A2004" s="7" t="n">
        <v>544581</v>
      </c>
      <c r="B2004" s="10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1" t="n">
        <v>1</v>
      </c>
      <c r="G2004" s="11" t="n">
        <v>1</v>
      </c>
      <c r="H2004" s="8" t="n">
        <v>35.0217</v>
      </c>
      <c r="I2004" s="8" t="n">
        <v>35.0217</v>
      </c>
      <c r="J2004" s="8" t="n"/>
      <c r="K2004" s="7" t="inlineStr">
        <is>
          <t>SEM COTAÇÃO</t>
        </is>
      </c>
      <c r="L2004" s="8" t="n"/>
      <c r="M2004" s="12" t="n"/>
      <c r="N2004" s="7" t="inlineStr"/>
      <c r="O2004" s="7" t="inlineStr"/>
    </row>
    <row r="2005">
      <c r="A2005" s="7" t="n">
        <v>631061</v>
      </c>
      <c r="B2005" s="10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1" t="n">
        <v>2</v>
      </c>
      <c r="G2005" s="11" t="n">
        <v>2</v>
      </c>
      <c r="H2005" s="8" t="n">
        <v>88.23</v>
      </c>
      <c r="I2005" s="8" t="n">
        <v>88.23</v>
      </c>
      <c r="J2005" s="8" t="n"/>
      <c r="K2005" s="7" t="inlineStr">
        <is>
          <t>SEM COTAÇÃO</t>
        </is>
      </c>
      <c r="L2005" s="8" t="n"/>
      <c r="M2005" s="12" t="n"/>
      <c r="N2005" s="7" t="inlineStr"/>
      <c r="O2005" s="7" t="inlineStr"/>
    </row>
    <row r="2006">
      <c r="A2006" s="7" t="n">
        <v>631071</v>
      </c>
      <c r="B2006" s="10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1" t="n">
        <v>1</v>
      </c>
      <c r="G2006" s="11" t="n">
        <v>1</v>
      </c>
      <c r="H2006" s="8" t="n">
        <v>80.73</v>
      </c>
      <c r="I2006" s="8" t="n">
        <v>80.73</v>
      </c>
      <c r="J2006" s="8" t="n"/>
      <c r="K2006" s="7" t="inlineStr">
        <is>
          <t>SEM COTAÇÃO</t>
        </is>
      </c>
      <c r="L2006" s="8" t="n"/>
      <c r="M2006" s="12" t="n"/>
      <c r="N2006" s="7" t="inlineStr"/>
      <c r="O2006" s="7" t="inlineStr"/>
    </row>
    <row r="2007">
      <c r="A2007" s="7" t="n">
        <v>631091</v>
      </c>
      <c r="B2007" s="10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1" t="n">
        <v>2</v>
      </c>
      <c r="G2007" s="11" t="n">
        <v>2</v>
      </c>
      <c r="H2007" s="8" t="n">
        <v>80.73</v>
      </c>
      <c r="I2007" s="8" t="n">
        <v>80.73</v>
      </c>
      <c r="J2007" s="8" t="n"/>
      <c r="K2007" s="7" t="inlineStr">
        <is>
          <t>SEM COTAÇÃO</t>
        </is>
      </c>
      <c r="L2007" s="8" t="n"/>
      <c r="M2007" s="12" t="n"/>
      <c r="N2007" s="7" t="inlineStr"/>
      <c r="O2007" s="7" t="inlineStr"/>
    </row>
    <row r="2008">
      <c r="A2008" s="7" t="n">
        <v>551021</v>
      </c>
      <c r="B2008" s="10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1" t="n">
        <v>4</v>
      </c>
      <c r="G2008" s="11" t="n">
        <v>4</v>
      </c>
      <c r="H2008" s="8" t="n">
        <v>53.75</v>
      </c>
      <c r="I2008" s="8" t="n">
        <v>53.75</v>
      </c>
      <c r="J2008" s="8" t="n"/>
      <c r="K2008" s="7" t="inlineStr">
        <is>
          <t>SEM COTAÇÃO</t>
        </is>
      </c>
      <c r="L2008" s="8" t="n"/>
      <c r="M2008" s="12" t="n"/>
      <c r="N2008" s="7" t="inlineStr"/>
      <c r="O2008" s="7" t="inlineStr"/>
    </row>
    <row r="2009">
      <c r="A2009" s="7" t="n">
        <v>645421</v>
      </c>
      <c r="B2009" s="10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1" t="n">
        <v>1</v>
      </c>
      <c r="G2009" s="11" t="n">
        <v>1</v>
      </c>
      <c r="H2009" s="8" t="n">
        <v>98</v>
      </c>
      <c r="I2009" s="8" t="n">
        <v>98</v>
      </c>
      <c r="J2009" s="8" t="n"/>
      <c r="K2009" s="7" t="inlineStr">
        <is>
          <t>SEM COTAÇÃO</t>
        </is>
      </c>
      <c r="L2009" s="8" t="n"/>
      <c r="M2009" s="12" t="n"/>
      <c r="N2009" s="7" t="inlineStr"/>
      <c r="O2009" s="7" t="inlineStr"/>
    </row>
    <row r="2010">
      <c r="A2010" s="7" t="n">
        <v>539261</v>
      </c>
      <c r="B2010" s="10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1" t="n">
        <v>1</v>
      </c>
      <c r="G2010" s="11" t="n">
        <v>2</v>
      </c>
      <c r="H2010" s="8" t="n">
        <v>5.49</v>
      </c>
      <c r="I2010" s="8" t="n">
        <v>5.49</v>
      </c>
      <c r="J2010" s="8" t="n"/>
      <c r="K2010" s="7" t="inlineStr">
        <is>
          <t>SEM COTAÇÃO</t>
        </is>
      </c>
      <c r="L2010" s="8" t="n"/>
      <c r="M2010" s="12" t="n"/>
      <c r="N2010" s="7" t="inlineStr"/>
      <c r="O2010" s="7" t="inlineStr"/>
    </row>
    <row r="2011">
      <c r="A2011" s="7" t="n">
        <v>537881</v>
      </c>
      <c r="B2011" s="10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1" t="n">
        <v>1</v>
      </c>
      <c r="G2011" s="11" t="n">
        <v>7</v>
      </c>
      <c r="H2011" s="8" t="n">
        <v>5.49</v>
      </c>
      <c r="I2011" s="8" t="n">
        <v>5.49</v>
      </c>
      <c r="J2011" s="8" t="n"/>
      <c r="K2011" s="7" t="inlineStr">
        <is>
          <t>SEM COTAÇÃO</t>
        </is>
      </c>
      <c r="L2011" s="8" t="n"/>
      <c r="M2011" s="12" t="n"/>
      <c r="N2011" s="7" t="inlineStr"/>
      <c r="O2011" s="7" t="inlineStr"/>
    </row>
    <row r="2012">
      <c r="A2012" s="7" t="n">
        <v>544561</v>
      </c>
      <c r="B2012" s="10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1" t="n">
        <v>1</v>
      </c>
      <c r="G2012" s="11" t="n">
        <v>1</v>
      </c>
      <c r="H2012" s="8" t="n">
        <v>29.9</v>
      </c>
      <c r="I2012" s="8" t="n">
        <v>29.9</v>
      </c>
      <c r="J2012" s="8" t="n"/>
      <c r="K2012" s="7" t="inlineStr">
        <is>
          <t>SEM COTAÇÃO</t>
        </is>
      </c>
      <c r="L2012" s="8" t="n"/>
      <c r="M2012" s="12" t="n"/>
      <c r="N2012" s="7" t="inlineStr"/>
      <c r="O2012" s="7" t="inlineStr"/>
    </row>
    <row r="2013">
      <c r="A2013" s="7" t="n">
        <v>543001</v>
      </c>
      <c r="B2013" s="10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1" t="n">
        <v>1</v>
      </c>
      <c r="G2013" s="11" t="n">
        <v>1</v>
      </c>
      <c r="H2013" s="8" t="n"/>
      <c r="I2013" s="8" t="n"/>
      <c r="J2013" s="8" t="n"/>
      <c r="K2013" s="7" t="inlineStr">
        <is>
          <t>SEM COTAÇÃO</t>
        </is>
      </c>
      <c r="L2013" s="8" t="n"/>
      <c r="M2013" s="12" t="n"/>
      <c r="N2013" s="7" t="inlineStr"/>
      <c r="O2013" s="7" t="inlineStr"/>
    </row>
    <row r="2014">
      <c r="A2014" s="7" t="n">
        <v>548201</v>
      </c>
      <c r="B2014" s="10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1" t="n">
        <v>13</v>
      </c>
      <c r="G2014" s="11" t="n">
        <v>13</v>
      </c>
      <c r="H2014" s="8" t="n">
        <v>10.49</v>
      </c>
      <c r="I2014" s="8" t="n">
        <v>9.68</v>
      </c>
      <c r="J2014" s="8" t="n"/>
      <c r="K2014" s="7" t="inlineStr">
        <is>
          <t>SEM COTAÇÃO</t>
        </is>
      </c>
      <c r="L2014" s="8" t="n"/>
      <c r="M2014" s="12" t="n"/>
      <c r="N2014" s="7" t="inlineStr"/>
      <c r="O2014" s="7" t="inlineStr"/>
    </row>
    <row r="2015">
      <c r="A2015" s="7" t="n">
        <v>648161</v>
      </c>
      <c r="B2015" s="10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1" t="n">
        <v>7</v>
      </c>
      <c r="G2015" s="11" t="n">
        <v>7</v>
      </c>
      <c r="H2015" s="8" t="n">
        <v>18.79</v>
      </c>
      <c r="I2015" s="8" t="n">
        <v>16.9</v>
      </c>
      <c r="J2015" s="8" t="n"/>
      <c r="K2015" s="7" t="inlineStr">
        <is>
          <t>SEM COTAÇÃO</t>
        </is>
      </c>
      <c r="L2015" s="8" t="n"/>
      <c r="M2015" s="12" t="n"/>
      <c r="N2015" s="7" t="inlineStr"/>
      <c r="O2015" s="7" t="inlineStr"/>
    </row>
    <row r="2016">
      <c r="A2016" s="7" t="n">
        <v>634031</v>
      </c>
      <c r="B2016" s="10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1" t="n">
        <v>4</v>
      </c>
      <c r="G2016" s="11" t="n">
        <v>4</v>
      </c>
      <c r="H2016" s="8" t="n">
        <v>30.99</v>
      </c>
      <c r="I2016" s="8" t="n">
        <v>26.78</v>
      </c>
      <c r="J2016" s="8" t="n"/>
      <c r="K2016" s="7" t="inlineStr">
        <is>
          <t>SEM COTAÇÃO</t>
        </is>
      </c>
      <c r="L2016" s="8" t="n"/>
      <c r="M2016" s="12" t="n"/>
      <c r="N2016" s="7" t="inlineStr"/>
      <c r="O2016" s="7" t="inlineStr"/>
    </row>
    <row r="2017">
      <c r="A2017" s="7" t="n">
        <v>634051</v>
      </c>
      <c r="B2017" s="10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1" t="n">
        <v>7</v>
      </c>
      <c r="G2017" s="11" t="n">
        <v>7</v>
      </c>
      <c r="H2017" s="8" t="n">
        <v>29.99</v>
      </c>
      <c r="I2017" s="8" t="n">
        <v>26.78</v>
      </c>
      <c r="J2017" s="8" t="n"/>
      <c r="K2017" s="7" t="inlineStr">
        <is>
          <t>SEM COTAÇÃO</t>
        </is>
      </c>
      <c r="L2017" s="8" t="n"/>
      <c r="M2017" s="12" t="n"/>
      <c r="N2017" s="7" t="inlineStr"/>
      <c r="O2017" s="7" t="inlineStr"/>
    </row>
    <row r="2018">
      <c r="A2018" s="7" t="n">
        <v>556001</v>
      </c>
      <c r="B2018" s="10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1" t="n">
        <v>7</v>
      </c>
      <c r="G2018" s="11" t="n">
        <v>7</v>
      </c>
      <c r="H2018" s="8" t="n">
        <v>47.7</v>
      </c>
      <c r="I2018" s="8" t="n">
        <v>44.7033</v>
      </c>
      <c r="J2018" s="8" t="n"/>
      <c r="K2018" s="7" t="inlineStr">
        <is>
          <t>SEM COTAÇÃO</t>
        </is>
      </c>
      <c r="L2018" s="8" t="n"/>
      <c r="M2018" s="12" t="n"/>
      <c r="N2018" s="7" t="inlineStr"/>
      <c r="O2018" s="7" t="inlineStr"/>
    </row>
    <row r="2019">
      <c r="A2019" s="7" t="n">
        <v>556021</v>
      </c>
      <c r="B2019" s="10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1" t="n">
        <v>3</v>
      </c>
      <c r="G2019" s="11" t="n">
        <v>3</v>
      </c>
      <c r="H2019" s="8" t="n">
        <v>50.0233</v>
      </c>
      <c r="I2019" s="8" t="n">
        <v>50.0233</v>
      </c>
      <c r="J2019" s="8" t="n"/>
      <c r="K2019" s="7" t="inlineStr">
        <is>
          <t>SEM COTAÇÃO</t>
        </is>
      </c>
      <c r="L2019" s="8" t="n"/>
      <c r="M2019" s="12" t="n"/>
      <c r="N2019" s="7" t="inlineStr"/>
      <c r="O2019" s="7" t="inlineStr"/>
    </row>
    <row r="2020">
      <c r="A2020" s="7" t="n">
        <v>12803</v>
      </c>
      <c r="B2020" s="10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1" t="n">
        <v>6</v>
      </c>
      <c r="G2020" s="11" t="n">
        <v>6</v>
      </c>
      <c r="H2020" s="8" t="n">
        <v>29.74</v>
      </c>
      <c r="I2020" s="8" t="n">
        <v>29.74</v>
      </c>
      <c r="J2020" s="8" t="n"/>
      <c r="K2020" s="7" t="inlineStr">
        <is>
          <t>SEM COTAÇÃO</t>
        </is>
      </c>
      <c r="L2020" s="8" t="n"/>
      <c r="M2020" s="12" t="n"/>
      <c r="N2020" s="7" t="inlineStr"/>
      <c r="O2020" s="7" t="inlineStr"/>
    </row>
    <row r="2021">
      <c r="A2021" s="7" t="n">
        <v>634221</v>
      </c>
      <c r="B2021" s="10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1" t="n">
        <v>1</v>
      </c>
      <c r="G2021" s="11" t="n">
        <v>3</v>
      </c>
      <c r="H2021" s="8" t="n">
        <v>20.6662</v>
      </c>
      <c r="I2021" s="8" t="n">
        <v>16.1125</v>
      </c>
      <c r="J2021" s="8" t="n"/>
      <c r="K2021" s="7" t="inlineStr">
        <is>
          <t>SEM COTAÇÃO</t>
        </is>
      </c>
      <c r="L2021" s="8" t="n"/>
      <c r="M2021" s="12" t="n"/>
      <c r="N2021" s="7" t="inlineStr"/>
      <c r="O2021" s="7" t="inlineStr"/>
    </row>
    <row r="2022">
      <c r="A2022" s="7" t="n">
        <v>606111</v>
      </c>
      <c r="B2022" s="10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1" t="n">
        <v>2</v>
      </c>
      <c r="G2022" s="11" t="n">
        <v>10</v>
      </c>
      <c r="H2022" s="8" t="n">
        <v>17.7462</v>
      </c>
      <c r="I2022" s="8" t="n">
        <v>16.6125</v>
      </c>
      <c r="J2022" s="8" t="n"/>
      <c r="K2022" s="7" t="inlineStr">
        <is>
          <t>SEM COTAÇÃO</t>
        </is>
      </c>
      <c r="L2022" s="8" t="n"/>
      <c r="M2022" s="12" t="n"/>
      <c r="N2022" s="7" t="inlineStr"/>
      <c r="O2022" s="7" t="inlineStr"/>
    </row>
    <row r="2023">
      <c r="A2023" s="7" t="n">
        <v>621371</v>
      </c>
      <c r="B2023" s="10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1" t="n">
        <v>1</v>
      </c>
      <c r="G2023" s="11" t="n">
        <v>3</v>
      </c>
      <c r="H2023" s="8" t="n">
        <v>40.8475</v>
      </c>
      <c r="I2023" s="8" t="n">
        <v>32.72</v>
      </c>
      <c r="J2023" s="8" t="n"/>
      <c r="K2023" s="7" t="inlineStr">
        <is>
          <t>SEM COTAÇÃO</t>
        </is>
      </c>
      <c r="L2023" s="8" t="n"/>
      <c r="M2023" s="12" t="n"/>
      <c r="N2023" s="7" t="inlineStr"/>
      <c r="O2023" s="7" t="inlineStr"/>
    </row>
    <row r="2024">
      <c r="A2024" s="7" t="n">
        <v>683</v>
      </c>
      <c r="B2024" s="10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1" t="n">
        <v>1</v>
      </c>
      <c r="G2024" s="11" t="n">
        <v>2</v>
      </c>
      <c r="H2024" s="8" t="n"/>
      <c r="I2024" s="8" t="n"/>
      <c r="J2024" s="8" t="n"/>
      <c r="K2024" s="7" t="inlineStr">
        <is>
          <t>SEM COTAÇÃO</t>
        </is>
      </c>
      <c r="L2024" s="8" t="n"/>
      <c r="M2024" s="12" t="n"/>
      <c r="N2024" s="7" t="inlineStr"/>
      <c r="O2024" s="7" t="inlineStr"/>
    </row>
    <row r="2025">
      <c r="A2025" s="7" t="n">
        <v>621381</v>
      </c>
      <c r="B2025" s="10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1" t="n">
        <v>1</v>
      </c>
      <c r="G2025" s="11" t="n">
        <v>2</v>
      </c>
      <c r="H2025" s="8" t="n">
        <v>32.72</v>
      </c>
      <c r="I2025" s="8" t="n">
        <v>32.72</v>
      </c>
      <c r="J2025" s="8" t="n"/>
      <c r="K2025" s="7" t="inlineStr">
        <is>
          <t>SEM COTAÇÃO</t>
        </is>
      </c>
      <c r="L2025" s="8" t="n"/>
      <c r="M2025" s="12" t="n"/>
      <c r="N2025" s="7" t="inlineStr"/>
      <c r="O2025" s="7" t="inlineStr"/>
    </row>
    <row r="2026">
      <c r="A2026" s="7" t="n">
        <v>621151</v>
      </c>
      <c r="B2026" s="10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1" t="n">
        <v>2</v>
      </c>
      <c r="G2026" s="11" t="n">
        <v>14</v>
      </c>
      <c r="H2026" s="8" t="n">
        <v>17.7462</v>
      </c>
      <c r="I2026" s="8" t="n">
        <v>17.7462</v>
      </c>
      <c r="J2026" s="8" t="n"/>
      <c r="K2026" s="7" t="inlineStr">
        <is>
          <t>SEM COTAÇÃO</t>
        </is>
      </c>
      <c r="L2026" s="8" t="n"/>
      <c r="M2026" s="12" t="n"/>
      <c r="N2026" s="7" t="inlineStr"/>
      <c r="O2026" s="7" t="inlineStr"/>
    </row>
    <row r="2027">
      <c r="A2027" s="7" t="n">
        <v>606121</v>
      </c>
      <c r="B2027" s="10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1" t="n">
        <v>1</v>
      </c>
      <c r="G2027" s="11" t="n">
        <v>2</v>
      </c>
      <c r="H2027" s="8" t="n">
        <v>19.7888</v>
      </c>
      <c r="I2027" s="8" t="n">
        <v>18.1125</v>
      </c>
      <c r="J2027" s="8" t="n"/>
      <c r="K2027" s="7" t="inlineStr">
        <is>
          <t>SEM COTAÇÃO</t>
        </is>
      </c>
      <c r="L2027" s="8" t="n"/>
      <c r="M2027" s="12" t="n"/>
      <c r="N2027" s="7" t="inlineStr"/>
      <c r="O2027" s="7" t="inlineStr"/>
    </row>
    <row r="2028">
      <c r="A2028" s="7" t="n">
        <v>594861</v>
      </c>
      <c r="B2028" s="10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1" t="n">
        <v>1</v>
      </c>
      <c r="G2028" s="11" t="n">
        <v>1</v>
      </c>
      <c r="H2028" s="8" t="n">
        <v>39.5</v>
      </c>
      <c r="I2028" s="8" t="n">
        <v>39.5</v>
      </c>
      <c r="J2028" s="8" t="n"/>
      <c r="K2028" s="7" t="inlineStr">
        <is>
          <t>SEM COTAÇÃO</t>
        </is>
      </c>
      <c r="L2028" s="8" t="n"/>
      <c r="M2028" s="12" t="n"/>
      <c r="N2028" s="7" t="inlineStr"/>
      <c r="O2028" s="7" t="inlineStr"/>
    </row>
    <row r="2029">
      <c r="A2029" s="7" t="n">
        <v>621361</v>
      </c>
      <c r="B2029" s="10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1" t="n">
        <v>2</v>
      </c>
      <c r="G2029" s="11" t="n">
        <v>5</v>
      </c>
      <c r="H2029" s="8" t="n">
        <v>37.59</v>
      </c>
      <c r="I2029" s="8" t="n">
        <v>37.59</v>
      </c>
      <c r="J2029" s="8" t="n"/>
      <c r="K2029" s="7" t="inlineStr">
        <is>
          <t>SEM COTAÇÃO</t>
        </is>
      </c>
      <c r="L2029" s="8" t="n"/>
      <c r="M2029" s="12" t="n"/>
      <c r="N2029" s="7" t="inlineStr"/>
      <c r="O2029" s="7" t="inlineStr"/>
    </row>
    <row r="2030">
      <c r="A2030" s="7" t="n">
        <v>617431</v>
      </c>
      <c r="B2030" s="10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1" t="n">
        <v>1</v>
      </c>
      <c r="G2030" s="11" t="n">
        <v>1</v>
      </c>
      <c r="H2030" s="8" t="n">
        <v>39.425</v>
      </c>
      <c r="I2030" s="8" t="n">
        <v>39.425</v>
      </c>
      <c r="J2030" s="8" t="n"/>
      <c r="K2030" s="7" t="inlineStr">
        <is>
          <t>SEM COTAÇÃO</t>
        </is>
      </c>
      <c r="L2030" s="8" t="n"/>
      <c r="M2030" s="12" t="n"/>
      <c r="N2030" s="7" t="inlineStr"/>
      <c r="O2030" s="7" t="inlineStr"/>
    </row>
    <row r="2031">
      <c r="A2031" s="7" t="n">
        <v>613481</v>
      </c>
      <c r="B2031" s="10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1" t="n">
        <v>2</v>
      </c>
      <c r="G2031" s="11" t="n">
        <v>2</v>
      </c>
      <c r="H2031" s="8" t="n">
        <v>46.98</v>
      </c>
      <c r="I2031" s="8" t="n">
        <v>46.98</v>
      </c>
      <c r="J2031" s="8" t="n"/>
      <c r="K2031" s="7" t="inlineStr">
        <is>
          <t>SEM COTAÇÃO</t>
        </is>
      </c>
      <c r="L2031" s="8" t="n"/>
      <c r="M2031" s="12" t="n"/>
      <c r="N2031" s="7" t="inlineStr"/>
      <c r="O2031" s="7" t="inlineStr"/>
    </row>
    <row r="2032">
      <c r="A2032" s="7" t="n">
        <v>628181</v>
      </c>
      <c r="B2032" s="10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1" t="n">
        <v>1</v>
      </c>
      <c r="G2032" s="11" t="n">
        <v>1</v>
      </c>
      <c r="H2032" s="8" t="n">
        <v>44.42</v>
      </c>
      <c r="I2032" s="8" t="n">
        <v>44.42</v>
      </c>
      <c r="J2032" s="8" t="n"/>
      <c r="K2032" s="7" t="inlineStr">
        <is>
          <t>SEM COTAÇÃO</t>
        </is>
      </c>
      <c r="L2032" s="8" t="n"/>
      <c r="M2032" s="12" t="n"/>
      <c r="N2032" s="7" t="inlineStr"/>
      <c r="O2032" s="7" t="inlineStr"/>
    </row>
    <row r="2033">
      <c r="A2033" s="7" t="n">
        <v>628221</v>
      </c>
      <c r="B2033" s="10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1" t="n">
        <v>1</v>
      </c>
      <c r="G2033" s="11" t="n">
        <v>1</v>
      </c>
      <c r="H2033" s="8" t="n">
        <v>45.72</v>
      </c>
      <c r="I2033" s="8" t="n">
        <v>45.72</v>
      </c>
      <c r="J2033" s="8" t="n"/>
      <c r="K2033" s="7" t="inlineStr">
        <is>
          <t>SEM COTAÇÃO</t>
        </is>
      </c>
      <c r="L2033" s="8" t="n"/>
      <c r="M2033" s="12" t="n"/>
      <c r="N2033" s="7" t="inlineStr"/>
      <c r="O2033" s="7" t="inlineStr"/>
    </row>
    <row r="2034">
      <c r="A2034" s="7" t="n">
        <v>628211</v>
      </c>
      <c r="B2034" s="10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1" t="n">
        <v>1</v>
      </c>
      <c r="G2034" s="11" t="n">
        <v>1</v>
      </c>
      <c r="H2034" s="8" t="n">
        <v>64.91330000000001</v>
      </c>
      <c r="I2034" s="8" t="n">
        <v>64.91330000000001</v>
      </c>
      <c r="J2034" s="8" t="n"/>
      <c r="K2034" s="7" t="inlineStr">
        <is>
          <t>SEM COTAÇÃO</t>
        </is>
      </c>
      <c r="L2034" s="8" t="n"/>
      <c r="M2034" s="12" t="n"/>
      <c r="N2034" s="7" t="inlineStr"/>
      <c r="O2034" s="7" t="inlineStr"/>
    </row>
    <row r="2035">
      <c r="A2035" s="7" t="n">
        <v>628241</v>
      </c>
      <c r="B2035" s="10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1" t="n">
        <v>1</v>
      </c>
      <c r="G2035" s="11" t="n">
        <v>1</v>
      </c>
      <c r="H2035" s="8" t="n">
        <v>66.51000000000001</v>
      </c>
      <c r="I2035" s="8" t="n">
        <v>66.51000000000001</v>
      </c>
      <c r="J2035" s="8" t="n"/>
      <c r="K2035" s="7" t="inlineStr">
        <is>
          <t>SEM COTAÇÃO</t>
        </is>
      </c>
      <c r="L2035" s="8" t="n"/>
      <c r="M2035" s="12" t="n"/>
      <c r="N2035" s="7" t="inlineStr"/>
      <c r="O2035" s="7" t="inlineStr"/>
    </row>
    <row r="2036">
      <c r="A2036" s="7" t="n">
        <v>628231</v>
      </c>
      <c r="B2036" s="10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1" t="n">
        <v>1</v>
      </c>
      <c r="G2036" s="11" t="n">
        <v>1</v>
      </c>
      <c r="H2036" s="8" t="n">
        <v>64.91330000000001</v>
      </c>
      <c r="I2036" s="8" t="n">
        <v>64.91330000000001</v>
      </c>
      <c r="J2036" s="8" t="n"/>
      <c r="K2036" s="7" t="inlineStr">
        <is>
          <t>SEM COTAÇÃO</t>
        </is>
      </c>
      <c r="L2036" s="8" t="n"/>
      <c r="M2036" s="12" t="n"/>
      <c r="N2036" s="7" t="inlineStr"/>
      <c r="O2036" s="7" t="inlineStr"/>
    </row>
    <row r="2037">
      <c r="A2037" s="7" t="n">
        <v>628251</v>
      </c>
      <c r="B2037" s="10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1" t="n">
        <v>1</v>
      </c>
      <c r="G2037" s="11" t="n">
        <v>1</v>
      </c>
      <c r="H2037" s="8" t="n">
        <v>19.6975</v>
      </c>
      <c r="I2037" s="8" t="n">
        <v>19.6975</v>
      </c>
      <c r="J2037" s="8" t="n"/>
      <c r="K2037" s="7" t="inlineStr">
        <is>
          <t>SEM COTAÇÃO</t>
        </is>
      </c>
      <c r="L2037" s="8" t="n"/>
      <c r="M2037" s="12" t="n"/>
      <c r="N2037" s="7" t="inlineStr"/>
      <c r="O2037" s="7" t="inlineStr"/>
    </row>
    <row r="2038">
      <c r="A2038" s="7" t="n">
        <v>613521</v>
      </c>
      <c r="B2038" s="10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1" t="n">
        <v>1</v>
      </c>
      <c r="G2038" s="11" t="n">
        <v>1</v>
      </c>
      <c r="H2038" s="8" t="n">
        <v>57.14</v>
      </c>
      <c r="I2038" s="8" t="n">
        <v>57.14</v>
      </c>
      <c r="J2038" s="8" t="n"/>
      <c r="K2038" s="7" t="inlineStr">
        <is>
          <t>SEM COTAÇÃO</t>
        </is>
      </c>
      <c r="L2038" s="8" t="n"/>
      <c r="M2038" s="12" t="n"/>
      <c r="N2038" s="7" t="inlineStr"/>
      <c r="O2038" s="7" t="inlineStr"/>
    </row>
    <row r="2039">
      <c r="A2039" s="7" t="n">
        <v>628261</v>
      </c>
      <c r="B2039" s="10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1" t="n">
        <v>1</v>
      </c>
      <c r="G2039" s="11" t="n">
        <v>1</v>
      </c>
      <c r="H2039" s="8" t="n">
        <v>29.6</v>
      </c>
      <c r="I2039" s="8" t="n">
        <v>29.6</v>
      </c>
      <c r="J2039" s="8" t="n"/>
      <c r="K2039" s="7" t="inlineStr">
        <is>
          <t>SEM COTAÇÃO</t>
        </is>
      </c>
      <c r="L2039" s="8" t="n"/>
      <c r="M2039" s="12" t="n"/>
      <c r="N2039" s="7" t="inlineStr"/>
      <c r="O2039" s="7" t="inlineStr"/>
    </row>
    <row r="2040">
      <c r="A2040" s="7" t="n">
        <v>588041</v>
      </c>
      <c r="B2040" s="10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1" t="n">
        <v>1</v>
      </c>
      <c r="G2040" s="11" t="n">
        <v>1</v>
      </c>
      <c r="H2040" s="8" t="n">
        <v>16.9512</v>
      </c>
      <c r="I2040" s="8" t="n">
        <v>16.9512</v>
      </c>
      <c r="J2040" s="8" t="n"/>
      <c r="K2040" s="7" t="inlineStr">
        <is>
          <t>SEM COTAÇÃO</t>
        </is>
      </c>
      <c r="L2040" s="8" t="n"/>
      <c r="M2040" s="12" t="n"/>
      <c r="N2040" s="7" t="inlineStr"/>
      <c r="O2040" s="7" t="inlineStr"/>
    </row>
    <row r="2041">
      <c r="A2041" s="7" t="n">
        <v>630251</v>
      </c>
      <c r="B2041" s="10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1" t="n">
        <v>2</v>
      </c>
      <c r="G2041" s="11" t="n">
        <v>2</v>
      </c>
      <c r="H2041" s="8" t="n">
        <v>59.99</v>
      </c>
      <c r="I2041" s="8" t="n">
        <v>59.99</v>
      </c>
      <c r="J2041" s="8" t="n"/>
      <c r="K2041" s="7" t="inlineStr">
        <is>
          <t>SEM COTAÇÃO</t>
        </is>
      </c>
      <c r="L2041" s="8" t="n"/>
      <c r="M2041" s="12" t="n"/>
      <c r="N2041" s="7" t="inlineStr"/>
      <c r="O2041" s="7" t="inlineStr"/>
    </row>
    <row r="2042">
      <c r="A2042" s="7" t="n">
        <v>619651</v>
      </c>
      <c r="B2042" s="10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1" t="n">
        <v>1</v>
      </c>
      <c r="G2042" s="11" t="n">
        <v>1</v>
      </c>
      <c r="H2042" s="8" t="n">
        <v>23.9</v>
      </c>
      <c r="I2042" s="8" t="n">
        <v>22.99</v>
      </c>
      <c r="J2042" s="8" t="n"/>
      <c r="K2042" s="7" t="inlineStr">
        <is>
          <t>SEM COTAÇÃO</t>
        </is>
      </c>
      <c r="L2042" s="8" t="n"/>
      <c r="M2042" s="12" t="n"/>
      <c r="N2042" s="7" t="inlineStr"/>
      <c r="O2042" s="7" t="inlineStr"/>
    </row>
    <row r="2043">
      <c r="A2043" s="7" t="n">
        <v>564461</v>
      </c>
      <c r="B2043" s="10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1" t="n">
        <v>4</v>
      </c>
      <c r="G2043" s="11" t="n">
        <v>4</v>
      </c>
      <c r="H2043" s="8" t="n">
        <v>22.99</v>
      </c>
      <c r="I2043" s="8" t="n">
        <v>22.99</v>
      </c>
      <c r="J2043" s="8" t="n"/>
      <c r="K2043" s="7" t="inlineStr">
        <is>
          <t>SEM COTAÇÃO</t>
        </is>
      </c>
      <c r="L2043" s="8" t="n"/>
      <c r="M2043" s="12" t="n"/>
      <c r="N2043" s="7" t="inlineStr"/>
      <c r="O2043" s="7" t="inlineStr"/>
    </row>
    <row r="2044">
      <c r="A2044" s="7" t="n">
        <v>591901</v>
      </c>
      <c r="B2044" s="10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1" t="n">
        <v>8</v>
      </c>
      <c r="G2044" s="11" t="n">
        <v>8</v>
      </c>
      <c r="H2044" s="8" t="n">
        <v>23.9</v>
      </c>
      <c r="I2044" s="8" t="n">
        <v>22.99</v>
      </c>
      <c r="J2044" s="8" t="n"/>
      <c r="K2044" s="7" t="inlineStr">
        <is>
          <t>SEM COTAÇÃO</t>
        </is>
      </c>
      <c r="L2044" s="8" t="n"/>
      <c r="M2044" s="12" t="n"/>
      <c r="N2044" s="7" t="inlineStr"/>
      <c r="O2044" s="7" t="inlineStr"/>
    </row>
    <row r="2045">
      <c r="A2045" s="7" t="n">
        <v>541981</v>
      </c>
      <c r="B2045" s="10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1" t="n">
        <v>21</v>
      </c>
      <c r="G2045" s="11" t="n">
        <v>21</v>
      </c>
      <c r="H2045" s="8" t="n">
        <v>19.24</v>
      </c>
      <c r="I2045" s="8" t="n">
        <v>15.99</v>
      </c>
      <c r="J2045" s="8" t="n"/>
      <c r="K2045" s="7" t="inlineStr">
        <is>
          <t>SEM COTAÇÃO</t>
        </is>
      </c>
      <c r="L2045" s="8" t="n"/>
      <c r="M2045" s="12" t="n"/>
      <c r="N2045" s="7" t="inlineStr"/>
      <c r="O2045" s="7" t="inlineStr"/>
    </row>
    <row r="2046">
      <c r="A2046" s="7" t="n">
        <v>537281</v>
      </c>
      <c r="B2046" s="10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1" t="n">
        <v>7</v>
      </c>
      <c r="G2046" s="11" t="n">
        <v>7</v>
      </c>
      <c r="H2046" s="8" t="n">
        <v>16.29</v>
      </c>
      <c r="I2046" s="8" t="n">
        <v>15.99</v>
      </c>
      <c r="J2046" s="8" t="n"/>
      <c r="K2046" s="7" t="inlineStr">
        <is>
          <t>SEM COTAÇÃO</t>
        </is>
      </c>
      <c r="L2046" s="8" t="n"/>
      <c r="M2046" s="12" t="n"/>
      <c r="N2046" s="7" t="inlineStr"/>
      <c r="O2046" s="7" t="inlineStr"/>
    </row>
    <row r="2047">
      <c r="A2047" s="7" t="n">
        <v>537421</v>
      </c>
      <c r="B2047" s="10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1" t="n">
        <v>4</v>
      </c>
      <c r="G2047" s="11" t="n">
        <v>4</v>
      </c>
      <c r="H2047" s="8" t="n">
        <v>16.29</v>
      </c>
      <c r="I2047" s="8" t="n">
        <v>16.29</v>
      </c>
      <c r="J2047" s="8" t="n"/>
      <c r="K2047" s="7" t="inlineStr">
        <is>
          <t>SEM COTAÇÃO</t>
        </is>
      </c>
      <c r="L2047" s="8" t="n"/>
      <c r="M2047" s="12" t="n"/>
      <c r="N2047" s="7" t="inlineStr"/>
      <c r="O2047" s="7" t="inlineStr"/>
    </row>
    <row r="2048">
      <c r="A2048" s="7" t="n">
        <v>544461</v>
      </c>
      <c r="B2048" s="10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1" t="n">
        <v>2</v>
      </c>
      <c r="G2048" s="11" t="n">
        <v>2</v>
      </c>
      <c r="H2048" s="8" t="n">
        <v>33.99</v>
      </c>
      <c r="I2048" s="8" t="n">
        <v>33.99</v>
      </c>
      <c r="J2048" s="8" t="n"/>
      <c r="K2048" s="7" t="inlineStr">
        <is>
          <t>SEM COTAÇÃO</t>
        </is>
      </c>
      <c r="L2048" s="8" t="n"/>
      <c r="M2048" s="12" t="n"/>
      <c r="N2048" s="7" t="inlineStr"/>
      <c r="O2048" s="7" t="inlineStr"/>
    </row>
    <row r="2049">
      <c r="A2049" s="7" t="n">
        <v>537301</v>
      </c>
      <c r="B2049" s="10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1" t="n">
        <v>13</v>
      </c>
      <c r="G2049" s="11" t="n">
        <v>13</v>
      </c>
      <c r="H2049" s="8" t="n">
        <v>31.99</v>
      </c>
      <c r="I2049" s="8" t="n">
        <v>31.99</v>
      </c>
      <c r="J2049" s="8" t="n"/>
      <c r="K2049" s="7" t="inlineStr">
        <is>
          <t>SEM COTAÇÃO</t>
        </is>
      </c>
      <c r="L2049" s="8" t="n"/>
      <c r="M2049" s="12" t="n"/>
      <c r="N2049" s="7" t="inlineStr"/>
      <c r="O2049" s="7" t="inlineStr"/>
    </row>
    <row r="2050">
      <c r="A2050" s="7" t="n">
        <v>597391</v>
      </c>
      <c r="B2050" s="10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1" t="n">
        <v>3</v>
      </c>
      <c r="G2050" s="11" t="n">
        <v>3</v>
      </c>
      <c r="H2050" s="8" t="n">
        <v>59</v>
      </c>
      <c r="I2050" s="8" t="n">
        <v>59</v>
      </c>
      <c r="J2050" s="8" t="n"/>
      <c r="K2050" s="7" t="inlineStr">
        <is>
          <t>SEM COTAÇÃO</t>
        </is>
      </c>
      <c r="L2050" s="8" t="n"/>
      <c r="M2050" s="12" t="n"/>
      <c r="N2050" s="7" t="inlineStr"/>
      <c r="O2050" s="7" t="inlineStr"/>
    </row>
    <row r="2051">
      <c r="A2051" s="7" t="n">
        <v>596771</v>
      </c>
      <c r="B2051" s="10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1" t="n">
        <v>5</v>
      </c>
      <c r="G2051" s="11" t="n">
        <v>5</v>
      </c>
      <c r="H2051" s="8" t="n">
        <v>60.9</v>
      </c>
      <c r="I2051" s="8" t="n">
        <v>60.9</v>
      </c>
      <c r="J2051" s="8" t="n"/>
      <c r="K2051" s="7" t="inlineStr">
        <is>
          <t>SEM COTAÇÃO</t>
        </is>
      </c>
      <c r="L2051" s="8" t="n"/>
      <c r="M2051" s="12" t="n"/>
      <c r="N2051" s="7" t="inlineStr"/>
      <c r="O2051" s="7" t="inlineStr"/>
    </row>
    <row r="2052">
      <c r="A2052" s="7" t="n">
        <v>596781</v>
      </c>
      <c r="B2052" s="10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1" t="n">
        <v>1</v>
      </c>
      <c r="G2052" s="11" t="n">
        <v>1</v>
      </c>
      <c r="H2052" s="8" t="n">
        <v>32.99</v>
      </c>
      <c r="I2052" s="8" t="n">
        <v>32.99</v>
      </c>
      <c r="J2052" s="8" t="n"/>
      <c r="K2052" s="7" t="inlineStr">
        <is>
          <t>SEM COTAÇÃO</t>
        </is>
      </c>
      <c r="L2052" s="8" t="n"/>
      <c r="M2052" s="12" t="n"/>
      <c r="N2052" s="7" t="inlineStr"/>
      <c r="O2052" s="7" t="inlineStr"/>
    </row>
    <row r="2053">
      <c r="A2053" s="7" t="n">
        <v>644881</v>
      </c>
      <c r="B2053" s="10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1" t="n">
        <v>1</v>
      </c>
      <c r="G2053" s="11" t="n">
        <v>1</v>
      </c>
      <c r="H2053" s="8" t="n">
        <v>49.06</v>
      </c>
      <c r="I2053" s="8" t="n">
        <v>49.06</v>
      </c>
      <c r="J2053" s="8" t="n"/>
      <c r="K2053" s="7" t="inlineStr">
        <is>
          <t>SEM COTAÇÃO</t>
        </is>
      </c>
      <c r="L2053" s="8" t="n"/>
      <c r="M2053" s="12" t="n"/>
      <c r="N2053" s="7" t="inlineStr"/>
      <c r="O2053" s="7" t="inlineStr"/>
    </row>
    <row r="2054">
      <c r="A2054" s="7" t="n">
        <v>644911</v>
      </c>
      <c r="B2054" s="10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1" t="n">
        <v>1</v>
      </c>
      <c r="G2054" s="11" t="n">
        <v>1</v>
      </c>
      <c r="H2054" s="8" t="n">
        <v>49.06</v>
      </c>
      <c r="I2054" s="8" t="n">
        <v>49.06</v>
      </c>
      <c r="J2054" s="8" t="n"/>
      <c r="K2054" s="7" t="inlineStr">
        <is>
          <t>SEM COTAÇÃO</t>
        </is>
      </c>
      <c r="L2054" s="8" t="n"/>
      <c r="M2054" s="12" t="n"/>
      <c r="N2054" s="7" t="inlineStr"/>
      <c r="O2054" s="7" t="inlineStr"/>
    </row>
    <row r="2055">
      <c r="A2055" s="7" t="n">
        <v>674791</v>
      </c>
      <c r="B2055" s="10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1" t="n">
        <v>4</v>
      </c>
      <c r="G2055" s="11" t="n">
        <v>4</v>
      </c>
      <c r="H2055" s="8" t="n">
        <v>18.49</v>
      </c>
      <c r="I2055" s="8" t="n">
        <v>18.49</v>
      </c>
      <c r="J2055" s="8" t="n"/>
      <c r="K2055" s="7" t="inlineStr">
        <is>
          <t>SEM COTAÇÃO</t>
        </is>
      </c>
      <c r="L2055" s="8" t="n"/>
      <c r="M2055" s="12" t="n"/>
      <c r="N2055" s="7" t="inlineStr"/>
      <c r="O2055" s="7" t="inlineStr"/>
    </row>
    <row r="2056">
      <c r="A2056" s="7" t="n">
        <v>674801</v>
      </c>
      <c r="B2056" s="10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1" t="n">
        <v>6</v>
      </c>
      <c r="G2056" s="11" t="n">
        <v>6</v>
      </c>
      <c r="H2056" s="8" t="n">
        <v>18.49</v>
      </c>
      <c r="I2056" s="8" t="n">
        <v>18.49</v>
      </c>
      <c r="J2056" s="8" t="n"/>
      <c r="K2056" s="7" t="inlineStr">
        <is>
          <t>SEM COTAÇÃO</t>
        </is>
      </c>
      <c r="L2056" s="8" t="n"/>
      <c r="M2056" s="12" t="n"/>
      <c r="N2056" s="7" t="inlineStr"/>
      <c r="O2056" s="7" t="inlineStr"/>
    </row>
    <row r="2057">
      <c r="A2057" s="7" t="n">
        <v>674781</v>
      </c>
      <c r="B2057" s="10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1" t="n">
        <v>4</v>
      </c>
      <c r="G2057" s="11" t="n">
        <v>4</v>
      </c>
      <c r="H2057" s="8" t="n">
        <v>18.49</v>
      </c>
      <c r="I2057" s="8" t="n">
        <v>18.49</v>
      </c>
      <c r="J2057" s="8" t="n"/>
      <c r="K2057" s="7" t="inlineStr">
        <is>
          <t>SEM COTAÇÃO</t>
        </is>
      </c>
      <c r="L2057" s="8" t="n"/>
      <c r="M2057" s="12" t="n"/>
      <c r="N2057" s="7" t="inlineStr"/>
      <c r="O2057" s="7" t="inlineStr"/>
    </row>
    <row r="2058">
      <c r="A2058" s="7" t="n">
        <v>537441</v>
      </c>
      <c r="B2058" s="10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1" t="n">
        <v>15</v>
      </c>
      <c r="G2058" s="11" t="n">
        <v>15</v>
      </c>
      <c r="H2058" s="8" t="n">
        <v>15.99</v>
      </c>
      <c r="I2058" s="8" t="n">
        <v>14.99</v>
      </c>
      <c r="J2058" s="8" t="n"/>
      <c r="K2058" s="7" t="inlineStr">
        <is>
          <t>SEM COTAÇÃO</t>
        </is>
      </c>
      <c r="L2058" s="8" t="n"/>
      <c r="M2058" s="12" t="n"/>
      <c r="N2058" s="7" t="inlineStr"/>
      <c r="O2058" s="7" t="inlineStr"/>
    </row>
    <row r="2059">
      <c r="A2059" s="7" t="n">
        <v>569781</v>
      </c>
      <c r="B2059" s="10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1" t="n">
        <v>25</v>
      </c>
      <c r="G2059" s="11" t="n">
        <v>25</v>
      </c>
      <c r="H2059" s="8" t="n"/>
      <c r="I2059" s="8" t="n"/>
      <c r="J2059" s="8" t="n"/>
      <c r="K2059" s="7" t="inlineStr">
        <is>
          <t>SEM COTAÇÃO</t>
        </is>
      </c>
      <c r="L2059" s="8" t="n"/>
      <c r="M2059" s="12" t="n"/>
      <c r="N2059" s="7" t="inlineStr"/>
      <c r="O2059" s="7" t="inlineStr"/>
    </row>
    <row r="2060">
      <c r="A2060" s="7" t="n">
        <v>580761</v>
      </c>
      <c r="B2060" s="10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1" t="n">
        <v>1</v>
      </c>
      <c r="G2060" s="11" t="n">
        <v>3</v>
      </c>
      <c r="H2060" s="8" t="n">
        <v>28.585</v>
      </c>
      <c r="I2060" s="8" t="n">
        <v>27.81</v>
      </c>
      <c r="J2060" s="8" t="n"/>
      <c r="K2060" s="7" t="inlineStr">
        <is>
          <t>SEM COTAÇÃO</t>
        </is>
      </c>
      <c r="L2060" s="8" t="n"/>
      <c r="M2060" s="12" t="n"/>
      <c r="N2060" s="7" t="inlineStr"/>
      <c r="O2060" s="7" t="inlineStr"/>
    </row>
    <row r="2061">
      <c r="A2061" s="7" t="n">
        <v>589251</v>
      </c>
      <c r="B2061" s="10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1" t="n">
        <v>1</v>
      </c>
      <c r="G2061" s="11" t="n">
        <v>1</v>
      </c>
      <c r="H2061" s="8" t="n">
        <v>39.425</v>
      </c>
      <c r="I2061" s="8" t="n">
        <v>39.425</v>
      </c>
      <c r="J2061" s="8" t="n"/>
      <c r="K2061" s="7" t="inlineStr">
        <is>
          <t>SEM COTAÇÃO</t>
        </is>
      </c>
      <c r="L2061" s="8" t="n"/>
      <c r="M2061" s="12" t="n"/>
      <c r="N2061" s="7" t="inlineStr"/>
      <c r="O2061" s="7" t="inlineStr"/>
    </row>
    <row r="2062">
      <c r="A2062" s="7" t="n">
        <v>669851</v>
      </c>
      <c r="B2062" s="10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1" t="n">
        <v>3</v>
      </c>
      <c r="G2062" s="11" t="n">
        <v>3</v>
      </c>
      <c r="H2062" s="8" t="n">
        <v>78.02</v>
      </c>
      <c r="I2062" s="8" t="n">
        <v>75.34999999999999</v>
      </c>
      <c r="J2062" s="8" t="n"/>
      <c r="K2062" s="7" t="inlineStr">
        <is>
          <t>SEM COTAÇÃO</t>
        </is>
      </c>
      <c r="L2062" s="8" t="n"/>
      <c r="M2062" s="12" t="n"/>
      <c r="N2062" s="7" t="inlineStr"/>
      <c r="O2062" s="7" t="inlineStr"/>
    </row>
    <row r="2063">
      <c r="A2063" s="7" t="n">
        <v>669871</v>
      </c>
      <c r="B2063" s="10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1" t="n">
        <v>1</v>
      </c>
      <c r="G2063" s="11" t="n">
        <v>1</v>
      </c>
      <c r="H2063" s="8" t="n">
        <v>30.09</v>
      </c>
      <c r="I2063" s="8" t="n">
        <v>30.09</v>
      </c>
      <c r="J2063" s="8" t="n"/>
      <c r="K2063" s="7" t="inlineStr">
        <is>
          <t>SEM COTAÇÃO</t>
        </is>
      </c>
      <c r="L2063" s="8" t="n"/>
      <c r="M2063" s="12" t="n"/>
      <c r="N2063" s="7" t="inlineStr"/>
      <c r="O2063" s="7" t="inlineStr"/>
    </row>
    <row r="2064">
      <c r="A2064" s="7" t="n">
        <v>673961</v>
      </c>
      <c r="B2064" s="10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1" t="n">
        <v>3</v>
      </c>
      <c r="G2064" s="11" t="n">
        <v>3</v>
      </c>
      <c r="H2064" s="8" t="n">
        <v>48.51</v>
      </c>
      <c r="I2064" s="8" t="n">
        <v>48.51</v>
      </c>
      <c r="J2064" s="8" t="n"/>
      <c r="K2064" s="7" t="inlineStr">
        <is>
          <t>SEM COTAÇÃO</t>
        </is>
      </c>
      <c r="L2064" s="8" t="n"/>
      <c r="M2064" s="12" t="n"/>
      <c r="N2064" s="7" t="inlineStr"/>
      <c r="O2064" s="7" t="inlineStr"/>
    </row>
    <row r="2065">
      <c r="A2065" s="7" t="n">
        <v>585681</v>
      </c>
      <c r="B2065" s="10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1" t="n">
        <v>1</v>
      </c>
      <c r="G2065" s="11" t="n">
        <v>2</v>
      </c>
      <c r="H2065" s="8" t="n">
        <v>36.0325</v>
      </c>
      <c r="I2065" s="8" t="n">
        <v>36.0325</v>
      </c>
      <c r="J2065" s="8" t="n"/>
      <c r="K2065" s="7" t="inlineStr">
        <is>
          <t>SEM COTAÇÃO</t>
        </is>
      </c>
      <c r="L2065" s="8" t="n"/>
      <c r="M2065" s="12" t="n"/>
      <c r="N2065" s="7" t="inlineStr"/>
      <c r="O2065" s="7" t="inlineStr"/>
    </row>
    <row r="2066">
      <c r="A2066" s="7" t="n">
        <v>669841</v>
      </c>
      <c r="B2066" s="10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1" t="n">
        <v>4</v>
      </c>
      <c r="G2066" s="11" t="n">
        <v>4</v>
      </c>
      <c r="H2066" s="8" t="n">
        <v>67.87</v>
      </c>
      <c r="I2066" s="8" t="n">
        <v>65.54000000000001</v>
      </c>
      <c r="J2066" s="8" t="n"/>
      <c r="K2066" s="7" t="inlineStr">
        <is>
          <t>SEM COTAÇÃO</t>
        </is>
      </c>
      <c r="L2066" s="8" t="n"/>
      <c r="M2066" s="12" t="n"/>
      <c r="N2066" s="7" t="inlineStr"/>
      <c r="O2066" s="7" t="inlineStr"/>
    </row>
    <row r="2067">
      <c r="A2067" s="7" t="n">
        <v>669861</v>
      </c>
      <c r="B2067" s="10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1" t="n">
        <v>4</v>
      </c>
      <c r="G2067" s="11" t="n">
        <v>4</v>
      </c>
      <c r="H2067" s="8" t="n">
        <v>24.81</v>
      </c>
      <c r="I2067" s="8" t="n">
        <v>24.81</v>
      </c>
      <c r="J2067" s="8" t="n"/>
      <c r="K2067" s="7" t="inlineStr">
        <is>
          <t>SEM COTAÇÃO</t>
        </is>
      </c>
      <c r="L2067" s="8" t="n"/>
      <c r="M2067" s="12" t="n"/>
      <c r="N2067" s="7" t="inlineStr"/>
      <c r="O2067" s="7" t="inlineStr"/>
    </row>
    <row r="2068">
      <c r="A2068" s="7" t="n">
        <v>585701</v>
      </c>
      <c r="B2068" s="10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1" t="n">
        <v>1</v>
      </c>
      <c r="G2068" s="11" t="n">
        <v>1</v>
      </c>
      <c r="H2068" s="8" t="n">
        <v>36.0325</v>
      </c>
      <c r="I2068" s="8" t="n">
        <v>36.0325</v>
      </c>
      <c r="J2068" s="8" t="n"/>
      <c r="K2068" s="7" t="inlineStr">
        <is>
          <t>SEM COTAÇÃO</t>
        </is>
      </c>
      <c r="L2068" s="8" t="n"/>
      <c r="M2068" s="12" t="n"/>
      <c r="N2068" s="7" t="inlineStr"/>
      <c r="O2068" s="7" t="inlineStr"/>
    </row>
    <row r="2069">
      <c r="A2069" s="7" t="n">
        <v>673971</v>
      </c>
      <c r="B2069" s="10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1" t="n">
        <v>7</v>
      </c>
      <c r="G2069" s="11" t="n">
        <v>7</v>
      </c>
      <c r="H2069" s="8" t="n">
        <v>48.51</v>
      </c>
      <c r="I2069" s="8" t="n">
        <v>48.51</v>
      </c>
      <c r="J2069" s="8" t="n"/>
      <c r="K2069" s="7" t="inlineStr">
        <is>
          <t>SEM COTAÇÃO</t>
        </is>
      </c>
      <c r="L2069" s="8" t="n"/>
      <c r="M2069" s="12" t="n"/>
      <c r="N2069" s="7" t="inlineStr"/>
      <c r="O2069" s="7" t="inlineStr"/>
    </row>
    <row r="2070">
      <c r="A2070" s="7" t="n">
        <v>627581</v>
      </c>
      <c r="B2070" s="10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1" t="n">
        <v>1</v>
      </c>
      <c r="G2070" s="11" t="n">
        <v>1</v>
      </c>
      <c r="H2070" s="8" t="n">
        <v>24.63</v>
      </c>
      <c r="I2070" s="8" t="n">
        <v>24.63</v>
      </c>
      <c r="J2070" s="8" t="n"/>
      <c r="K2070" s="7" t="inlineStr">
        <is>
          <t>SEM COTAÇÃO</t>
        </is>
      </c>
      <c r="L2070" s="8" t="n"/>
      <c r="M2070" s="12" t="n"/>
      <c r="N2070" s="7" t="inlineStr"/>
      <c r="O2070" s="7" t="inlineStr"/>
    </row>
    <row r="2071">
      <c r="A2071" s="7" t="n">
        <v>652231</v>
      </c>
      <c r="B2071" s="10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1" t="n">
        <v>2</v>
      </c>
      <c r="G2071" s="11" t="n">
        <v>2</v>
      </c>
      <c r="H2071" s="8" t="n">
        <v>27.9</v>
      </c>
      <c r="I2071" s="8" t="n">
        <v>27.9</v>
      </c>
      <c r="J2071" s="8" t="n"/>
      <c r="K2071" s="7" t="inlineStr">
        <is>
          <t>SEM COTAÇÃO</t>
        </is>
      </c>
      <c r="L2071" s="8" t="n"/>
      <c r="M2071" s="12" t="n"/>
      <c r="N2071" s="7" t="inlineStr"/>
      <c r="O2071" s="7" t="inlineStr"/>
    </row>
    <row r="2072">
      <c r="A2072" s="7" t="n">
        <v>652251</v>
      </c>
      <c r="B2072" s="10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1" t="n">
        <v>1</v>
      </c>
      <c r="G2072" s="11" t="n">
        <v>1</v>
      </c>
      <c r="H2072" s="8" t="n">
        <v>25.54</v>
      </c>
      <c r="I2072" s="8" t="n">
        <v>25.54</v>
      </c>
      <c r="J2072" s="8" t="n"/>
      <c r="K2072" s="7" t="inlineStr">
        <is>
          <t>SEM COTAÇÃO</t>
        </is>
      </c>
      <c r="L2072" s="8" t="n"/>
      <c r="M2072" s="12" t="n"/>
      <c r="N2072" s="7" t="inlineStr"/>
      <c r="O2072" s="7" t="inlineStr"/>
    </row>
    <row r="2073">
      <c r="A2073" s="7" t="n">
        <v>652241</v>
      </c>
      <c r="B2073" s="10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1" t="n">
        <v>1</v>
      </c>
      <c r="G2073" s="11" t="n">
        <v>1</v>
      </c>
      <c r="H2073" s="8" t="n">
        <v>25.54</v>
      </c>
      <c r="I2073" s="8" t="n">
        <v>25.54</v>
      </c>
      <c r="J2073" s="8" t="n"/>
      <c r="K2073" s="7" t="inlineStr">
        <is>
          <t>SEM COTAÇÃO</t>
        </is>
      </c>
      <c r="L2073" s="8" t="n"/>
      <c r="M2073" s="12" t="n"/>
      <c r="N2073" s="7" t="inlineStr"/>
      <c r="O2073" s="7" t="inlineStr"/>
    </row>
    <row r="2074">
      <c r="A2074" s="7" t="n">
        <v>687201</v>
      </c>
      <c r="B2074" s="10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1" t="n">
        <v>2</v>
      </c>
      <c r="G2074" s="11" t="n">
        <v>2</v>
      </c>
      <c r="H2074" s="8" t="n">
        <v>60</v>
      </c>
      <c r="I2074" s="8" t="n">
        <v>60</v>
      </c>
      <c r="J2074" s="8" t="n"/>
      <c r="K2074" s="7" t="inlineStr">
        <is>
          <t>SEM COTAÇÃO</t>
        </is>
      </c>
      <c r="L2074" s="8" t="n"/>
      <c r="M2074" s="12" t="n"/>
      <c r="N2074" s="7" t="inlineStr"/>
      <c r="O2074" s="7" t="inlineStr"/>
    </row>
    <row r="2075">
      <c r="A2075" s="7" t="n">
        <v>687701</v>
      </c>
      <c r="B2075" s="10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1" t="n">
        <v>2</v>
      </c>
      <c r="G2075" s="11" t="n">
        <v>2</v>
      </c>
      <c r="H2075" s="8" t="n">
        <v>60</v>
      </c>
      <c r="I2075" s="8" t="n">
        <v>60</v>
      </c>
      <c r="J2075" s="8" t="n"/>
      <c r="K2075" s="7" t="inlineStr">
        <is>
          <t>SEM COTAÇÃO</t>
        </is>
      </c>
      <c r="L2075" s="8" t="n"/>
      <c r="M2075" s="12" t="n"/>
      <c r="N2075" s="7" t="inlineStr"/>
      <c r="O2075" s="7" t="inlineStr"/>
    </row>
    <row r="2076">
      <c r="A2076" s="7" t="n">
        <v>687301</v>
      </c>
      <c r="B2076" s="10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1" t="n">
        <v>1</v>
      </c>
      <c r="G2076" s="11" t="n">
        <v>1</v>
      </c>
      <c r="H2076" s="8" t="n">
        <v>60</v>
      </c>
      <c r="I2076" s="8" t="n">
        <v>60</v>
      </c>
      <c r="J2076" s="8" t="n"/>
      <c r="K2076" s="7" t="inlineStr">
        <is>
          <t>SEM COTAÇÃO</t>
        </is>
      </c>
      <c r="L2076" s="8" t="n"/>
      <c r="M2076" s="12" t="n"/>
      <c r="N2076" s="7" t="inlineStr"/>
      <c r="O2076" s="7" t="inlineStr"/>
    </row>
    <row r="2077">
      <c r="A2077" s="7" t="n">
        <v>687401</v>
      </c>
      <c r="B2077" s="10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1" t="n">
        <v>1</v>
      </c>
      <c r="G2077" s="11" t="n">
        <v>1</v>
      </c>
      <c r="H2077" s="8" t="n">
        <v>60</v>
      </c>
      <c r="I2077" s="8" t="n">
        <v>60</v>
      </c>
      <c r="J2077" s="8" t="n"/>
      <c r="K2077" s="7" t="inlineStr">
        <is>
          <t>SEM COTAÇÃO</t>
        </is>
      </c>
      <c r="L2077" s="8" t="n"/>
      <c r="M2077" s="12" t="n"/>
      <c r="N2077" s="7" t="inlineStr"/>
      <c r="O2077" s="7" t="inlineStr"/>
    </row>
    <row r="2078">
      <c r="A2078" s="7" t="n">
        <v>594871</v>
      </c>
      <c r="B2078" s="10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1" t="n">
        <v>1</v>
      </c>
      <c r="G2078" s="11" t="n">
        <v>1</v>
      </c>
      <c r="H2078" s="8" t="n">
        <v>51.9075</v>
      </c>
      <c r="I2078" s="8" t="n">
        <v>51.9075</v>
      </c>
      <c r="J2078" s="8" t="n"/>
      <c r="K2078" s="7" t="inlineStr">
        <is>
          <t>SEM COTAÇÃO</t>
        </is>
      </c>
      <c r="L2078" s="8" t="n"/>
      <c r="M2078" s="12" t="n"/>
      <c r="N2078" s="7" t="inlineStr"/>
      <c r="O2078" s="7" t="inlineStr"/>
    </row>
    <row r="2079">
      <c r="A2079" s="7" t="n">
        <v>606191</v>
      </c>
      <c r="B2079" s="10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1" t="n">
        <v>1</v>
      </c>
      <c r="G2079" s="11" t="n">
        <v>1</v>
      </c>
      <c r="H2079" s="8" t="n">
        <v>56.7525</v>
      </c>
      <c r="I2079" s="8" t="n">
        <v>56.7525</v>
      </c>
      <c r="J2079" s="8" t="n"/>
      <c r="K2079" s="7" t="inlineStr">
        <is>
          <t>SEM COTAÇÃO</t>
        </is>
      </c>
      <c r="L2079" s="8" t="n"/>
      <c r="M2079" s="12" t="n"/>
      <c r="N2079" s="7" t="inlineStr"/>
      <c r="O2079" s="7" t="inlineStr"/>
    </row>
    <row r="2080">
      <c r="A2080" s="7" t="n">
        <v>609191</v>
      </c>
      <c r="B2080" s="10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1" t="n">
        <v>10</v>
      </c>
      <c r="G2080" s="11" t="n">
        <v>10</v>
      </c>
      <c r="H2080" s="8" t="n">
        <v>25.99</v>
      </c>
      <c r="I2080" s="8" t="n">
        <v>25.99</v>
      </c>
      <c r="J2080" s="8" t="n"/>
      <c r="K2080" s="7" t="inlineStr">
        <is>
          <t>SEM COTAÇÃO</t>
        </is>
      </c>
      <c r="L2080" s="8" t="n"/>
      <c r="M2080" s="12" t="n"/>
      <c r="N2080" s="7" t="inlineStr"/>
      <c r="O2080" s="7" t="inlineStr"/>
    </row>
    <row r="2081">
      <c r="A2081" s="7" t="n">
        <v>604651</v>
      </c>
      <c r="B2081" s="10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1" t="n">
        <v>1</v>
      </c>
      <c r="G2081" s="11" t="n">
        <v>1</v>
      </c>
      <c r="H2081" s="8" t="n">
        <v>25.99</v>
      </c>
      <c r="I2081" s="8" t="n">
        <v>25.99</v>
      </c>
      <c r="J2081" s="8" t="n"/>
      <c r="K2081" s="7" t="inlineStr">
        <is>
          <t>SEM COTAÇÃO</t>
        </is>
      </c>
      <c r="L2081" s="8" t="n"/>
      <c r="M2081" s="12" t="n"/>
      <c r="N2081" s="7" t="inlineStr"/>
      <c r="O2081" s="7" t="inlineStr"/>
    </row>
    <row r="2082">
      <c r="A2082" s="7" t="n">
        <v>591921</v>
      </c>
      <c r="B2082" s="10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1" t="n">
        <v>1</v>
      </c>
      <c r="G2082" s="11" t="n">
        <v>1</v>
      </c>
      <c r="H2082" s="8" t="n">
        <v>65.17749999999999</v>
      </c>
      <c r="I2082" s="8" t="n">
        <v>65.17749999999999</v>
      </c>
      <c r="J2082" s="8" t="n"/>
      <c r="K2082" s="7" t="inlineStr">
        <is>
          <t>SEM COTAÇÃO</t>
        </is>
      </c>
      <c r="L2082" s="8" t="n"/>
      <c r="M2082" s="12" t="n"/>
      <c r="N2082" s="7" t="inlineStr"/>
      <c r="O2082" s="7" t="inlineStr"/>
    </row>
    <row r="2083">
      <c r="A2083" s="7" t="n">
        <v>604641</v>
      </c>
      <c r="B2083" s="10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1" t="n">
        <v>6</v>
      </c>
      <c r="G2083" s="11" t="n">
        <v>6</v>
      </c>
      <c r="H2083" s="8" t="n">
        <v>45.49</v>
      </c>
      <c r="I2083" s="8" t="n">
        <v>45.49</v>
      </c>
      <c r="J2083" s="8" t="n"/>
      <c r="K2083" s="7" t="inlineStr">
        <is>
          <t>SEM COTAÇÃO</t>
        </is>
      </c>
      <c r="L2083" s="8" t="n"/>
      <c r="M2083" s="12" t="n"/>
      <c r="N2083" s="7" t="inlineStr"/>
      <c r="O2083" s="7" t="inlineStr"/>
    </row>
    <row r="2084">
      <c r="A2084" s="7" t="n">
        <v>609241</v>
      </c>
      <c r="B2084" s="10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1" t="n">
        <v>1</v>
      </c>
      <c r="G2084" s="11" t="n">
        <v>1</v>
      </c>
      <c r="H2084" s="8" t="n">
        <v>33.6</v>
      </c>
      <c r="I2084" s="8" t="n">
        <v>33.6</v>
      </c>
      <c r="J2084" s="8" t="n"/>
      <c r="K2084" s="7" t="inlineStr">
        <is>
          <t>SEM COTAÇÃO</t>
        </is>
      </c>
      <c r="L2084" s="8" t="n"/>
      <c r="M2084" s="12" t="n"/>
      <c r="N2084" s="7" t="inlineStr"/>
      <c r="O2084" s="7" t="inlineStr"/>
    </row>
    <row r="2085">
      <c r="A2085" s="7" t="n">
        <v>609251</v>
      </c>
      <c r="B2085" s="10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1" t="n">
        <v>1</v>
      </c>
      <c r="G2085" s="11" t="n">
        <v>1</v>
      </c>
      <c r="H2085" s="8" t="n">
        <v>98</v>
      </c>
      <c r="I2085" s="8" t="n">
        <v>98</v>
      </c>
      <c r="J2085" s="8" t="n"/>
      <c r="K2085" s="7" t="inlineStr">
        <is>
          <t>SEM COTAÇÃO</t>
        </is>
      </c>
      <c r="L2085" s="8" t="n"/>
      <c r="M2085" s="12" t="n"/>
      <c r="N2085" s="7" t="inlineStr"/>
      <c r="O2085" s="7" t="inlineStr"/>
    </row>
    <row r="2086">
      <c r="A2086" s="7" t="n">
        <v>659661</v>
      </c>
      <c r="B2086" s="10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1" t="n">
        <v>1</v>
      </c>
      <c r="G2086" s="11" t="n">
        <v>1</v>
      </c>
      <c r="H2086" s="8" t="n">
        <v>28.6</v>
      </c>
      <c r="I2086" s="8" t="n">
        <v>28.6</v>
      </c>
      <c r="J2086" s="8" t="n"/>
      <c r="K2086" s="7" t="inlineStr">
        <is>
          <t>SEM COTAÇÃO</t>
        </is>
      </c>
      <c r="L2086" s="8" t="n"/>
      <c r="M2086" s="12" t="n"/>
      <c r="N2086" s="7" t="inlineStr"/>
      <c r="O2086" s="7" t="inlineStr"/>
    </row>
    <row r="2087">
      <c r="A2087" s="7" t="n">
        <v>591421</v>
      </c>
      <c r="B2087" s="10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1" t="n">
        <v>1</v>
      </c>
      <c r="G2087" s="11" t="n">
        <v>1</v>
      </c>
      <c r="H2087" s="8" t="n">
        <v>30.04</v>
      </c>
      <c r="I2087" s="8" t="n">
        <v>30.04</v>
      </c>
      <c r="J2087" s="8" t="n"/>
      <c r="K2087" s="7" t="inlineStr">
        <is>
          <t>SEM COTAÇÃO</t>
        </is>
      </c>
      <c r="L2087" s="8" t="n"/>
      <c r="M2087" s="12" t="n"/>
      <c r="N2087" s="7" t="inlineStr"/>
      <c r="O2087" s="7" t="inlineStr"/>
    </row>
    <row r="2088">
      <c r="A2088" s="7" t="n">
        <v>591351</v>
      </c>
      <c r="B2088" s="10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1" t="n">
        <v>1</v>
      </c>
      <c r="G2088" s="11" t="n">
        <v>1</v>
      </c>
      <c r="H2088" s="8" t="n">
        <v>30.04</v>
      </c>
      <c r="I2088" s="8" t="n">
        <v>30.04</v>
      </c>
      <c r="J2088" s="8" t="n"/>
      <c r="K2088" s="7" t="inlineStr">
        <is>
          <t>SEM COTAÇÃO</t>
        </is>
      </c>
      <c r="L2088" s="8" t="n"/>
      <c r="M2088" s="12" t="n"/>
      <c r="N2088" s="7" t="inlineStr"/>
      <c r="O2088" s="7" t="inlineStr"/>
    </row>
    <row r="2089">
      <c r="A2089" s="7" t="n">
        <v>583421</v>
      </c>
      <c r="B2089" s="10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1" t="n">
        <v>1</v>
      </c>
      <c r="G2089" s="11" t="n">
        <v>1</v>
      </c>
      <c r="H2089" s="8" t="n">
        <v>53.75</v>
      </c>
      <c r="I2089" s="8" t="n">
        <v>53.75</v>
      </c>
      <c r="J2089" s="8" t="n"/>
      <c r="K2089" s="7" t="inlineStr">
        <is>
          <t>SEM COTAÇÃO</t>
        </is>
      </c>
      <c r="L2089" s="8" t="n"/>
      <c r="M2089" s="12" t="n"/>
      <c r="N2089" s="7" t="inlineStr"/>
      <c r="O2089" s="7" t="inlineStr"/>
    </row>
    <row r="2090">
      <c r="A2090" s="7" t="n">
        <v>591461</v>
      </c>
      <c r="B2090" s="10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1" t="n">
        <v>1</v>
      </c>
      <c r="G2090" s="11" t="n">
        <v>1</v>
      </c>
      <c r="H2090" s="8" t="n">
        <v>53.38</v>
      </c>
      <c r="I2090" s="8" t="n">
        <v>53.38</v>
      </c>
      <c r="J2090" s="8" t="n"/>
      <c r="K2090" s="7" t="inlineStr">
        <is>
          <t>SEM COTAÇÃO</t>
        </is>
      </c>
      <c r="L2090" s="8" t="n"/>
      <c r="M2090" s="12" t="n"/>
      <c r="N2090" s="7" t="inlineStr"/>
      <c r="O2090" s="7" t="inlineStr"/>
    </row>
    <row r="2091">
      <c r="A2091" s="7" t="n">
        <v>573941</v>
      </c>
      <c r="B2091" s="10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1" t="n">
        <v>1</v>
      </c>
      <c r="G2091" s="11" t="n">
        <v>1</v>
      </c>
      <c r="H2091" s="8" t="n">
        <v>42.98</v>
      </c>
      <c r="I2091" s="8" t="n">
        <v>42.98</v>
      </c>
      <c r="J2091" s="8" t="n"/>
      <c r="K2091" s="7" t="inlineStr">
        <is>
          <t>SEM COTAÇÃO</t>
        </is>
      </c>
      <c r="L2091" s="8" t="n"/>
      <c r="M2091" s="12" t="n"/>
      <c r="N2091" s="7" t="inlineStr"/>
      <c r="O2091" s="7" t="inlineStr"/>
    </row>
    <row r="2092">
      <c r="A2092" s="7" t="n">
        <v>574101</v>
      </c>
      <c r="B2092" s="10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1" t="n">
        <v>2</v>
      </c>
      <c r="G2092" s="11" t="n">
        <v>2</v>
      </c>
      <c r="H2092" s="8" t="n">
        <v>45.06</v>
      </c>
      <c r="I2092" s="8" t="n">
        <v>45.06</v>
      </c>
      <c r="J2092" s="8" t="n"/>
      <c r="K2092" s="7" t="inlineStr">
        <is>
          <t>SEM COTAÇÃO</t>
        </is>
      </c>
      <c r="L2092" s="8" t="n"/>
      <c r="M2092" s="12" t="n"/>
      <c r="N2092" s="7" t="inlineStr"/>
      <c r="O2092" s="7" t="inlineStr"/>
    </row>
    <row r="2093">
      <c r="A2093" s="7" t="n">
        <v>591451</v>
      </c>
      <c r="B2093" s="10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1" t="n">
        <v>2</v>
      </c>
      <c r="G2093" s="11" t="n">
        <v>2</v>
      </c>
      <c r="H2093" s="8" t="n">
        <v>53.38</v>
      </c>
      <c r="I2093" s="8" t="n">
        <v>53.38</v>
      </c>
      <c r="J2093" s="8" t="n"/>
      <c r="K2093" s="7" t="inlineStr">
        <is>
          <t>SEM COTAÇÃO</t>
        </is>
      </c>
      <c r="L2093" s="8" t="n"/>
      <c r="M2093" s="12" t="n"/>
      <c r="N2093" s="7" t="inlineStr"/>
      <c r="O2093" s="7" t="inlineStr"/>
    </row>
    <row r="2094">
      <c r="A2094" s="7" t="n">
        <v>573861</v>
      </c>
      <c r="B2094" s="10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1" t="n">
        <v>2</v>
      </c>
      <c r="G2094" s="11" t="n">
        <v>2</v>
      </c>
      <c r="H2094" s="8" t="n">
        <v>33.6</v>
      </c>
      <c r="I2094" s="8" t="n">
        <v>33.6</v>
      </c>
      <c r="J2094" s="8" t="n"/>
      <c r="K2094" s="7" t="inlineStr">
        <is>
          <t>SEM COTAÇÃO</t>
        </is>
      </c>
      <c r="L2094" s="8" t="n"/>
      <c r="M2094" s="12" t="n"/>
      <c r="N2094" s="7" t="inlineStr"/>
      <c r="O2094" s="7" t="inlineStr"/>
    </row>
    <row r="2095">
      <c r="A2095" s="7" t="n">
        <v>573841</v>
      </c>
      <c r="B2095" s="10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1" t="n">
        <v>1</v>
      </c>
      <c r="G2095" s="11" t="n">
        <v>1</v>
      </c>
      <c r="H2095" s="8" t="n">
        <v>33.6</v>
      </c>
      <c r="I2095" s="8" t="n">
        <v>33.6</v>
      </c>
      <c r="J2095" s="8" t="n"/>
      <c r="K2095" s="7" t="inlineStr">
        <is>
          <t>SEM COTAÇÃO</t>
        </is>
      </c>
      <c r="L2095" s="8" t="n"/>
      <c r="M2095" s="12" t="n"/>
      <c r="N2095" s="7" t="inlineStr"/>
      <c r="O2095" s="7" t="inlineStr"/>
    </row>
    <row r="2096">
      <c r="A2096" s="7" t="n">
        <v>573921</v>
      </c>
      <c r="B2096" s="10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1" t="n">
        <v>1</v>
      </c>
      <c r="G2096" s="11" t="n">
        <v>1</v>
      </c>
      <c r="H2096" s="8" t="n">
        <v>22.72</v>
      </c>
      <c r="I2096" s="8" t="n">
        <v>22.72</v>
      </c>
      <c r="J2096" s="8" t="n"/>
      <c r="K2096" s="7" t="inlineStr">
        <is>
          <t>SEM COTAÇÃO</t>
        </is>
      </c>
      <c r="L2096" s="8" t="n"/>
      <c r="M2096" s="12" t="n"/>
      <c r="N2096" s="7" t="inlineStr"/>
      <c r="O2096" s="7" t="inlineStr"/>
    </row>
    <row r="2097">
      <c r="A2097" s="7" t="n">
        <v>573881</v>
      </c>
      <c r="B2097" s="10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1" t="n">
        <v>2</v>
      </c>
      <c r="G2097" s="11" t="n">
        <v>2</v>
      </c>
      <c r="H2097" s="8" t="n">
        <v>33.6</v>
      </c>
      <c r="I2097" s="8" t="n">
        <v>33.6</v>
      </c>
      <c r="J2097" s="8" t="n"/>
      <c r="K2097" s="7" t="inlineStr">
        <is>
          <t>SEM COTAÇÃO</t>
        </is>
      </c>
      <c r="L2097" s="8" t="n"/>
      <c r="M2097" s="12" t="n"/>
      <c r="N2097" s="7" t="inlineStr"/>
      <c r="O2097" s="7" t="inlineStr"/>
    </row>
    <row r="2098">
      <c r="A2098" s="7" t="n">
        <v>573901</v>
      </c>
      <c r="B2098" s="10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1" t="n">
        <v>2</v>
      </c>
      <c r="G2098" s="11" t="n">
        <v>2</v>
      </c>
      <c r="H2098" s="8" t="n">
        <v>33.6</v>
      </c>
      <c r="I2098" s="8" t="n">
        <v>33.6</v>
      </c>
      <c r="J2098" s="8" t="n"/>
      <c r="K2098" s="7" t="inlineStr">
        <is>
          <t>SEM COTAÇÃO</t>
        </is>
      </c>
      <c r="L2098" s="8" t="n"/>
      <c r="M2098" s="12" t="n"/>
      <c r="N2098" s="7" t="inlineStr"/>
      <c r="O2098" s="7" t="inlineStr"/>
    </row>
    <row r="2099">
      <c r="A2099" s="7" t="n">
        <v>635201</v>
      </c>
      <c r="B2099" s="10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1" t="n">
        <v>1</v>
      </c>
      <c r="G2099" s="11" t="n">
        <v>1</v>
      </c>
      <c r="H2099" s="8" t="n">
        <v>29.99</v>
      </c>
      <c r="I2099" s="8" t="n">
        <v>27.99</v>
      </c>
      <c r="J2099" s="8" t="n"/>
      <c r="K2099" s="7" t="inlineStr">
        <is>
          <t>SEM COTAÇÃO</t>
        </is>
      </c>
      <c r="L2099" s="8" t="n"/>
      <c r="M2099" s="12" t="n"/>
      <c r="N2099" s="7" t="inlineStr"/>
      <c r="O2099" s="7" t="inlineStr"/>
    </row>
    <row r="2100">
      <c r="A2100" s="7" t="n">
        <v>635211</v>
      </c>
      <c r="B2100" s="10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1" t="n">
        <v>1</v>
      </c>
      <c r="G2100" s="11" t="n">
        <v>1</v>
      </c>
      <c r="H2100" s="8" t="n">
        <v>27.99</v>
      </c>
      <c r="I2100" s="8" t="n">
        <v>27.99</v>
      </c>
      <c r="J2100" s="8" t="n"/>
      <c r="K2100" s="7" t="inlineStr">
        <is>
          <t>SEM COTAÇÃO</t>
        </is>
      </c>
      <c r="L2100" s="8" t="n"/>
      <c r="M2100" s="12" t="n"/>
      <c r="N2100" s="7" t="inlineStr"/>
      <c r="O2100" s="7" t="inlineStr"/>
    </row>
    <row r="2101">
      <c r="A2101" s="7" t="n">
        <v>619801</v>
      </c>
      <c r="B2101" s="10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1" t="n">
        <v>2</v>
      </c>
      <c r="G2101" s="11" t="n">
        <v>2</v>
      </c>
      <c r="H2101" s="8" t="n">
        <v>79.98999999999999</v>
      </c>
      <c r="I2101" s="8" t="n">
        <v>79.98999999999999</v>
      </c>
      <c r="J2101" s="8" t="n"/>
      <c r="K2101" s="7" t="inlineStr">
        <is>
          <t>SEM COTAÇÃO</t>
        </is>
      </c>
      <c r="L2101" s="8" t="n"/>
      <c r="M2101" s="12" t="n"/>
      <c r="N2101" s="7" t="inlineStr"/>
      <c r="O2101" s="7" t="inlineStr"/>
    </row>
    <row r="2102">
      <c r="A2102" s="7" t="n">
        <v>619811</v>
      </c>
      <c r="B2102" s="10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1" t="n">
        <v>1</v>
      </c>
      <c r="G2102" s="11" t="n">
        <v>1</v>
      </c>
      <c r="H2102" s="8" t="n">
        <v>72.3775</v>
      </c>
      <c r="I2102" s="8" t="n">
        <v>72.3775</v>
      </c>
      <c r="J2102" s="8" t="n"/>
      <c r="K2102" s="7" t="inlineStr">
        <is>
          <t>SEM COTAÇÃO</t>
        </is>
      </c>
      <c r="L2102" s="8" t="n"/>
      <c r="M2102" s="12" t="n"/>
      <c r="N2102" s="7" t="inlineStr"/>
      <c r="O2102" s="7" t="inlineStr"/>
    </row>
    <row r="2103">
      <c r="A2103" s="7" t="n">
        <v>551101</v>
      </c>
      <c r="B2103" s="10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1" t="n">
        <v>2</v>
      </c>
      <c r="G2103" s="11" t="n">
        <v>2</v>
      </c>
      <c r="H2103" s="8" t="n">
        <v>53.75</v>
      </c>
      <c r="I2103" s="8" t="n">
        <v>53.75</v>
      </c>
      <c r="J2103" s="8" t="n"/>
      <c r="K2103" s="7" t="inlineStr">
        <is>
          <t>SEM COTAÇÃO</t>
        </is>
      </c>
      <c r="L2103" s="8" t="n"/>
      <c r="M2103" s="12" t="n"/>
      <c r="N2103" s="7" t="inlineStr"/>
      <c r="O2103" s="7" t="inlineStr"/>
    </row>
    <row r="2104">
      <c r="A2104" s="7" t="n">
        <v>609171</v>
      </c>
      <c r="B2104" s="10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1" t="n">
        <v>1</v>
      </c>
      <c r="G2104" s="11" t="n">
        <v>1</v>
      </c>
      <c r="H2104" s="8" t="n">
        <v>54.955</v>
      </c>
      <c r="I2104" s="8" t="n">
        <v>54.955</v>
      </c>
      <c r="J2104" s="8" t="n"/>
      <c r="K2104" s="7" t="inlineStr">
        <is>
          <t>SEM COTAÇÃO</t>
        </is>
      </c>
      <c r="L2104" s="8" t="n"/>
      <c r="M2104" s="12" t="n"/>
      <c r="N2104" s="7" t="inlineStr"/>
      <c r="O2104" s="7" t="inlineStr"/>
    </row>
    <row r="2105">
      <c r="A2105" s="7" t="n">
        <v>606201</v>
      </c>
      <c r="B2105" s="10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1" t="n">
        <v>3</v>
      </c>
      <c r="G2105" s="11" t="n">
        <v>3</v>
      </c>
      <c r="H2105" s="8" t="n">
        <v>48.99</v>
      </c>
      <c r="I2105" s="8" t="n">
        <v>43.99</v>
      </c>
      <c r="J2105" s="8" t="n"/>
      <c r="K2105" s="7" t="inlineStr">
        <is>
          <t>SEM COTAÇÃO</t>
        </is>
      </c>
      <c r="L2105" s="8" t="n"/>
      <c r="M2105" s="12" t="n"/>
      <c r="N2105" s="7" t="inlineStr"/>
      <c r="O2105" s="7" t="inlineStr"/>
    </row>
    <row r="2106">
      <c r="A2106" s="7" t="n">
        <v>604661</v>
      </c>
      <c r="B2106" s="10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1" t="n">
        <v>1</v>
      </c>
      <c r="G2106" s="11" t="n">
        <v>1</v>
      </c>
      <c r="H2106" s="8" t="n">
        <v>209.07</v>
      </c>
      <c r="I2106" s="8" t="n">
        <v>209.07</v>
      </c>
      <c r="J2106" s="8" t="n"/>
      <c r="K2106" s="7" t="inlineStr">
        <is>
          <t>SEM COTAÇÃO</t>
        </is>
      </c>
      <c r="L2106" s="8" t="n"/>
      <c r="M2106" s="12" t="n"/>
      <c r="N2106" s="7" t="inlineStr"/>
      <c r="O2106" s="7" t="inlineStr"/>
    </row>
    <row r="2107">
      <c r="A2107" s="7" t="n">
        <v>669671</v>
      </c>
      <c r="B2107" s="10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1" t="n">
        <v>2</v>
      </c>
      <c r="G2107" s="11" t="n">
        <v>2</v>
      </c>
      <c r="H2107" s="8" t="n">
        <v>39.9</v>
      </c>
      <c r="I2107" s="8" t="n">
        <v>38.56</v>
      </c>
      <c r="J2107" s="8" t="n"/>
      <c r="K2107" s="7" t="inlineStr">
        <is>
          <t>SEM COTAÇÃO</t>
        </is>
      </c>
      <c r="L2107" s="8" t="n"/>
      <c r="M2107" s="12" t="n"/>
      <c r="N2107" s="7" t="inlineStr"/>
      <c r="O2107" s="7" t="inlineStr"/>
    </row>
    <row r="2108">
      <c r="A2108" s="7" t="n">
        <v>672731</v>
      </c>
      <c r="B2108" s="10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1" t="n">
        <v>1</v>
      </c>
      <c r="G2108" s="11" t="n">
        <v>1</v>
      </c>
      <c r="H2108" s="8" t="n">
        <v>40</v>
      </c>
      <c r="I2108" s="8" t="n">
        <v>40</v>
      </c>
      <c r="J2108" s="8" t="n"/>
      <c r="K2108" s="7" t="inlineStr">
        <is>
          <t>SEM COTAÇÃO</t>
        </is>
      </c>
      <c r="L2108" s="8" t="n"/>
      <c r="M2108" s="12" t="n"/>
      <c r="N2108" s="7" t="inlineStr"/>
      <c r="O2108" s="7" t="inlineStr"/>
    </row>
    <row r="2109">
      <c r="A2109" s="7" t="n">
        <v>669681</v>
      </c>
      <c r="B2109" s="10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1" t="n">
        <v>2</v>
      </c>
      <c r="G2109" s="11" t="n">
        <v>2</v>
      </c>
      <c r="H2109" s="8" t="n">
        <v>40</v>
      </c>
      <c r="I2109" s="8" t="n">
        <v>38.56</v>
      </c>
      <c r="J2109" s="8" t="n"/>
      <c r="K2109" s="7" t="inlineStr">
        <is>
          <t>SEM COTAÇÃO</t>
        </is>
      </c>
      <c r="L2109" s="8" t="n"/>
      <c r="M2109" s="12" t="n"/>
      <c r="N2109" s="7" t="inlineStr"/>
      <c r="O2109" s="7" t="inlineStr"/>
    </row>
    <row r="2110">
      <c r="A2110" s="7" t="n">
        <v>594701</v>
      </c>
      <c r="B2110" s="10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1" t="n">
        <v>1</v>
      </c>
      <c r="G2110" s="11" t="n">
        <v>1</v>
      </c>
      <c r="H2110" s="8" t="n">
        <v>70.63</v>
      </c>
      <c r="I2110" s="8" t="n">
        <v>70.63</v>
      </c>
      <c r="J2110" s="8" t="n"/>
      <c r="K2110" s="7" t="inlineStr">
        <is>
          <t>SEM COTAÇÃO</t>
        </is>
      </c>
      <c r="L2110" s="8" t="n"/>
      <c r="M2110" s="12" t="n"/>
      <c r="N2110" s="7" t="inlineStr"/>
      <c r="O2110" s="7" t="inlineStr"/>
    </row>
    <row r="2111">
      <c r="A2111" s="7" t="n">
        <v>662321</v>
      </c>
      <c r="B2111" s="10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1" t="n">
        <v>2</v>
      </c>
      <c r="G2111" s="11" t="n">
        <v>2</v>
      </c>
      <c r="H2111" s="8" t="n">
        <v>48.99</v>
      </c>
      <c r="I2111" s="8" t="n">
        <v>43.99</v>
      </c>
      <c r="J2111" s="8" t="n"/>
      <c r="K2111" s="7" t="inlineStr">
        <is>
          <t>SEM COTAÇÃO</t>
        </is>
      </c>
      <c r="L2111" s="8" t="n"/>
      <c r="M2111" s="12" t="n"/>
      <c r="N2111" s="7" t="inlineStr"/>
      <c r="O2111" s="7" t="inlineStr"/>
    </row>
    <row r="2112">
      <c r="A2112" s="7" t="n">
        <v>666381</v>
      </c>
      <c r="B2112" s="10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1" t="n">
        <v>2</v>
      </c>
      <c r="G2112" s="11" t="n">
        <v>2</v>
      </c>
      <c r="H2112" s="8" t="n">
        <v>48.99</v>
      </c>
      <c r="I2112" s="8" t="n">
        <v>43.99</v>
      </c>
      <c r="J2112" s="8" t="n"/>
      <c r="K2112" s="7" t="inlineStr">
        <is>
          <t>SEM COTAÇÃO</t>
        </is>
      </c>
      <c r="L2112" s="8" t="n"/>
      <c r="M2112" s="12" t="n"/>
      <c r="N2112" s="7" t="inlineStr"/>
      <c r="O2112" s="7" t="inlineStr"/>
    </row>
    <row r="2113">
      <c r="A2113" s="7" t="n">
        <v>666341</v>
      </c>
      <c r="B2113" s="10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1" t="n">
        <v>1</v>
      </c>
      <c r="G2113" s="11" t="n">
        <v>1</v>
      </c>
      <c r="H2113" s="8" t="n">
        <v>43.99</v>
      </c>
      <c r="I2113" s="8" t="n">
        <v>43.99</v>
      </c>
      <c r="J2113" s="8" t="n"/>
      <c r="K2113" s="7" t="inlineStr">
        <is>
          <t>SEM COTAÇÃO</t>
        </is>
      </c>
      <c r="L2113" s="8" t="n"/>
      <c r="M2113" s="12" t="n"/>
      <c r="N2113" s="7" t="inlineStr"/>
      <c r="O2113" s="7" t="inlineStr"/>
    </row>
    <row r="2114">
      <c r="A2114" s="7" t="n">
        <v>623801</v>
      </c>
      <c r="B2114" s="10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1" t="n">
        <v>1</v>
      </c>
      <c r="G2114" s="11" t="n">
        <v>1</v>
      </c>
      <c r="H2114" s="8" t="n">
        <v>29.9</v>
      </c>
      <c r="I2114" s="8" t="n">
        <v>29.9</v>
      </c>
      <c r="J2114" s="8" t="n"/>
      <c r="K2114" s="7" t="inlineStr">
        <is>
          <t>SEM COTAÇÃO</t>
        </is>
      </c>
      <c r="L2114" s="8" t="n"/>
      <c r="M2114" s="12" t="n"/>
      <c r="N2114" s="7" t="inlineStr"/>
      <c r="O2114" s="7" t="inlineStr"/>
    </row>
    <row r="2115">
      <c r="A2115" s="7" t="n">
        <v>654821</v>
      </c>
      <c r="B2115" s="10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1" t="n">
        <v>5</v>
      </c>
      <c r="G2115" s="11" t="n">
        <v>5</v>
      </c>
      <c r="H2115" s="8" t="n">
        <v>30.32</v>
      </c>
      <c r="I2115" s="8" t="n">
        <v>30.1</v>
      </c>
      <c r="J2115" s="8" t="n"/>
      <c r="K2115" s="7" t="inlineStr">
        <is>
          <t>SEM COTAÇÃO</t>
        </is>
      </c>
      <c r="L2115" s="8" t="n"/>
      <c r="M2115" s="12" t="n"/>
      <c r="N2115" s="7" t="inlineStr"/>
      <c r="O2115" s="7" t="inlineStr"/>
    </row>
    <row r="2116">
      <c r="A2116" s="7" t="n">
        <v>603791</v>
      </c>
      <c r="B2116" s="10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1" t="n">
        <v>2</v>
      </c>
      <c r="G2116" s="11" t="n">
        <v>2</v>
      </c>
      <c r="H2116" s="8" t="n">
        <v>30.31</v>
      </c>
      <c r="I2116" s="8" t="n">
        <v>30.31</v>
      </c>
      <c r="J2116" s="8" t="n"/>
      <c r="K2116" s="7" t="inlineStr">
        <is>
          <t>SEM COTAÇÃO</t>
        </is>
      </c>
      <c r="L2116" s="8" t="n"/>
      <c r="M2116" s="12" t="n"/>
      <c r="N2116" s="7" t="inlineStr"/>
      <c r="O2116" s="7" t="inlineStr"/>
    </row>
    <row r="2117">
      <c r="A2117" s="7" t="n">
        <v>620091</v>
      </c>
      <c r="B2117" s="10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1" t="n">
        <v>2</v>
      </c>
      <c r="G2117" s="11" t="n">
        <v>2</v>
      </c>
      <c r="H2117" s="8" t="n">
        <v>20.12</v>
      </c>
      <c r="I2117" s="8" t="n">
        <v>20.12</v>
      </c>
      <c r="J2117" s="8" t="n"/>
      <c r="K2117" s="7" t="inlineStr">
        <is>
          <t>SEM COTAÇÃO</t>
        </is>
      </c>
      <c r="L2117" s="8" t="n"/>
      <c r="M2117" s="12" t="n"/>
      <c r="N2117" s="7" t="inlineStr"/>
      <c r="O2117" s="7" t="inlineStr"/>
    </row>
    <row r="2118">
      <c r="A2118" s="7" t="n">
        <v>623861</v>
      </c>
      <c r="B2118" s="10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1" t="n">
        <v>2</v>
      </c>
      <c r="G2118" s="11" t="n">
        <v>2</v>
      </c>
      <c r="H2118" s="8" t="n">
        <v>20.76</v>
      </c>
      <c r="I2118" s="8" t="n">
        <v>19.98</v>
      </c>
      <c r="J2118" s="8" t="n"/>
      <c r="K2118" s="7" t="inlineStr">
        <is>
          <t>SEM COTAÇÃO</t>
        </is>
      </c>
      <c r="L2118" s="8" t="n"/>
      <c r="M2118" s="12" t="n"/>
      <c r="N2118" s="7" t="inlineStr"/>
      <c r="O2118" s="7" t="inlineStr"/>
    </row>
    <row r="2119">
      <c r="A2119" s="7" t="n">
        <v>631251</v>
      </c>
      <c r="B2119" s="10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1" t="n">
        <v>2</v>
      </c>
      <c r="G2119" s="11" t="n">
        <v>2</v>
      </c>
      <c r="H2119" s="8" t="n">
        <v>20.12</v>
      </c>
      <c r="I2119" s="8" t="n">
        <v>20.12</v>
      </c>
      <c r="J2119" s="8" t="n"/>
      <c r="K2119" s="7" t="inlineStr">
        <is>
          <t>SEM COTAÇÃO</t>
        </is>
      </c>
      <c r="L2119" s="8" t="n"/>
      <c r="M2119" s="12" t="n"/>
      <c r="N2119" s="7" t="inlineStr"/>
      <c r="O2119" s="7" t="inlineStr"/>
    </row>
    <row r="2120">
      <c r="A2120" s="7" t="n">
        <v>620101</v>
      </c>
      <c r="B2120" s="10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1" t="n">
        <v>2</v>
      </c>
      <c r="G2120" s="11" t="n">
        <v>2</v>
      </c>
      <c r="H2120" s="8" t="n">
        <v>20</v>
      </c>
      <c r="I2120" s="8" t="n">
        <v>20</v>
      </c>
      <c r="J2120" s="8" t="n"/>
      <c r="K2120" s="7" t="inlineStr">
        <is>
          <t>SEM COTAÇÃO</t>
        </is>
      </c>
      <c r="L2120" s="8" t="n"/>
      <c r="M2120" s="12" t="n"/>
      <c r="N2120" s="7" t="inlineStr"/>
      <c r="O2120" s="7" t="inlineStr"/>
    </row>
    <row r="2121">
      <c r="A2121" s="7" t="n">
        <v>666321</v>
      </c>
      <c r="B2121" s="10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1" t="n">
        <v>1</v>
      </c>
      <c r="G2121" s="11" t="n">
        <v>1</v>
      </c>
      <c r="H2121" s="8" t="n">
        <v>37.99</v>
      </c>
      <c r="I2121" s="8" t="n">
        <v>37.99</v>
      </c>
      <c r="J2121" s="8" t="n"/>
      <c r="K2121" s="7" t="inlineStr">
        <is>
          <t>SEM COTAÇÃO</t>
        </is>
      </c>
      <c r="L2121" s="8" t="n"/>
      <c r="M2121" s="12" t="n"/>
      <c r="N2121" s="7" t="inlineStr"/>
      <c r="O2121" s="7" t="inlineStr"/>
    </row>
    <row r="2122">
      <c r="A2122" s="7" t="n">
        <v>674751</v>
      </c>
      <c r="B2122" s="10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1" t="n">
        <v>4</v>
      </c>
      <c r="G2122" s="11" t="n">
        <v>4</v>
      </c>
      <c r="H2122" s="8" t="n">
        <v>14.1758</v>
      </c>
      <c r="I2122" s="8" t="n">
        <v>13.91</v>
      </c>
      <c r="J2122" s="8" t="n"/>
      <c r="K2122" s="7" t="inlineStr">
        <is>
          <t>SEM COTAÇÃO</t>
        </is>
      </c>
      <c r="L2122" s="8" t="n"/>
      <c r="M2122" s="12" t="n"/>
      <c r="N2122" s="7" t="inlineStr"/>
      <c r="O2122" s="7" t="inlineStr"/>
    </row>
    <row r="2123">
      <c r="A2123" s="7" t="n">
        <v>687601</v>
      </c>
      <c r="B2123" s="10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1" t="n">
        <v>8</v>
      </c>
      <c r="G2123" s="11" t="n">
        <v>8</v>
      </c>
      <c r="H2123" s="8" t="n">
        <v>14.1758</v>
      </c>
      <c r="I2123" s="8" t="n">
        <v>14.1758</v>
      </c>
      <c r="J2123" s="8" t="n"/>
      <c r="K2123" s="7" t="inlineStr">
        <is>
          <t>SEM COTAÇÃO</t>
        </is>
      </c>
      <c r="L2123" s="8" t="n"/>
      <c r="M2123" s="12" t="n"/>
      <c r="N2123" s="7" t="inlineStr"/>
      <c r="O2123" s="7" t="inlineStr"/>
    </row>
    <row r="2124">
      <c r="A2124" s="7" t="n">
        <v>674761</v>
      </c>
      <c r="B2124" s="10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1" t="n">
        <v>4</v>
      </c>
      <c r="G2124" s="11" t="n">
        <v>4</v>
      </c>
      <c r="H2124" s="8" t="n">
        <v>14.1758</v>
      </c>
      <c r="I2124" s="8" t="n">
        <v>13.91</v>
      </c>
      <c r="J2124" s="8" t="n"/>
      <c r="K2124" s="7" t="inlineStr">
        <is>
          <t>SEM COTAÇÃO</t>
        </is>
      </c>
      <c r="L2124" s="8" t="n"/>
      <c r="M2124" s="12" t="n"/>
      <c r="N2124" s="7" t="inlineStr"/>
      <c r="O2124" s="7" t="inlineStr"/>
    </row>
    <row r="2125">
      <c r="A2125" s="7" t="n">
        <v>674811</v>
      </c>
      <c r="B2125" s="10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1" t="n">
        <v>7</v>
      </c>
      <c r="G2125" s="11" t="n">
        <v>7</v>
      </c>
      <c r="H2125" s="8" t="n">
        <v>14.1758</v>
      </c>
      <c r="I2125" s="8" t="n">
        <v>13.91</v>
      </c>
      <c r="J2125" s="8" t="n"/>
      <c r="K2125" s="7" t="inlineStr">
        <is>
          <t>SEM COTAÇÃO</t>
        </is>
      </c>
      <c r="L2125" s="8" t="n"/>
      <c r="M2125" s="12" t="n"/>
      <c r="N2125" s="7" t="inlineStr"/>
      <c r="O2125" s="7" t="inlineStr"/>
    </row>
    <row r="2126">
      <c r="A2126" s="7" t="n">
        <v>636891</v>
      </c>
      <c r="B2126" s="10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1" t="n">
        <v>1</v>
      </c>
      <c r="G2126" s="11" t="n">
        <v>3</v>
      </c>
      <c r="H2126" s="8" t="n">
        <v>25.7556</v>
      </c>
      <c r="I2126" s="8" t="n">
        <v>25.7556</v>
      </c>
      <c r="J2126" s="8" t="n"/>
      <c r="K2126" s="7" t="inlineStr">
        <is>
          <t>SEM COTAÇÃO</t>
        </is>
      </c>
      <c r="L2126" s="8" t="n"/>
      <c r="M2126" s="12" t="n"/>
      <c r="N2126" s="7" t="inlineStr"/>
      <c r="O2126" s="7" t="inlineStr"/>
    </row>
    <row r="2127">
      <c r="A2127" s="7" t="n">
        <v>636901</v>
      </c>
      <c r="B2127" s="10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1" t="n">
        <v>1</v>
      </c>
      <c r="G2127" s="11" t="n">
        <v>1</v>
      </c>
      <c r="H2127" s="8" t="n">
        <v>24.9978</v>
      </c>
      <c r="I2127" s="8" t="n">
        <v>24.9978</v>
      </c>
      <c r="J2127" s="8" t="n"/>
      <c r="K2127" s="7" t="inlineStr">
        <is>
          <t>SEM COTAÇÃO</t>
        </is>
      </c>
      <c r="L2127" s="8" t="n"/>
      <c r="M2127" s="12" t="n"/>
      <c r="N2127" s="7" t="inlineStr"/>
      <c r="O2127" s="7" t="inlineStr"/>
    </row>
    <row r="2128">
      <c r="A2128" s="7" t="n">
        <v>636911</v>
      </c>
      <c r="B2128" s="10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1" t="n">
        <v>1</v>
      </c>
      <c r="G2128" s="11" t="n">
        <v>2</v>
      </c>
      <c r="H2128" s="8" t="n">
        <v>24.9978</v>
      </c>
      <c r="I2128" s="8" t="n">
        <v>24.9978</v>
      </c>
      <c r="J2128" s="8" t="n"/>
      <c r="K2128" s="7" t="inlineStr">
        <is>
          <t>SEM COTAÇÃO</t>
        </is>
      </c>
      <c r="L2128" s="8" t="n"/>
      <c r="M2128" s="12" t="n"/>
      <c r="N2128" s="7" t="inlineStr"/>
      <c r="O2128" s="7" t="inlineStr"/>
    </row>
    <row r="2129">
      <c r="A2129" s="7" t="n">
        <v>633621</v>
      </c>
      <c r="B2129" s="10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1" t="n">
        <v>1</v>
      </c>
      <c r="G2129" s="11" t="n">
        <v>1</v>
      </c>
      <c r="H2129" s="8" t="n">
        <v>31.4567</v>
      </c>
      <c r="I2129" s="8" t="n">
        <v>31.4567</v>
      </c>
      <c r="J2129" s="8" t="n"/>
      <c r="K2129" s="7" t="inlineStr">
        <is>
          <t>SEM COTAÇÃO</t>
        </is>
      </c>
      <c r="L2129" s="8" t="n"/>
      <c r="M2129" s="12" t="n"/>
      <c r="N2129" s="7" t="inlineStr"/>
      <c r="O2129" s="7" t="inlineStr"/>
    </row>
    <row r="2130">
      <c r="A2130" s="7" t="n">
        <v>636921</v>
      </c>
      <c r="B2130" s="10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1" t="n">
        <v>1</v>
      </c>
      <c r="G2130" s="11" t="n">
        <v>1</v>
      </c>
      <c r="H2130" s="8" t="n">
        <v>31.4567</v>
      </c>
      <c r="I2130" s="8" t="n">
        <v>31.4567</v>
      </c>
      <c r="J2130" s="8" t="n"/>
      <c r="K2130" s="7" t="inlineStr">
        <is>
          <t>SEM COTAÇÃO</t>
        </is>
      </c>
      <c r="L2130" s="8" t="n"/>
      <c r="M2130" s="12" t="n"/>
      <c r="N2130" s="7" t="inlineStr"/>
      <c r="O2130" s="7" t="inlineStr"/>
    </row>
    <row r="2131">
      <c r="A2131" s="7" t="n">
        <v>636931</v>
      </c>
      <c r="B2131" s="10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1" t="n">
        <v>1</v>
      </c>
      <c r="G2131" s="11" t="n">
        <v>1</v>
      </c>
      <c r="H2131" s="8" t="n">
        <v>31.4567</v>
      </c>
      <c r="I2131" s="8" t="n">
        <v>31.4567</v>
      </c>
      <c r="J2131" s="8" t="n"/>
      <c r="K2131" s="7" t="inlineStr">
        <is>
          <t>SEM COTAÇÃO</t>
        </is>
      </c>
      <c r="L2131" s="8" t="n"/>
      <c r="M2131" s="12" t="n"/>
      <c r="N2131" s="7" t="inlineStr"/>
      <c r="O2131" s="7" t="inlineStr"/>
    </row>
    <row r="2132">
      <c r="A2132" s="7" t="n">
        <v>633611</v>
      </c>
      <c r="B2132" s="10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1" t="n">
        <v>1</v>
      </c>
      <c r="G2132" s="11" t="n">
        <v>1</v>
      </c>
      <c r="H2132" s="8" t="n">
        <v>31.4567</v>
      </c>
      <c r="I2132" s="8" t="n">
        <v>31.4567</v>
      </c>
      <c r="J2132" s="8" t="n"/>
      <c r="K2132" s="7" t="inlineStr">
        <is>
          <t>SEM COTAÇÃO</t>
        </is>
      </c>
      <c r="L2132" s="8" t="n"/>
      <c r="M2132" s="12" t="n"/>
      <c r="N2132" s="7" t="inlineStr"/>
      <c r="O2132" s="7" t="inlineStr"/>
    </row>
    <row r="2133">
      <c r="A2133" s="7" t="n">
        <v>633631</v>
      </c>
      <c r="B2133" s="10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1" t="n">
        <v>1</v>
      </c>
      <c r="G2133" s="11" t="n">
        <v>2</v>
      </c>
      <c r="H2133" s="8" t="n">
        <v>31.4567</v>
      </c>
      <c r="I2133" s="8" t="n">
        <v>31.4567</v>
      </c>
      <c r="J2133" s="8" t="n"/>
      <c r="K2133" s="7" t="inlineStr">
        <is>
          <t>SEM COTAÇÃO</t>
        </is>
      </c>
      <c r="L2133" s="8" t="n"/>
      <c r="M2133" s="12" t="n"/>
      <c r="N2133" s="7" t="inlineStr"/>
      <c r="O2133" s="7" t="inlineStr"/>
    </row>
    <row r="2134">
      <c r="A2134" s="7" t="n">
        <v>666431</v>
      </c>
      <c r="B2134" s="10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1" t="n">
        <v>3</v>
      </c>
      <c r="G2134" s="11" t="n">
        <v>3</v>
      </c>
      <c r="H2134" s="8" t="n">
        <v>28.8562</v>
      </c>
      <c r="I2134" s="8" t="n">
        <v>24.54</v>
      </c>
      <c r="J2134" s="8" t="n"/>
      <c r="K2134" s="7" t="inlineStr">
        <is>
          <t>SEM COTAÇÃO</t>
        </is>
      </c>
      <c r="L2134" s="8" t="n"/>
      <c r="M2134" s="12" t="n"/>
      <c r="N2134" s="7" t="inlineStr"/>
      <c r="O2134" s="7" t="inlineStr"/>
    </row>
    <row r="2135">
      <c r="A2135" s="7" t="n">
        <v>666421</v>
      </c>
      <c r="B2135" s="10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1" t="n">
        <v>1</v>
      </c>
      <c r="G2135" s="11" t="n">
        <v>1</v>
      </c>
      <c r="H2135" s="8" t="n">
        <v>24.54</v>
      </c>
      <c r="I2135" s="8" t="n">
        <v>24.54</v>
      </c>
      <c r="J2135" s="8" t="n"/>
      <c r="K2135" s="7" t="inlineStr">
        <is>
          <t>SEM COTAÇÃO</t>
        </is>
      </c>
      <c r="L2135" s="8" t="n"/>
      <c r="M2135" s="12" t="n"/>
      <c r="N2135" s="7" t="inlineStr"/>
      <c r="O2135" s="7" t="inlineStr"/>
    </row>
    <row r="2136">
      <c r="A2136" s="7" t="n">
        <v>666441</v>
      </c>
      <c r="B2136" s="10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1" t="n">
        <v>5</v>
      </c>
      <c r="G2136" s="11" t="n">
        <v>5</v>
      </c>
      <c r="H2136" s="8" t="n">
        <v>28.8562</v>
      </c>
      <c r="I2136" s="8" t="n">
        <v>24.54</v>
      </c>
      <c r="J2136" s="8" t="n"/>
      <c r="K2136" s="7" t="inlineStr">
        <is>
          <t>SEM COTAÇÃO</t>
        </is>
      </c>
      <c r="L2136" s="8" t="n"/>
      <c r="M2136" s="12" t="n"/>
      <c r="N2136" s="7" t="inlineStr"/>
      <c r="O2136" s="7" t="inlineStr"/>
    </row>
    <row r="2137">
      <c r="A2137" s="7" t="n">
        <v>611861</v>
      </c>
      <c r="B2137" s="10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1" t="n">
        <v>1</v>
      </c>
      <c r="G2137" s="11" t="n">
        <v>1</v>
      </c>
      <c r="H2137" s="8" t="n">
        <v>36.13</v>
      </c>
      <c r="I2137" s="8" t="n">
        <v>36.13</v>
      </c>
      <c r="J2137" s="8" t="n"/>
      <c r="K2137" s="7" t="inlineStr">
        <is>
          <t>SEM COTAÇÃO</t>
        </is>
      </c>
      <c r="L2137" s="8" t="n"/>
      <c r="M2137" s="12" t="n"/>
      <c r="N2137" s="7" t="inlineStr"/>
      <c r="O2137" s="7" t="inlineStr"/>
    </row>
    <row r="2138">
      <c r="A2138" s="7" t="n">
        <v>611951</v>
      </c>
      <c r="B2138" s="10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1" t="n">
        <v>1</v>
      </c>
      <c r="G2138" s="11" t="n">
        <v>1</v>
      </c>
      <c r="H2138" s="8" t="n">
        <v>36.13</v>
      </c>
      <c r="I2138" s="8" t="n">
        <v>36.13</v>
      </c>
      <c r="J2138" s="8" t="n"/>
      <c r="K2138" s="7" t="inlineStr">
        <is>
          <t>SEM COTAÇÃO</t>
        </is>
      </c>
      <c r="L2138" s="8" t="n"/>
      <c r="M2138" s="12" t="n"/>
      <c r="N2138" s="7" t="inlineStr"/>
      <c r="O2138" s="7" t="inlineStr"/>
    </row>
    <row r="2139">
      <c r="A2139" s="7" t="n">
        <v>652281</v>
      </c>
      <c r="B2139" s="10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1" t="n">
        <v>2</v>
      </c>
      <c r="G2139" s="11" t="n">
        <v>2</v>
      </c>
      <c r="H2139" s="8" t="n"/>
      <c r="I2139" s="8" t="n"/>
      <c r="J2139" s="8" t="n"/>
      <c r="K2139" s="7" t="inlineStr">
        <is>
          <t>SEM COTAÇÃO</t>
        </is>
      </c>
      <c r="L2139" s="8" t="n"/>
      <c r="M2139" s="12" t="n"/>
      <c r="N2139" s="7" t="inlineStr"/>
      <c r="O2139" s="7" t="inlineStr"/>
    </row>
    <row r="2140">
      <c r="A2140" s="7" t="n">
        <v>616211</v>
      </c>
      <c r="B2140" s="10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1" t="n">
        <v>1</v>
      </c>
      <c r="G2140" s="11" t="n">
        <v>1</v>
      </c>
      <c r="H2140" s="8" t="n">
        <v>36.13</v>
      </c>
      <c r="I2140" s="8" t="n">
        <v>36.13</v>
      </c>
      <c r="J2140" s="8" t="n"/>
      <c r="K2140" s="7" t="inlineStr">
        <is>
          <t>SEM COTAÇÃO</t>
        </is>
      </c>
      <c r="L2140" s="8" t="n"/>
      <c r="M2140" s="12" t="n"/>
      <c r="N2140" s="7" t="inlineStr"/>
      <c r="O2140" s="7" t="inlineStr"/>
    </row>
    <row r="2141">
      <c r="A2141" s="7" t="n">
        <v>611961</v>
      </c>
      <c r="B2141" s="10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1" t="n">
        <v>1</v>
      </c>
      <c r="G2141" s="11" t="n">
        <v>1</v>
      </c>
      <c r="H2141" s="8" t="n">
        <v>54.71</v>
      </c>
      <c r="I2141" s="8" t="n">
        <v>54.71</v>
      </c>
      <c r="J2141" s="8" t="n"/>
      <c r="K2141" s="7" t="inlineStr">
        <is>
          <t>SEM COTAÇÃO</t>
        </is>
      </c>
      <c r="L2141" s="8" t="n"/>
      <c r="M2141" s="12" t="n"/>
      <c r="N2141" s="7" t="inlineStr"/>
      <c r="O2141" s="7" t="inlineStr"/>
    </row>
    <row r="2142">
      <c r="A2142" s="7" t="n">
        <v>606821</v>
      </c>
      <c r="B2142" s="10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1" t="n">
        <v>1</v>
      </c>
      <c r="G2142" s="11" t="n">
        <v>1</v>
      </c>
      <c r="H2142" s="8" t="n">
        <v>19.285</v>
      </c>
      <c r="I2142" s="8" t="n">
        <v>19.285</v>
      </c>
      <c r="J2142" s="8" t="n"/>
      <c r="K2142" s="7" t="inlineStr">
        <is>
          <t>SEM COTAÇÃO</t>
        </is>
      </c>
      <c r="L2142" s="8" t="n"/>
      <c r="M2142" s="12" t="n"/>
      <c r="N2142" s="7" t="inlineStr"/>
      <c r="O2142" s="7" t="inlineStr"/>
    </row>
    <row r="2143">
      <c r="A2143" s="7" t="n">
        <v>617451</v>
      </c>
      <c r="B2143" s="10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1" t="n">
        <v>1</v>
      </c>
      <c r="G2143" s="11" t="n">
        <v>1</v>
      </c>
      <c r="H2143" s="8" t="n">
        <v>42.24</v>
      </c>
      <c r="I2143" s="8" t="n">
        <v>42.24</v>
      </c>
      <c r="J2143" s="8" t="n"/>
      <c r="K2143" s="7" t="inlineStr">
        <is>
          <t>SEM COTAÇÃO</t>
        </is>
      </c>
      <c r="L2143" s="8" t="n"/>
      <c r="M2143" s="12" t="n"/>
      <c r="N2143" s="7" t="inlineStr"/>
      <c r="O2143" s="7" t="inlineStr"/>
    </row>
    <row r="2144">
      <c r="A2144" s="7" t="n">
        <v>617461</v>
      </c>
      <c r="B2144" s="10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1" t="n">
        <v>1</v>
      </c>
      <c r="G2144" s="11" t="n">
        <v>1</v>
      </c>
      <c r="H2144" s="8" t="n">
        <v>22.4625</v>
      </c>
      <c r="I2144" s="8" t="n">
        <v>22.4625</v>
      </c>
      <c r="J2144" s="8" t="n"/>
      <c r="K2144" s="7" t="inlineStr">
        <is>
          <t>SEM COTAÇÃO</t>
        </is>
      </c>
      <c r="L2144" s="8" t="n"/>
      <c r="M2144" s="12" t="n"/>
      <c r="N2144" s="7" t="inlineStr"/>
      <c r="O2144" s="7" t="inlineStr"/>
    </row>
    <row r="2145">
      <c r="A2145" s="7" t="n">
        <v>617471</v>
      </c>
      <c r="B2145" s="10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1" t="n">
        <v>1</v>
      </c>
      <c r="G2145" s="11" t="n">
        <v>1</v>
      </c>
      <c r="H2145" s="8" t="n">
        <v>36.36</v>
      </c>
      <c r="I2145" s="8" t="n">
        <v>36.36</v>
      </c>
      <c r="J2145" s="8" t="n"/>
      <c r="K2145" s="7" t="inlineStr">
        <is>
          <t>SEM COTAÇÃO</t>
        </is>
      </c>
      <c r="L2145" s="8" t="n"/>
      <c r="M2145" s="12" t="n"/>
      <c r="N2145" s="7" t="inlineStr"/>
      <c r="O2145" s="7" t="inlineStr"/>
    </row>
    <row r="2146">
      <c r="A2146" s="7" t="n">
        <v>32</v>
      </c>
      <c r="B2146" s="10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1" t="n">
        <v>1</v>
      </c>
      <c r="G2146" s="11" t="n">
        <v>1</v>
      </c>
      <c r="H2146" s="8" t="n">
        <v>59.205</v>
      </c>
      <c r="I2146" s="8" t="n">
        <v>59.205</v>
      </c>
      <c r="J2146" s="8" t="n"/>
      <c r="K2146" s="7" t="inlineStr">
        <is>
          <t>SEM COTAÇÃO</t>
        </is>
      </c>
      <c r="L2146" s="8" t="n"/>
      <c r="M2146" s="12" t="n"/>
      <c r="N2146" s="7" t="inlineStr"/>
      <c r="O2146" s="7" t="inlineStr"/>
    </row>
    <row r="2147">
      <c r="A2147" s="7" t="n">
        <v>564521</v>
      </c>
      <c r="B2147" s="10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1" t="n">
        <v>1</v>
      </c>
      <c r="G2147" s="11" t="n">
        <v>4</v>
      </c>
      <c r="H2147" s="8" t="n">
        <v>25.045</v>
      </c>
      <c r="I2147" s="8" t="n">
        <v>25.045</v>
      </c>
      <c r="J2147" s="8" t="n"/>
      <c r="K2147" s="7" t="inlineStr">
        <is>
          <t>SEM COTAÇÃO</t>
        </is>
      </c>
      <c r="L2147" s="8" t="n"/>
      <c r="M2147" s="12" t="n"/>
      <c r="N2147" s="7" t="inlineStr"/>
      <c r="O2147" s="7" t="inlineStr"/>
    </row>
    <row r="2148">
      <c r="A2148" s="7" t="n">
        <v>617501</v>
      </c>
      <c r="B2148" s="10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1" t="n">
        <v>1</v>
      </c>
      <c r="G2148" s="11" t="n">
        <v>1</v>
      </c>
      <c r="H2148" s="8" t="n">
        <v>44.56</v>
      </c>
      <c r="I2148" s="8" t="n">
        <v>44.56</v>
      </c>
      <c r="J2148" s="8" t="n"/>
      <c r="K2148" s="7" t="inlineStr">
        <is>
          <t>SEM COTAÇÃO</t>
        </is>
      </c>
      <c r="L2148" s="8" t="n"/>
      <c r="M2148" s="12" t="n"/>
      <c r="N2148" s="7" t="inlineStr"/>
      <c r="O2148" s="7" t="inlineStr"/>
    </row>
    <row r="2149">
      <c r="A2149" s="7" t="n">
        <v>599101</v>
      </c>
      <c r="B2149" s="10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1" t="n">
        <v>1</v>
      </c>
      <c r="G2149" s="11" t="n">
        <v>2</v>
      </c>
      <c r="H2149" s="8" t="n">
        <v>14.1362</v>
      </c>
      <c r="I2149" s="8" t="n">
        <v>14.1362</v>
      </c>
      <c r="J2149" s="8" t="n"/>
      <c r="K2149" s="7" t="inlineStr">
        <is>
          <t>SEM COTAÇÃO</t>
        </is>
      </c>
      <c r="L2149" s="8" t="n"/>
      <c r="M2149" s="12" t="n"/>
      <c r="N2149" s="7" t="inlineStr"/>
      <c r="O2149" s="7" t="inlineStr"/>
    </row>
    <row r="2150">
      <c r="A2150" s="7" t="n">
        <v>599111</v>
      </c>
      <c r="B2150" s="10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1" t="n">
        <v>1</v>
      </c>
      <c r="G2150" s="11" t="n">
        <v>3</v>
      </c>
      <c r="H2150" s="8" t="n">
        <v>14.1362</v>
      </c>
      <c r="I2150" s="8" t="n">
        <v>14.1362</v>
      </c>
      <c r="J2150" s="8" t="n"/>
      <c r="K2150" s="7" t="inlineStr">
        <is>
          <t>SEM COTAÇÃO</t>
        </is>
      </c>
      <c r="L2150" s="8" t="n"/>
      <c r="M2150" s="12" t="n"/>
      <c r="N2150" s="7" t="inlineStr"/>
      <c r="O2150" s="7" t="inlineStr"/>
    </row>
    <row r="2151">
      <c r="A2151" s="7" t="n">
        <v>599121</v>
      </c>
      <c r="B2151" s="10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1" t="n">
        <v>10</v>
      </c>
      <c r="G2151" s="11" t="n">
        <v>10</v>
      </c>
      <c r="H2151" s="8" t="n">
        <v>19.59</v>
      </c>
      <c r="I2151" s="8" t="n">
        <v>19.4</v>
      </c>
      <c r="J2151" s="8" t="n"/>
      <c r="K2151" s="7" t="inlineStr">
        <is>
          <t>SEM COTAÇÃO</t>
        </is>
      </c>
      <c r="L2151" s="8" t="n"/>
      <c r="M2151" s="12" t="n"/>
      <c r="N2151" s="7" t="inlineStr"/>
      <c r="O2151" s="7" t="inlineStr"/>
    </row>
    <row r="2152">
      <c r="A2152" s="7" t="n">
        <v>599131</v>
      </c>
      <c r="B2152" s="10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1" t="n">
        <v>5</v>
      </c>
      <c r="G2152" s="11" t="n">
        <v>5</v>
      </c>
      <c r="H2152" s="8" t="n">
        <v>20.22</v>
      </c>
      <c r="I2152" s="8" t="n">
        <v>19.4</v>
      </c>
      <c r="J2152" s="8" t="n"/>
      <c r="K2152" s="7" t="inlineStr">
        <is>
          <t>SEM COTAÇÃO</t>
        </is>
      </c>
      <c r="L2152" s="8" t="n"/>
      <c r="M2152" s="12" t="n"/>
      <c r="N2152" s="7" t="inlineStr"/>
      <c r="O2152" s="7" t="inlineStr"/>
    </row>
    <row r="2153">
      <c r="A2153" s="7" t="n">
        <v>598941</v>
      </c>
      <c r="B2153" s="10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1" t="n">
        <v>9</v>
      </c>
      <c r="G2153" s="11" t="n">
        <v>9</v>
      </c>
      <c r="H2153" s="8" t="n">
        <v>32.6</v>
      </c>
      <c r="I2153" s="8" t="n">
        <v>32.6</v>
      </c>
      <c r="J2153" s="8" t="n"/>
      <c r="K2153" s="7" t="inlineStr">
        <is>
          <t>SEM COTAÇÃO</t>
        </is>
      </c>
      <c r="L2153" s="8" t="n"/>
      <c r="M2153" s="12" t="n"/>
      <c r="N2153" s="7" t="inlineStr"/>
      <c r="O2153" s="7" t="inlineStr"/>
    </row>
    <row r="2154">
      <c r="A2154" s="7" t="n">
        <v>599141</v>
      </c>
      <c r="B2154" s="10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1" t="n">
        <v>1</v>
      </c>
      <c r="G2154" s="11" t="n">
        <v>1</v>
      </c>
      <c r="H2154" s="8" t="n">
        <v>34.99</v>
      </c>
      <c r="I2154" s="8" t="n">
        <v>34.99</v>
      </c>
      <c r="J2154" s="8" t="n"/>
      <c r="K2154" s="7" t="inlineStr">
        <is>
          <t>SEM COTAÇÃO</t>
        </is>
      </c>
      <c r="L2154" s="8" t="n"/>
      <c r="M2154" s="12" t="n"/>
      <c r="N2154" s="7" t="inlineStr"/>
      <c r="O2154" s="7" t="inlineStr"/>
    </row>
    <row r="2155">
      <c r="A2155" s="7" t="n">
        <v>606341</v>
      </c>
      <c r="B2155" s="10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1" t="n">
        <v>7</v>
      </c>
      <c r="G2155" s="11" t="n">
        <v>7</v>
      </c>
      <c r="H2155" s="8" t="n">
        <v>32.6</v>
      </c>
      <c r="I2155" s="8" t="n">
        <v>32.6</v>
      </c>
      <c r="J2155" s="8" t="n"/>
      <c r="K2155" s="7" t="inlineStr">
        <is>
          <t>SEM COTAÇÃO</t>
        </is>
      </c>
      <c r="L2155" s="8" t="n"/>
      <c r="M2155" s="12" t="n"/>
      <c r="N2155" s="7" t="inlineStr"/>
      <c r="O2155" s="7" t="inlineStr"/>
    </row>
    <row r="2156">
      <c r="A2156" s="7" t="n">
        <v>614851</v>
      </c>
      <c r="B2156" s="10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1" t="n">
        <v>6</v>
      </c>
      <c r="G2156" s="11" t="n">
        <v>6</v>
      </c>
      <c r="H2156" s="8" t="n">
        <v>32.49</v>
      </c>
      <c r="I2156" s="8" t="n">
        <v>32.49</v>
      </c>
      <c r="J2156" s="8" t="n"/>
      <c r="K2156" s="7" t="inlineStr">
        <is>
          <t>SEM COTAÇÃO</t>
        </is>
      </c>
      <c r="L2156" s="8" t="n"/>
      <c r="M2156" s="12" t="n"/>
      <c r="N2156" s="7" t="inlineStr"/>
      <c r="O2156" s="7" t="inlineStr"/>
    </row>
    <row r="2157">
      <c r="A2157" s="7" t="n">
        <v>637311</v>
      </c>
      <c r="B2157" s="10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1" t="n">
        <v>1</v>
      </c>
      <c r="G2157" s="11" t="n">
        <v>1</v>
      </c>
      <c r="H2157" s="8" t="n">
        <v>44.42</v>
      </c>
      <c r="I2157" s="8" t="n">
        <v>44.42</v>
      </c>
      <c r="J2157" s="8" t="n"/>
      <c r="K2157" s="7" t="inlineStr">
        <is>
          <t>SEM COTAÇÃO</t>
        </is>
      </c>
      <c r="L2157" s="8" t="n"/>
      <c r="M2157" s="12" t="n"/>
      <c r="N2157" s="7" t="inlineStr"/>
      <c r="O2157" s="7" t="inlineStr"/>
    </row>
    <row r="2158">
      <c r="A2158" s="7" t="n">
        <v>574681</v>
      </c>
      <c r="B2158" s="10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1" t="n">
        <v>1</v>
      </c>
      <c r="G2158" s="11" t="n">
        <v>6</v>
      </c>
      <c r="H2158" s="8" t="n">
        <v>14.1362</v>
      </c>
      <c r="I2158" s="8" t="n">
        <v>14.1362</v>
      </c>
      <c r="J2158" s="8" t="n"/>
      <c r="K2158" s="7" t="inlineStr">
        <is>
          <t>SEM COTAÇÃO</t>
        </is>
      </c>
      <c r="L2158" s="8" t="n"/>
      <c r="M2158" s="12" t="n"/>
      <c r="N2158" s="7" t="inlineStr"/>
      <c r="O2158" s="7" t="inlineStr"/>
    </row>
    <row r="2159">
      <c r="A2159" s="7" t="n">
        <v>574701</v>
      </c>
      <c r="B2159" s="10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1" t="n">
        <v>1</v>
      </c>
      <c r="G2159" s="11" t="n">
        <v>3</v>
      </c>
      <c r="H2159" s="8" t="n">
        <v>14.1362</v>
      </c>
      <c r="I2159" s="8" t="n">
        <v>14.1362</v>
      </c>
      <c r="J2159" s="8" t="n"/>
      <c r="K2159" s="7" t="inlineStr">
        <is>
          <t>SEM COTAÇÃO</t>
        </is>
      </c>
      <c r="L2159" s="8" t="n"/>
      <c r="M2159" s="12" t="n"/>
      <c r="N2159" s="7" t="inlineStr"/>
      <c r="O2159" s="7" t="inlineStr"/>
    </row>
    <row r="2160">
      <c r="A2160" s="7" t="n">
        <v>574721</v>
      </c>
      <c r="B2160" s="10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1" t="n">
        <v>1</v>
      </c>
      <c r="G2160" s="11" t="n">
        <v>1</v>
      </c>
      <c r="H2160" s="8" t="n">
        <v>35.7925</v>
      </c>
      <c r="I2160" s="8" t="n">
        <v>35.7925</v>
      </c>
      <c r="J2160" s="8" t="n"/>
      <c r="K2160" s="7" t="inlineStr">
        <is>
          <t>SEM COTAÇÃO</t>
        </is>
      </c>
      <c r="L2160" s="8" t="n"/>
      <c r="M2160" s="12" t="n"/>
      <c r="N2160" s="7" t="inlineStr"/>
      <c r="O2160" s="7" t="inlineStr"/>
    </row>
    <row r="2161">
      <c r="A2161" s="7" t="n">
        <v>574901</v>
      </c>
      <c r="B2161" s="10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1" t="n">
        <v>10</v>
      </c>
      <c r="G2161" s="11" t="n">
        <v>10</v>
      </c>
      <c r="H2161" s="8" t="n">
        <v>19.59</v>
      </c>
      <c r="I2161" s="8" t="n">
        <v>19.4</v>
      </c>
      <c r="J2161" s="8" t="n"/>
      <c r="K2161" s="7" t="inlineStr">
        <is>
          <t>SEM COTAÇÃO</t>
        </is>
      </c>
      <c r="L2161" s="8" t="n"/>
      <c r="M2161" s="12" t="n"/>
      <c r="N2161" s="7" t="inlineStr"/>
      <c r="O2161" s="7" t="inlineStr"/>
    </row>
    <row r="2162">
      <c r="A2162" s="7" t="n">
        <v>574861</v>
      </c>
      <c r="B2162" s="10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1" t="n">
        <v>7</v>
      </c>
      <c r="G2162" s="11" t="n">
        <v>7</v>
      </c>
      <c r="H2162" s="8" t="n">
        <v>20.22</v>
      </c>
      <c r="I2162" s="8" t="n">
        <v>19.4</v>
      </c>
      <c r="J2162" s="8" t="n"/>
      <c r="K2162" s="7" t="inlineStr">
        <is>
          <t>SEM COTAÇÃO</t>
        </is>
      </c>
      <c r="L2162" s="8" t="n"/>
      <c r="M2162" s="12" t="n"/>
      <c r="N2162" s="7" t="inlineStr"/>
      <c r="O2162" s="7" t="inlineStr"/>
    </row>
    <row r="2163">
      <c r="A2163" s="7" t="n">
        <v>590221</v>
      </c>
      <c r="B2163" s="10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1" t="n">
        <v>1</v>
      </c>
      <c r="G2163" s="11" t="n">
        <v>1</v>
      </c>
      <c r="H2163" s="8" t="n">
        <v>14.1362</v>
      </c>
      <c r="I2163" s="8" t="n">
        <v>14.1362</v>
      </c>
      <c r="J2163" s="8" t="n"/>
      <c r="K2163" s="7" t="inlineStr">
        <is>
          <t>SEM COTAÇÃO</t>
        </is>
      </c>
      <c r="L2163" s="8" t="n"/>
      <c r="M2163" s="12" t="n"/>
      <c r="N2163" s="7" t="inlineStr"/>
      <c r="O2163" s="7" t="inlineStr"/>
    </row>
    <row r="2164">
      <c r="A2164" s="7" t="n">
        <v>577721</v>
      </c>
      <c r="B2164" s="10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1" t="n">
        <v>2</v>
      </c>
      <c r="G2164" s="11" t="n">
        <v>3</v>
      </c>
      <c r="H2164" s="8" t="n">
        <v>46.34</v>
      </c>
      <c r="I2164" s="8" t="n">
        <v>46.34</v>
      </c>
      <c r="J2164" s="8" t="n"/>
      <c r="K2164" s="7" t="inlineStr">
        <is>
          <t>SEM COTAÇÃO</t>
        </is>
      </c>
      <c r="L2164" s="8" t="n"/>
      <c r="M2164" s="12" t="n"/>
      <c r="N2164" s="7" t="inlineStr"/>
      <c r="O2164" s="7" t="inlineStr"/>
    </row>
    <row r="2165">
      <c r="A2165" s="7" t="n">
        <v>656621</v>
      </c>
      <c r="B2165" s="10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1" t="n">
        <v>1</v>
      </c>
      <c r="G2165" s="11" t="n">
        <v>2</v>
      </c>
      <c r="H2165" s="8" t="n">
        <v>37.59</v>
      </c>
      <c r="I2165" s="8" t="n">
        <v>37.59</v>
      </c>
      <c r="J2165" s="8" t="n"/>
      <c r="K2165" s="7" t="inlineStr">
        <is>
          <t>SEM COTAÇÃO</t>
        </is>
      </c>
      <c r="L2165" s="8" t="n"/>
      <c r="M2165" s="12" t="n"/>
      <c r="N2165" s="7" t="inlineStr"/>
      <c r="O2165" s="7" t="inlineStr"/>
    </row>
    <row r="2166">
      <c r="A2166" s="7" t="n">
        <v>656631</v>
      </c>
      <c r="B2166" s="10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1" t="n">
        <v>1</v>
      </c>
      <c r="G2166" s="11" t="n">
        <v>2</v>
      </c>
      <c r="H2166" s="8" t="n">
        <v>37.59</v>
      </c>
      <c r="I2166" s="8" t="n">
        <v>37.59</v>
      </c>
      <c r="J2166" s="8" t="n"/>
      <c r="K2166" s="7" t="inlineStr">
        <is>
          <t>SEM COTAÇÃO</t>
        </is>
      </c>
      <c r="L2166" s="8" t="n"/>
      <c r="M2166" s="12" t="n"/>
      <c r="N2166" s="7" t="inlineStr"/>
      <c r="O2166" s="7" t="inlineStr"/>
    </row>
    <row r="2167">
      <c r="A2167" s="7" t="n">
        <v>656641</v>
      </c>
      <c r="B2167" s="10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1" t="n">
        <v>2</v>
      </c>
      <c r="G2167" s="11" t="n">
        <v>11</v>
      </c>
      <c r="H2167" s="8" t="n">
        <v>20.6662</v>
      </c>
      <c r="I2167" s="8" t="n">
        <v>16.1125</v>
      </c>
      <c r="J2167" s="8" t="n"/>
      <c r="K2167" s="7" t="inlineStr">
        <is>
          <t>SEM COTAÇÃO</t>
        </is>
      </c>
      <c r="L2167" s="8" t="n"/>
      <c r="M2167" s="12" t="n"/>
      <c r="N2167" s="7" t="inlineStr"/>
      <c r="O2167" s="7" t="inlineStr"/>
    </row>
    <row r="2168">
      <c r="A2168" s="7" t="n">
        <v>656651</v>
      </c>
      <c r="B2168" s="10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1" t="n">
        <v>2</v>
      </c>
      <c r="G2168" s="11" t="n">
        <v>9</v>
      </c>
      <c r="H2168" s="8" t="n">
        <v>20.6662</v>
      </c>
      <c r="I2168" s="8" t="n">
        <v>16.1125</v>
      </c>
      <c r="J2168" s="8" t="n"/>
      <c r="K2168" s="7" t="inlineStr">
        <is>
          <t>SEM COTAÇÃO</t>
        </is>
      </c>
      <c r="L2168" s="8" t="n"/>
      <c r="M2168" s="12" t="n"/>
      <c r="N2168" s="7" t="inlineStr"/>
      <c r="O2168" s="7" t="inlineStr"/>
    </row>
    <row r="2169">
      <c r="A2169" s="7" t="n">
        <v>656661</v>
      </c>
      <c r="B2169" s="10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1" t="n">
        <v>1</v>
      </c>
      <c r="G2169" s="11" t="n">
        <v>2</v>
      </c>
      <c r="H2169" s="8" t="n">
        <v>38.365</v>
      </c>
      <c r="I2169" s="8" t="n">
        <v>38.365</v>
      </c>
      <c r="J2169" s="8" t="n"/>
      <c r="K2169" s="7" t="inlineStr">
        <is>
          <t>SEM COTAÇÃO</t>
        </is>
      </c>
      <c r="L2169" s="8" t="n"/>
      <c r="M2169" s="12" t="n"/>
      <c r="N2169" s="7" t="inlineStr"/>
      <c r="O2169" s="7" t="inlineStr"/>
    </row>
    <row r="2170">
      <c r="A2170" s="7" t="n">
        <v>670001</v>
      </c>
      <c r="B2170" s="10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1" t="n">
        <v>1</v>
      </c>
      <c r="G2170" s="11" t="n">
        <v>2</v>
      </c>
      <c r="H2170" s="8" t="n">
        <v>38.365</v>
      </c>
      <c r="I2170" s="8" t="n">
        <v>38.365</v>
      </c>
      <c r="J2170" s="8" t="n"/>
      <c r="K2170" s="7" t="inlineStr">
        <is>
          <t>SEM COTAÇÃO</t>
        </is>
      </c>
      <c r="L2170" s="8" t="n"/>
      <c r="M2170" s="12" t="n"/>
      <c r="N2170" s="7" t="inlineStr"/>
      <c r="O2170" s="7" t="inlineStr"/>
    </row>
    <row r="2171">
      <c r="A2171" s="7" t="n">
        <v>670011</v>
      </c>
      <c r="B2171" s="10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1" t="n">
        <v>1</v>
      </c>
      <c r="G2171" s="11" t="n">
        <v>2</v>
      </c>
      <c r="H2171" s="8" t="n">
        <v>60.6</v>
      </c>
      <c r="I2171" s="8" t="n">
        <v>60.6</v>
      </c>
      <c r="J2171" s="8" t="n"/>
      <c r="K2171" s="7" t="inlineStr">
        <is>
          <t>SEM COTAÇÃO</t>
        </is>
      </c>
      <c r="L2171" s="8" t="n"/>
      <c r="M2171" s="12" t="n"/>
      <c r="N2171" s="7" t="inlineStr"/>
      <c r="O2171" s="7" t="inlineStr"/>
    </row>
    <row r="2172">
      <c r="A2172" s="7" t="n">
        <v>656681</v>
      </c>
      <c r="B2172" s="10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1" t="n">
        <v>1</v>
      </c>
      <c r="G2172" s="11" t="n">
        <v>3</v>
      </c>
      <c r="H2172" s="8" t="n">
        <v>16.6138</v>
      </c>
      <c r="I2172" s="8" t="n">
        <v>16.6138</v>
      </c>
      <c r="J2172" s="8" t="n"/>
      <c r="K2172" s="7" t="inlineStr">
        <is>
          <t>SEM COTAÇÃO</t>
        </is>
      </c>
      <c r="L2172" s="8" t="n"/>
      <c r="M2172" s="12" t="n"/>
      <c r="N2172" s="7" t="inlineStr"/>
      <c r="O2172" s="7" t="inlineStr"/>
    </row>
    <row r="2173">
      <c r="A2173" s="7" t="n">
        <v>670031</v>
      </c>
      <c r="B2173" s="10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1" t="n">
        <v>1</v>
      </c>
      <c r="G2173" s="11" t="n">
        <v>2</v>
      </c>
      <c r="H2173" s="8" t="n">
        <v>68.51000000000001</v>
      </c>
      <c r="I2173" s="8" t="n">
        <v>68.51000000000001</v>
      </c>
      <c r="J2173" s="8" t="n"/>
      <c r="K2173" s="7" t="inlineStr">
        <is>
          <t>SEM COTAÇÃO</t>
        </is>
      </c>
      <c r="L2173" s="8" t="n"/>
      <c r="M2173" s="12" t="n"/>
      <c r="N2173" s="7" t="inlineStr"/>
      <c r="O2173" s="7" t="inlineStr"/>
    </row>
    <row r="2174">
      <c r="A2174" s="7" t="n">
        <v>656691</v>
      </c>
      <c r="B2174" s="10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1" t="n">
        <v>1</v>
      </c>
      <c r="G2174" s="11" t="n">
        <v>3</v>
      </c>
      <c r="H2174" s="8" t="n">
        <v>23.0325</v>
      </c>
      <c r="I2174" s="8" t="n">
        <v>23.0325</v>
      </c>
      <c r="J2174" s="8" t="n"/>
      <c r="K2174" s="7" t="inlineStr">
        <is>
          <t>SEM COTAÇÃO</t>
        </is>
      </c>
      <c r="L2174" s="8" t="n"/>
      <c r="M2174" s="12" t="n"/>
      <c r="N2174" s="7" t="inlineStr"/>
      <c r="O2174" s="7" t="inlineStr"/>
    </row>
    <row r="2175">
      <c r="A2175" s="7" t="n">
        <v>656701</v>
      </c>
      <c r="B2175" s="10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1" t="n">
        <v>1</v>
      </c>
      <c r="G2175" s="11" t="n">
        <v>1</v>
      </c>
      <c r="H2175" s="8" t="n">
        <v>18.2862</v>
      </c>
      <c r="I2175" s="8" t="n">
        <v>18.2862</v>
      </c>
      <c r="J2175" s="8" t="n"/>
      <c r="K2175" s="7" t="inlineStr">
        <is>
          <t>SEM COTAÇÃO</t>
        </is>
      </c>
      <c r="L2175" s="8" t="n"/>
      <c r="M2175" s="12" t="n"/>
      <c r="N2175" s="7" t="inlineStr"/>
      <c r="O2175" s="7" t="inlineStr"/>
    </row>
    <row r="2176">
      <c r="A2176" s="7" t="n">
        <v>699701</v>
      </c>
      <c r="B2176" s="10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1" t="n">
        <v>1</v>
      </c>
      <c r="G2176" s="11" t="n">
        <v>3</v>
      </c>
      <c r="H2176" s="8" t="n">
        <v>46.4125</v>
      </c>
      <c r="I2176" s="8" t="n">
        <v>46.4125</v>
      </c>
      <c r="J2176" s="8" t="n"/>
      <c r="K2176" s="7" t="inlineStr">
        <is>
          <t>SEM COTAÇÃO</t>
        </is>
      </c>
      <c r="L2176" s="8" t="n"/>
      <c r="M2176" s="12" t="n"/>
      <c r="N2176" s="7" t="inlineStr"/>
      <c r="O2176" s="7" t="inlineStr"/>
    </row>
    <row r="2177">
      <c r="A2177" s="7" t="n">
        <v>699801</v>
      </c>
      <c r="B2177" s="10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1" t="n">
        <v>1</v>
      </c>
      <c r="G2177" s="11" t="n">
        <v>4</v>
      </c>
      <c r="H2177" s="8" t="n">
        <v>26.475</v>
      </c>
      <c r="I2177" s="8" t="n">
        <v>26.475</v>
      </c>
      <c r="J2177" s="8" t="n"/>
      <c r="K2177" s="7" t="inlineStr">
        <is>
          <t>SEM COTAÇÃO</t>
        </is>
      </c>
      <c r="L2177" s="8" t="n"/>
      <c r="M2177" s="12" t="n"/>
      <c r="N2177" s="7" t="inlineStr"/>
      <c r="O2177" s="7" t="inlineStr"/>
    </row>
    <row r="2178">
      <c r="A2178" s="7" t="n">
        <v>670051</v>
      </c>
      <c r="B2178" s="10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1" t="n">
        <v>1</v>
      </c>
      <c r="G2178" s="11" t="n">
        <v>1</v>
      </c>
      <c r="H2178" s="8" t="n">
        <v>64.2867</v>
      </c>
      <c r="I2178" s="8" t="n">
        <v>64.2867</v>
      </c>
      <c r="J2178" s="8" t="n"/>
      <c r="K2178" s="7" t="inlineStr">
        <is>
          <t>SEM COTAÇÃO</t>
        </is>
      </c>
      <c r="L2178" s="8" t="n"/>
      <c r="M2178" s="12" t="n"/>
      <c r="N2178" s="7" t="inlineStr"/>
      <c r="O2178" s="7" t="inlineStr"/>
    </row>
    <row r="2179">
      <c r="A2179" s="7" t="n">
        <v>670071</v>
      </c>
      <c r="B2179" s="10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1" t="n">
        <v>1</v>
      </c>
      <c r="G2179" s="11" t="n">
        <v>2</v>
      </c>
      <c r="H2179" s="8" t="n">
        <v>39.0775</v>
      </c>
      <c r="I2179" s="8" t="n">
        <v>39.0775</v>
      </c>
      <c r="J2179" s="8" t="n"/>
      <c r="K2179" s="7" t="inlineStr">
        <is>
          <t>SEM COTAÇÃO</t>
        </is>
      </c>
      <c r="L2179" s="8" t="n"/>
      <c r="M2179" s="12" t="n"/>
      <c r="N2179" s="7" t="inlineStr"/>
      <c r="O2179" s="7" t="inlineStr"/>
    </row>
    <row r="2180">
      <c r="A2180" s="7" t="n">
        <v>670081</v>
      </c>
      <c r="B2180" s="10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1" t="n">
        <v>1</v>
      </c>
      <c r="G2180" s="11" t="n">
        <v>1</v>
      </c>
      <c r="H2180" s="8" t="n">
        <v>39.585</v>
      </c>
      <c r="I2180" s="8" t="n">
        <v>39.585</v>
      </c>
      <c r="J2180" s="8" t="n"/>
      <c r="K2180" s="7" t="inlineStr">
        <is>
          <t>SEM COTAÇÃO</t>
        </is>
      </c>
      <c r="L2180" s="8" t="n"/>
      <c r="M2180" s="12" t="n"/>
      <c r="N2180" s="7" t="inlineStr"/>
      <c r="O2180" s="7" t="inlineStr"/>
    </row>
    <row r="2181">
      <c r="A2181" s="7" t="n">
        <v>674201</v>
      </c>
      <c r="B2181" s="10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1" t="n">
        <v>1</v>
      </c>
      <c r="G2181" s="11" t="n">
        <v>1</v>
      </c>
      <c r="H2181" s="8" t="n">
        <v>16.2638</v>
      </c>
      <c r="I2181" s="8" t="n">
        <v>16.2638</v>
      </c>
      <c r="J2181" s="8" t="n"/>
      <c r="K2181" s="7" t="inlineStr">
        <is>
          <t>SEM COTAÇÃO</t>
        </is>
      </c>
      <c r="L2181" s="8" t="n"/>
      <c r="M2181" s="12" t="n"/>
      <c r="N2181" s="7" t="inlineStr"/>
      <c r="O2181" s="7" t="inlineStr"/>
    </row>
    <row r="2182">
      <c r="A2182" s="7" t="n">
        <v>674211</v>
      </c>
      <c r="B2182" s="10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1" t="n">
        <v>1</v>
      </c>
      <c r="G2182" s="11" t="n">
        <v>2</v>
      </c>
      <c r="H2182" s="8" t="n">
        <v>16.2638</v>
      </c>
      <c r="I2182" s="8" t="n">
        <v>16.2638</v>
      </c>
      <c r="J2182" s="8" t="n"/>
      <c r="K2182" s="7" t="inlineStr">
        <is>
          <t>SEM COTAÇÃO</t>
        </is>
      </c>
      <c r="L2182" s="8" t="n"/>
      <c r="M2182" s="12" t="n"/>
      <c r="N2182" s="7" t="inlineStr"/>
      <c r="O2182" s="7" t="inlineStr"/>
    </row>
    <row r="2183">
      <c r="A2183" s="7" t="n">
        <v>667701</v>
      </c>
      <c r="B2183" s="10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1" t="n">
        <v>1</v>
      </c>
      <c r="G2183" s="11" t="n">
        <v>2</v>
      </c>
      <c r="H2183" s="8" t="n">
        <v>46.82</v>
      </c>
      <c r="I2183" s="8" t="n">
        <v>39.7125</v>
      </c>
      <c r="J2183" s="8" t="n"/>
      <c r="K2183" s="7" t="inlineStr">
        <is>
          <t>SEM COTAÇÃO</t>
        </is>
      </c>
      <c r="L2183" s="8" t="n"/>
      <c r="M2183" s="12" t="n"/>
      <c r="N2183" s="7" t="inlineStr"/>
      <c r="O2183" s="7" t="inlineStr"/>
    </row>
    <row r="2184">
      <c r="A2184" s="7" t="n">
        <v>667731</v>
      </c>
      <c r="B2184" s="10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1" t="n">
        <v>1</v>
      </c>
      <c r="G2184" s="11" t="n">
        <v>4</v>
      </c>
      <c r="H2184" s="8" t="n">
        <v>47.5325</v>
      </c>
      <c r="I2184" s="8" t="n">
        <v>39.7125</v>
      </c>
      <c r="J2184" s="8" t="n"/>
      <c r="K2184" s="7" t="inlineStr">
        <is>
          <t>SEM COTAÇÃO</t>
        </is>
      </c>
      <c r="L2184" s="8" t="n"/>
      <c r="M2184" s="12" t="n"/>
      <c r="N2184" s="7" t="inlineStr"/>
      <c r="O2184" s="7" t="inlineStr"/>
    </row>
    <row r="2185">
      <c r="A2185" s="7" t="n">
        <v>664231</v>
      </c>
      <c r="B2185" s="10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1" t="n">
        <v>1</v>
      </c>
      <c r="G2185" s="11" t="n">
        <v>4</v>
      </c>
      <c r="H2185" s="8" t="n">
        <v>25.6617</v>
      </c>
      <c r="I2185" s="8" t="n">
        <v>22.3683</v>
      </c>
      <c r="J2185" s="8" t="n"/>
      <c r="K2185" s="7" t="inlineStr">
        <is>
          <t>SEM COTAÇÃO</t>
        </is>
      </c>
      <c r="L2185" s="8" t="n"/>
      <c r="M2185" s="12" t="n"/>
      <c r="N2185" s="7" t="inlineStr"/>
      <c r="O2185" s="7" t="inlineStr"/>
    </row>
    <row r="2186">
      <c r="A2186" s="7" t="n">
        <v>664261</v>
      </c>
      <c r="B2186" s="10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1" t="n">
        <v>1</v>
      </c>
      <c r="G2186" s="11" t="n">
        <v>4</v>
      </c>
      <c r="H2186" s="8" t="n">
        <v>18.7388</v>
      </c>
      <c r="I2186" s="8" t="n">
        <v>18.7388</v>
      </c>
      <c r="J2186" s="8" t="n"/>
      <c r="K2186" s="7" t="inlineStr">
        <is>
          <t>SEM COTAÇÃO</t>
        </is>
      </c>
      <c r="L2186" s="8" t="n"/>
      <c r="M2186" s="12" t="n"/>
      <c r="N2186" s="7" t="inlineStr"/>
      <c r="O2186" s="7" t="inlineStr"/>
    </row>
    <row r="2187">
      <c r="A2187" s="7" t="n">
        <v>614811</v>
      </c>
      <c r="B2187" s="10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1" t="n">
        <v>3</v>
      </c>
      <c r="G2187" s="11" t="n">
        <v>3</v>
      </c>
      <c r="H2187" s="8" t="n">
        <v>45.49</v>
      </c>
      <c r="I2187" s="8" t="n">
        <v>45.49</v>
      </c>
      <c r="J2187" s="8" t="n"/>
      <c r="K2187" s="7" t="inlineStr">
        <is>
          <t>SEM COTAÇÃO</t>
        </is>
      </c>
      <c r="L2187" s="8" t="n"/>
      <c r="M2187" s="12" t="n"/>
      <c r="N2187" s="7" t="inlineStr"/>
      <c r="O2187" s="7" t="inlineStr"/>
    </row>
    <row r="2188">
      <c r="A2188" s="7" t="n">
        <v>606261</v>
      </c>
      <c r="B2188" s="10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1" t="n">
        <v>1</v>
      </c>
      <c r="G2188" s="11" t="n">
        <v>1</v>
      </c>
      <c r="H2188" s="8" t="n">
        <v>49.83</v>
      </c>
      <c r="I2188" s="8" t="n">
        <v>49.83</v>
      </c>
      <c r="J2188" s="8" t="n"/>
      <c r="K2188" s="7" t="inlineStr">
        <is>
          <t>SEM COTAÇÃO</t>
        </is>
      </c>
      <c r="L2188" s="8" t="n"/>
      <c r="M2188" s="12" t="n"/>
      <c r="N2188" s="7" t="inlineStr"/>
      <c r="O2188" s="7" t="inlineStr"/>
    </row>
    <row r="2189">
      <c r="A2189" s="7" t="n">
        <v>661661</v>
      </c>
      <c r="B2189" s="10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1" t="n">
        <v>1</v>
      </c>
      <c r="G2189" s="11" t="n">
        <v>1</v>
      </c>
      <c r="H2189" s="8" t="n">
        <v>15.09</v>
      </c>
      <c r="I2189" s="8" t="n">
        <v>15.09</v>
      </c>
      <c r="J2189" s="8" t="n"/>
      <c r="K2189" s="7" t="inlineStr">
        <is>
          <t>SEM COTAÇÃO</t>
        </is>
      </c>
      <c r="L2189" s="8" t="n"/>
      <c r="M2189" s="12" t="n"/>
      <c r="N2189" s="7" t="inlineStr"/>
      <c r="O2189" s="7" t="inlineStr"/>
    </row>
    <row r="2190">
      <c r="A2190" s="7" t="n">
        <v>606291</v>
      </c>
      <c r="B2190" s="10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1" t="n">
        <v>1</v>
      </c>
      <c r="G2190" s="11" t="n">
        <v>1</v>
      </c>
      <c r="H2190" s="8" t="n">
        <v>15.09</v>
      </c>
      <c r="I2190" s="8" t="n">
        <v>15.09</v>
      </c>
      <c r="J2190" s="8" t="n"/>
      <c r="K2190" s="7" t="inlineStr">
        <is>
          <t>SEM COTAÇÃO</t>
        </is>
      </c>
      <c r="L2190" s="8" t="n"/>
      <c r="M2190" s="12" t="n"/>
      <c r="N2190" s="7" t="inlineStr"/>
      <c r="O2190" s="7" t="inlineStr"/>
    </row>
    <row r="2191">
      <c r="A2191" s="7" t="n">
        <v>661671</v>
      </c>
      <c r="B2191" s="10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1" t="n">
        <v>1</v>
      </c>
      <c r="G2191" s="11" t="n">
        <v>2</v>
      </c>
      <c r="H2191" s="8" t="n">
        <v>15.09</v>
      </c>
      <c r="I2191" s="8" t="n">
        <v>15.09</v>
      </c>
      <c r="J2191" s="8" t="n"/>
      <c r="K2191" s="7" t="inlineStr">
        <is>
          <t>SEM COTAÇÃO</t>
        </is>
      </c>
      <c r="L2191" s="8" t="n"/>
      <c r="M2191" s="12" t="n"/>
      <c r="N2191" s="7" t="inlineStr"/>
      <c r="O2191" s="7" t="inlineStr"/>
    </row>
    <row r="2192">
      <c r="A2192" s="7" t="n">
        <v>606311</v>
      </c>
      <c r="B2192" s="10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1" t="n">
        <v>4</v>
      </c>
      <c r="G2192" s="11" t="n">
        <v>4</v>
      </c>
      <c r="H2192" s="8" t="n">
        <v>21.905</v>
      </c>
      <c r="I2192" s="8" t="n">
        <v>21.905</v>
      </c>
      <c r="J2192" s="8" t="n"/>
      <c r="K2192" s="7" t="inlineStr">
        <is>
          <t>SEM COTAÇÃO</t>
        </is>
      </c>
      <c r="L2192" s="8" t="n"/>
      <c r="M2192" s="12" t="n"/>
      <c r="N2192" s="7" t="inlineStr"/>
      <c r="O2192" s="7" t="inlineStr"/>
    </row>
    <row r="2193">
      <c r="A2193" s="7" t="n">
        <v>661681</v>
      </c>
      <c r="B2193" s="10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1" t="n">
        <v>1</v>
      </c>
      <c r="G2193" s="11" t="n">
        <v>1</v>
      </c>
      <c r="H2193" s="8" t="n">
        <v>15.865</v>
      </c>
      <c r="I2193" s="8" t="n">
        <v>15.865</v>
      </c>
      <c r="J2193" s="8" t="n"/>
      <c r="K2193" s="7" t="inlineStr">
        <is>
          <t>SEM COTAÇÃO</t>
        </is>
      </c>
      <c r="L2193" s="8" t="n"/>
      <c r="M2193" s="12" t="n"/>
      <c r="N2193" s="7" t="inlineStr"/>
      <c r="O2193" s="7" t="inlineStr"/>
    </row>
    <row r="2194">
      <c r="A2194" s="7" t="n">
        <v>661691</v>
      </c>
      <c r="B2194" s="10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1" t="n">
        <v>1</v>
      </c>
      <c r="G2194" s="11" t="n">
        <v>1</v>
      </c>
      <c r="H2194" s="8" t="n">
        <v>15.865</v>
      </c>
      <c r="I2194" s="8" t="n">
        <v>15.865</v>
      </c>
      <c r="J2194" s="8" t="n"/>
      <c r="K2194" s="7" t="inlineStr">
        <is>
          <t>SEM COTAÇÃO</t>
        </is>
      </c>
      <c r="L2194" s="8" t="n"/>
      <c r="M2194" s="12" t="n"/>
      <c r="N2194" s="7" t="inlineStr"/>
      <c r="O2194" s="7" t="inlineStr"/>
    </row>
    <row r="2195">
      <c r="A2195" s="7" t="n">
        <v>656721</v>
      </c>
      <c r="B2195" s="10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1" t="n">
        <v>1</v>
      </c>
      <c r="G2195" s="11" t="n">
        <v>3</v>
      </c>
      <c r="H2195" s="8" t="n">
        <v>39.5</v>
      </c>
      <c r="I2195" s="8" t="n">
        <v>39.5</v>
      </c>
      <c r="J2195" s="8" t="n"/>
      <c r="K2195" s="7" t="inlineStr">
        <is>
          <t>SEM COTAÇÃO</t>
        </is>
      </c>
      <c r="L2195" s="8" t="n"/>
      <c r="M2195" s="12" t="n"/>
      <c r="N2195" s="7" t="inlineStr"/>
      <c r="O2195" s="7" t="inlineStr"/>
    </row>
    <row r="2196">
      <c r="A2196" s="7" t="n">
        <v>606321</v>
      </c>
      <c r="B2196" s="10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1" t="n">
        <v>1</v>
      </c>
      <c r="G2196" s="11" t="n">
        <v>1</v>
      </c>
      <c r="H2196" s="8" t="n">
        <v>35.7925</v>
      </c>
      <c r="I2196" s="8" t="n">
        <v>35.7925</v>
      </c>
      <c r="J2196" s="8" t="n"/>
      <c r="K2196" s="7" t="inlineStr">
        <is>
          <t>SEM COTAÇÃO</t>
        </is>
      </c>
      <c r="L2196" s="8" t="n"/>
      <c r="M2196" s="12" t="n"/>
      <c r="N2196" s="7" t="inlineStr"/>
      <c r="O2196" s="7" t="inlineStr"/>
    </row>
    <row r="2197">
      <c r="A2197" s="7" t="n">
        <v>661701</v>
      </c>
      <c r="B2197" s="10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1" t="n">
        <v>1</v>
      </c>
      <c r="G2197" s="11" t="n">
        <v>2</v>
      </c>
      <c r="H2197" s="8" t="n">
        <v>15.865</v>
      </c>
      <c r="I2197" s="8" t="n">
        <v>15.865</v>
      </c>
      <c r="J2197" s="8" t="n"/>
      <c r="K2197" s="7" t="inlineStr">
        <is>
          <t>SEM COTAÇÃO</t>
        </is>
      </c>
      <c r="L2197" s="8" t="n"/>
      <c r="M2197" s="12" t="n"/>
      <c r="N2197" s="7" t="inlineStr"/>
      <c r="O2197" s="7" t="inlineStr"/>
    </row>
    <row r="2198">
      <c r="A2198" s="7" t="n">
        <v>607361</v>
      </c>
      <c r="B2198" s="10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1" t="n">
        <v>1</v>
      </c>
      <c r="G2198" s="11" t="n">
        <v>8</v>
      </c>
      <c r="H2198" s="8" t="n">
        <v>1.676</v>
      </c>
      <c r="I2198" s="8" t="n">
        <v>1.676</v>
      </c>
      <c r="J2198" s="8" t="n"/>
      <c r="K2198" s="7" t="inlineStr">
        <is>
          <t>SEM COTAÇÃO</t>
        </is>
      </c>
      <c r="L2198" s="8" t="n"/>
      <c r="M2198" s="12" t="n"/>
      <c r="N2198" s="7" t="inlineStr"/>
      <c r="O2198" s="7" t="inlineStr"/>
    </row>
    <row r="2199">
      <c r="A2199" s="7" t="n">
        <v>607371</v>
      </c>
      <c r="B2199" s="10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1" t="n">
        <v>1</v>
      </c>
      <c r="G2199" s="11" t="n">
        <v>12</v>
      </c>
      <c r="H2199" s="8" t="n">
        <v>1.676</v>
      </c>
      <c r="I2199" s="8" t="n">
        <v>1.676</v>
      </c>
      <c r="J2199" s="8" t="n"/>
      <c r="K2199" s="7" t="inlineStr">
        <is>
          <t>SEM COTAÇÃO</t>
        </is>
      </c>
      <c r="L2199" s="8" t="n"/>
      <c r="M2199" s="12" t="n"/>
      <c r="N2199" s="7" t="inlineStr"/>
      <c r="O2199" s="7" t="inlineStr"/>
    </row>
    <row r="2200">
      <c r="A2200" s="7" t="n">
        <v>665601</v>
      </c>
      <c r="B2200" s="10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1" t="n">
        <v>1</v>
      </c>
      <c r="G2200" s="11" t="n">
        <v>1</v>
      </c>
      <c r="H2200" s="8" t="n">
        <v>5.2658</v>
      </c>
      <c r="I2200" s="8" t="n">
        <v>5.2658</v>
      </c>
      <c r="J2200" s="8" t="n"/>
      <c r="K2200" s="7" t="inlineStr">
        <is>
          <t>SEM COTAÇÃO</t>
        </is>
      </c>
      <c r="L2200" s="8" t="n"/>
      <c r="M2200" s="12" t="n"/>
      <c r="N2200" s="7" t="inlineStr"/>
      <c r="O2200" s="7" t="inlineStr"/>
    </row>
    <row r="2201">
      <c r="A2201" s="7" t="n">
        <v>616511</v>
      </c>
      <c r="B2201" s="10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1" t="n">
        <v>1</v>
      </c>
      <c r="G2201" s="11" t="n">
        <v>1</v>
      </c>
      <c r="H2201" s="8" t="n">
        <v>2.4921</v>
      </c>
      <c r="I2201" s="8" t="n">
        <v>2.4921</v>
      </c>
      <c r="J2201" s="8" t="n"/>
      <c r="K2201" s="7" t="inlineStr">
        <is>
          <t>SEM COTAÇÃO</t>
        </is>
      </c>
      <c r="L2201" s="8" t="n"/>
      <c r="M2201" s="12" t="n"/>
      <c r="N2201" s="7" t="inlineStr"/>
      <c r="O2201" s="7" t="inlineStr"/>
    </row>
    <row r="2202">
      <c r="A2202" s="7" t="n">
        <v>612631</v>
      </c>
      <c r="B2202" s="10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1" t="n">
        <v>1</v>
      </c>
      <c r="G2202" s="11" t="n">
        <v>1</v>
      </c>
      <c r="H2202" s="8" t="n">
        <v>2.3681</v>
      </c>
      <c r="I2202" s="8" t="n">
        <v>2.3681</v>
      </c>
      <c r="J2202" s="8" t="n"/>
      <c r="K2202" s="7" t="inlineStr">
        <is>
          <t>SEM COTAÇÃO</t>
        </is>
      </c>
      <c r="L2202" s="8" t="n"/>
      <c r="M2202" s="12" t="n"/>
      <c r="N2202" s="7" t="inlineStr"/>
      <c r="O2202" s="7" t="inlineStr"/>
    </row>
    <row r="2203">
      <c r="A2203" s="7" t="n">
        <v>591541</v>
      </c>
      <c r="B2203" s="10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1" t="n">
        <v>2</v>
      </c>
      <c r="G2203" s="11" t="n">
        <v>16</v>
      </c>
      <c r="H2203" s="8" t="n">
        <v>2.607</v>
      </c>
      <c r="I2203" s="8" t="n">
        <v>2.607</v>
      </c>
      <c r="J2203" s="8" t="n"/>
      <c r="K2203" s="7" t="inlineStr">
        <is>
          <t>SEM COTAÇÃO</t>
        </is>
      </c>
      <c r="L2203" s="8" t="n"/>
      <c r="M2203" s="12" t="n"/>
      <c r="N2203" s="7" t="inlineStr"/>
      <c r="O2203" s="7" t="inlineStr"/>
    </row>
    <row r="2204">
      <c r="A2204" s="7" t="n">
        <v>709301</v>
      </c>
      <c r="B2204" s="10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1" t="n">
        <v>1</v>
      </c>
      <c r="G2204" s="11" t="n">
        <v>8</v>
      </c>
      <c r="H2204" s="8" t="n">
        <v>2.607</v>
      </c>
      <c r="I2204" s="8" t="n">
        <v>2.607</v>
      </c>
      <c r="J2204" s="8" t="n"/>
      <c r="K2204" s="7" t="inlineStr">
        <is>
          <t>SEM COTAÇÃO</t>
        </is>
      </c>
      <c r="L2204" s="8" t="n"/>
      <c r="M2204" s="12" t="n"/>
      <c r="N2204" s="7" t="inlineStr"/>
      <c r="O2204" s="7" t="inlineStr"/>
    </row>
    <row r="2205">
      <c r="A2205" s="7" t="n">
        <v>663681</v>
      </c>
      <c r="B2205" s="10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1" t="n">
        <v>1</v>
      </c>
      <c r="G2205" s="11" t="n">
        <v>1</v>
      </c>
      <c r="H2205" s="8" t="n">
        <v>47.62</v>
      </c>
      <c r="I2205" s="8" t="n">
        <v>47.62</v>
      </c>
      <c r="J2205" s="8" t="n"/>
      <c r="K2205" s="7" t="inlineStr">
        <is>
          <t>SEM COTAÇÃO</t>
        </is>
      </c>
      <c r="L2205" s="8" t="n"/>
      <c r="M2205" s="12" t="n"/>
      <c r="N2205" s="7" t="inlineStr"/>
      <c r="O2205" s="7" t="inlineStr"/>
    </row>
    <row r="2206">
      <c r="A2206" s="7" t="n">
        <v>663671</v>
      </c>
      <c r="B2206" s="10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1" t="n">
        <v>1</v>
      </c>
      <c r="G2206" s="11" t="n">
        <v>1</v>
      </c>
      <c r="H2206" s="8" t="n">
        <v>47.62</v>
      </c>
      <c r="I2206" s="8" t="n">
        <v>47.62</v>
      </c>
      <c r="J2206" s="8" t="n"/>
      <c r="K2206" s="7" t="inlineStr">
        <is>
          <t>SEM COTAÇÃO</t>
        </is>
      </c>
      <c r="L2206" s="8" t="n"/>
      <c r="M2206" s="12" t="n"/>
      <c r="N2206" s="7" t="inlineStr"/>
      <c r="O2206" s="7" t="inlineStr"/>
    </row>
    <row r="2207">
      <c r="A2207" s="7" t="n">
        <v>663691</v>
      </c>
      <c r="B2207" s="10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1" t="n">
        <v>1</v>
      </c>
      <c r="G2207" s="11" t="n">
        <v>1</v>
      </c>
      <c r="H2207" s="8" t="n">
        <v>49.19</v>
      </c>
      <c r="I2207" s="8" t="n">
        <v>49.19</v>
      </c>
      <c r="J2207" s="8" t="n"/>
      <c r="K2207" s="7" t="inlineStr">
        <is>
          <t>SEM COTAÇÃO</t>
        </is>
      </c>
      <c r="L2207" s="8" t="n"/>
      <c r="M2207" s="12" t="n"/>
      <c r="N2207" s="7" t="inlineStr"/>
      <c r="O2207" s="7" t="inlineStr"/>
    </row>
    <row r="2208">
      <c r="A2208" s="7" t="n">
        <v>36003</v>
      </c>
      <c r="B2208" s="10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1" t="n">
        <v>4</v>
      </c>
      <c r="G2208" s="11" t="n">
        <v>4</v>
      </c>
      <c r="H2208" s="8" t="n">
        <v>25.88</v>
      </c>
      <c r="I2208" s="8" t="n">
        <v>25.88</v>
      </c>
      <c r="J2208" s="8" t="n"/>
      <c r="K2208" s="7" t="inlineStr">
        <is>
          <t>SEM COTAÇÃO</t>
        </is>
      </c>
      <c r="L2208" s="8" t="n"/>
      <c r="M2208" s="12" t="n"/>
      <c r="N2208" s="7" t="inlineStr"/>
      <c r="O2208" s="7" t="inlineStr"/>
    </row>
    <row r="2209">
      <c r="A2209" s="7" t="n">
        <v>36103</v>
      </c>
      <c r="B2209" s="10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1" t="n">
        <v>1</v>
      </c>
      <c r="G2209" s="11" t="n">
        <v>1</v>
      </c>
      <c r="H2209" s="8" t="n">
        <v>19.83</v>
      </c>
      <c r="I2209" s="8" t="n">
        <v>19.83</v>
      </c>
      <c r="J2209" s="8" t="n"/>
      <c r="K2209" s="7" t="inlineStr">
        <is>
          <t>SEM COTAÇÃO</t>
        </is>
      </c>
      <c r="L2209" s="8" t="n"/>
      <c r="M2209" s="12" t="n"/>
      <c r="N2209" s="7" t="inlineStr"/>
      <c r="O2209" s="7" t="inlineStr"/>
    </row>
    <row r="2210">
      <c r="A2210" s="7" t="n">
        <v>670571</v>
      </c>
      <c r="B2210" s="10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1" t="n">
        <v>2</v>
      </c>
      <c r="G2210" s="11" t="n">
        <v>2</v>
      </c>
      <c r="H2210" s="8" t="n">
        <v>9.4094</v>
      </c>
      <c r="I2210" s="8" t="n">
        <v>9.4094</v>
      </c>
      <c r="J2210" s="8" t="n"/>
      <c r="K2210" s="7" t="inlineStr">
        <is>
          <t>SEM COTAÇÃO</t>
        </is>
      </c>
      <c r="L2210" s="8" t="n"/>
      <c r="M2210" s="12" t="n"/>
      <c r="N2210" s="7" t="inlineStr"/>
      <c r="O2210" s="7" t="inlineStr"/>
    </row>
    <row r="2211">
      <c r="A2211" s="7" t="n">
        <v>630831</v>
      </c>
      <c r="B2211" s="10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1" t="n">
        <v>1</v>
      </c>
      <c r="G2211" s="11" t="n">
        <v>1</v>
      </c>
      <c r="H2211" s="8" t="n">
        <v>44.69</v>
      </c>
      <c r="I2211" s="8" t="n">
        <v>44.69</v>
      </c>
      <c r="J2211" s="8" t="n"/>
      <c r="K2211" s="7" t="inlineStr">
        <is>
          <t>SEM COTAÇÃO</t>
        </is>
      </c>
      <c r="L2211" s="8" t="n"/>
      <c r="M2211" s="12" t="n"/>
      <c r="N2211" s="7" t="inlineStr"/>
      <c r="O2211" s="7" t="inlineStr"/>
    </row>
    <row r="2212">
      <c r="A2212" s="7" t="n">
        <v>672141</v>
      </c>
      <c r="B2212" s="10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1" t="n">
        <v>1</v>
      </c>
      <c r="G2212" s="11" t="n">
        <v>1</v>
      </c>
      <c r="H2212" s="8" t="n">
        <v>24.4</v>
      </c>
      <c r="I2212" s="8" t="n">
        <v>24.4</v>
      </c>
      <c r="J2212" s="8" t="n"/>
      <c r="K2212" s="7" t="inlineStr">
        <is>
          <t>SEM COTAÇÃO</t>
        </is>
      </c>
      <c r="L2212" s="8" t="n"/>
      <c r="M2212" s="12" t="n"/>
      <c r="N2212" s="7" t="inlineStr"/>
      <c r="O2212" s="7" t="inlineStr"/>
    </row>
    <row r="2213">
      <c r="A2213" s="7" t="n">
        <v>579661</v>
      </c>
      <c r="B2213" s="10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1" t="n">
        <v>2</v>
      </c>
      <c r="G2213" s="11" t="n">
        <v>28</v>
      </c>
      <c r="H2213" s="8" t="n">
        <v>6.695</v>
      </c>
      <c r="I2213" s="8" t="n">
        <v>6.4512</v>
      </c>
      <c r="J2213" s="8" t="n"/>
      <c r="K2213" s="7" t="inlineStr">
        <is>
          <t>SEM COTAÇÃO</t>
        </is>
      </c>
      <c r="L2213" s="8" t="n"/>
      <c r="M2213" s="12" t="n"/>
      <c r="N2213" s="7" t="inlineStr"/>
      <c r="O2213" s="7" t="inlineStr"/>
    </row>
    <row r="2214">
      <c r="A2214" s="7" t="n">
        <v>649171</v>
      </c>
      <c r="B2214" s="10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1" t="n">
        <v>6</v>
      </c>
      <c r="G2214" s="11" t="n">
        <v>6</v>
      </c>
      <c r="H2214" s="8" t="n">
        <v>17.52</v>
      </c>
      <c r="I2214" s="8" t="n">
        <v>17.52</v>
      </c>
      <c r="J2214" s="8" t="n"/>
      <c r="K2214" s="7" t="inlineStr">
        <is>
          <t>SEM COTAÇÃO</t>
        </is>
      </c>
      <c r="L2214" s="8" t="n"/>
      <c r="M2214" s="12" t="n"/>
      <c r="N2214" s="7" t="inlineStr"/>
      <c r="O2214" s="7" t="inlineStr"/>
    </row>
    <row r="2215">
      <c r="A2215" s="7" t="n">
        <v>623451</v>
      </c>
      <c r="B2215" s="10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1" t="n">
        <v>1</v>
      </c>
      <c r="G2215" s="11" t="n">
        <v>3</v>
      </c>
      <c r="H2215" s="8" t="n">
        <v>5.0383</v>
      </c>
      <c r="I2215" s="8" t="n">
        <v>5.0383</v>
      </c>
      <c r="J2215" s="8" t="n"/>
      <c r="K2215" s="7" t="inlineStr">
        <is>
          <t>SEM COTAÇÃO</t>
        </is>
      </c>
      <c r="L2215" s="8" t="n"/>
      <c r="M2215" s="12" t="n"/>
      <c r="N2215" s="7" t="inlineStr"/>
      <c r="O2215" s="7" t="inlineStr"/>
    </row>
    <row r="2216">
      <c r="A2216" s="7" t="n">
        <v>599441</v>
      </c>
      <c r="B2216" s="10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1" t="n">
        <v>1</v>
      </c>
      <c r="G2216" s="11" t="n">
        <v>15</v>
      </c>
      <c r="H2216" s="8" t="n">
        <v>4.1983</v>
      </c>
      <c r="I2216" s="8" t="n">
        <v>2.6063</v>
      </c>
      <c r="J2216" s="8" t="n"/>
      <c r="K2216" s="7" t="inlineStr">
        <is>
          <t>SEM COTAÇÃO</t>
        </is>
      </c>
      <c r="L2216" s="8" t="n"/>
      <c r="M2216" s="12" t="n"/>
      <c r="N2216" s="7" t="inlineStr"/>
      <c r="O2216" s="7" t="inlineStr"/>
    </row>
    <row r="2217">
      <c r="A2217" s="7" t="n">
        <v>595871</v>
      </c>
      <c r="B2217" s="10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1" t="n">
        <v>1</v>
      </c>
      <c r="G2217" s="11" t="n">
        <v>26</v>
      </c>
      <c r="H2217" s="8" t="n">
        <v>0.8462</v>
      </c>
      <c r="I2217" s="8" t="n">
        <v>0.8462</v>
      </c>
      <c r="J2217" s="8" t="n"/>
      <c r="K2217" s="7" t="inlineStr">
        <is>
          <t>SEM COTAÇÃO</t>
        </is>
      </c>
      <c r="L2217" s="8" t="n"/>
      <c r="M2217" s="12" t="n"/>
      <c r="N2217" s="7" t="inlineStr"/>
      <c r="O2217" s="7" t="inlineStr"/>
    </row>
    <row r="2218">
      <c r="A2218" s="7" t="n">
        <v>623431</v>
      </c>
      <c r="B2218" s="10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1" t="n">
        <v>1</v>
      </c>
      <c r="G2218" s="11" t="n">
        <v>24</v>
      </c>
      <c r="H2218" s="8" t="n">
        <v>0.8462</v>
      </c>
      <c r="I2218" s="8" t="n">
        <v>0.8462</v>
      </c>
      <c r="J2218" s="8" t="n"/>
      <c r="K2218" s="7" t="inlineStr">
        <is>
          <t>SEM COTAÇÃO</t>
        </is>
      </c>
      <c r="L2218" s="8" t="n"/>
      <c r="M2218" s="12" t="n"/>
      <c r="N2218" s="7" t="inlineStr"/>
      <c r="O2218" s="7" t="inlineStr"/>
    </row>
    <row r="2219">
      <c r="A2219" s="7" t="n">
        <v>658031</v>
      </c>
      <c r="B2219" s="10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1" t="n">
        <v>1</v>
      </c>
      <c r="G2219" s="11" t="n">
        <v>3</v>
      </c>
      <c r="H2219" s="8" t="n">
        <v>10.8468</v>
      </c>
      <c r="I2219" s="8" t="n">
        <v>10.8468</v>
      </c>
      <c r="J2219" s="8" t="n"/>
      <c r="K2219" s="7" t="inlineStr">
        <is>
          <t>SEM COTAÇÃO</t>
        </is>
      </c>
      <c r="L2219" s="8" t="n"/>
      <c r="M2219" s="12" t="n"/>
      <c r="N2219" s="7" t="inlineStr"/>
      <c r="O2219" s="7" t="inlineStr"/>
    </row>
    <row r="2220">
      <c r="A2220" s="7" t="n">
        <v>595861</v>
      </c>
      <c r="B2220" s="10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1" t="n">
        <v>1</v>
      </c>
      <c r="G2220" s="11" t="n">
        <v>5</v>
      </c>
      <c r="H2220" s="8" t="n">
        <v>6.6956</v>
      </c>
      <c r="I2220" s="8" t="n">
        <v>6.6956</v>
      </c>
      <c r="J2220" s="8" t="n"/>
      <c r="K2220" s="7" t="inlineStr">
        <is>
          <t>SEM COTAÇÃO</t>
        </is>
      </c>
      <c r="L2220" s="8" t="n"/>
      <c r="M2220" s="12" t="n"/>
      <c r="N2220" s="7" t="inlineStr"/>
      <c r="O2220" s="7" t="inlineStr"/>
    </row>
    <row r="2221">
      <c r="A2221" s="7" t="n">
        <v>597361</v>
      </c>
      <c r="B2221" s="10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1" t="n">
        <v>1</v>
      </c>
      <c r="G2221" s="11" t="n">
        <v>2</v>
      </c>
      <c r="H2221" s="8" t="n">
        <v>6.695</v>
      </c>
      <c r="I2221" s="8" t="n">
        <v>6.5644</v>
      </c>
      <c r="J2221" s="8" t="n"/>
      <c r="K2221" s="7" t="inlineStr">
        <is>
          <t>SEM COTAÇÃO</t>
        </is>
      </c>
      <c r="L2221" s="8" t="n"/>
      <c r="M2221" s="12" t="n"/>
      <c r="N2221" s="7" t="inlineStr"/>
      <c r="O2221" s="7" t="inlineStr"/>
    </row>
    <row r="2222">
      <c r="A2222" s="7" t="n">
        <v>658041</v>
      </c>
      <c r="B2222" s="10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1" t="n">
        <v>1</v>
      </c>
      <c r="G2222" s="11" t="n">
        <v>4</v>
      </c>
      <c r="H2222" s="8" t="n">
        <v>10.7382</v>
      </c>
      <c r="I2222" s="8" t="n">
        <v>10.7382</v>
      </c>
      <c r="J2222" s="8" t="n"/>
      <c r="K2222" s="7" t="inlineStr">
        <is>
          <t>SEM COTAÇÃO</t>
        </is>
      </c>
      <c r="L2222" s="8" t="n"/>
      <c r="M2222" s="12" t="n"/>
      <c r="N2222" s="7" t="inlineStr"/>
      <c r="O2222" s="7" t="inlineStr"/>
    </row>
    <row r="2223">
      <c r="A2223" s="7" t="n">
        <v>660241</v>
      </c>
      <c r="B2223" s="10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1" t="n">
        <v>4</v>
      </c>
      <c r="G2223" s="11" t="n">
        <v>7</v>
      </c>
      <c r="H2223" s="8" t="n">
        <v>7.99</v>
      </c>
      <c r="I2223" s="8" t="n">
        <v>7.99</v>
      </c>
      <c r="J2223" s="13" t="n">
        <v>8.529999999999999</v>
      </c>
      <c r="K2223" s="7" t="inlineStr">
        <is>
          <t>DIMEC</t>
        </is>
      </c>
      <c r="L2223" s="8" t="n">
        <v>8.529999999999999</v>
      </c>
      <c r="M2223" s="12">
        <f>L2223/H2223-1</f>
        <v/>
      </c>
      <c r="N2223" s="14" t="inlineStr">
        <is>
          <t>ACIMA +6.8%</t>
        </is>
      </c>
      <c r="O2223" s="7" t="inlineStr"/>
    </row>
    <row r="2224">
      <c r="A2224" s="7" t="n">
        <v>80681</v>
      </c>
      <c r="B2224" s="10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1" t="n">
        <v>1</v>
      </c>
      <c r="G2224" s="11" t="n">
        <v>1</v>
      </c>
      <c r="H2224" s="8" t="n">
        <v>101.28</v>
      </c>
      <c r="I2224" s="8" t="n">
        <v>101.28</v>
      </c>
      <c r="J2224" s="8" t="n"/>
      <c r="K2224" s="7" t="inlineStr">
        <is>
          <t>SEM COTAÇÃO</t>
        </is>
      </c>
      <c r="L2224" s="8" t="n"/>
      <c r="M2224" s="12" t="n"/>
      <c r="N2224" s="7" t="inlineStr"/>
      <c r="O2224" s="7" t="inlineStr"/>
    </row>
    <row r="2225">
      <c r="A2225" s="7" t="n">
        <v>80661</v>
      </c>
      <c r="B2225" s="10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1" t="n">
        <v>5</v>
      </c>
      <c r="G2225" s="11" t="n">
        <v>5</v>
      </c>
      <c r="H2225" s="8" t="n">
        <v>101.28</v>
      </c>
      <c r="I2225" s="8" t="n">
        <v>101.28</v>
      </c>
      <c r="J2225" s="8" t="n"/>
      <c r="K2225" s="7" t="inlineStr">
        <is>
          <t>SEM COTAÇÃO</t>
        </is>
      </c>
      <c r="L2225" s="8" t="n"/>
      <c r="M2225" s="12" t="n"/>
      <c r="N2225" s="7" t="inlineStr"/>
      <c r="O2225" s="7" t="inlineStr"/>
    </row>
    <row r="2226">
      <c r="A2226" s="7" t="n">
        <v>80781</v>
      </c>
      <c r="B2226" s="10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1" t="n">
        <v>5</v>
      </c>
      <c r="G2226" s="11" t="n">
        <v>5</v>
      </c>
      <c r="H2226" s="8" t="n">
        <v>101.28</v>
      </c>
      <c r="I2226" s="8" t="n">
        <v>101.28</v>
      </c>
      <c r="J2226" s="8" t="n"/>
      <c r="K2226" s="7" t="inlineStr">
        <is>
          <t>SEM COTAÇÃO</t>
        </is>
      </c>
      <c r="L2226" s="8" t="n"/>
      <c r="M2226" s="12" t="n"/>
      <c r="N2226" s="7" t="inlineStr"/>
      <c r="O2226" s="7" t="inlineStr"/>
    </row>
    <row r="2227">
      <c r="A2227" s="7" t="n">
        <v>713</v>
      </c>
      <c r="B2227" s="10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1" t="n">
        <v>1</v>
      </c>
      <c r="G2227" s="11" t="n">
        <v>1</v>
      </c>
      <c r="H2227" s="8" t="n"/>
      <c r="I2227" s="8" t="n"/>
      <c r="J2227" s="8" t="n"/>
      <c r="K2227" s="7" t="inlineStr">
        <is>
          <t>SEM COTAÇÃO</t>
        </is>
      </c>
      <c r="L2227" s="8" t="n"/>
      <c r="M2227" s="12" t="n"/>
      <c r="N2227" s="7" t="inlineStr"/>
      <c r="O2227" s="7" t="inlineStr"/>
    </row>
    <row r="2228">
      <c r="A2228" s="7" t="n">
        <v>607721</v>
      </c>
      <c r="B2228" s="10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1" t="n">
        <v>1</v>
      </c>
      <c r="G2228" s="11" t="n">
        <v>1</v>
      </c>
      <c r="H2228" s="8" t="n">
        <v>5</v>
      </c>
      <c r="I2228" s="8" t="n">
        <v>5</v>
      </c>
      <c r="J2228" s="8" t="n"/>
      <c r="K2228" s="7" t="inlineStr">
        <is>
          <t>SEM COTAÇÃO</t>
        </is>
      </c>
      <c r="L2228" s="8" t="n"/>
      <c r="M2228" s="12" t="n"/>
      <c r="N2228" s="7" t="inlineStr"/>
      <c r="O2228" s="7" t="inlineStr"/>
    </row>
    <row r="2229">
      <c r="A2229" s="7" t="n">
        <v>591161</v>
      </c>
      <c r="B2229" s="10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1" t="n">
        <v>1</v>
      </c>
      <c r="G2229" s="11" t="n">
        <v>1</v>
      </c>
      <c r="H2229" s="8" t="n">
        <v>5.49</v>
      </c>
      <c r="I2229" s="8" t="n">
        <v>5.49</v>
      </c>
      <c r="J2229" s="8" t="n"/>
      <c r="K2229" s="7" t="inlineStr">
        <is>
          <t>SEM COTAÇÃO</t>
        </is>
      </c>
      <c r="L2229" s="8" t="n"/>
      <c r="M2229" s="12" t="n"/>
      <c r="N2229" s="7" t="inlineStr"/>
      <c r="O2229" s="7" t="inlineStr"/>
    </row>
    <row r="2230">
      <c r="A2230" s="7" t="n">
        <v>583501</v>
      </c>
      <c r="B2230" s="10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1" t="n">
        <v>1</v>
      </c>
      <c r="G2230" s="11" t="n">
        <v>1</v>
      </c>
      <c r="H2230" s="8" t="n">
        <v>5.2967</v>
      </c>
      <c r="I2230" s="8" t="n">
        <v>5.2967</v>
      </c>
      <c r="J2230" s="8" t="n"/>
      <c r="K2230" s="7" t="inlineStr">
        <is>
          <t>SEM COTAÇÃO</t>
        </is>
      </c>
      <c r="L2230" s="8" t="n"/>
      <c r="M2230" s="12" t="n"/>
      <c r="N2230" s="7" t="inlineStr"/>
      <c r="O2230" s="7" t="inlineStr"/>
    </row>
    <row r="2231">
      <c r="A2231" s="7" t="n">
        <v>583481</v>
      </c>
      <c r="B2231" s="10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1" t="n">
        <v>1</v>
      </c>
      <c r="G2231" s="11" t="n">
        <v>1</v>
      </c>
      <c r="H2231" s="8" t="n">
        <v>5.59</v>
      </c>
      <c r="I2231" s="8" t="n">
        <v>5.59</v>
      </c>
      <c r="J2231" s="8" t="n"/>
      <c r="K2231" s="7" t="inlineStr">
        <is>
          <t>SEM COTAÇÃO</t>
        </is>
      </c>
      <c r="L2231" s="8" t="n"/>
      <c r="M2231" s="12" t="n"/>
      <c r="N2231" s="7" t="inlineStr"/>
      <c r="O2231" s="7" t="inlineStr"/>
    </row>
    <row r="2232">
      <c r="A2232" s="7" t="n">
        <v>644421</v>
      </c>
      <c r="B2232" s="10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1" t="n">
        <v>1</v>
      </c>
      <c r="G2232" s="11" t="n">
        <v>1</v>
      </c>
      <c r="H2232" s="8" t="n"/>
      <c r="I2232" s="8" t="n"/>
      <c r="J2232" s="8" t="n"/>
      <c r="K2232" s="7" t="inlineStr">
        <is>
          <t>SEM COTAÇÃO</t>
        </is>
      </c>
      <c r="L2232" s="8" t="n"/>
      <c r="M2232" s="12" t="n"/>
      <c r="N2232" s="7" t="inlineStr"/>
      <c r="O2232" s="7" t="inlineStr"/>
    </row>
    <row r="2233">
      <c r="A2233" s="7" t="n">
        <v>591141</v>
      </c>
      <c r="B2233" s="10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1" t="n">
        <v>1</v>
      </c>
      <c r="G2233" s="11" t="n">
        <v>1</v>
      </c>
      <c r="H2233" s="8" t="n">
        <v>5.63</v>
      </c>
      <c r="I2233" s="8" t="n">
        <v>5.63</v>
      </c>
      <c r="J2233" s="8" t="n"/>
      <c r="K2233" s="7" t="inlineStr">
        <is>
          <t>SEM COTAÇÃO</t>
        </is>
      </c>
      <c r="L2233" s="8" t="n"/>
      <c r="M2233" s="12" t="n"/>
      <c r="N2233" s="7" t="inlineStr"/>
      <c r="O2233" s="7" t="inlineStr"/>
    </row>
    <row r="2234">
      <c r="A2234" s="7" t="n">
        <v>614411</v>
      </c>
      <c r="B2234" s="10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1" t="n">
        <v>1</v>
      </c>
      <c r="G2234" s="11" t="n">
        <v>1</v>
      </c>
      <c r="H2234" s="8" t="n">
        <v>5.26</v>
      </c>
      <c r="I2234" s="8" t="n">
        <v>5.26</v>
      </c>
      <c r="J2234" s="8" t="n"/>
      <c r="K2234" s="7" t="inlineStr">
        <is>
          <t>SEM COTAÇÃO</t>
        </is>
      </c>
      <c r="L2234" s="8" t="n"/>
      <c r="M2234" s="12" t="n"/>
      <c r="N2234" s="7" t="inlineStr"/>
      <c r="O2234" s="7" t="inlineStr"/>
    </row>
    <row r="2235">
      <c r="A2235" s="7" t="n">
        <v>614</v>
      </c>
      <c r="B2235" s="10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1" t="n">
        <v>1</v>
      </c>
      <c r="G2235" s="11" t="n">
        <v>1</v>
      </c>
      <c r="H2235" s="8" t="n"/>
      <c r="I2235" s="8" t="n"/>
      <c r="J2235" s="8" t="n"/>
      <c r="K2235" s="7" t="inlineStr">
        <is>
          <t>SEM COTAÇÃO</t>
        </is>
      </c>
      <c r="L2235" s="8" t="n"/>
      <c r="M2235" s="12" t="n"/>
      <c r="N2235" s="7" t="inlineStr"/>
      <c r="O2235" s="7" t="inlineStr"/>
    </row>
    <row r="2236">
      <c r="A2236" s="7" t="n">
        <v>613061</v>
      </c>
      <c r="B2236" s="10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1" t="n">
        <v>3</v>
      </c>
      <c r="G2236" s="11" t="n">
        <v>3</v>
      </c>
      <c r="H2236" s="8" t="n">
        <v>10.9</v>
      </c>
      <c r="I2236" s="8" t="n">
        <v>10.9</v>
      </c>
      <c r="J2236" s="8" t="n"/>
      <c r="K2236" s="7" t="inlineStr">
        <is>
          <t>SEM COTAÇÃO</t>
        </is>
      </c>
      <c r="L2236" s="8" t="n"/>
      <c r="M2236" s="12" t="n"/>
      <c r="N2236" s="7" t="inlineStr"/>
      <c r="O2236" s="7" t="inlineStr"/>
    </row>
    <row r="2237">
      <c r="A2237" s="7" t="n">
        <v>629741</v>
      </c>
      <c r="B2237" s="10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1" t="n">
        <v>3</v>
      </c>
      <c r="G2237" s="11" t="n">
        <v>3</v>
      </c>
      <c r="H2237" s="8" t="n">
        <v>5.32</v>
      </c>
      <c r="I2237" s="8" t="n">
        <v>5.32</v>
      </c>
      <c r="J2237" s="8" t="n"/>
      <c r="K2237" s="7" t="inlineStr">
        <is>
          <t>SEM COTAÇÃO</t>
        </is>
      </c>
      <c r="L2237" s="8" t="n"/>
      <c r="M2237" s="12" t="n"/>
      <c r="N2237" s="7" t="inlineStr"/>
      <c r="O2237" s="7" t="inlineStr"/>
    </row>
    <row r="2238">
      <c r="A2238" s="7" t="n">
        <v>667531</v>
      </c>
      <c r="B2238" s="10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1" t="n">
        <v>1</v>
      </c>
      <c r="G2238" s="11" t="n">
        <v>1</v>
      </c>
      <c r="H2238" s="8" t="n">
        <v>10.23</v>
      </c>
      <c r="I2238" s="8" t="n">
        <v>9.550000000000001</v>
      </c>
      <c r="J2238" s="8" t="n"/>
      <c r="K2238" s="7" t="inlineStr">
        <is>
          <t>SEM COTAÇÃO</t>
        </is>
      </c>
      <c r="L2238" s="8" t="n"/>
      <c r="M2238" s="12" t="n"/>
      <c r="N2238" s="7" t="inlineStr"/>
      <c r="O2238" s="7" t="inlineStr"/>
    </row>
    <row r="2239">
      <c r="A2239" s="7" t="n">
        <v>649001</v>
      </c>
      <c r="B2239" s="10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1" t="n">
        <v>1</v>
      </c>
      <c r="G2239" s="11" t="n">
        <v>1</v>
      </c>
      <c r="H2239" s="8" t="n">
        <v>7.35</v>
      </c>
      <c r="I2239" s="8" t="n">
        <v>7.35</v>
      </c>
      <c r="J2239" s="8" t="n"/>
      <c r="K2239" s="7" t="inlineStr">
        <is>
          <t>SEM COTAÇÃO</t>
        </is>
      </c>
      <c r="L2239" s="8" t="n"/>
      <c r="M2239" s="12" t="n"/>
      <c r="N2239" s="7" t="inlineStr"/>
      <c r="O2239" s="7" t="inlineStr"/>
    </row>
    <row r="2240">
      <c r="A2240" s="7" t="n">
        <v>626711</v>
      </c>
      <c r="B2240" s="10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1" t="n">
        <v>1</v>
      </c>
      <c r="G2240" s="11" t="n">
        <v>1</v>
      </c>
      <c r="H2240" s="8" t="n">
        <v>36.81</v>
      </c>
      <c r="I2240" s="8" t="n">
        <v>36.81</v>
      </c>
      <c r="J2240" s="8" t="n"/>
      <c r="K2240" s="7" t="inlineStr">
        <is>
          <t>SEM COTAÇÃO</t>
        </is>
      </c>
      <c r="L2240" s="8" t="n"/>
      <c r="M2240" s="12" t="n"/>
      <c r="N2240" s="7" t="inlineStr"/>
      <c r="O2240" s="7" t="inlineStr"/>
    </row>
    <row r="2241">
      <c r="A2241" s="7" t="n">
        <v>663391</v>
      </c>
      <c r="B2241" s="10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1" t="n">
        <v>3</v>
      </c>
      <c r="G2241" s="11" t="n">
        <v>3</v>
      </c>
      <c r="H2241" s="8" t="n">
        <v>4.99</v>
      </c>
      <c r="I2241" s="8" t="n">
        <v>4.99</v>
      </c>
      <c r="J2241" s="8" t="n"/>
      <c r="K2241" s="7" t="inlineStr">
        <is>
          <t>SEM COTAÇÃO</t>
        </is>
      </c>
      <c r="L2241" s="8" t="n"/>
      <c r="M2241" s="12" t="n"/>
      <c r="N2241" s="7" t="inlineStr"/>
      <c r="O2241" s="7" t="inlineStr"/>
    </row>
    <row r="2242">
      <c r="A2242" s="7" t="n">
        <v>676051</v>
      </c>
      <c r="B2242" s="10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1" t="n">
        <v>3</v>
      </c>
      <c r="G2242" s="11" t="n">
        <v>3</v>
      </c>
      <c r="H2242" s="8" t="n">
        <v>4.99</v>
      </c>
      <c r="I2242" s="8" t="n">
        <v>4.99</v>
      </c>
      <c r="J2242" s="8" t="n"/>
      <c r="K2242" s="7" t="inlineStr">
        <is>
          <t>SEM COTAÇÃO</t>
        </is>
      </c>
      <c r="L2242" s="8" t="n"/>
      <c r="M2242" s="12" t="n"/>
      <c r="N2242" s="7" t="inlineStr"/>
      <c r="O2242" s="7" t="inlineStr"/>
    </row>
    <row r="2243">
      <c r="A2243" s="7" t="n">
        <v>647541</v>
      </c>
      <c r="B2243" s="10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1" t="n">
        <v>5</v>
      </c>
      <c r="G2243" s="11" t="n">
        <v>5</v>
      </c>
      <c r="H2243" s="8" t="n">
        <v>5.5</v>
      </c>
      <c r="I2243" s="8" t="n">
        <v>5.5</v>
      </c>
      <c r="J2243" s="8" t="n"/>
      <c r="K2243" s="7" t="inlineStr">
        <is>
          <t>SEM COTAÇÃO</t>
        </is>
      </c>
      <c r="L2243" s="8" t="n"/>
      <c r="M2243" s="12" t="n"/>
      <c r="N2243" s="7" t="inlineStr"/>
      <c r="O2243" s="7" t="inlineStr"/>
    </row>
    <row r="2244">
      <c r="A2244" s="7" t="n">
        <v>647551</v>
      </c>
      <c r="B2244" s="10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1" t="n">
        <v>3</v>
      </c>
      <c r="G2244" s="11" t="n">
        <v>3</v>
      </c>
      <c r="H2244" s="8" t="n">
        <v>4.15</v>
      </c>
      <c r="I2244" s="8" t="n">
        <v>4.15</v>
      </c>
      <c r="J2244" s="8" t="n"/>
      <c r="K2244" s="7" t="inlineStr">
        <is>
          <t>SEM COTAÇÃO</t>
        </is>
      </c>
      <c r="L2244" s="8" t="n"/>
      <c r="M2244" s="12" t="n"/>
      <c r="N2244" s="7" t="inlineStr"/>
      <c r="O2244" s="7" t="inlineStr"/>
    </row>
    <row r="2245">
      <c r="A2245" s="7" t="n">
        <v>654791</v>
      </c>
      <c r="B2245" s="10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1" t="n">
        <v>4</v>
      </c>
      <c r="G2245" s="11" t="n">
        <v>4</v>
      </c>
      <c r="H2245" s="8" t="n">
        <v>12.46</v>
      </c>
      <c r="I2245" s="8" t="n">
        <v>12.46</v>
      </c>
      <c r="J2245" s="8" t="n"/>
      <c r="K2245" s="7" t="inlineStr">
        <is>
          <t>SEM COTAÇÃO</t>
        </is>
      </c>
      <c r="L2245" s="8" t="n"/>
      <c r="M2245" s="12" t="n"/>
      <c r="N2245" s="7" t="inlineStr"/>
      <c r="O2245" s="7" t="inlineStr"/>
    </row>
    <row r="2246">
      <c r="A2246" s="7" t="n">
        <v>656061</v>
      </c>
      <c r="B2246" s="10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1" t="n">
        <v>2</v>
      </c>
      <c r="G2246" s="11" t="n">
        <v>2</v>
      </c>
      <c r="H2246" s="8" t="n">
        <v>12.46</v>
      </c>
      <c r="I2246" s="8" t="n">
        <v>12.46</v>
      </c>
      <c r="J2246" s="8" t="n"/>
      <c r="K2246" s="7" t="inlineStr">
        <is>
          <t>SEM COTAÇÃO</t>
        </is>
      </c>
      <c r="L2246" s="8" t="n"/>
      <c r="M2246" s="12" t="n"/>
      <c r="N2246" s="7" t="inlineStr"/>
      <c r="O2246" s="7" t="inlineStr"/>
    </row>
    <row r="2247">
      <c r="A2247" s="7" t="n">
        <v>592591</v>
      </c>
      <c r="B2247" s="10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1" t="n">
        <v>2</v>
      </c>
      <c r="G2247" s="11" t="n">
        <v>2</v>
      </c>
      <c r="H2247" s="8" t="n">
        <v>6.25</v>
      </c>
      <c r="I2247" s="8" t="n">
        <v>6.25</v>
      </c>
      <c r="J2247" s="13" t="n">
        <v>7.05</v>
      </c>
      <c r="K2247" s="7" t="inlineStr">
        <is>
          <t>DIMEC</t>
        </is>
      </c>
      <c r="L2247" s="8" t="n">
        <v>7.05</v>
      </c>
      <c r="M2247" s="12">
        <f>L2247/H2247-1</f>
        <v/>
      </c>
      <c r="N2247" s="14" t="inlineStr">
        <is>
          <t>ACIMA +12.8%</t>
        </is>
      </c>
      <c r="O2247" s="7" t="inlineStr"/>
    </row>
    <row r="2248">
      <c r="A2248" s="7" t="n">
        <v>557181</v>
      </c>
      <c r="B2248" s="10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1" t="n">
        <v>2</v>
      </c>
      <c r="G2248" s="11" t="n">
        <v>2</v>
      </c>
      <c r="H2248" s="8" t="n">
        <v>13.54</v>
      </c>
      <c r="I2248" s="8" t="n">
        <v>13.54</v>
      </c>
      <c r="J2248" s="13" t="n">
        <v>15.36</v>
      </c>
      <c r="K2248" s="7" t="inlineStr">
        <is>
          <t>DIMEC</t>
        </is>
      </c>
      <c r="L2248" s="8" t="n">
        <v>15.36</v>
      </c>
      <c r="M2248" s="12">
        <f>L2248/H2248-1</f>
        <v/>
      </c>
      <c r="N2248" s="14" t="inlineStr">
        <is>
          <t>ACIMA +13.4%</t>
        </is>
      </c>
      <c r="O2248" s="7" t="inlineStr"/>
    </row>
    <row r="2249">
      <c r="A2249" s="7" t="n">
        <v>630481</v>
      </c>
      <c r="B2249" s="10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1" t="n">
        <v>1</v>
      </c>
      <c r="G2249" s="11" t="n">
        <v>1</v>
      </c>
      <c r="H2249" s="8" t="n">
        <v>24.89</v>
      </c>
      <c r="I2249" s="8" t="n">
        <v>24.89</v>
      </c>
      <c r="J2249" s="13" t="n">
        <v>23.26</v>
      </c>
      <c r="K2249" s="7" t="inlineStr">
        <is>
          <t>DIMEC</t>
        </is>
      </c>
      <c r="L2249" s="8" t="n">
        <v>23.26</v>
      </c>
      <c r="M2249" s="12">
        <f>L2249/H2249-1</f>
        <v/>
      </c>
      <c r="N2249" s="15" t="inlineStr">
        <is>
          <t>OK (≤ menor hist.)</t>
        </is>
      </c>
      <c r="O2249" s="7" t="inlineStr"/>
    </row>
    <row r="2250">
      <c r="A2250" s="7" t="n">
        <v>659491</v>
      </c>
      <c r="B2250" s="10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1" t="n">
        <v>1</v>
      </c>
      <c r="G2250" s="11" t="n">
        <v>1</v>
      </c>
      <c r="H2250" s="8" t="n">
        <v>18.37</v>
      </c>
      <c r="I2250" s="8" t="n">
        <v>18.37</v>
      </c>
      <c r="J2250" s="8" t="n"/>
      <c r="K2250" s="7" t="inlineStr">
        <is>
          <t>SEM COTAÇÃO</t>
        </is>
      </c>
      <c r="L2250" s="8" t="n"/>
      <c r="M2250" s="12" t="n"/>
      <c r="N2250" s="7" t="inlineStr"/>
      <c r="O2250" s="7" t="inlineStr"/>
    </row>
    <row r="2251">
      <c r="A2251" s="7" t="n">
        <v>584681</v>
      </c>
      <c r="B2251" s="10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1" t="n">
        <v>2</v>
      </c>
      <c r="G2251" s="11" t="n">
        <v>2</v>
      </c>
      <c r="H2251" s="8" t="n">
        <v>6.25</v>
      </c>
      <c r="I2251" s="8" t="n">
        <v>6.25</v>
      </c>
      <c r="J2251" s="13" t="n">
        <v>7.07</v>
      </c>
      <c r="K2251" s="7" t="inlineStr">
        <is>
          <t>DIMEC</t>
        </is>
      </c>
      <c r="L2251" s="8" t="n">
        <v>7.07</v>
      </c>
      <c r="M2251" s="12">
        <f>L2251/H2251-1</f>
        <v/>
      </c>
      <c r="N2251" s="14" t="inlineStr">
        <is>
          <t>ACIMA +13.1%</t>
        </is>
      </c>
      <c r="O2251" s="7" t="inlineStr"/>
    </row>
    <row r="2252">
      <c r="A2252" s="7" t="n">
        <v>584661</v>
      </c>
      <c r="B2252" s="10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1" t="n">
        <v>1</v>
      </c>
      <c r="G2252" s="11" t="n">
        <v>1</v>
      </c>
      <c r="H2252" s="8" t="n">
        <v>6.57</v>
      </c>
      <c r="I2252" s="8" t="n">
        <v>6.57</v>
      </c>
      <c r="J2252" s="13" t="n">
        <v>6.64</v>
      </c>
      <c r="K2252" s="7" t="inlineStr">
        <is>
          <t>DIMEC</t>
        </is>
      </c>
      <c r="L2252" s="8" t="n">
        <v>6.64</v>
      </c>
      <c r="M2252" s="12">
        <f>L2252/H2252-1</f>
        <v/>
      </c>
      <c r="N2252" s="14" t="inlineStr">
        <is>
          <t>ACIMA +1.1%</t>
        </is>
      </c>
      <c r="O2252" s="7" t="inlineStr"/>
    </row>
    <row r="2253">
      <c r="A2253" s="7" t="n">
        <v>647561</v>
      </c>
      <c r="B2253" s="10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1" t="n">
        <v>3</v>
      </c>
      <c r="G2253" s="11" t="n">
        <v>3</v>
      </c>
      <c r="H2253" s="8" t="n">
        <v>5.5</v>
      </c>
      <c r="I2253" s="8" t="n">
        <v>5.5</v>
      </c>
      <c r="J2253" s="8" t="n"/>
      <c r="K2253" s="7" t="inlineStr">
        <is>
          <t>SEM COTAÇÃO</t>
        </is>
      </c>
      <c r="L2253" s="8" t="n"/>
      <c r="M2253" s="12" t="n"/>
      <c r="N2253" s="7" t="inlineStr"/>
      <c r="O2253" s="7" t="inlineStr"/>
    </row>
    <row r="2254">
      <c r="A2254" s="7" t="n">
        <v>575881</v>
      </c>
      <c r="B2254" s="10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1" t="n">
        <v>1</v>
      </c>
      <c r="G2254" s="11" t="n">
        <v>1</v>
      </c>
      <c r="H2254" s="8" t="n">
        <v>13.57</v>
      </c>
      <c r="I2254" s="8" t="n">
        <v>13.57</v>
      </c>
      <c r="J2254" s="8" t="n"/>
      <c r="K2254" s="7" t="inlineStr">
        <is>
          <t>SEM COTAÇÃO</t>
        </is>
      </c>
      <c r="L2254" s="8" t="n"/>
      <c r="M2254" s="12" t="n"/>
      <c r="N2254" s="7" t="inlineStr"/>
      <c r="O2254" s="7" t="inlineStr"/>
    </row>
    <row r="2255">
      <c r="A2255" s="7" t="n">
        <v>575901</v>
      </c>
      <c r="B2255" s="10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1" t="n">
        <v>1</v>
      </c>
      <c r="G2255" s="11" t="n">
        <v>1</v>
      </c>
      <c r="H2255" s="8" t="n">
        <v>13.57</v>
      </c>
      <c r="I2255" s="8" t="n">
        <v>13.57</v>
      </c>
      <c r="J2255" s="8" t="n"/>
      <c r="K2255" s="7" t="inlineStr">
        <is>
          <t>SEM COTAÇÃO</t>
        </is>
      </c>
      <c r="L2255" s="8" t="n"/>
      <c r="M2255" s="12" t="n"/>
      <c r="N2255" s="7" t="inlineStr"/>
      <c r="O2255" s="7" t="inlineStr"/>
    </row>
    <row r="2256">
      <c r="A2256" s="7" t="n">
        <v>691301</v>
      </c>
      <c r="B2256" s="10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1" t="n">
        <v>1</v>
      </c>
      <c r="G2256" s="11" t="n">
        <v>1</v>
      </c>
      <c r="H2256" s="8" t="n">
        <v>6.15</v>
      </c>
      <c r="I2256" s="8" t="n">
        <v>6.15</v>
      </c>
      <c r="J2256" s="13" t="n">
        <v>6.15</v>
      </c>
      <c r="K2256" s="7" t="inlineStr">
        <is>
          <t>DIMEC</t>
        </is>
      </c>
      <c r="L2256" s="8" t="n">
        <v>6.15</v>
      </c>
      <c r="M2256" s="12">
        <f>L2256/H2256-1</f>
        <v/>
      </c>
      <c r="N2256" s="15" t="inlineStr">
        <is>
          <t>OK (≤ menor hist.)</t>
        </is>
      </c>
      <c r="O2256" s="7" t="inlineStr"/>
    </row>
    <row r="2257">
      <c r="A2257" s="7" t="n">
        <v>627891</v>
      </c>
      <c r="B2257" s="10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1" t="n">
        <v>6</v>
      </c>
      <c r="G2257" s="11" t="n">
        <v>6</v>
      </c>
      <c r="H2257" s="8" t="n">
        <v>4.46</v>
      </c>
      <c r="I2257" s="8" t="n">
        <v>4.46</v>
      </c>
      <c r="J2257" s="8" t="n"/>
      <c r="K2257" s="7" t="inlineStr">
        <is>
          <t>SEM COTAÇÃO</t>
        </is>
      </c>
      <c r="L2257" s="8" t="n"/>
      <c r="M2257" s="12" t="n"/>
      <c r="N2257" s="7" t="inlineStr"/>
      <c r="O2257" s="7" t="inlineStr"/>
    </row>
    <row r="2258">
      <c r="A2258" s="7" t="n">
        <v>691801</v>
      </c>
      <c r="B2258" s="10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1" t="n">
        <v>1</v>
      </c>
      <c r="G2258" s="11" t="n">
        <v>1</v>
      </c>
      <c r="H2258" s="8" t="n">
        <v>4.19</v>
      </c>
      <c r="I2258" s="8" t="n">
        <v>4.19</v>
      </c>
      <c r="J2258" s="13" t="n">
        <v>4.19</v>
      </c>
      <c r="K2258" s="7" t="inlineStr">
        <is>
          <t>DIMEC</t>
        </is>
      </c>
      <c r="L2258" s="8" t="n">
        <v>4.19</v>
      </c>
      <c r="M2258" s="12">
        <f>L2258/H2258-1</f>
        <v/>
      </c>
      <c r="N2258" s="15" t="inlineStr">
        <is>
          <t>OK (≤ menor hist.)</t>
        </is>
      </c>
      <c r="O2258" s="7" t="inlineStr"/>
    </row>
    <row r="2259">
      <c r="A2259" s="7" t="n">
        <v>627911</v>
      </c>
      <c r="B2259" s="10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1" t="n">
        <v>4</v>
      </c>
      <c r="G2259" s="11" t="n">
        <v>4</v>
      </c>
      <c r="H2259" s="8" t="n">
        <v>4.38</v>
      </c>
      <c r="I2259" s="8" t="n">
        <v>4.38</v>
      </c>
      <c r="J2259" s="8" t="n"/>
      <c r="K2259" s="7" t="inlineStr">
        <is>
          <t>SEM COTAÇÃO</t>
        </is>
      </c>
      <c r="L2259" s="8" t="n"/>
      <c r="M2259" s="12" t="n"/>
      <c r="N2259" s="7" t="inlineStr"/>
      <c r="O2259" s="7" t="inlineStr"/>
    </row>
    <row r="2260">
      <c r="A2260" s="7" t="n">
        <v>691601</v>
      </c>
      <c r="B2260" s="10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1" t="n">
        <v>10</v>
      </c>
      <c r="G2260" s="11" t="n">
        <v>10</v>
      </c>
      <c r="H2260" s="8" t="n">
        <v>3.67</v>
      </c>
      <c r="I2260" s="8" t="n">
        <v>3.67</v>
      </c>
      <c r="J2260" s="13" t="n">
        <v>3.67</v>
      </c>
      <c r="K2260" s="7" t="inlineStr">
        <is>
          <t>DIMEC</t>
        </is>
      </c>
      <c r="L2260" s="8" t="n">
        <v>3.67</v>
      </c>
      <c r="M2260" s="12">
        <f>L2260/H2260-1</f>
        <v/>
      </c>
      <c r="N2260" s="15" t="inlineStr">
        <is>
          <t>OK (≤ menor hist.)</t>
        </is>
      </c>
      <c r="O2260" s="7" t="inlineStr"/>
    </row>
    <row r="2261">
      <c r="A2261" s="7" t="n">
        <v>654521</v>
      </c>
      <c r="B2261" s="10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1" t="n">
        <v>1</v>
      </c>
      <c r="G2261" s="11" t="n">
        <v>1</v>
      </c>
      <c r="H2261" s="8" t="n">
        <v>6.91</v>
      </c>
      <c r="I2261" s="8" t="n">
        <v>6.91</v>
      </c>
      <c r="J2261" s="8" t="n"/>
      <c r="K2261" s="7" t="inlineStr">
        <is>
          <t>SEM COTAÇÃO</t>
        </is>
      </c>
      <c r="L2261" s="8" t="n"/>
      <c r="M2261" s="12" t="n"/>
      <c r="N2261" s="7" t="inlineStr"/>
      <c r="O2261" s="7" t="inlineStr"/>
    </row>
    <row r="2262">
      <c r="A2262" s="7" t="n">
        <v>654701</v>
      </c>
      <c r="B2262" s="10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1" t="n">
        <v>2</v>
      </c>
      <c r="G2262" s="11" t="n">
        <v>2</v>
      </c>
      <c r="H2262" s="8" t="n">
        <v>12.16</v>
      </c>
      <c r="I2262" s="8" t="n">
        <v>12.16</v>
      </c>
      <c r="J2262" s="8" t="n"/>
      <c r="K2262" s="7" t="inlineStr">
        <is>
          <t>SEM COTAÇÃO</t>
        </is>
      </c>
      <c r="L2262" s="8" t="n"/>
      <c r="M2262" s="12" t="n"/>
      <c r="N2262" s="7" t="inlineStr"/>
      <c r="O2262" s="7" t="inlineStr"/>
    </row>
    <row r="2263">
      <c r="A2263" s="7" t="n">
        <v>627931</v>
      </c>
      <c r="B2263" s="10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1" t="n">
        <v>2</v>
      </c>
      <c r="G2263" s="11" t="n">
        <v>2</v>
      </c>
      <c r="H2263" s="8" t="n">
        <v>4.36</v>
      </c>
      <c r="I2263" s="8" t="n">
        <v>4.36</v>
      </c>
      <c r="J2263" s="13" t="n">
        <v>4.36</v>
      </c>
      <c r="K2263" s="7" t="inlineStr">
        <is>
          <t>DIMEC</t>
        </is>
      </c>
      <c r="L2263" s="8" t="n">
        <v>4.36</v>
      </c>
      <c r="M2263" s="12">
        <f>L2263/H2263-1</f>
        <v/>
      </c>
      <c r="N2263" s="15" t="inlineStr">
        <is>
          <t>OK (≤ menor hist.)</t>
        </is>
      </c>
      <c r="O2263" s="7" t="inlineStr"/>
    </row>
    <row r="2264">
      <c r="A2264" s="7" t="n">
        <v>627901</v>
      </c>
      <c r="B2264" s="10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1" t="n">
        <v>2</v>
      </c>
      <c r="G2264" s="11" t="n">
        <v>2</v>
      </c>
      <c r="H2264" s="8" t="n">
        <v>4.41</v>
      </c>
      <c r="I2264" s="8" t="n">
        <v>4.41</v>
      </c>
      <c r="J2264" s="13" t="n">
        <v>4.39</v>
      </c>
      <c r="K2264" s="7" t="inlineStr">
        <is>
          <t>DIMEC</t>
        </is>
      </c>
      <c r="L2264" s="8" t="n">
        <v>4.39</v>
      </c>
      <c r="M2264" s="12">
        <f>L2264/H2264-1</f>
        <v/>
      </c>
      <c r="N2264" s="15" t="inlineStr">
        <is>
          <t>OK (≤ menor hist.)</t>
        </is>
      </c>
      <c r="O2264" s="7" t="inlineStr"/>
    </row>
    <row r="2265">
      <c r="A2265" s="7" t="n">
        <v>627921</v>
      </c>
      <c r="B2265" s="10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1" t="n">
        <v>5</v>
      </c>
      <c r="G2265" s="11" t="n">
        <v>5</v>
      </c>
      <c r="H2265" s="8" t="n">
        <v>3.7</v>
      </c>
      <c r="I2265" s="8" t="n">
        <v>3.7</v>
      </c>
      <c r="J2265" s="13" t="n">
        <v>3.7</v>
      </c>
      <c r="K2265" s="7" t="inlineStr">
        <is>
          <t>DIMEC</t>
        </is>
      </c>
      <c r="L2265" s="8" t="n">
        <v>3.7</v>
      </c>
      <c r="M2265" s="12">
        <f>L2265/H2265-1</f>
        <v/>
      </c>
      <c r="N2265" s="15" t="inlineStr">
        <is>
          <t>OK (≤ menor hist.)</t>
        </is>
      </c>
      <c r="O2265" s="7" t="inlineStr"/>
    </row>
    <row r="2266">
      <c r="A2266" s="7" t="n">
        <v>544961</v>
      </c>
      <c r="B2266" s="10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1" t="n">
        <v>1</v>
      </c>
      <c r="G2266" s="11" t="n">
        <v>1</v>
      </c>
      <c r="H2266" s="8" t="n">
        <v>4.21</v>
      </c>
      <c r="I2266" s="8" t="n">
        <v>4.21</v>
      </c>
      <c r="J2266" s="8" t="n"/>
      <c r="K2266" s="7" t="inlineStr">
        <is>
          <t>SEM COTAÇÃO</t>
        </is>
      </c>
      <c r="L2266" s="8" t="n"/>
      <c r="M2266" s="12" t="n"/>
      <c r="N2266" s="7" t="inlineStr"/>
      <c r="O2266" s="7" t="inlineStr"/>
    </row>
    <row r="2267">
      <c r="A2267" s="7" t="n">
        <v>647501</v>
      </c>
      <c r="B2267" s="10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1" t="n">
        <v>2</v>
      </c>
      <c r="G2267" s="11" t="n">
        <v>2</v>
      </c>
      <c r="H2267" s="8" t="n">
        <v>10.9</v>
      </c>
      <c r="I2267" s="8" t="n">
        <v>10.9</v>
      </c>
      <c r="J2267" s="8" t="n"/>
      <c r="K2267" s="7" t="inlineStr">
        <is>
          <t>SEM COTAÇÃO</t>
        </is>
      </c>
      <c r="L2267" s="8" t="n"/>
      <c r="M2267" s="12" t="n"/>
      <c r="N2267" s="7" t="inlineStr"/>
      <c r="O2267" s="7" t="inlineStr"/>
    </row>
    <row r="2268">
      <c r="A2268" s="7" t="n">
        <v>673041</v>
      </c>
      <c r="B2268" s="10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1" t="n">
        <v>1</v>
      </c>
      <c r="G2268" s="11" t="n">
        <v>1</v>
      </c>
      <c r="H2268" s="8" t="n">
        <v>17.65</v>
      </c>
      <c r="I2268" s="8" t="n">
        <v>17.65</v>
      </c>
      <c r="J2268" s="8" t="n"/>
      <c r="K2268" s="7" t="inlineStr">
        <is>
          <t>SEM COTAÇÃO</t>
        </is>
      </c>
      <c r="L2268" s="8" t="n"/>
      <c r="M2268" s="12" t="n"/>
      <c r="N2268" s="7" t="inlineStr"/>
      <c r="O2268" s="7" t="inlineStr"/>
    </row>
    <row r="2269">
      <c r="A2269" s="7" t="n">
        <v>673051</v>
      </c>
      <c r="B2269" s="10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1" t="n">
        <v>2</v>
      </c>
      <c r="G2269" s="11" t="n">
        <v>2</v>
      </c>
      <c r="H2269" s="8" t="n">
        <v>17.56</v>
      </c>
      <c r="I2269" s="8" t="n">
        <v>17.56</v>
      </c>
      <c r="J2269" s="8" t="n"/>
      <c r="K2269" s="7" t="inlineStr">
        <is>
          <t>SEM COTAÇÃO</t>
        </is>
      </c>
      <c r="L2269" s="8" t="n"/>
      <c r="M2269" s="12" t="n"/>
      <c r="N2269" s="7" t="inlineStr"/>
      <c r="O2269" s="7" t="inlineStr"/>
    </row>
    <row r="2270">
      <c r="A2270" s="7" t="n">
        <v>673071</v>
      </c>
      <c r="B2270" s="10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1" t="n">
        <v>2</v>
      </c>
      <c r="G2270" s="11" t="n">
        <v>2</v>
      </c>
      <c r="H2270" s="8" t="n">
        <v>17.75</v>
      </c>
      <c r="I2270" s="8" t="n">
        <v>17.75</v>
      </c>
      <c r="J2270" s="8" t="n"/>
      <c r="K2270" s="7" t="inlineStr">
        <is>
          <t>SEM COTAÇÃO</t>
        </is>
      </c>
      <c r="L2270" s="8" t="n"/>
      <c r="M2270" s="12" t="n"/>
      <c r="N2270" s="7" t="inlineStr"/>
      <c r="O2270" s="7" t="inlineStr"/>
    </row>
    <row r="2271">
      <c r="A2271" s="7" t="n">
        <v>603231</v>
      </c>
      <c r="B2271" s="10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1" t="n">
        <v>1</v>
      </c>
      <c r="G2271" s="11" t="n">
        <v>1</v>
      </c>
      <c r="H2271" s="8" t="n">
        <v>23.35</v>
      </c>
      <c r="I2271" s="8" t="n">
        <v>23.35</v>
      </c>
      <c r="J2271" s="8" t="n"/>
      <c r="K2271" s="7" t="inlineStr">
        <is>
          <t>SEM COTAÇÃO</t>
        </is>
      </c>
      <c r="L2271" s="8" t="n"/>
      <c r="M2271" s="12" t="n"/>
      <c r="N2271" s="7" t="inlineStr"/>
      <c r="O2271" s="7" t="inlineStr"/>
    </row>
    <row r="2272">
      <c r="A2272" s="7" t="n">
        <v>603211</v>
      </c>
      <c r="B2272" s="10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1" t="n">
        <v>1</v>
      </c>
      <c r="G2272" s="11" t="n">
        <v>1</v>
      </c>
      <c r="H2272" s="8" t="n">
        <v>17.26</v>
      </c>
      <c r="I2272" s="8" t="n">
        <v>17.26</v>
      </c>
      <c r="J2272" s="8" t="n"/>
      <c r="K2272" s="7" t="inlineStr">
        <is>
          <t>SEM COTAÇÃO</t>
        </is>
      </c>
      <c r="L2272" s="8" t="n"/>
      <c r="M2272" s="12" t="n"/>
      <c r="N2272" s="7" t="inlineStr"/>
      <c r="O2272" s="7" t="inlineStr"/>
    </row>
    <row r="2273">
      <c r="A2273" s="7" t="n">
        <v>661781</v>
      </c>
      <c r="B2273" s="10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1" t="n">
        <v>8</v>
      </c>
      <c r="G2273" s="11" t="n">
        <v>8</v>
      </c>
      <c r="H2273" s="8" t="n">
        <v>0.91</v>
      </c>
      <c r="I2273" s="8" t="n">
        <v>0.91</v>
      </c>
      <c r="J2273" s="8" t="n"/>
      <c r="K2273" s="7" t="inlineStr">
        <is>
          <t>SEM COTAÇÃO</t>
        </is>
      </c>
      <c r="L2273" s="8" t="n"/>
      <c r="M2273" s="12" t="n"/>
      <c r="N2273" s="7" t="inlineStr"/>
      <c r="O2273" s="7" t="inlineStr"/>
    </row>
    <row r="2274">
      <c r="A2274" s="7" t="n">
        <v>590931</v>
      </c>
      <c r="B2274" s="10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1" t="n">
        <v>12</v>
      </c>
      <c r="G2274" s="11" t="n">
        <v>12</v>
      </c>
      <c r="H2274" s="8" t="n">
        <v>2.84</v>
      </c>
      <c r="I2274" s="8" t="n">
        <v>2.84</v>
      </c>
      <c r="J2274" s="8" t="n"/>
      <c r="K2274" s="7" t="inlineStr">
        <is>
          <t>SEM COTAÇÃO</t>
        </is>
      </c>
      <c r="L2274" s="8" t="n"/>
      <c r="M2274" s="12" t="n"/>
      <c r="N2274" s="7" t="inlineStr"/>
      <c r="O2274" s="7" t="inlineStr"/>
    </row>
    <row r="2275">
      <c r="A2275" s="7" t="n">
        <v>631381</v>
      </c>
      <c r="B2275" s="10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1" t="n">
        <v>9</v>
      </c>
      <c r="G2275" s="11" t="n">
        <v>9</v>
      </c>
      <c r="H2275" s="8" t="n">
        <v>0.91</v>
      </c>
      <c r="I2275" s="8" t="n">
        <v>0.91</v>
      </c>
      <c r="J2275" s="8" t="n"/>
      <c r="K2275" s="7" t="inlineStr">
        <is>
          <t>SEM COTAÇÃO</t>
        </is>
      </c>
      <c r="L2275" s="8" t="n"/>
      <c r="M2275" s="12" t="n"/>
      <c r="N2275" s="7" t="inlineStr"/>
      <c r="O2275" s="7" t="inlineStr"/>
    </row>
    <row r="2276">
      <c r="A2276" s="7" t="n">
        <v>601461</v>
      </c>
      <c r="B2276" s="10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1" t="n">
        <v>11</v>
      </c>
      <c r="G2276" s="11" t="n">
        <v>11</v>
      </c>
      <c r="H2276" s="8" t="n">
        <v>2.84</v>
      </c>
      <c r="I2276" s="8" t="n">
        <v>2.84</v>
      </c>
      <c r="J2276" s="8" t="n"/>
      <c r="K2276" s="7" t="inlineStr">
        <is>
          <t>SEM COTAÇÃO</t>
        </is>
      </c>
      <c r="L2276" s="8" t="n"/>
      <c r="M2276" s="12" t="n"/>
      <c r="N2276" s="7" t="inlineStr"/>
      <c r="O2276" s="7" t="inlineStr"/>
    </row>
    <row r="2277">
      <c r="A2277" s="7" t="n">
        <v>599601</v>
      </c>
      <c r="B2277" s="10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1" t="n">
        <v>8</v>
      </c>
      <c r="G2277" s="11" t="n">
        <v>8</v>
      </c>
      <c r="H2277" s="8" t="n">
        <v>0.91</v>
      </c>
      <c r="I2277" s="8" t="n">
        <v>0.91</v>
      </c>
      <c r="J2277" s="8" t="n"/>
      <c r="K2277" s="7" t="inlineStr">
        <is>
          <t>SEM COTAÇÃO</t>
        </is>
      </c>
      <c r="L2277" s="8" t="n"/>
      <c r="M2277" s="12" t="n"/>
      <c r="N2277" s="7" t="inlineStr"/>
      <c r="O2277" s="7" t="inlineStr"/>
    </row>
    <row r="2278">
      <c r="A2278" s="7" t="n">
        <v>621171</v>
      </c>
      <c r="B2278" s="10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1" t="n">
        <v>20</v>
      </c>
      <c r="G2278" s="11" t="n">
        <v>20</v>
      </c>
      <c r="H2278" s="8" t="n">
        <v>2.84</v>
      </c>
      <c r="I2278" s="8" t="n">
        <v>2.84</v>
      </c>
      <c r="J2278" s="8" t="n"/>
      <c r="K2278" s="7" t="inlineStr">
        <is>
          <t>SEM COTAÇÃO</t>
        </is>
      </c>
      <c r="L2278" s="8" t="n"/>
      <c r="M2278" s="12" t="n"/>
      <c r="N2278" s="7" t="inlineStr"/>
      <c r="O2278" s="7" t="inlineStr"/>
    </row>
    <row r="2279">
      <c r="A2279" s="7" t="n">
        <v>590941</v>
      </c>
      <c r="B2279" s="10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1" t="n">
        <v>18</v>
      </c>
      <c r="G2279" s="11" t="n">
        <v>18</v>
      </c>
      <c r="H2279" s="8" t="n">
        <v>2.84</v>
      </c>
      <c r="I2279" s="8" t="n">
        <v>2.84</v>
      </c>
      <c r="J2279" s="8" t="n"/>
      <c r="K2279" s="7" t="inlineStr">
        <is>
          <t>SEM COTAÇÃO</t>
        </is>
      </c>
      <c r="L2279" s="8" t="n"/>
      <c r="M2279" s="12" t="n"/>
      <c r="N2279" s="7" t="inlineStr"/>
      <c r="O2279" s="7" t="inlineStr"/>
    </row>
    <row r="2280">
      <c r="A2280" s="7" t="n">
        <v>610041</v>
      </c>
      <c r="B2280" s="10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1" t="n">
        <v>3</v>
      </c>
      <c r="G2280" s="11" t="n">
        <v>3</v>
      </c>
      <c r="H2280" s="8" t="n">
        <v>12.59</v>
      </c>
      <c r="I2280" s="8" t="n">
        <v>12.1</v>
      </c>
      <c r="J2280" s="13" t="n">
        <v>12.1</v>
      </c>
      <c r="K2280" s="7" t="inlineStr">
        <is>
          <t>DIMEC</t>
        </is>
      </c>
      <c r="L2280" s="8" t="n">
        <v>12.1</v>
      </c>
      <c r="M2280" s="12">
        <f>L2280/H2280-1</f>
        <v/>
      </c>
      <c r="N2280" s="15" t="inlineStr">
        <is>
          <t>OK (≤ menor hist.)</t>
        </is>
      </c>
      <c r="O2280" s="7" t="inlineStr"/>
    </row>
    <row r="2281">
      <c r="A2281" s="7" t="n">
        <v>324</v>
      </c>
      <c r="B2281" s="10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1" t="n">
        <v>1</v>
      </c>
      <c r="G2281" s="11" t="n">
        <v>1</v>
      </c>
      <c r="H2281" s="8" t="n">
        <v>37.48</v>
      </c>
      <c r="I2281" s="8" t="n">
        <v>37.48</v>
      </c>
      <c r="J2281" s="13" t="n">
        <v>42.612902</v>
      </c>
      <c r="K2281" s="7" t="inlineStr">
        <is>
          <t>DIMEC</t>
        </is>
      </c>
      <c r="L2281" s="8" t="n">
        <v>42.612902</v>
      </c>
      <c r="M2281" s="12">
        <f>L2281/H2281-1</f>
        <v/>
      </c>
      <c r="N2281" s="14" t="inlineStr">
        <is>
          <t>ACIMA +13.7%</t>
        </is>
      </c>
      <c r="O2281" s="7" t="inlineStr"/>
    </row>
    <row r="2282">
      <c r="A2282" s="7" t="n">
        <v>694</v>
      </c>
      <c r="B2282" s="10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1" t="n">
        <v>1</v>
      </c>
      <c r="G2282" s="11" t="n">
        <v>1</v>
      </c>
      <c r="H2282" s="8" t="n">
        <v>5.0174</v>
      </c>
      <c r="I2282" s="8" t="n">
        <v>4.0183</v>
      </c>
      <c r="J2282" s="8" t="n"/>
      <c r="K2282" s="7" t="inlineStr">
        <is>
          <t>SEM COTAÇÃO</t>
        </is>
      </c>
      <c r="L2282" s="8" t="n"/>
      <c r="M2282" s="12" t="n"/>
      <c r="N2282" s="7" t="inlineStr"/>
      <c r="O2282" s="7" t="inlineStr"/>
    </row>
    <row r="2283">
      <c r="A2283" s="7" t="n">
        <v>365461</v>
      </c>
      <c r="B2283" s="10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1" t="n">
        <v>1</v>
      </c>
      <c r="G2283" s="11" t="n">
        <v>1</v>
      </c>
      <c r="H2283" s="8" t="n">
        <v>37.45</v>
      </c>
      <c r="I2283" s="8" t="n">
        <v>33.595</v>
      </c>
      <c r="J2283" s="8" t="n"/>
      <c r="K2283" s="7" t="inlineStr">
        <is>
          <t>SEM COTAÇÃO</t>
        </is>
      </c>
      <c r="L2283" s="8" t="n"/>
      <c r="M2283" s="12" t="n"/>
      <c r="N2283" s="7" t="inlineStr"/>
      <c r="O2283" s="7" t="inlineStr"/>
    </row>
    <row r="2284">
      <c r="A2284" s="7" t="n">
        <v>635741</v>
      </c>
      <c r="B2284" s="10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1" t="n">
        <v>4</v>
      </c>
      <c r="G2284" s="11" t="n">
        <v>4</v>
      </c>
      <c r="H2284" s="8" t="n">
        <v>80.51000000000001</v>
      </c>
      <c r="I2284" s="8" t="n">
        <v>68.87</v>
      </c>
      <c r="J2284" s="8" t="n"/>
      <c r="K2284" s="7" t="inlineStr">
        <is>
          <t>SEM COTAÇÃO</t>
        </is>
      </c>
      <c r="L2284" s="8" t="n"/>
      <c r="M2284" s="12" t="n"/>
      <c r="N2284" s="7" t="inlineStr"/>
      <c r="O2284" s="7" t="inlineStr"/>
    </row>
    <row r="2285">
      <c r="A2285" s="7" t="n">
        <v>189141</v>
      </c>
      <c r="B2285" s="10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1" t="n">
        <v>2</v>
      </c>
      <c r="G2285" s="11" t="n">
        <v>2</v>
      </c>
      <c r="H2285" s="8" t="n">
        <v>70.93000000000001</v>
      </c>
      <c r="I2285" s="8" t="n">
        <v>65.23</v>
      </c>
      <c r="J2285" s="8" t="n"/>
      <c r="K2285" s="7" t="inlineStr">
        <is>
          <t>SEM COTAÇÃO</t>
        </is>
      </c>
      <c r="L2285" s="8" t="n"/>
      <c r="M2285" s="12" t="n"/>
      <c r="N2285" s="7" t="inlineStr"/>
      <c r="O2285" s="7" t="inlineStr"/>
    </row>
    <row r="2286">
      <c r="A2286" s="7" t="n">
        <v>489281</v>
      </c>
      <c r="B2286" s="10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1" t="n">
        <v>1</v>
      </c>
      <c r="G2286" s="11" t="n">
        <v>1</v>
      </c>
      <c r="H2286" s="8" t="n">
        <v>85.64</v>
      </c>
      <c r="I2286" s="8" t="n">
        <v>79.69499999999999</v>
      </c>
      <c r="J2286" s="8" t="n"/>
      <c r="K2286" s="7" t="inlineStr">
        <is>
          <t>SEM COTAÇÃO</t>
        </is>
      </c>
      <c r="L2286" s="8" t="n"/>
      <c r="M2286" s="12" t="n"/>
      <c r="N2286" s="7" t="inlineStr"/>
      <c r="O2286" s="7" t="inlineStr"/>
    </row>
    <row r="2287">
      <c r="A2287" s="7" t="n">
        <v>672581</v>
      </c>
      <c r="B2287" s="10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1" t="n">
        <v>2</v>
      </c>
      <c r="G2287" s="11" t="n">
        <v>2</v>
      </c>
      <c r="H2287" s="8" t="n">
        <v>18.34</v>
      </c>
      <c r="I2287" s="8" t="n">
        <v>18.34</v>
      </c>
      <c r="J2287" s="8" t="n"/>
      <c r="K2287" s="7" t="inlineStr">
        <is>
          <t>SEM COTAÇÃO</t>
        </is>
      </c>
      <c r="L2287" s="8" t="n"/>
      <c r="M2287" s="12" t="n"/>
      <c r="N2287" s="7" t="inlineStr"/>
      <c r="O2287" s="7" t="inlineStr"/>
    </row>
    <row r="2288">
      <c r="A2288" s="7" t="n">
        <v>625141</v>
      </c>
      <c r="B2288" s="10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1" t="n">
        <v>4</v>
      </c>
      <c r="G2288" s="11" t="n">
        <v>4</v>
      </c>
      <c r="H2288" s="8" t="n">
        <v>6.3</v>
      </c>
      <c r="I2288" s="8" t="n">
        <v>6.3</v>
      </c>
      <c r="J2288" s="8" t="n"/>
      <c r="K2288" s="7" t="inlineStr">
        <is>
          <t>SEM COTAÇÃO</t>
        </is>
      </c>
      <c r="L2288" s="8" t="n"/>
      <c r="M2288" s="12" t="n"/>
      <c r="N2288" s="7" t="inlineStr"/>
      <c r="O2288" s="7" t="inlineStr"/>
    </row>
    <row r="2289">
      <c r="A2289" s="7" t="n">
        <v>625131</v>
      </c>
      <c r="B2289" s="10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1" t="n">
        <v>2</v>
      </c>
      <c r="G2289" s="11" t="n">
        <v>2</v>
      </c>
      <c r="H2289" s="8" t="n">
        <v>6.3</v>
      </c>
      <c r="I2289" s="8" t="n">
        <v>6.3</v>
      </c>
      <c r="J2289" s="8" t="n"/>
      <c r="K2289" s="7" t="inlineStr">
        <is>
          <t>SEM COTAÇÃO</t>
        </is>
      </c>
      <c r="L2289" s="8" t="n"/>
      <c r="M2289" s="12" t="n"/>
      <c r="N2289" s="7" t="inlineStr"/>
      <c r="O2289" s="7" t="inlineStr"/>
    </row>
    <row r="2290">
      <c r="A2290" s="7" t="n">
        <v>657281</v>
      </c>
      <c r="B2290" s="10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1" t="n">
        <v>8</v>
      </c>
      <c r="G2290" s="11" t="n">
        <v>8</v>
      </c>
      <c r="H2290" s="8" t="n">
        <v>1.47</v>
      </c>
      <c r="I2290" s="8" t="n">
        <v>1.47</v>
      </c>
      <c r="J2290" s="8" t="n"/>
      <c r="K2290" s="7" t="inlineStr">
        <is>
          <t>SEM COTAÇÃO</t>
        </is>
      </c>
      <c r="L2290" s="8" t="n"/>
      <c r="M2290" s="12" t="n"/>
      <c r="N2290" s="7" t="inlineStr"/>
      <c r="O2290" s="7" t="inlineStr"/>
    </row>
    <row r="2291">
      <c r="A2291" s="7" t="n">
        <v>542921</v>
      </c>
      <c r="B2291" s="10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1" t="n">
        <v>2</v>
      </c>
      <c r="G2291" s="11" t="n">
        <v>2</v>
      </c>
      <c r="H2291" s="8" t="n">
        <v>6.69</v>
      </c>
      <c r="I2291" s="8" t="n">
        <v>5.59</v>
      </c>
      <c r="J2291" s="8" t="n"/>
      <c r="K2291" s="7" t="inlineStr">
        <is>
          <t>SEM COTAÇÃO</t>
        </is>
      </c>
      <c r="L2291" s="8" t="n"/>
      <c r="M2291" s="12" t="n"/>
      <c r="N2291" s="7" t="inlineStr"/>
      <c r="O2291" s="7" t="inlineStr"/>
    </row>
    <row r="2292">
      <c r="A2292" s="7" t="n">
        <v>599261</v>
      </c>
      <c r="B2292" s="10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1" t="n">
        <v>4</v>
      </c>
      <c r="G2292" s="11" t="n">
        <v>4</v>
      </c>
      <c r="H2292" s="8" t="n">
        <v>5.79</v>
      </c>
      <c r="I2292" s="8" t="n">
        <v>5.79</v>
      </c>
      <c r="J2292" s="13" t="n">
        <v>5.94</v>
      </c>
      <c r="K2292" s="7" t="inlineStr">
        <is>
          <t>DIMEC</t>
        </is>
      </c>
      <c r="L2292" s="8" t="n">
        <v>5.94</v>
      </c>
      <c r="M2292" s="12">
        <f>L2292/H2292-1</f>
        <v/>
      </c>
      <c r="N2292" s="14" t="inlineStr">
        <is>
          <t>ACIMA +2.6%</t>
        </is>
      </c>
      <c r="O2292" s="7" t="inlineStr"/>
    </row>
    <row r="2293">
      <c r="A2293" s="7" t="n">
        <v>601411</v>
      </c>
      <c r="B2293" s="10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1" t="n">
        <v>5</v>
      </c>
      <c r="G2293" s="11" t="n">
        <v>5</v>
      </c>
      <c r="H2293" s="8" t="n">
        <v>5.68</v>
      </c>
      <c r="I2293" s="8" t="n">
        <v>5.68</v>
      </c>
      <c r="J2293" s="13" t="n">
        <v>6.05</v>
      </c>
      <c r="K2293" s="7" t="inlineStr">
        <is>
          <t>DIMEC</t>
        </is>
      </c>
      <c r="L2293" s="8" t="n">
        <v>6.05</v>
      </c>
      <c r="M2293" s="12">
        <f>L2293/H2293-1</f>
        <v/>
      </c>
      <c r="N2293" s="14" t="inlineStr">
        <is>
          <t>ACIMA +6.5%</t>
        </is>
      </c>
      <c r="O2293" s="7" t="inlineStr"/>
    </row>
    <row r="2294">
      <c r="A2294" s="7" t="n">
        <v>601641</v>
      </c>
      <c r="B2294" s="10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1" t="n">
        <v>5</v>
      </c>
      <c r="G2294" s="11" t="n">
        <v>5</v>
      </c>
      <c r="H2294" s="8" t="n">
        <v>5.79</v>
      </c>
      <c r="I2294" s="8" t="n">
        <v>5.49</v>
      </c>
      <c r="J2294" s="8" t="n"/>
      <c r="K2294" s="7" t="inlineStr">
        <is>
          <t>SEM COTAÇÃO</t>
        </is>
      </c>
      <c r="L2294" s="8" t="n"/>
      <c r="M2294" s="12" t="n"/>
      <c r="N2294" s="7" t="inlineStr"/>
      <c r="O2294" s="7" t="inlineStr"/>
    </row>
    <row r="2295">
      <c r="A2295" s="7" t="n">
        <v>584761</v>
      </c>
      <c r="B2295" s="10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1" t="n">
        <v>6</v>
      </c>
      <c r="G2295" s="11" t="n">
        <v>6</v>
      </c>
      <c r="H2295" s="8" t="n">
        <v>6.04</v>
      </c>
      <c r="I2295" s="8" t="n">
        <v>5.85</v>
      </c>
      <c r="J2295" s="13" t="n">
        <v>6.76</v>
      </c>
      <c r="K2295" s="7" t="inlineStr">
        <is>
          <t>DIMEC</t>
        </is>
      </c>
      <c r="L2295" s="8" t="n">
        <v>6.76</v>
      </c>
      <c r="M2295" s="12">
        <f>L2295/H2295-1</f>
        <v/>
      </c>
      <c r="N2295" s="14" t="inlineStr">
        <is>
          <t>ACIMA +11.9%</t>
        </is>
      </c>
      <c r="O2295" s="7" t="inlineStr"/>
    </row>
    <row r="2296">
      <c r="A2296" s="7" t="n">
        <v>264861</v>
      </c>
      <c r="B2296" s="10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1" t="n">
        <v>4</v>
      </c>
      <c r="G2296" s="11" t="n">
        <v>4</v>
      </c>
      <c r="H2296" s="8" t="n">
        <v>11.5525</v>
      </c>
      <c r="I2296" s="8" t="n">
        <v>11.5525</v>
      </c>
      <c r="J2296" s="8" t="n"/>
      <c r="K2296" s="7" t="inlineStr">
        <is>
          <t>SEM COTAÇÃO</t>
        </is>
      </c>
      <c r="L2296" s="8" t="n"/>
      <c r="M2296" s="12" t="n"/>
      <c r="N2296" s="7" t="inlineStr"/>
      <c r="O2296" s="7" t="inlineStr"/>
    </row>
    <row r="2297">
      <c r="A2297" s="7" t="n">
        <v>36203</v>
      </c>
      <c r="B2297" s="10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1" t="n">
        <v>5</v>
      </c>
      <c r="G2297" s="11" t="n">
        <v>5</v>
      </c>
      <c r="H2297" s="8" t="n">
        <v>7.15</v>
      </c>
      <c r="I2297" s="8" t="n">
        <v>7.15</v>
      </c>
      <c r="J2297" s="8" t="n"/>
      <c r="K2297" s="7" t="inlineStr">
        <is>
          <t>SEM COTAÇÃO</t>
        </is>
      </c>
      <c r="L2297" s="8" t="n"/>
      <c r="M2297" s="12" t="n"/>
      <c r="N2297" s="7" t="inlineStr"/>
      <c r="O2297" s="7" t="inlineStr"/>
    </row>
    <row r="2298">
      <c r="A2298" s="7" t="n">
        <v>531401</v>
      </c>
      <c r="B2298" s="10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1" t="n">
        <v>7</v>
      </c>
      <c r="G2298" s="11" t="n">
        <v>7</v>
      </c>
      <c r="H2298" s="8" t="n">
        <v>8.300000000000001</v>
      </c>
      <c r="I2298" s="8" t="n">
        <v>8.300000000000001</v>
      </c>
      <c r="J2298" s="13" t="n">
        <v>9.67</v>
      </c>
      <c r="K2298" s="7" t="inlineStr">
        <is>
          <t>DIMEC</t>
        </is>
      </c>
      <c r="L2298" s="8" t="n">
        <v>9.67</v>
      </c>
      <c r="M2298" s="12">
        <f>L2298/H2298-1</f>
        <v/>
      </c>
      <c r="N2298" s="14" t="inlineStr">
        <is>
          <t>ACIMA +16.5%</t>
        </is>
      </c>
      <c r="O2298" s="7" t="inlineStr"/>
    </row>
    <row r="2299">
      <c r="A2299" s="7" t="n">
        <v>265001</v>
      </c>
      <c r="B2299" s="10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1" t="n">
        <v>26</v>
      </c>
      <c r="G2299" s="11" t="n">
        <v>26</v>
      </c>
      <c r="H2299" s="8" t="n">
        <v>4.96</v>
      </c>
      <c r="I2299" s="8" t="n">
        <v>4.96</v>
      </c>
      <c r="J2299" s="8" t="n"/>
      <c r="K2299" s="7" t="inlineStr">
        <is>
          <t>SEM COTAÇÃO</t>
        </is>
      </c>
      <c r="L2299" s="8" t="n"/>
      <c r="M2299" s="12" t="n"/>
      <c r="N2299" s="7" t="inlineStr"/>
      <c r="O2299" s="7" t="inlineStr"/>
    </row>
    <row r="2300">
      <c r="A2300" s="7" t="n">
        <v>263841</v>
      </c>
      <c r="B2300" s="10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1" t="n">
        <v>1</v>
      </c>
      <c r="G2300" s="11" t="n">
        <v>1</v>
      </c>
      <c r="H2300" s="8" t="n">
        <v>1.1645</v>
      </c>
      <c r="I2300" s="8" t="n">
        <v>1.1645</v>
      </c>
      <c r="J2300" s="8" t="n"/>
      <c r="K2300" s="7" t="inlineStr">
        <is>
          <t>SEM COTAÇÃO</t>
        </is>
      </c>
      <c r="L2300" s="8" t="n"/>
      <c r="M2300" s="12" t="n"/>
      <c r="N2300" s="7" t="inlineStr"/>
      <c r="O2300" s="7" t="inlineStr"/>
    </row>
    <row r="2301">
      <c r="A2301" s="7" t="n">
        <v>533121</v>
      </c>
      <c r="B2301" s="10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1" t="n">
        <v>266</v>
      </c>
      <c r="G2301" s="11" t="n">
        <v>266</v>
      </c>
      <c r="H2301" s="8" t="n">
        <v>7.2626</v>
      </c>
      <c r="I2301" s="8" t="n">
        <v>6.4487</v>
      </c>
      <c r="J2301" s="8" t="n"/>
      <c r="K2301" s="7" t="inlineStr">
        <is>
          <t>SEM COTAÇÃO</t>
        </is>
      </c>
      <c r="L2301" s="8" t="n"/>
      <c r="M2301" s="12" t="n"/>
      <c r="N2301" s="7" t="inlineStr"/>
      <c r="O2301" s="7" t="inlineStr"/>
    </row>
    <row r="2302">
      <c r="A2302" s="7" t="n">
        <v>499461</v>
      </c>
      <c r="B2302" s="10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1" t="n">
        <v>3</v>
      </c>
      <c r="G2302" s="11" t="n">
        <v>3</v>
      </c>
      <c r="H2302" s="8" t="n">
        <v>2.49</v>
      </c>
      <c r="I2302" s="8" t="n">
        <v>2.39</v>
      </c>
      <c r="J2302" s="8" t="n"/>
      <c r="K2302" s="7" t="inlineStr">
        <is>
          <t>SEM COTAÇÃO</t>
        </is>
      </c>
      <c r="L2302" s="8" t="n"/>
      <c r="M2302" s="12" t="n"/>
      <c r="N2302" s="7" t="inlineStr"/>
      <c r="O2302" s="7" t="inlineStr"/>
    </row>
    <row r="2303">
      <c r="A2303" s="7" t="n">
        <v>499481</v>
      </c>
      <c r="B2303" s="10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1" t="n">
        <v>3</v>
      </c>
      <c r="G2303" s="11" t="n">
        <v>3</v>
      </c>
      <c r="H2303" s="8" t="n">
        <v>3.19</v>
      </c>
      <c r="I2303" s="8" t="n">
        <v>2.99</v>
      </c>
      <c r="J2303" s="8" t="n"/>
      <c r="K2303" s="7" t="inlineStr">
        <is>
          <t>SEM COTAÇÃO</t>
        </is>
      </c>
      <c r="L2303" s="8" t="n"/>
      <c r="M2303" s="12" t="n"/>
      <c r="N2303" s="7" t="inlineStr"/>
      <c r="O2303" s="7" t="inlineStr"/>
    </row>
    <row r="2304">
      <c r="A2304" s="7" t="n">
        <v>663841</v>
      </c>
      <c r="B2304" s="10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1" t="n">
        <v>1</v>
      </c>
      <c r="G2304" s="11" t="n">
        <v>1</v>
      </c>
      <c r="H2304" s="8" t="n">
        <v>14.855</v>
      </c>
      <c r="I2304" s="8" t="n">
        <v>14.855</v>
      </c>
      <c r="J2304" s="8" t="n"/>
      <c r="K2304" s="7" t="inlineStr">
        <is>
          <t>SEM COTAÇÃO</t>
        </is>
      </c>
      <c r="L2304" s="8" t="n"/>
      <c r="M2304" s="12" t="n"/>
      <c r="N2304" s="7" t="inlineStr"/>
      <c r="O2304" s="7" t="inlineStr"/>
    </row>
    <row r="2305">
      <c r="A2305" s="7" t="n">
        <v>669561</v>
      </c>
      <c r="B2305" s="10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1" t="n">
        <v>1</v>
      </c>
      <c r="G2305" s="11" t="n">
        <v>1</v>
      </c>
      <c r="H2305" s="8" t="n">
        <v>14.12</v>
      </c>
      <c r="I2305" s="8" t="n">
        <v>14.12</v>
      </c>
      <c r="J2305" s="8" t="n"/>
      <c r="K2305" s="7" t="inlineStr">
        <is>
          <t>SEM COTAÇÃO</t>
        </is>
      </c>
      <c r="L2305" s="8" t="n"/>
      <c r="M2305" s="12" t="n"/>
      <c r="N2305" s="7" t="inlineStr"/>
      <c r="O2305" s="7" t="inlineStr"/>
    </row>
    <row r="2306">
      <c r="A2306" s="7" t="n">
        <v>264141</v>
      </c>
      <c r="B2306" s="10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1" t="n">
        <v>4</v>
      </c>
      <c r="G2306" s="11" t="n">
        <v>4</v>
      </c>
      <c r="H2306" s="8" t="n">
        <v>42.8067</v>
      </c>
      <c r="I2306" s="8" t="n">
        <v>40.76</v>
      </c>
      <c r="J2306" s="8" t="n"/>
      <c r="K2306" s="7" t="inlineStr">
        <is>
          <t>SEM COTAÇÃO</t>
        </is>
      </c>
      <c r="L2306" s="8" t="n"/>
      <c r="M2306" s="12" t="n"/>
      <c r="N2306" s="7" t="inlineStr"/>
      <c r="O2306" s="7" t="inlineStr"/>
    </row>
    <row r="2307">
      <c r="A2307" s="7" t="n">
        <v>619931</v>
      </c>
      <c r="B2307" s="10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1" t="n">
        <v>1</v>
      </c>
      <c r="G2307" s="11" t="n">
        <v>1</v>
      </c>
      <c r="H2307" s="8" t="n">
        <v>17.61</v>
      </c>
      <c r="I2307" s="8" t="n">
        <v>17.61</v>
      </c>
      <c r="J2307" s="8" t="n"/>
      <c r="K2307" s="7" t="inlineStr">
        <is>
          <t>SEM COTAÇÃO</t>
        </is>
      </c>
      <c r="L2307" s="8" t="n"/>
      <c r="M2307" s="12" t="n"/>
      <c r="N2307" s="7" t="inlineStr"/>
      <c r="O2307" s="7" t="inlineStr"/>
    </row>
    <row r="2308">
      <c r="A2308" s="7" t="n">
        <v>673251</v>
      </c>
      <c r="B2308" s="10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1" t="n">
        <v>1</v>
      </c>
      <c r="G2308" s="11" t="n">
        <v>1</v>
      </c>
      <c r="H2308" s="8" t="n">
        <v>83.54000000000001</v>
      </c>
      <c r="I2308" s="8" t="n">
        <v>83.54000000000001</v>
      </c>
      <c r="J2308" s="8" t="n"/>
      <c r="K2308" s="7" t="inlineStr">
        <is>
          <t>SEM COTAÇÃO</t>
        </is>
      </c>
      <c r="L2308" s="8" t="n"/>
      <c r="M2308" s="12" t="n"/>
      <c r="N2308" s="7" t="inlineStr"/>
      <c r="O2308" s="7" t="inlineStr"/>
    </row>
    <row r="2309">
      <c r="A2309" s="7" t="n">
        <v>673211</v>
      </c>
      <c r="B2309" s="10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1" t="n">
        <v>2</v>
      </c>
      <c r="G2309" s="11" t="n">
        <v>2</v>
      </c>
      <c r="H2309" s="8" t="n">
        <v>82.70999999999999</v>
      </c>
      <c r="I2309" s="8" t="n">
        <v>82.70999999999999</v>
      </c>
      <c r="J2309" s="8" t="n"/>
      <c r="K2309" s="7" t="inlineStr">
        <is>
          <t>SEM COTAÇÃO</t>
        </is>
      </c>
      <c r="L2309" s="8" t="n"/>
      <c r="M2309" s="12" t="n"/>
      <c r="N2309" s="7" t="inlineStr"/>
      <c r="O2309" s="7" t="inlineStr"/>
    </row>
    <row r="2310">
      <c r="A2310" s="7" t="n">
        <v>565241</v>
      </c>
      <c r="B2310" s="10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1" t="n">
        <v>2</v>
      </c>
      <c r="G2310" s="11" t="n">
        <v>28</v>
      </c>
      <c r="H2310" s="8" t="n">
        <v>1.7707</v>
      </c>
      <c r="I2310" s="8" t="n">
        <v>1.75</v>
      </c>
      <c r="J2310" s="8" t="n"/>
      <c r="K2310" s="7" t="inlineStr">
        <is>
          <t>SEM COTAÇÃO</t>
        </is>
      </c>
      <c r="L2310" s="8" t="n"/>
      <c r="M2310" s="12" t="n"/>
      <c r="N2310" s="7" t="inlineStr"/>
      <c r="O2310" s="7" t="inlineStr"/>
    </row>
    <row r="2311">
      <c r="A2311" s="7" t="n">
        <v>565261</v>
      </c>
      <c r="B2311" s="10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1" t="n">
        <v>3</v>
      </c>
      <c r="G2311" s="11" t="n">
        <v>32</v>
      </c>
      <c r="H2311" s="8" t="n">
        <v>2.2133</v>
      </c>
      <c r="I2311" s="8" t="n">
        <v>2.1875</v>
      </c>
      <c r="J2311" s="8" t="n"/>
      <c r="K2311" s="7" t="inlineStr">
        <is>
          <t>SEM COTAÇÃO</t>
        </is>
      </c>
      <c r="L2311" s="8" t="n"/>
      <c r="M2311" s="12" t="n"/>
      <c r="N2311" s="7" t="inlineStr"/>
      <c r="O2311" s="7" t="inlineStr"/>
    </row>
    <row r="2312">
      <c r="A2312" s="7" t="n">
        <v>557341</v>
      </c>
      <c r="B2312" s="10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1" t="n">
        <v>66</v>
      </c>
      <c r="G2312" s="11" t="n">
        <v>66</v>
      </c>
      <c r="H2312" s="8" t="n">
        <v>1.99</v>
      </c>
      <c r="I2312" s="8" t="n">
        <v>1.85</v>
      </c>
      <c r="J2312" s="8" t="n"/>
      <c r="K2312" s="7" t="inlineStr">
        <is>
          <t>SEM COTAÇÃO</t>
        </is>
      </c>
      <c r="L2312" s="8" t="n"/>
      <c r="M2312" s="12" t="n"/>
      <c r="N2312" s="7" t="inlineStr"/>
      <c r="O2312" s="7" t="inlineStr"/>
    </row>
    <row r="2313">
      <c r="A2313" s="7" t="n">
        <v>557381</v>
      </c>
      <c r="B2313" s="10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1" t="n">
        <v>38</v>
      </c>
      <c r="G2313" s="11" t="n">
        <v>38</v>
      </c>
      <c r="H2313" s="8" t="n">
        <v>1.99</v>
      </c>
      <c r="I2313" s="8" t="n">
        <v>1.85</v>
      </c>
      <c r="J2313" s="8" t="n"/>
      <c r="K2313" s="7" t="inlineStr">
        <is>
          <t>SEM COTAÇÃO</t>
        </is>
      </c>
      <c r="L2313" s="8" t="n"/>
      <c r="M2313" s="12" t="n"/>
      <c r="N2313" s="7" t="inlineStr"/>
      <c r="O2313" s="7" t="inlineStr"/>
    </row>
    <row r="2314">
      <c r="A2314" s="7" t="n">
        <v>32103</v>
      </c>
      <c r="B2314" s="10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1" t="n">
        <v>31</v>
      </c>
      <c r="G2314" s="11" t="n">
        <v>31</v>
      </c>
      <c r="H2314" s="8" t="n"/>
      <c r="I2314" s="8" t="n"/>
      <c r="J2314" s="8" t="n"/>
      <c r="K2314" s="7" t="inlineStr">
        <is>
          <t>SEM COTAÇÃO</t>
        </is>
      </c>
      <c r="L2314" s="8" t="n"/>
      <c r="M2314" s="12" t="n"/>
      <c r="N2314" s="7" t="inlineStr"/>
      <c r="O2314" s="7" t="inlineStr"/>
    </row>
    <row r="2315">
      <c r="A2315" s="7" t="n">
        <v>590911</v>
      </c>
      <c r="B2315" s="10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1" t="n">
        <v>13</v>
      </c>
      <c r="G2315" s="11" t="n">
        <v>13</v>
      </c>
      <c r="H2315" s="8" t="n">
        <v>3.62</v>
      </c>
      <c r="I2315" s="8" t="n">
        <v>3.58</v>
      </c>
      <c r="J2315" s="8" t="n"/>
      <c r="K2315" s="7" t="inlineStr">
        <is>
          <t>SEM COTAÇÃO</t>
        </is>
      </c>
      <c r="L2315" s="8" t="n"/>
      <c r="M2315" s="12" t="n"/>
      <c r="N2315" s="7" t="inlineStr"/>
      <c r="O2315" s="7" t="inlineStr"/>
    </row>
    <row r="2316">
      <c r="A2316" s="7" t="n">
        <v>578521</v>
      </c>
      <c r="B2316" s="10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1" t="n">
        <v>15</v>
      </c>
      <c r="G2316" s="11" t="n">
        <v>15</v>
      </c>
      <c r="H2316" s="8" t="n">
        <v>3.05</v>
      </c>
      <c r="I2316" s="8" t="n">
        <v>3.05</v>
      </c>
      <c r="J2316" s="8" t="n"/>
      <c r="K2316" s="7" t="inlineStr">
        <is>
          <t>SEM COTAÇÃO</t>
        </is>
      </c>
      <c r="L2316" s="8" t="n"/>
      <c r="M2316" s="12" t="n"/>
      <c r="N2316" s="7" t="inlineStr"/>
      <c r="O2316" s="7" t="inlineStr"/>
    </row>
    <row r="2317">
      <c r="A2317" s="7" t="n">
        <v>15703</v>
      </c>
      <c r="B2317" s="10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1" t="n">
        <v>10</v>
      </c>
      <c r="G2317" s="11" t="n">
        <v>10</v>
      </c>
      <c r="H2317" s="8" t="n">
        <v>0.83</v>
      </c>
      <c r="I2317" s="8" t="n">
        <v>0.83</v>
      </c>
      <c r="J2317" s="8" t="n"/>
      <c r="K2317" s="7" t="inlineStr">
        <is>
          <t>SEM COTAÇÃO</t>
        </is>
      </c>
      <c r="L2317" s="8" t="n"/>
      <c r="M2317" s="12" t="n"/>
      <c r="N2317" s="7" t="inlineStr"/>
      <c r="O2317" s="7" t="inlineStr"/>
    </row>
    <row r="2318">
      <c r="A2318" s="7" t="n">
        <v>699001</v>
      </c>
      <c r="B2318" s="10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1" t="n">
        <v>41</v>
      </c>
      <c r="G2318" s="11" t="n">
        <v>41</v>
      </c>
      <c r="H2318" s="8" t="n">
        <v>0.83</v>
      </c>
      <c r="I2318" s="8" t="n">
        <v>0.83</v>
      </c>
      <c r="J2318" s="8" t="n"/>
      <c r="K2318" s="7" t="inlineStr">
        <is>
          <t>SEM COTAÇÃO</t>
        </is>
      </c>
      <c r="L2318" s="8" t="n"/>
      <c r="M2318" s="12" t="n"/>
      <c r="N2318" s="7" t="inlineStr"/>
      <c r="O2318" s="7" t="inlineStr"/>
    </row>
    <row r="2319">
      <c r="A2319" s="7" t="n">
        <v>578261</v>
      </c>
      <c r="B2319" s="10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1" t="n">
        <v>60</v>
      </c>
      <c r="G2319" s="11" t="n">
        <v>60</v>
      </c>
      <c r="H2319" s="8" t="n">
        <v>0.83</v>
      </c>
      <c r="I2319" s="8" t="n">
        <v>0.82</v>
      </c>
      <c r="J2319" s="8" t="n"/>
      <c r="K2319" s="7" t="inlineStr">
        <is>
          <t>SEM COTAÇÃO</t>
        </is>
      </c>
      <c r="L2319" s="8" t="n"/>
      <c r="M2319" s="12" t="n"/>
      <c r="N2319" s="7" t="inlineStr"/>
      <c r="O2319" s="7" t="inlineStr"/>
    </row>
    <row r="2320">
      <c r="A2320" s="7" t="n">
        <v>599671</v>
      </c>
      <c r="B2320" s="10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1" t="n">
        <v>24</v>
      </c>
      <c r="G2320" s="11" t="n">
        <v>24</v>
      </c>
      <c r="H2320" s="8" t="n">
        <v>0.83</v>
      </c>
      <c r="I2320" s="8" t="n">
        <v>0.79</v>
      </c>
      <c r="J2320" s="8" t="n"/>
      <c r="K2320" s="7" t="inlineStr">
        <is>
          <t>SEM COTAÇÃO</t>
        </is>
      </c>
      <c r="L2320" s="8" t="n"/>
      <c r="M2320" s="12" t="n"/>
      <c r="N2320" s="7" t="inlineStr"/>
      <c r="O2320" s="7" t="inlineStr"/>
    </row>
    <row r="2321">
      <c r="A2321" s="7" t="n">
        <v>651531</v>
      </c>
      <c r="B2321" s="10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1" t="n">
        <v>1</v>
      </c>
      <c r="G2321" s="11" t="n">
        <v>1</v>
      </c>
      <c r="H2321" s="8" t="n">
        <v>12.23</v>
      </c>
      <c r="I2321" s="8" t="n">
        <v>12.23</v>
      </c>
      <c r="J2321" s="8" t="n"/>
      <c r="K2321" s="7" t="inlineStr">
        <is>
          <t>SEM COTAÇÃO</t>
        </is>
      </c>
      <c r="L2321" s="8" t="n"/>
      <c r="M2321" s="12" t="n"/>
      <c r="N2321" s="7" t="inlineStr"/>
      <c r="O2321" s="7" t="inlineStr"/>
    </row>
    <row r="2322">
      <c r="A2322" s="7" t="n">
        <v>651541</v>
      </c>
      <c r="B2322" s="10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1" t="n">
        <v>5</v>
      </c>
      <c r="G2322" s="11" t="n">
        <v>5</v>
      </c>
      <c r="H2322" s="8" t="n">
        <v>13.9</v>
      </c>
      <c r="I2322" s="8" t="n">
        <v>13.9</v>
      </c>
      <c r="J2322" s="8" t="n"/>
      <c r="K2322" s="7" t="inlineStr">
        <is>
          <t>SEM COTAÇÃO</t>
        </is>
      </c>
      <c r="L2322" s="8" t="n"/>
      <c r="M2322" s="12" t="n"/>
      <c r="N2322" s="7" t="inlineStr"/>
      <c r="O2322" s="7" t="inlineStr"/>
    </row>
    <row r="2323">
      <c r="A2323" s="7" t="n">
        <v>627551</v>
      </c>
      <c r="B2323" s="10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1" t="n">
        <v>1</v>
      </c>
      <c r="G2323" s="11" t="n">
        <v>1</v>
      </c>
      <c r="H2323" s="8" t="n">
        <v>9.85</v>
      </c>
      <c r="I2323" s="8" t="n">
        <v>9.85</v>
      </c>
      <c r="J2323" s="8" t="n"/>
      <c r="K2323" s="7" t="inlineStr">
        <is>
          <t>SEM COTAÇÃO</t>
        </is>
      </c>
      <c r="L2323" s="8" t="n"/>
      <c r="M2323" s="12" t="n"/>
      <c r="N2323" s="7" t="inlineStr"/>
      <c r="O2323" s="7" t="inlineStr"/>
    </row>
    <row r="2324">
      <c r="A2324" s="7" t="n">
        <v>620191</v>
      </c>
      <c r="B2324" s="10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1" t="n">
        <v>1</v>
      </c>
      <c r="G2324" s="11" t="n">
        <v>1</v>
      </c>
      <c r="H2324" s="8" t="n">
        <v>12.94</v>
      </c>
      <c r="I2324" s="8" t="n">
        <v>12.94</v>
      </c>
      <c r="J2324" s="8" t="n"/>
      <c r="K2324" s="7" t="inlineStr">
        <is>
          <t>SEM COTAÇÃO</t>
        </is>
      </c>
      <c r="L2324" s="8" t="n"/>
      <c r="M2324" s="12" t="n"/>
      <c r="N2324" s="7" t="inlineStr"/>
      <c r="O2324" s="7" t="inlineStr"/>
    </row>
    <row r="2325">
      <c r="A2325" s="7" t="n">
        <v>614701</v>
      </c>
      <c r="B2325" s="10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1" t="n">
        <v>1</v>
      </c>
      <c r="G2325" s="11" t="n">
        <v>1</v>
      </c>
      <c r="H2325" s="8" t="n">
        <v>12.21</v>
      </c>
      <c r="I2325" s="8" t="n">
        <v>12.21</v>
      </c>
      <c r="J2325" s="8" t="n"/>
      <c r="K2325" s="7" t="inlineStr">
        <is>
          <t>SEM COTAÇÃO</t>
        </is>
      </c>
      <c r="L2325" s="8" t="n"/>
      <c r="M2325" s="12" t="n"/>
      <c r="N2325" s="7" t="inlineStr"/>
      <c r="O2325" s="7" t="inlineStr"/>
    </row>
    <row r="2326">
      <c r="A2326" s="7" t="n">
        <v>620171</v>
      </c>
      <c r="B2326" s="10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1" t="n">
        <v>1</v>
      </c>
      <c r="G2326" s="11" t="n">
        <v>1</v>
      </c>
      <c r="H2326" s="8" t="n">
        <v>22.33</v>
      </c>
      <c r="I2326" s="8" t="n">
        <v>22.33</v>
      </c>
      <c r="J2326" s="8" t="n"/>
      <c r="K2326" s="7" t="inlineStr">
        <is>
          <t>SEM COTAÇÃO</t>
        </is>
      </c>
      <c r="L2326" s="8" t="n"/>
      <c r="M2326" s="12" t="n"/>
      <c r="N2326" s="7" t="inlineStr"/>
      <c r="O2326" s="7" t="inlineStr"/>
    </row>
    <row r="2327">
      <c r="A2327" s="7" t="n">
        <v>614711</v>
      </c>
      <c r="B2327" s="10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1" t="n">
        <v>1</v>
      </c>
      <c r="G2327" s="11" t="n">
        <v>1</v>
      </c>
      <c r="H2327" s="8" t="n">
        <v>12.21</v>
      </c>
      <c r="I2327" s="8" t="n">
        <v>12.21</v>
      </c>
      <c r="J2327" s="8" t="n"/>
      <c r="K2327" s="7" t="inlineStr">
        <is>
          <t>SEM COTAÇÃO</t>
        </is>
      </c>
      <c r="L2327" s="8" t="n"/>
      <c r="M2327" s="12" t="n"/>
      <c r="N2327" s="7" t="inlineStr"/>
      <c r="O2327" s="7" t="inlineStr"/>
    </row>
    <row r="2328">
      <c r="A2328" s="7" t="n">
        <v>577881</v>
      </c>
      <c r="B2328" s="10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1" t="n">
        <v>5</v>
      </c>
      <c r="G2328" s="11" t="n">
        <v>5</v>
      </c>
      <c r="H2328" s="8" t="n">
        <v>12.32</v>
      </c>
      <c r="I2328" s="8" t="n">
        <v>12.05</v>
      </c>
      <c r="J2328" s="8" t="n"/>
      <c r="K2328" s="7" t="inlineStr">
        <is>
          <t>SEM COTAÇÃO</t>
        </is>
      </c>
      <c r="L2328" s="8" t="n"/>
      <c r="M2328" s="12" t="n"/>
      <c r="N2328" s="7" t="inlineStr"/>
      <c r="O2328" s="7" t="inlineStr"/>
    </row>
    <row r="2329">
      <c r="A2329" s="7" t="n">
        <v>583441</v>
      </c>
      <c r="B2329" s="10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1" t="n">
        <v>1</v>
      </c>
      <c r="G2329" s="11" t="n">
        <v>1</v>
      </c>
      <c r="H2329" s="8" t="n">
        <v>21.65</v>
      </c>
      <c r="I2329" s="8" t="n">
        <v>21.65</v>
      </c>
      <c r="J2329" s="8" t="n"/>
      <c r="K2329" s="7" t="inlineStr">
        <is>
          <t>SEM COTAÇÃO</t>
        </is>
      </c>
      <c r="L2329" s="8" t="n"/>
      <c r="M2329" s="12" t="n"/>
      <c r="N2329" s="7" t="inlineStr"/>
      <c r="O2329" s="7" t="inlineStr"/>
    </row>
    <row r="2330">
      <c r="A2330" s="7" t="n">
        <v>583361</v>
      </c>
      <c r="B2330" s="10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1" t="n">
        <v>1</v>
      </c>
      <c r="G2330" s="11" t="n">
        <v>1</v>
      </c>
      <c r="H2330" s="8" t="n">
        <v>10.375</v>
      </c>
      <c r="I2330" s="8" t="n">
        <v>10.375</v>
      </c>
      <c r="J2330" s="8" t="n"/>
      <c r="K2330" s="7" t="inlineStr">
        <is>
          <t>SEM COTAÇÃO</t>
        </is>
      </c>
      <c r="L2330" s="8" t="n"/>
      <c r="M2330" s="12" t="n"/>
      <c r="N2330" s="7" t="inlineStr"/>
      <c r="O2330" s="7" t="inlineStr"/>
    </row>
    <row r="2331">
      <c r="A2331" s="7" t="n">
        <v>555481</v>
      </c>
      <c r="B2331" s="10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1" t="n">
        <v>20</v>
      </c>
      <c r="G2331" s="11" t="n">
        <v>20</v>
      </c>
      <c r="H2331" s="8" t="n">
        <v>9.09</v>
      </c>
      <c r="I2331" s="8" t="n">
        <v>7.29</v>
      </c>
      <c r="J2331" s="8" t="n"/>
      <c r="K2331" s="7" t="inlineStr">
        <is>
          <t>SEM COTAÇÃO</t>
        </is>
      </c>
      <c r="L2331" s="8" t="n"/>
      <c r="M2331" s="12" t="n"/>
      <c r="N2331" s="7" t="inlineStr"/>
      <c r="O2331" s="7" t="inlineStr"/>
    </row>
    <row r="2332">
      <c r="A2332" s="7" t="n">
        <v>558721</v>
      </c>
      <c r="B2332" s="10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1" t="n">
        <v>93</v>
      </c>
      <c r="G2332" s="11" t="n">
        <v>93</v>
      </c>
      <c r="H2332" s="8" t="n">
        <v>2.69</v>
      </c>
      <c r="I2332" s="8" t="n">
        <v>1.99</v>
      </c>
      <c r="J2332" s="8" t="n"/>
      <c r="K2332" s="7" t="inlineStr">
        <is>
          <t>SEM COTAÇÃO</t>
        </is>
      </c>
      <c r="L2332" s="8" t="n"/>
      <c r="M2332" s="12" t="n"/>
      <c r="N2332" s="7" t="inlineStr"/>
      <c r="O2332" s="7" t="inlineStr"/>
    </row>
    <row r="2333">
      <c r="A2333" s="7" t="n">
        <v>500761</v>
      </c>
      <c r="B2333" s="10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1" t="n">
        <v>17</v>
      </c>
      <c r="G2333" s="11" t="n">
        <v>17</v>
      </c>
      <c r="H2333" s="8" t="n">
        <v>0.8298</v>
      </c>
      <c r="I2333" s="8" t="n">
        <v>0.8298</v>
      </c>
      <c r="J2333" s="8" t="n"/>
      <c r="K2333" s="7" t="inlineStr">
        <is>
          <t>SEM COTAÇÃO</t>
        </is>
      </c>
      <c r="L2333" s="8" t="n"/>
      <c r="M2333" s="12" t="n"/>
      <c r="N2333" s="7" t="inlineStr"/>
      <c r="O2333" s="7" t="inlineStr"/>
    </row>
    <row r="2334">
      <c r="A2334" s="7" t="n">
        <v>532961</v>
      </c>
      <c r="B2334" s="10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1" t="n">
        <v>18</v>
      </c>
      <c r="G2334" s="11" t="n">
        <v>342</v>
      </c>
      <c r="H2334" s="8" t="n">
        <v>1.9845</v>
      </c>
      <c r="I2334" s="8" t="n">
        <v>1.85</v>
      </c>
      <c r="J2334" s="13" t="n">
        <v>2.2485</v>
      </c>
      <c r="K2334" s="7" t="inlineStr">
        <is>
          <t>DIMEC</t>
        </is>
      </c>
      <c r="L2334" s="8" t="n">
        <v>2.2485</v>
      </c>
      <c r="M2334" s="12">
        <f>L2334/H2334-1</f>
        <v/>
      </c>
      <c r="N2334" s="14" t="inlineStr">
        <is>
          <t>ACIMA +13.3%</t>
        </is>
      </c>
      <c r="O2334" s="7" t="inlineStr">
        <is>
          <t>DIMEC: 1 emb = 20 un</t>
        </is>
      </c>
    </row>
    <row r="2335">
      <c r="A2335" s="7" t="n">
        <v>330261</v>
      </c>
      <c r="B2335" s="10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1" t="n">
        <v>107</v>
      </c>
      <c r="G2335" s="11" t="n">
        <v>107</v>
      </c>
      <c r="H2335" s="8" t="n">
        <v>1.0425</v>
      </c>
      <c r="I2335" s="8" t="n">
        <v>1.0425</v>
      </c>
      <c r="J2335" s="13" t="n">
        <v>1.3495</v>
      </c>
      <c r="K2335" s="7" t="inlineStr">
        <is>
          <t>DIMEC</t>
        </is>
      </c>
      <c r="L2335" s="8" t="n">
        <v>1.3495</v>
      </c>
      <c r="M2335" s="12">
        <f>L2335/H2335-1</f>
        <v/>
      </c>
      <c r="N2335" s="14" t="inlineStr">
        <is>
          <t>ACIMA +29.4%</t>
        </is>
      </c>
      <c r="O2335" s="7" t="inlineStr">
        <is>
          <t>DIMEC: 1 emb = 20 un</t>
        </is>
      </c>
    </row>
    <row r="2336">
      <c r="A2336" s="7" t="n">
        <v>622421</v>
      </c>
      <c r="B2336" s="10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1" t="n">
        <v>1</v>
      </c>
      <c r="G2336" s="11" t="n">
        <v>1</v>
      </c>
      <c r="H2336" s="8" t="n">
        <v>11.21</v>
      </c>
      <c r="I2336" s="8" t="n">
        <v>11.21</v>
      </c>
      <c r="J2336" s="8" t="n"/>
      <c r="K2336" s="7" t="inlineStr">
        <is>
          <t>SEM COTAÇÃO</t>
        </is>
      </c>
      <c r="L2336" s="8" t="n"/>
      <c r="M2336" s="12" t="n"/>
      <c r="N2336" s="7" t="inlineStr"/>
      <c r="O2336" s="7" t="inlineStr"/>
    </row>
    <row r="2337">
      <c r="A2337" s="7" t="n">
        <v>595291</v>
      </c>
      <c r="B2337" s="10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1" t="n">
        <v>1</v>
      </c>
      <c r="G2337" s="11" t="n">
        <v>1</v>
      </c>
      <c r="H2337" s="8" t="n">
        <v>59.83</v>
      </c>
      <c r="I2337" s="8" t="n">
        <v>59.83</v>
      </c>
      <c r="J2337" s="8" t="n"/>
      <c r="K2337" s="7" t="inlineStr">
        <is>
          <t>SEM COTAÇÃO</t>
        </is>
      </c>
      <c r="L2337" s="8" t="n"/>
      <c r="M2337" s="12" t="n"/>
      <c r="N2337" s="7" t="inlineStr"/>
      <c r="O2337" s="7" t="inlineStr"/>
    </row>
    <row r="2338">
      <c r="A2338" s="7" t="n">
        <v>627211</v>
      </c>
      <c r="B2338" s="10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1" t="n">
        <v>1</v>
      </c>
      <c r="G2338" s="11" t="n">
        <v>1</v>
      </c>
      <c r="H2338" s="8" t="n">
        <v>39.47</v>
      </c>
      <c r="I2338" s="8" t="n">
        <v>39.47</v>
      </c>
      <c r="J2338" s="8" t="n"/>
      <c r="K2338" s="7" t="inlineStr">
        <is>
          <t>SEM COTAÇÃO</t>
        </is>
      </c>
      <c r="L2338" s="8" t="n"/>
      <c r="M2338" s="12" t="n"/>
      <c r="N2338" s="7" t="inlineStr"/>
      <c r="O2338" s="7" t="inlineStr"/>
    </row>
    <row r="2339">
      <c r="A2339" s="7" t="n">
        <v>559601</v>
      </c>
      <c r="B2339" s="10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1" t="n">
        <v>1</v>
      </c>
      <c r="G2339" s="11" t="n">
        <v>1</v>
      </c>
      <c r="H2339" s="8" t="n">
        <v>37.1</v>
      </c>
      <c r="I2339" s="8" t="n">
        <v>37.1</v>
      </c>
      <c r="J2339" s="8" t="n"/>
      <c r="K2339" s="7" t="inlineStr">
        <is>
          <t>SEM COTAÇÃO</t>
        </is>
      </c>
      <c r="L2339" s="8" t="n"/>
      <c r="M2339" s="12" t="n"/>
      <c r="N2339" s="7" t="inlineStr"/>
      <c r="O2339" s="7" t="inlineStr"/>
    </row>
    <row r="2340">
      <c r="A2340" s="7" t="n">
        <v>34503</v>
      </c>
      <c r="B2340" s="10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1" t="n">
        <v>1</v>
      </c>
      <c r="G2340" s="11" t="n">
        <v>3</v>
      </c>
      <c r="H2340" s="8" t="n">
        <v>6.415</v>
      </c>
      <c r="I2340" s="8" t="n">
        <v>6.415</v>
      </c>
      <c r="J2340" s="8" t="n"/>
      <c r="K2340" s="7" t="inlineStr">
        <is>
          <t>SEM COTAÇÃO</t>
        </is>
      </c>
      <c r="L2340" s="8" t="n"/>
      <c r="M2340" s="12" t="n"/>
      <c r="N2340" s="7" t="inlineStr"/>
      <c r="O2340" s="7" t="inlineStr"/>
    </row>
    <row r="2341">
      <c r="A2341" s="7" t="n">
        <v>570021</v>
      </c>
      <c r="B2341" s="10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1" t="n">
        <v>3</v>
      </c>
      <c r="G2341" s="11" t="n">
        <v>3</v>
      </c>
      <c r="H2341" s="8" t="n">
        <v>5.66</v>
      </c>
      <c r="I2341" s="8" t="n">
        <v>5.66</v>
      </c>
      <c r="J2341" s="8" t="n"/>
      <c r="K2341" s="7" t="inlineStr">
        <is>
          <t>SEM COTAÇÃO</t>
        </is>
      </c>
      <c r="L2341" s="8" t="n"/>
      <c r="M2341" s="12" t="n"/>
      <c r="N2341" s="7" t="inlineStr"/>
      <c r="O2341" s="7" t="inlineStr"/>
    </row>
    <row r="2342">
      <c r="A2342" s="7" t="n">
        <v>687901</v>
      </c>
      <c r="B2342" s="10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1" t="n">
        <v>1</v>
      </c>
      <c r="G2342" s="11" t="n">
        <v>3</v>
      </c>
      <c r="H2342" s="8" t="n">
        <v>3.2183</v>
      </c>
      <c r="I2342" s="8" t="n">
        <v>3.2183</v>
      </c>
      <c r="J2342" s="8" t="n"/>
      <c r="K2342" s="7" t="inlineStr">
        <is>
          <t>SEM COTAÇÃO</t>
        </is>
      </c>
      <c r="L2342" s="8" t="n"/>
      <c r="M2342" s="12" t="n"/>
      <c r="N2342" s="7" t="inlineStr"/>
      <c r="O2342" s="7" t="inlineStr"/>
    </row>
    <row r="2343">
      <c r="A2343" s="7" t="n">
        <v>587341</v>
      </c>
      <c r="B2343" s="10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1" t="n">
        <v>1</v>
      </c>
      <c r="G2343" s="11" t="n">
        <v>1</v>
      </c>
      <c r="H2343" s="8" t="n">
        <v>3.0917</v>
      </c>
      <c r="I2343" s="8" t="n">
        <v>3.0917</v>
      </c>
      <c r="J2343" s="8" t="n"/>
      <c r="K2343" s="7" t="inlineStr">
        <is>
          <t>SEM COTAÇÃO</t>
        </is>
      </c>
      <c r="L2343" s="8" t="n"/>
      <c r="M2343" s="12" t="n"/>
      <c r="N2343" s="7" t="inlineStr"/>
      <c r="O2343" s="7" t="inlineStr"/>
    </row>
    <row r="2344">
      <c r="A2344" s="7" t="n">
        <v>3103</v>
      </c>
      <c r="B2344" s="10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1" t="n">
        <v>5</v>
      </c>
      <c r="G2344" s="11" t="n">
        <v>5</v>
      </c>
      <c r="H2344" s="8" t="n">
        <v>5.565</v>
      </c>
      <c r="I2344" s="8" t="n">
        <v>5.565</v>
      </c>
      <c r="J2344" s="8" t="n"/>
      <c r="K2344" s="7" t="inlineStr">
        <is>
          <t>SEM COTAÇÃO</t>
        </is>
      </c>
      <c r="L2344" s="8" t="n"/>
      <c r="M2344" s="12" t="n"/>
      <c r="N2344" s="7" t="inlineStr"/>
      <c r="O2344" s="7" t="inlineStr"/>
    </row>
    <row r="2345">
      <c r="A2345" s="7" t="n">
        <v>571981</v>
      </c>
      <c r="B2345" s="10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1" t="n">
        <v>4</v>
      </c>
      <c r="G2345" s="11" t="n">
        <v>4</v>
      </c>
      <c r="H2345" s="8" t="n">
        <v>2.1708</v>
      </c>
      <c r="I2345" s="8" t="n">
        <v>2.1708</v>
      </c>
      <c r="J2345" s="8" t="n"/>
      <c r="K2345" s="7" t="inlineStr">
        <is>
          <t>SEM COTAÇÃO</t>
        </is>
      </c>
      <c r="L2345" s="8" t="n"/>
      <c r="M2345" s="12" t="n"/>
      <c r="N2345" s="7" t="inlineStr"/>
      <c r="O2345" s="7" t="inlineStr"/>
    </row>
    <row r="2346">
      <c r="A2346" s="7" t="n">
        <v>603041</v>
      </c>
      <c r="B2346" s="10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1" t="n">
        <v>1</v>
      </c>
      <c r="G2346" s="11" t="n">
        <v>1</v>
      </c>
      <c r="H2346" s="8" t="n">
        <v>8.630000000000001</v>
      </c>
      <c r="I2346" s="8" t="n">
        <v>8.630000000000001</v>
      </c>
      <c r="J2346" s="8" t="n"/>
      <c r="K2346" s="7" t="inlineStr">
        <is>
          <t>SEM COTAÇÃO</t>
        </is>
      </c>
      <c r="L2346" s="8" t="n"/>
      <c r="M2346" s="12" t="n"/>
      <c r="N2346" s="7" t="inlineStr"/>
      <c r="O2346" s="7" t="inlineStr"/>
    </row>
    <row r="2347">
      <c r="A2347" s="7" t="n">
        <v>626171</v>
      </c>
      <c r="B2347" s="10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1" t="n">
        <v>1</v>
      </c>
      <c r="G2347" s="11" t="n">
        <v>1</v>
      </c>
      <c r="H2347" s="8" t="n">
        <v>11.245</v>
      </c>
      <c r="I2347" s="8" t="n">
        <v>11.245</v>
      </c>
      <c r="J2347" s="8" t="n"/>
      <c r="K2347" s="7" t="inlineStr">
        <is>
          <t>SEM COTAÇÃO</t>
        </is>
      </c>
      <c r="L2347" s="8" t="n"/>
      <c r="M2347" s="12" t="n"/>
      <c r="N2347" s="7" t="inlineStr"/>
      <c r="O2347" s="7" t="inlineStr"/>
    </row>
    <row r="2348">
      <c r="A2348" s="7" t="n">
        <v>626251</v>
      </c>
      <c r="B2348" s="10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1" t="n">
        <v>1</v>
      </c>
      <c r="G2348" s="11" t="n">
        <v>1</v>
      </c>
      <c r="H2348" s="8" t="n">
        <v>15.265</v>
      </c>
      <c r="I2348" s="8" t="n">
        <v>15.265</v>
      </c>
      <c r="J2348" s="8" t="n"/>
      <c r="K2348" s="7" t="inlineStr">
        <is>
          <t>SEM COTAÇÃO</t>
        </is>
      </c>
      <c r="L2348" s="8" t="n"/>
      <c r="M2348" s="12" t="n"/>
      <c r="N2348" s="7" t="inlineStr"/>
      <c r="O2348" s="7" t="inlineStr"/>
    </row>
    <row r="2349">
      <c r="A2349" s="7" t="n">
        <v>657641</v>
      </c>
      <c r="B2349" s="10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1" t="n">
        <v>1</v>
      </c>
      <c r="G2349" s="11" t="n">
        <v>1</v>
      </c>
      <c r="H2349" s="8" t="n">
        <v>5.7475</v>
      </c>
      <c r="I2349" s="8" t="n">
        <v>5.7475</v>
      </c>
      <c r="J2349" s="8" t="n"/>
      <c r="K2349" s="7" t="inlineStr">
        <is>
          <t>SEM COTAÇÃO</t>
        </is>
      </c>
      <c r="L2349" s="8" t="n"/>
      <c r="M2349" s="12" t="n"/>
      <c r="N2349" s="7" t="inlineStr"/>
      <c r="O2349" s="7" t="inlineStr"/>
    </row>
    <row r="2350">
      <c r="A2350" s="7" t="n">
        <v>610991</v>
      </c>
      <c r="B2350" s="10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1" t="n">
        <v>1</v>
      </c>
      <c r="G2350" s="11" t="n">
        <v>1</v>
      </c>
      <c r="H2350" s="8" t="n">
        <v>7.525</v>
      </c>
      <c r="I2350" s="8" t="n">
        <v>7.525</v>
      </c>
      <c r="J2350" s="8" t="n"/>
      <c r="K2350" s="7" t="inlineStr">
        <is>
          <t>SEM COTAÇÃO</t>
        </is>
      </c>
      <c r="L2350" s="8" t="n"/>
      <c r="M2350" s="12" t="n"/>
      <c r="N2350" s="7" t="inlineStr"/>
      <c r="O2350" s="7" t="inlineStr"/>
    </row>
    <row r="2351">
      <c r="A2351" s="7" t="n">
        <v>594381</v>
      </c>
      <c r="B2351" s="10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1" t="n">
        <v>1</v>
      </c>
      <c r="G2351" s="11" t="n">
        <v>1</v>
      </c>
      <c r="H2351" s="8" t="n">
        <v>10.5575</v>
      </c>
      <c r="I2351" s="8" t="n">
        <v>10.5575</v>
      </c>
      <c r="J2351" s="8" t="n"/>
      <c r="K2351" s="7" t="inlineStr">
        <is>
          <t>SEM COTAÇÃO</t>
        </is>
      </c>
      <c r="L2351" s="8" t="n"/>
      <c r="M2351" s="12" t="n"/>
      <c r="N2351" s="7" t="inlineStr"/>
      <c r="O2351" s="7" t="inlineStr"/>
    </row>
    <row r="2352">
      <c r="A2352" s="7" t="n">
        <v>622371</v>
      </c>
      <c r="B2352" s="10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1" t="n">
        <v>1</v>
      </c>
      <c r="G2352" s="11" t="n">
        <v>1</v>
      </c>
      <c r="H2352" s="8" t="n">
        <v>58.95</v>
      </c>
      <c r="I2352" s="8" t="n">
        <v>58.95</v>
      </c>
      <c r="J2352" s="8" t="n"/>
      <c r="K2352" s="7" t="inlineStr">
        <is>
          <t>SEM COTAÇÃO</t>
        </is>
      </c>
      <c r="L2352" s="8" t="n"/>
      <c r="M2352" s="12" t="n"/>
      <c r="N2352" s="7" t="inlineStr"/>
      <c r="O2352" s="7" t="inlineStr"/>
    </row>
    <row r="2353">
      <c r="A2353" s="7" t="n">
        <v>622351</v>
      </c>
      <c r="B2353" s="10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1" t="n">
        <v>1</v>
      </c>
      <c r="G2353" s="11" t="n">
        <v>1</v>
      </c>
      <c r="H2353" s="8" t="n">
        <v>51.71</v>
      </c>
      <c r="I2353" s="8" t="n">
        <v>51.71</v>
      </c>
      <c r="J2353" s="8" t="n"/>
      <c r="K2353" s="7" t="inlineStr">
        <is>
          <t>SEM COTAÇÃO</t>
        </is>
      </c>
      <c r="L2353" s="8" t="n"/>
      <c r="M2353" s="12" t="n"/>
      <c r="N2353" s="7" t="inlineStr"/>
      <c r="O2353" s="7" t="inlineStr"/>
    </row>
    <row r="2354">
      <c r="A2354" s="7" t="n">
        <v>671291</v>
      </c>
      <c r="B2354" s="10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1" t="n">
        <v>5</v>
      </c>
      <c r="G2354" s="11" t="n">
        <v>5</v>
      </c>
      <c r="H2354" s="8" t="n">
        <v>33.64</v>
      </c>
      <c r="I2354" s="8" t="n">
        <v>25.83</v>
      </c>
      <c r="J2354" s="8" t="n"/>
      <c r="K2354" s="7" t="inlineStr">
        <is>
          <t>SEM COTAÇÃO</t>
        </is>
      </c>
      <c r="L2354" s="8" t="n"/>
      <c r="M2354" s="12" t="n"/>
      <c r="N2354" s="7" t="inlineStr"/>
      <c r="O2354" s="7" t="inlineStr"/>
    </row>
    <row r="2355">
      <c r="A2355" s="7" t="n">
        <v>554541</v>
      </c>
      <c r="B2355" s="10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1" t="n">
        <v>2</v>
      </c>
      <c r="G2355" s="11" t="n">
        <v>2</v>
      </c>
      <c r="H2355" s="8" t="n">
        <v>90.84</v>
      </c>
      <c r="I2355" s="8" t="n">
        <v>84.2</v>
      </c>
      <c r="J2355" s="8" t="n"/>
      <c r="K2355" s="7" t="inlineStr">
        <is>
          <t>SEM COTAÇÃO</t>
        </is>
      </c>
      <c r="L2355" s="8" t="n"/>
      <c r="M2355" s="12" t="n"/>
      <c r="N2355" s="7" t="inlineStr"/>
      <c r="O2355" s="7" t="inlineStr"/>
    </row>
    <row r="2356">
      <c r="A2356" s="7" t="n">
        <v>583641</v>
      </c>
      <c r="B2356" s="10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1" t="n">
        <v>1</v>
      </c>
      <c r="G2356" s="11" t="n">
        <v>2</v>
      </c>
      <c r="H2356" s="8" t="n">
        <v>4.1691</v>
      </c>
      <c r="I2356" s="8" t="n">
        <v>4.1691</v>
      </c>
      <c r="J2356" s="8" t="n"/>
      <c r="K2356" s="7" t="inlineStr">
        <is>
          <t>SEM COTAÇÃO</t>
        </is>
      </c>
      <c r="L2356" s="8" t="n"/>
      <c r="M2356" s="12" t="n"/>
      <c r="N2356" s="7" t="inlineStr"/>
      <c r="O2356" s="7" t="inlineStr"/>
    </row>
    <row r="2357">
      <c r="A2357" s="7" t="n">
        <v>591181</v>
      </c>
      <c r="B2357" s="10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1" t="n">
        <v>1</v>
      </c>
      <c r="G2357" s="11" t="n">
        <v>2</v>
      </c>
      <c r="H2357" s="8" t="n">
        <v>4.1691</v>
      </c>
      <c r="I2357" s="8" t="n">
        <v>4.1691</v>
      </c>
      <c r="J2357" s="8" t="n"/>
      <c r="K2357" s="7" t="inlineStr">
        <is>
          <t>SEM COTAÇÃO</t>
        </is>
      </c>
      <c r="L2357" s="8" t="n"/>
      <c r="M2357" s="12" t="n"/>
      <c r="N2357" s="7" t="inlineStr"/>
      <c r="O2357" s="7" t="inlineStr"/>
    </row>
    <row r="2358">
      <c r="A2358" s="7" t="n">
        <v>654961</v>
      </c>
      <c r="B2358" s="10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1" t="n">
        <v>1</v>
      </c>
      <c r="G2358" s="11" t="n">
        <v>1</v>
      </c>
      <c r="H2358" s="8" t="n">
        <v>33.28</v>
      </c>
      <c r="I2358" s="8" t="n">
        <v>33.28</v>
      </c>
      <c r="J2358" s="8" t="n"/>
      <c r="K2358" s="7" t="inlineStr">
        <is>
          <t>SEM COTAÇÃO</t>
        </is>
      </c>
      <c r="L2358" s="8" t="n"/>
      <c r="M2358" s="12" t="n"/>
      <c r="N2358" s="7" t="inlineStr"/>
      <c r="O2358" s="7" t="inlineStr"/>
    </row>
    <row r="2359">
      <c r="A2359" s="7" t="n">
        <v>625481</v>
      </c>
      <c r="B2359" s="10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1" t="n">
        <v>1</v>
      </c>
      <c r="G2359" s="11" t="n">
        <v>1</v>
      </c>
      <c r="H2359" s="8" t="n">
        <v>1.8089</v>
      </c>
      <c r="I2359" s="8" t="n">
        <v>1.8089</v>
      </c>
      <c r="J2359" s="8" t="n"/>
      <c r="K2359" s="7" t="inlineStr">
        <is>
          <t>SEM COTAÇÃO</t>
        </is>
      </c>
      <c r="L2359" s="8" t="n"/>
      <c r="M2359" s="12" t="n"/>
      <c r="N2359" s="7" t="inlineStr"/>
      <c r="O2359" s="7" t="inlineStr"/>
    </row>
    <row r="2360">
      <c r="A2360" s="7" t="n">
        <v>597751</v>
      </c>
      <c r="B2360" s="10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1" t="n">
        <v>1</v>
      </c>
      <c r="G2360" s="11" t="n">
        <v>1</v>
      </c>
      <c r="H2360" s="8" t="n">
        <v>82.42</v>
      </c>
      <c r="I2360" s="8" t="n">
        <v>82.42</v>
      </c>
      <c r="J2360" s="8" t="n"/>
      <c r="K2360" s="7" t="inlineStr">
        <is>
          <t>SEM COTAÇÃO</t>
        </is>
      </c>
      <c r="L2360" s="8" t="n"/>
      <c r="M2360" s="12" t="n"/>
      <c r="N2360" s="7" t="inlineStr"/>
      <c r="O2360" s="7" t="inlineStr"/>
    </row>
    <row r="2361">
      <c r="A2361" s="7" t="n">
        <v>661421</v>
      </c>
      <c r="B2361" s="10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1" t="n">
        <v>1</v>
      </c>
      <c r="G2361" s="11" t="n">
        <v>1</v>
      </c>
      <c r="H2361" s="8" t="n">
        <v>82.42</v>
      </c>
      <c r="I2361" s="8" t="n">
        <v>82.42</v>
      </c>
      <c r="J2361" s="8" t="n"/>
      <c r="K2361" s="7" t="inlineStr">
        <is>
          <t>SEM COTAÇÃO</t>
        </is>
      </c>
      <c r="L2361" s="8" t="n"/>
      <c r="M2361" s="12" t="n"/>
      <c r="N2361" s="7" t="inlineStr"/>
      <c r="O2361" s="7" t="inlineStr"/>
    </row>
    <row r="2362">
      <c r="A2362" s="7" t="n">
        <v>637291</v>
      </c>
      <c r="B2362" s="10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1" t="n">
        <v>17</v>
      </c>
      <c r="G2362" s="11" t="n">
        <v>17</v>
      </c>
      <c r="H2362" s="8" t="n">
        <v>1.98</v>
      </c>
      <c r="I2362" s="8" t="n">
        <v>1.98</v>
      </c>
      <c r="J2362" s="8" t="n"/>
      <c r="K2362" s="7" t="inlineStr">
        <is>
          <t>SEM COTAÇÃO</t>
        </is>
      </c>
      <c r="L2362" s="8" t="n"/>
      <c r="M2362" s="12" t="n"/>
      <c r="N2362" s="7" t="inlineStr"/>
      <c r="O2362" s="7" t="inlineStr"/>
    </row>
    <row r="2363">
      <c r="A2363" s="7" t="n">
        <v>614791</v>
      </c>
      <c r="B2363" s="10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1" t="n">
        <v>8</v>
      </c>
      <c r="G2363" s="11" t="n">
        <v>8</v>
      </c>
      <c r="H2363" s="8" t="n">
        <v>7.26</v>
      </c>
      <c r="I2363" s="8" t="n">
        <v>7.26</v>
      </c>
      <c r="J2363" s="8" t="n"/>
      <c r="K2363" s="7" t="inlineStr">
        <is>
          <t>SEM COTAÇÃO</t>
        </is>
      </c>
      <c r="L2363" s="8" t="n"/>
      <c r="M2363" s="12" t="n"/>
      <c r="N2363" s="7" t="inlineStr"/>
      <c r="O2363" s="7" t="inlineStr"/>
    </row>
    <row r="2364">
      <c r="A2364" s="7" t="n">
        <v>648351</v>
      </c>
      <c r="B2364" s="10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1" t="n">
        <v>1</v>
      </c>
      <c r="G2364" s="11" t="n">
        <v>1</v>
      </c>
      <c r="H2364" s="8" t="n">
        <v>1.8442</v>
      </c>
      <c r="I2364" s="8" t="n">
        <v>1.8442</v>
      </c>
      <c r="J2364" s="13" t="n">
        <v>1.78</v>
      </c>
      <c r="K2364" s="7" t="inlineStr">
        <is>
          <t>DIMEC</t>
        </is>
      </c>
      <c r="L2364" s="8" t="n">
        <v>1.78</v>
      </c>
      <c r="M2364" s="12">
        <f>L2364/H2364-1</f>
        <v/>
      </c>
      <c r="N2364" s="15" t="inlineStr">
        <is>
          <t>OK (≤ menor hist.)</t>
        </is>
      </c>
      <c r="O2364" s="7" t="inlineStr"/>
    </row>
    <row r="2365">
      <c r="A2365" s="7" t="n">
        <v>620871</v>
      </c>
      <c r="B2365" s="10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1" t="n">
        <v>1</v>
      </c>
      <c r="G2365" s="11" t="n">
        <v>1</v>
      </c>
      <c r="H2365" s="8" t="n">
        <v>1.85</v>
      </c>
      <c r="I2365" s="8" t="n">
        <v>1.85</v>
      </c>
      <c r="J2365" s="8" t="n"/>
      <c r="K2365" s="7" t="inlineStr">
        <is>
          <t>SEM COTAÇÃO</t>
        </is>
      </c>
      <c r="L2365" s="8" t="n"/>
      <c r="M2365" s="12" t="n"/>
      <c r="N2365" s="7" t="inlineStr"/>
      <c r="O2365" s="7" t="inlineStr"/>
    </row>
    <row r="2366">
      <c r="A2366" s="7" t="n">
        <v>598651</v>
      </c>
      <c r="B2366" s="10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1" t="n">
        <v>2</v>
      </c>
      <c r="G2366" s="11" t="n">
        <v>2</v>
      </c>
      <c r="H2366" s="8" t="n">
        <v>1.94</v>
      </c>
      <c r="I2366" s="8" t="n">
        <v>1.94</v>
      </c>
      <c r="J2366" s="8" t="n"/>
      <c r="K2366" s="7" t="inlineStr">
        <is>
          <t>SEM COTAÇÃO</t>
        </is>
      </c>
      <c r="L2366" s="8" t="n"/>
      <c r="M2366" s="12" t="n"/>
      <c r="N2366" s="7" t="inlineStr"/>
      <c r="O2366" s="7" t="inlineStr"/>
    </row>
    <row r="2367">
      <c r="A2367" s="7" t="n">
        <v>615651</v>
      </c>
      <c r="B2367" s="10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1" t="n">
        <v>3</v>
      </c>
      <c r="G2367" s="11" t="n">
        <v>3</v>
      </c>
      <c r="H2367" s="8" t="n">
        <v>2.05</v>
      </c>
      <c r="I2367" s="8" t="n">
        <v>2.05</v>
      </c>
      <c r="J2367" s="8" t="n"/>
      <c r="K2367" s="7" t="inlineStr">
        <is>
          <t>SEM COTAÇÃO</t>
        </is>
      </c>
      <c r="L2367" s="8" t="n"/>
      <c r="M2367" s="12" t="n"/>
      <c r="N2367" s="7" t="inlineStr"/>
      <c r="O2367" s="7" t="inlineStr"/>
    </row>
    <row r="2368">
      <c r="A2368" s="7" t="n">
        <v>589201</v>
      </c>
      <c r="B2368" s="10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1" t="n">
        <v>4</v>
      </c>
      <c r="G2368" s="11" t="n">
        <v>4</v>
      </c>
      <c r="H2368" s="8" t="n">
        <v>14.96</v>
      </c>
      <c r="I2368" s="8" t="n">
        <v>14.96</v>
      </c>
      <c r="J2368" s="8" t="n"/>
      <c r="K2368" s="7" t="inlineStr">
        <is>
          <t>SEM COTAÇÃO</t>
        </is>
      </c>
      <c r="L2368" s="8" t="n"/>
      <c r="M2368" s="12" t="n"/>
      <c r="N2368" s="7" t="inlineStr"/>
      <c r="O2368" s="7" t="inlineStr"/>
    </row>
    <row r="2369">
      <c r="A2369" s="7" t="n">
        <v>589081</v>
      </c>
      <c r="B2369" s="10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1" t="n">
        <v>2</v>
      </c>
      <c r="G2369" s="11" t="n">
        <v>2</v>
      </c>
      <c r="H2369" s="8" t="n">
        <v>14.96</v>
      </c>
      <c r="I2369" s="8" t="n">
        <v>14.66</v>
      </c>
      <c r="J2369" s="8" t="n"/>
      <c r="K2369" s="7" t="inlineStr">
        <is>
          <t>SEM COTAÇÃO</t>
        </is>
      </c>
      <c r="L2369" s="8" t="n"/>
      <c r="M2369" s="12" t="n"/>
      <c r="N2369" s="7" t="inlineStr"/>
      <c r="O2369" s="7" t="inlineStr"/>
    </row>
    <row r="2370">
      <c r="A2370" s="7" t="n">
        <v>589101</v>
      </c>
      <c r="B2370" s="10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1" t="n">
        <v>2</v>
      </c>
      <c r="G2370" s="11" t="n">
        <v>2</v>
      </c>
      <c r="H2370" s="8" t="n">
        <v>14.66</v>
      </c>
      <c r="I2370" s="8" t="n">
        <v>14.66</v>
      </c>
      <c r="J2370" s="8" t="n"/>
      <c r="K2370" s="7" t="inlineStr">
        <is>
          <t>SEM COTAÇÃO</t>
        </is>
      </c>
      <c r="L2370" s="8" t="n"/>
      <c r="M2370" s="12" t="n"/>
      <c r="N2370" s="7" t="inlineStr"/>
      <c r="O2370" s="7" t="inlineStr"/>
    </row>
    <row r="2371">
      <c r="A2371" s="7" t="n">
        <v>506201</v>
      </c>
      <c r="B2371" s="10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1" t="n">
        <v>10</v>
      </c>
      <c r="G2371" s="11" t="n">
        <v>10</v>
      </c>
      <c r="H2371" s="8" t="n">
        <v>5.99</v>
      </c>
      <c r="I2371" s="8" t="n">
        <v>5.99</v>
      </c>
      <c r="J2371" s="8" t="n"/>
      <c r="K2371" s="7" t="inlineStr">
        <is>
          <t>SEM COTAÇÃO</t>
        </is>
      </c>
      <c r="L2371" s="8" t="n"/>
      <c r="M2371" s="12" t="n"/>
      <c r="N2371" s="7" t="inlineStr"/>
      <c r="O2371" s="7" t="inlineStr"/>
    </row>
    <row r="2372">
      <c r="A2372" s="7" t="n">
        <v>553901</v>
      </c>
      <c r="B2372" s="10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1" t="n">
        <v>11</v>
      </c>
      <c r="G2372" s="11" t="n">
        <v>11</v>
      </c>
      <c r="H2372" s="8" t="n">
        <v>13.0325</v>
      </c>
      <c r="I2372" s="8" t="n">
        <v>11.95</v>
      </c>
      <c r="J2372" s="8" t="n"/>
      <c r="K2372" s="7" t="inlineStr">
        <is>
          <t>SEM COTAÇÃO</t>
        </is>
      </c>
      <c r="L2372" s="8" t="n"/>
      <c r="M2372" s="12" t="n"/>
      <c r="N2372" s="7" t="inlineStr"/>
      <c r="O2372" s="7" t="inlineStr"/>
    </row>
    <row r="2373">
      <c r="A2373" s="7" t="n">
        <v>275481</v>
      </c>
      <c r="B2373" s="10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1" t="n">
        <v>1</v>
      </c>
      <c r="G2373" s="11" t="n">
        <v>1</v>
      </c>
      <c r="H2373" s="8" t="n">
        <v>17.3842</v>
      </c>
      <c r="I2373" s="8" t="n">
        <v>17.3842</v>
      </c>
      <c r="J2373" s="8" t="n"/>
      <c r="K2373" s="7" t="inlineStr">
        <is>
          <t>SEM COTAÇÃO</t>
        </is>
      </c>
      <c r="L2373" s="8" t="n"/>
      <c r="M2373" s="12" t="n"/>
      <c r="N2373" s="7" t="inlineStr"/>
      <c r="O2373" s="7" t="inlineStr"/>
    </row>
    <row r="2374">
      <c r="A2374" s="7" t="n">
        <v>276061</v>
      </c>
      <c r="B2374" s="10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1" t="n">
        <v>2</v>
      </c>
      <c r="G2374" s="11" t="n">
        <v>2</v>
      </c>
      <c r="H2374" s="8" t="n">
        <v>19.81</v>
      </c>
      <c r="I2374" s="8" t="n">
        <v>19.81</v>
      </c>
      <c r="J2374" s="8" t="n"/>
      <c r="K2374" s="7" t="inlineStr">
        <is>
          <t>SEM COTAÇÃO</t>
        </is>
      </c>
      <c r="L2374" s="8" t="n"/>
      <c r="M2374" s="12" t="n"/>
      <c r="N2374" s="7" t="inlineStr"/>
      <c r="O2374" s="7" t="inlineStr"/>
    </row>
    <row r="2375">
      <c r="A2375" s="7" t="n">
        <v>275521</v>
      </c>
      <c r="B2375" s="10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1" t="n">
        <v>1</v>
      </c>
      <c r="G2375" s="11" t="n">
        <v>1</v>
      </c>
      <c r="H2375" s="8" t="n">
        <v>27.72</v>
      </c>
      <c r="I2375" s="8" t="n">
        <v>27.72</v>
      </c>
      <c r="J2375" s="8" t="n"/>
      <c r="K2375" s="7" t="inlineStr">
        <is>
          <t>SEM COTAÇÃO</t>
        </is>
      </c>
      <c r="L2375" s="8" t="n"/>
      <c r="M2375" s="12" t="n"/>
      <c r="N2375" s="7" t="inlineStr"/>
      <c r="O2375" s="7" t="inlineStr"/>
    </row>
    <row r="2376">
      <c r="A2376" s="7" t="n">
        <v>276041</v>
      </c>
      <c r="B2376" s="10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1" t="n">
        <v>1</v>
      </c>
      <c r="G2376" s="11" t="n">
        <v>1</v>
      </c>
      <c r="H2376" s="8" t="n">
        <v>9.6</v>
      </c>
      <c r="I2376" s="8" t="n">
        <v>9.6</v>
      </c>
      <c r="J2376" s="8" t="n"/>
      <c r="K2376" s="7" t="inlineStr">
        <is>
          <t>SEM COTAÇÃO</t>
        </is>
      </c>
      <c r="L2376" s="8" t="n"/>
      <c r="M2376" s="12" t="n"/>
      <c r="N2376" s="7" t="inlineStr"/>
      <c r="O2376" s="7" t="inlineStr"/>
    </row>
    <row r="2377">
      <c r="A2377" s="7" t="n">
        <v>276001</v>
      </c>
      <c r="B2377" s="10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1" t="n">
        <v>1</v>
      </c>
      <c r="G2377" s="11" t="n">
        <v>1</v>
      </c>
      <c r="H2377" s="8" t="n">
        <v>6.92</v>
      </c>
      <c r="I2377" s="8" t="n">
        <v>6.92</v>
      </c>
      <c r="J2377" s="8" t="n"/>
      <c r="K2377" s="7" t="inlineStr">
        <is>
          <t>SEM COTAÇÃO</t>
        </is>
      </c>
      <c r="L2377" s="8" t="n"/>
      <c r="M2377" s="12" t="n"/>
      <c r="N2377" s="7" t="inlineStr"/>
      <c r="O2377" s="7" t="inlineStr"/>
    </row>
    <row r="2378">
      <c r="A2378" s="7" t="n">
        <v>275641</v>
      </c>
      <c r="B2378" s="10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1" t="n">
        <v>1</v>
      </c>
      <c r="G2378" s="11" t="n">
        <v>1</v>
      </c>
      <c r="H2378" s="8" t="n">
        <v>24.6867</v>
      </c>
      <c r="I2378" s="8" t="n">
        <v>19.7317</v>
      </c>
      <c r="J2378" s="8" t="n"/>
      <c r="K2378" s="7" t="inlineStr">
        <is>
          <t>SEM COTAÇÃO</t>
        </is>
      </c>
      <c r="L2378" s="8" t="n"/>
      <c r="M2378" s="12" t="n"/>
      <c r="N2378" s="7" t="inlineStr"/>
      <c r="O2378" s="7" t="inlineStr"/>
    </row>
    <row r="2379">
      <c r="A2379" s="7" t="n">
        <v>649691</v>
      </c>
      <c r="B2379" s="10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1" t="n">
        <v>1</v>
      </c>
      <c r="G2379" s="11" t="n">
        <v>1</v>
      </c>
      <c r="H2379" s="8" t="n">
        <v>11.5</v>
      </c>
      <c r="I2379" s="8" t="n">
        <v>11.5</v>
      </c>
      <c r="J2379" s="8" t="n"/>
      <c r="K2379" s="7" t="inlineStr">
        <is>
          <t>SEM COTAÇÃO</t>
        </is>
      </c>
      <c r="L2379" s="8" t="n"/>
      <c r="M2379" s="12" t="n"/>
      <c r="N2379" s="7" t="inlineStr"/>
      <c r="O2379" s="7" t="inlineStr"/>
    </row>
    <row r="2380">
      <c r="A2380" s="7" t="n">
        <v>598351</v>
      </c>
      <c r="B2380" s="10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1" t="n">
        <v>1</v>
      </c>
      <c r="G2380" s="11" t="n">
        <v>1</v>
      </c>
      <c r="H2380" s="8" t="n">
        <v>21.65</v>
      </c>
      <c r="I2380" s="8" t="n">
        <v>21.65</v>
      </c>
      <c r="J2380" s="8" t="n"/>
      <c r="K2380" s="7" t="inlineStr">
        <is>
          <t>SEM COTAÇÃO</t>
        </is>
      </c>
      <c r="L2380" s="8" t="n"/>
      <c r="M2380" s="12" t="n"/>
      <c r="N2380" s="7" t="inlineStr"/>
      <c r="O2380" s="7" t="inlineStr"/>
    </row>
    <row r="2381">
      <c r="A2381" s="7" t="n">
        <v>598281</v>
      </c>
      <c r="B2381" s="10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1" t="n">
        <v>1</v>
      </c>
      <c r="G2381" s="11" t="n">
        <v>1</v>
      </c>
      <c r="H2381" s="8" t="n">
        <v>8.49</v>
      </c>
      <c r="I2381" s="8" t="n">
        <v>8.49</v>
      </c>
      <c r="J2381" s="8" t="n"/>
      <c r="K2381" s="7" t="inlineStr">
        <is>
          <t>SEM COTAÇÃO</t>
        </is>
      </c>
      <c r="L2381" s="8" t="n"/>
      <c r="M2381" s="12" t="n"/>
      <c r="N2381" s="7" t="inlineStr"/>
      <c r="O2381" s="7" t="inlineStr"/>
    </row>
    <row r="2382">
      <c r="A2382" s="7" t="n">
        <v>2493</v>
      </c>
      <c r="B2382" s="10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1" t="n">
        <v>1</v>
      </c>
      <c r="G2382" s="11" t="n">
        <v>1</v>
      </c>
      <c r="H2382" s="8" t="n">
        <v>8.470000000000001</v>
      </c>
      <c r="I2382" s="8" t="n">
        <v>8.470000000000001</v>
      </c>
      <c r="J2382" s="8" t="n"/>
      <c r="K2382" s="7" t="inlineStr">
        <is>
          <t>SEM COTAÇÃO</t>
        </is>
      </c>
      <c r="L2382" s="8" t="n"/>
      <c r="M2382" s="12" t="n"/>
      <c r="N2382" s="7" t="inlineStr"/>
      <c r="O2382" s="7" t="inlineStr"/>
    </row>
    <row r="2383">
      <c r="A2383" s="7" t="n">
        <v>605151</v>
      </c>
      <c r="B2383" s="10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1" t="n">
        <v>4</v>
      </c>
      <c r="G2383" s="11" t="n">
        <v>4</v>
      </c>
      <c r="H2383" s="8" t="n">
        <v>8.17</v>
      </c>
      <c r="I2383" s="8" t="n">
        <v>7.58</v>
      </c>
      <c r="J2383" s="8" t="n"/>
      <c r="K2383" s="7" t="inlineStr">
        <is>
          <t>SEM COTAÇÃO</t>
        </is>
      </c>
      <c r="L2383" s="8" t="n"/>
      <c r="M2383" s="12" t="n"/>
      <c r="N2383" s="7" t="inlineStr"/>
      <c r="O2383" s="7" t="inlineStr"/>
    </row>
    <row r="2384">
      <c r="A2384" s="7" t="n">
        <v>2083</v>
      </c>
      <c r="B2384" s="10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1" t="n">
        <v>1</v>
      </c>
      <c r="G2384" s="11" t="n">
        <v>1</v>
      </c>
      <c r="H2384" s="8" t="n">
        <v>55</v>
      </c>
      <c r="I2384" s="8" t="n">
        <v>55</v>
      </c>
      <c r="J2384" s="8" t="n"/>
      <c r="K2384" s="7" t="inlineStr">
        <is>
          <t>SEM COTAÇÃO</t>
        </is>
      </c>
      <c r="L2384" s="8" t="n"/>
      <c r="M2384" s="12" t="n"/>
      <c r="N2384" s="7" t="inlineStr"/>
      <c r="O2384" s="7" t="inlineStr"/>
    </row>
    <row r="2385">
      <c r="A2385" s="7" t="n">
        <v>675721</v>
      </c>
      <c r="B2385" s="10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1" t="n">
        <v>1</v>
      </c>
      <c r="G2385" s="11" t="n">
        <v>1</v>
      </c>
      <c r="H2385" s="8" t="n"/>
      <c r="I2385" s="8" t="n"/>
      <c r="J2385" s="8" t="n"/>
      <c r="K2385" s="7" t="inlineStr">
        <is>
          <t>SEM COTAÇÃO</t>
        </is>
      </c>
      <c r="L2385" s="8" t="n"/>
      <c r="M2385" s="12" t="n"/>
      <c r="N2385" s="7" t="inlineStr"/>
      <c r="O2385" s="7" t="inlineStr"/>
    </row>
    <row r="2386">
      <c r="A2386" s="7" t="n">
        <v>2073</v>
      </c>
      <c r="B2386" s="10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1" t="n">
        <v>1</v>
      </c>
      <c r="G2386" s="11" t="n">
        <v>1</v>
      </c>
      <c r="H2386" s="8" t="n">
        <v>67.94</v>
      </c>
      <c r="I2386" s="8" t="n">
        <v>67.94</v>
      </c>
      <c r="J2386" s="8" t="n"/>
      <c r="K2386" s="7" t="inlineStr">
        <is>
          <t>SEM COTAÇÃO</t>
        </is>
      </c>
      <c r="L2386" s="8" t="n"/>
      <c r="M2386" s="12" t="n"/>
      <c r="N2386" s="7" t="inlineStr"/>
      <c r="O2386" s="7" t="inlineStr"/>
    </row>
    <row r="2387">
      <c r="A2387" s="7" t="n">
        <v>675671</v>
      </c>
      <c r="B2387" s="10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1" t="n">
        <v>1</v>
      </c>
      <c r="G2387" s="11" t="n">
        <v>1</v>
      </c>
      <c r="H2387" s="8" t="n">
        <v>22.55</v>
      </c>
      <c r="I2387" s="8" t="n">
        <v>22.55</v>
      </c>
      <c r="J2387" s="8" t="n"/>
      <c r="K2387" s="7" t="inlineStr">
        <is>
          <t>SEM COTAÇÃO</t>
        </is>
      </c>
      <c r="L2387" s="8" t="n"/>
      <c r="M2387" s="12" t="n"/>
      <c r="N2387" s="7" t="inlineStr"/>
      <c r="O2387" s="7" t="inlineStr"/>
    </row>
    <row r="2388">
      <c r="A2388" s="7" t="n">
        <v>675691</v>
      </c>
      <c r="B2388" s="10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1" t="n">
        <v>1</v>
      </c>
      <c r="G2388" s="11" t="n">
        <v>1</v>
      </c>
      <c r="H2388" s="8" t="n">
        <v>22.55</v>
      </c>
      <c r="I2388" s="8" t="n">
        <v>22.55</v>
      </c>
      <c r="J2388" s="8" t="n"/>
      <c r="K2388" s="7" t="inlineStr">
        <is>
          <t>SEM COTAÇÃO</t>
        </is>
      </c>
      <c r="L2388" s="8" t="n"/>
      <c r="M2388" s="12" t="n"/>
      <c r="N2388" s="7" t="inlineStr"/>
      <c r="O2388" s="7" t="inlineStr"/>
    </row>
    <row r="2389">
      <c r="A2389" s="7" t="n">
        <v>675701</v>
      </c>
      <c r="B2389" s="10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1" t="n">
        <v>1</v>
      </c>
      <c r="G2389" s="11" t="n">
        <v>1</v>
      </c>
      <c r="H2389" s="8" t="n">
        <v>22.55</v>
      </c>
      <c r="I2389" s="8" t="n">
        <v>22.55</v>
      </c>
      <c r="J2389" s="8" t="n"/>
      <c r="K2389" s="7" t="inlineStr">
        <is>
          <t>SEM COTAÇÃO</t>
        </is>
      </c>
      <c r="L2389" s="8" t="n"/>
      <c r="M2389" s="12" t="n"/>
      <c r="N2389" s="7" t="inlineStr"/>
      <c r="O2389" s="7" t="inlineStr"/>
    </row>
    <row r="2390">
      <c r="A2390" s="7" t="n">
        <v>4023</v>
      </c>
      <c r="B2390" s="10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1" t="n">
        <v>1</v>
      </c>
      <c r="G2390" s="11" t="n">
        <v>1</v>
      </c>
      <c r="H2390" s="8" t="n">
        <v>23.9967</v>
      </c>
      <c r="I2390" s="8" t="n">
        <v>23.9967</v>
      </c>
      <c r="J2390" s="8" t="n"/>
      <c r="K2390" s="7" t="inlineStr">
        <is>
          <t>SEM COTAÇÃO</t>
        </is>
      </c>
      <c r="L2390" s="8" t="n"/>
      <c r="M2390" s="12" t="n"/>
      <c r="N2390" s="7" t="inlineStr"/>
      <c r="O2390" s="7" t="inlineStr"/>
    </row>
    <row r="2391">
      <c r="A2391" s="7" t="n">
        <v>652441</v>
      </c>
      <c r="B2391" s="10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1" t="n">
        <v>1</v>
      </c>
      <c r="G2391" s="11" t="n">
        <v>1</v>
      </c>
      <c r="H2391" s="8" t="n"/>
      <c r="I2391" s="8" t="n"/>
      <c r="J2391" s="8" t="n"/>
      <c r="K2391" s="7" t="inlineStr">
        <is>
          <t>SEM COTAÇÃO</t>
        </is>
      </c>
      <c r="L2391" s="8" t="n"/>
      <c r="M2391" s="12" t="n"/>
      <c r="N2391" s="7" t="inlineStr"/>
      <c r="O2391" s="7" t="inlineStr"/>
    </row>
    <row r="2392">
      <c r="A2392" s="7" t="n">
        <v>2023</v>
      </c>
      <c r="B2392" s="10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1" t="n">
        <v>1</v>
      </c>
      <c r="G2392" s="11" t="n">
        <v>1</v>
      </c>
      <c r="H2392" s="8" t="n"/>
      <c r="I2392" s="8" t="n"/>
      <c r="J2392" s="8" t="n"/>
      <c r="K2392" s="7" t="inlineStr">
        <is>
          <t>SEM COTAÇÃO</t>
        </is>
      </c>
      <c r="L2392" s="8" t="n"/>
      <c r="M2392" s="12" t="n"/>
      <c r="N2392" s="7" t="inlineStr"/>
      <c r="O2392" s="7" t="inlineStr"/>
    </row>
    <row r="2393">
      <c r="A2393" s="7" t="n">
        <v>4873</v>
      </c>
      <c r="B2393" s="10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1" t="n">
        <v>1</v>
      </c>
      <c r="G2393" s="11" t="n">
        <v>1</v>
      </c>
      <c r="H2393" s="8" t="n"/>
      <c r="I2393" s="8" t="n"/>
      <c r="J2393" s="8" t="n"/>
      <c r="K2393" s="7" t="inlineStr">
        <is>
          <t>SEM COTAÇÃO</t>
        </is>
      </c>
      <c r="L2393" s="8" t="n"/>
      <c r="M2393" s="12" t="n"/>
      <c r="N2393" s="7" t="inlineStr"/>
      <c r="O2393" s="7" t="inlineStr"/>
    </row>
    <row r="2394">
      <c r="A2394" s="7" t="n">
        <v>4883</v>
      </c>
      <c r="B2394" s="10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1" t="n">
        <v>1</v>
      </c>
      <c r="G2394" s="11" t="n">
        <v>1</v>
      </c>
      <c r="H2394" s="8" t="n"/>
      <c r="I2394" s="8" t="n"/>
      <c r="J2394" s="8" t="n"/>
      <c r="K2394" s="7" t="inlineStr">
        <is>
          <t>SEM COTAÇÃO</t>
        </is>
      </c>
      <c r="L2394" s="8" t="n"/>
      <c r="M2394" s="12" t="n"/>
      <c r="N2394" s="7" t="inlineStr"/>
      <c r="O2394" s="7" t="inlineStr"/>
    </row>
    <row r="2395">
      <c r="A2395" s="7" t="n">
        <v>4693</v>
      </c>
      <c r="B2395" s="10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1" t="n">
        <v>2</v>
      </c>
      <c r="G2395" s="11" t="n">
        <v>2</v>
      </c>
      <c r="H2395" s="8" t="n"/>
      <c r="I2395" s="8" t="n"/>
      <c r="J2395" s="8" t="n"/>
      <c r="K2395" s="7" t="inlineStr">
        <is>
          <t>SEM COTAÇÃO</t>
        </is>
      </c>
      <c r="L2395" s="8" t="n"/>
      <c r="M2395" s="12" t="n"/>
      <c r="N2395" s="7" t="inlineStr"/>
      <c r="O2395" s="7" t="inlineStr"/>
    </row>
    <row r="2396">
      <c r="A2396" s="7" t="n">
        <v>4643</v>
      </c>
      <c r="B2396" s="10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1" t="n">
        <v>1</v>
      </c>
      <c r="G2396" s="11" t="n">
        <v>1</v>
      </c>
      <c r="H2396" s="8" t="n"/>
      <c r="I2396" s="8" t="n"/>
      <c r="J2396" s="8" t="n"/>
      <c r="K2396" s="7" t="inlineStr">
        <is>
          <t>SEM COTAÇÃO</t>
        </is>
      </c>
      <c r="L2396" s="8" t="n"/>
      <c r="M2396" s="12" t="n"/>
      <c r="N2396" s="7" t="inlineStr"/>
      <c r="O2396" s="7" t="inlineStr"/>
    </row>
    <row r="2397">
      <c r="A2397" s="7" t="n">
        <v>4593</v>
      </c>
      <c r="B2397" s="10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1" t="n">
        <v>2</v>
      </c>
      <c r="G2397" s="11" t="n">
        <v>2</v>
      </c>
      <c r="H2397" s="8" t="n"/>
      <c r="I2397" s="8" t="n"/>
      <c r="J2397" s="8" t="n"/>
      <c r="K2397" s="7" t="inlineStr">
        <is>
          <t>SEM COTAÇÃO</t>
        </is>
      </c>
      <c r="L2397" s="8" t="n"/>
      <c r="M2397" s="12" t="n"/>
      <c r="N2397" s="7" t="inlineStr"/>
      <c r="O2397" s="7" t="inlineStr"/>
    </row>
    <row r="2398">
      <c r="A2398" s="7" t="n">
        <v>626321</v>
      </c>
      <c r="B2398" s="10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1" t="n">
        <v>2</v>
      </c>
      <c r="G2398" s="11" t="n">
        <v>2</v>
      </c>
      <c r="H2398" s="8" t="n">
        <v>69.84</v>
      </c>
      <c r="I2398" s="8" t="n">
        <v>57.646</v>
      </c>
      <c r="J2398" s="8" t="n"/>
      <c r="K2398" s="7" t="inlineStr">
        <is>
          <t>SEM COTAÇÃO</t>
        </is>
      </c>
      <c r="L2398" s="8" t="n"/>
      <c r="M2398" s="12" t="n"/>
      <c r="N2398" s="7" t="inlineStr"/>
      <c r="O2398" s="7" t="inlineStr"/>
    </row>
    <row r="2399">
      <c r="A2399" s="7" t="n">
        <v>1633</v>
      </c>
      <c r="B2399" s="10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1" t="n">
        <v>1</v>
      </c>
      <c r="G2399" s="11" t="n">
        <v>2</v>
      </c>
      <c r="H2399" s="8" t="n">
        <v>2.3475</v>
      </c>
      <c r="I2399" s="8" t="n">
        <v>2.2875</v>
      </c>
      <c r="J2399" s="8" t="n"/>
      <c r="K2399" s="7" t="inlineStr">
        <is>
          <t>SEM COTAÇÃO</t>
        </is>
      </c>
      <c r="L2399" s="8" t="n"/>
      <c r="M2399" s="12" t="n"/>
      <c r="N2399" s="7" t="inlineStr"/>
      <c r="O2399" s="7" t="inlineStr"/>
    </row>
    <row r="2400">
      <c r="A2400" s="7" t="n">
        <v>531481</v>
      </c>
      <c r="B2400" s="10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1" t="n">
        <v>7</v>
      </c>
      <c r="G2400" s="11" t="n">
        <v>7</v>
      </c>
      <c r="H2400" s="8" t="n">
        <v>8.300000000000001</v>
      </c>
      <c r="I2400" s="8" t="n">
        <v>7.97</v>
      </c>
      <c r="J2400" s="13" t="n">
        <v>8.359999999999999</v>
      </c>
      <c r="K2400" s="7" t="inlineStr">
        <is>
          <t>DIMEC</t>
        </is>
      </c>
      <c r="L2400" s="8" t="n">
        <v>8.359999999999999</v>
      </c>
      <c r="M2400" s="12">
        <f>L2400/H2400-1</f>
        <v/>
      </c>
      <c r="N2400" s="14" t="inlineStr">
        <is>
          <t>ACIMA +0.7%</t>
        </is>
      </c>
      <c r="O2400" s="7" t="inlineStr"/>
    </row>
    <row r="2401">
      <c r="A2401" s="7" t="n">
        <v>542961</v>
      </c>
      <c r="B2401" s="10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1" t="n">
        <v>1</v>
      </c>
      <c r="G2401" s="11" t="n">
        <v>1</v>
      </c>
      <c r="H2401" s="8" t="n">
        <v>8.43</v>
      </c>
      <c r="I2401" s="8" t="n">
        <v>8.43</v>
      </c>
      <c r="J2401" s="8" t="n"/>
      <c r="K2401" s="7" t="inlineStr">
        <is>
          <t>SEM COTAÇÃO</t>
        </is>
      </c>
      <c r="L2401" s="8" t="n"/>
      <c r="M2401" s="12" t="n"/>
      <c r="N2401" s="7" t="inlineStr"/>
      <c r="O2401" s="7" t="inlineStr"/>
    </row>
    <row r="2402">
      <c r="A2402" s="7" t="n">
        <v>531501</v>
      </c>
      <c r="B2402" s="10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1" t="n">
        <v>2</v>
      </c>
      <c r="G2402" s="11" t="n">
        <v>2</v>
      </c>
      <c r="H2402" s="8" t="n">
        <v>8.300000000000001</v>
      </c>
      <c r="I2402" s="8" t="n">
        <v>7.97</v>
      </c>
      <c r="J2402" s="13" t="n">
        <v>8.359999999999999</v>
      </c>
      <c r="K2402" s="7" t="inlineStr">
        <is>
          <t>DIMEC</t>
        </is>
      </c>
      <c r="L2402" s="8" t="n">
        <v>8.359999999999999</v>
      </c>
      <c r="M2402" s="12">
        <f>L2402/H2402-1</f>
        <v/>
      </c>
      <c r="N2402" s="14" t="inlineStr">
        <is>
          <t>ACIMA +0.7%</t>
        </is>
      </c>
      <c r="O2402" s="7" t="inlineStr"/>
    </row>
    <row r="2403">
      <c r="A2403" s="7" t="n">
        <v>547981</v>
      </c>
      <c r="B2403" s="10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1" t="n">
        <v>7</v>
      </c>
      <c r="G2403" s="11" t="n">
        <v>7</v>
      </c>
      <c r="H2403" s="8" t="n">
        <v>8.300000000000001</v>
      </c>
      <c r="I2403" s="8" t="n">
        <v>7.97</v>
      </c>
      <c r="J2403" s="8" t="n"/>
      <c r="K2403" s="7" t="inlineStr">
        <is>
          <t>SEM COTAÇÃO</t>
        </is>
      </c>
      <c r="L2403" s="8" t="n"/>
      <c r="M2403" s="12" t="n"/>
      <c r="N2403" s="7" t="inlineStr"/>
      <c r="O2403" s="7" t="inlineStr"/>
    </row>
    <row r="2404">
      <c r="A2404" s="7" t="n">
        <v>604151</v>
      </c>
      <c r="B2404" s="10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1" t="n">
        <v>9</v>
      </c>
      <c r="G2404" s="11" t="n">
        <v>9</v>
      </c>
      <c r="H2404" s="8" t="n">
        <v>8.94</v>
      </c>
      <c r="I2404" s="8" t="n">
        <v>8.890000000000001</v>
      </c>
      <c r="J2404" s="13" t="n">
        <v>8.94</v>
      </c>
      <c r="K2404" s="7" t="inlineStr">
        <is>
          <t>DIMEC</t>
        </is>
      </c>
      <c r="L2404" s="8" t="n">
        <v>8.94</v>
      </c>
      <c r="M2404" s="12">
        <f>L2404/H2404-1</f>
        <v/>
      </c>
      <c r="N2404" s="15" t="inlineStr">
        <is>
          <t>OK (≤ últ. compra)</t>
        </is>
      </c>
      <c r="O2404" s="7" t="inlineStr"/>
    </row>
    <row r="2405">
      <c r="A2405" s="7" t="n">
        <v>602561</v>
      </c>
      <c r="B2405" s="10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1" t="n">
        <v>8</v>
      </c>
      <c r="G2405" s="11" t="n">
        <v>8</v>
      </c>
      <c r="H2405" s="8" t="n">
        <v>8.6</v>
      </c>
      <c r="I2405" s="8" t="n">
        <v>8.6</v>
      </c>
      <c r="J2405" s="13" t="n">
        <v>8.94</v>
      </c>
      <c r="K2405" s="7" t="inlineStr">
        <is>
          <t>DIMEC</t>
        </is>
      </c>
      <c r="L2405" s="8" t="n">
        <v>8.94</v>
      </c>
      <c r="M2405" s="12">
        <f>L2405/H2405-1</f>
        <v/>
      </c>
      <c r="N2405" s="14" t="inlineStr">
        <is>
          <t>ACIMA +4.0%</t>
        </is>
      </c>
      <c r="O2405" s="7" t="inlineStr"/>
    </row>
    <row r="2406">
      <c r="A2406" s="7" t="n">
        <v>602571</v>
      </c>
      <c r="B2406" s="10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1" t="n">
        <v>8</v>
      </c>
      <c r="G2406" s="11" t="n">
        <v>8</v>
      </c>
      <c r="H2406" s="8" t="n">
        <v>9.390000000000001</v>
      </c>
      <c r="I2406" s="8" t="n">
        <v>8.9</v>
      </c>
      <c r="J2406" s="8" t="n"/>
      <c r="K2406" s="7" t="inlineStr">
        <is>
          <t>SEM COTAÇÃO</t>
        </is>
      </c>
      <c r="L2406" s="8" t="n"/>
      <c r="M2406" s="12" t="n"/>
      <c r="N2406" s="7" t="inlineStr"/>
      <c r="O2406" s="7" t="inlineStr"/>
    </row>
    <row r="2407">
      <c r="A2407" s="7" t="n">
        <v>604091</v>
      </c>
      <c r="B2407" s="10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1" t="n">
        <v>2</v>
      </c>
      <c r="G2407" s="11" t="n">
        <v>2</v>
      </c>
      <c r="H2407" s="8" t="n">
        <v>8.890000000000001</v>
      </c>
      <c r="I2407" s="8" t="n">
        <v>8.890000000000001</v>
      </c>
      <c r="J2407" s="13" t="n">
        <v>8.94</v>
      </c>
      <c r="K2407" s="7" t="inlineStr">
        <is>
          <t>DIMEC</t>
        </is>
      </c>
      <c r="L2407" s="8" t="n">
        <v>8.94</v>
      </c>
      <c r="M2407" s="12">
        <f>L2407/H2407-1</f>
        <v/>
      </c>
      <c r="N2407" s="14" t="inlineStr">
        <is>
          <t>ACIMA +0.6%</t>
        </is>
      </c>
      <c r="O2407" s="7" t="inlineStr"/>
    </row>
    <row r="2408">
      <c r="A2408" s="7" t="n">
        <v>1573</v>
      </c>
      <c r="B2408" s="10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1" t="n">
        <v>1</v>
      </c>
      <c r="G2408" s="11" t="n">
        <v>1</v>
      </c>
      <c r="H2408" s="8" t="n"/>
      <c r="I2408" s="8" t="n"/>
      <c r="J2408" s="8" t="n"/>
      <c r="K2408" s="7" t="inlineStr">
        <is>
          <t>SEM COTAÇÃO</t>
        </is>
      </c>
      <c r="L2408" s="8" t="n"/>
      <c r="M2408" s="12" t="n"/>
      <c r="N2408" s="7" t="inlineStr"/>
      <c r="O2408" s="7" t="inlineStr"/>
    </row>
    <row r="2409">
      <c r="A2409" s="7" t="n">
        <v>634191</v>
      </c>
      <c r="B2409" s="10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1" t="n">
        <v>1</v>
      </c>
      <c r="G2409" s="11" t="n">
        <v>1</v>
      </c>
      <c r="H2409" s="8" t="n">
        <v>8.359999999999999</v>
      </c>
      <c r="I2409" s="8" t="n">
        <v>8.359999999999999</v>
      </c>
      <c r="J2409" s="8" t="n"/>
      <c r="K2409" s="7" t="inlineStr">
        <is>
          <t>SEM COTAÇÃO</t>
        </is>
      </c>
      <c r="L2409" s="8" t="n"/>
      <c r="M2409" s="12" t="n"/>
      <c r="N2409" s="7" t="inlineStr"/>
      <c r="O2409" s="7" t="inlineStr"/>
    </row>
    <row r="2410">
      <c r="A2410" s="7" t="n">
        <v>602551</v>
      </c>
      <c r="B2410" s="10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1" t="n">
        <v>1</v>
      </c>
      <c r="G2410" s="11" t="n">
        <v>1</v>
      </c>
      <c r="H2410" s="8" t="n">
        <v>1.7375</v>
      </c>
      <c r="I2410" s="8" t="n">
        <v>1.7375</v>
      </c>
      <c r="J2410" s="8" t="n"/>
      <c r="K2410" s="7" t="inlineStr">
        <is>
          <t>SEM COTAÇÃO</t>
        </is>
      </c>
      <c r="L2410" s="8" t="n"/>
      <c r="M2410" s="12" t="n"/>
      <c r="N2410" s="7" t="inlineStr"/>
      <c r="O2410" s="7" t="inlineStr"/>
    </row>
    <row r="2411">
      <c r="A2411" s="7" t="n">
        <v>570721</v>
      </c>
      <c r="B2411" s="10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1" t="n">
        <v>1</v>
      </c>
      <c r="G2411" s="11" t="n">
        <v>1</v>
      </c>
      <c r="H2411" s="8" t="n">
        <v>8.359999999999999</v>
      </c>
      <c r="I2411" s="8" t="n">
        <v>7.97</v>
      </c>
      <c r="J2411" s="8" t="n"/>
      <c r="K2411" s="7" t="inlineStr">
        <is>
          <t>SEM COTAÇÃO</t>
        </is>
      </c>
      <c r="L2411" s="8" t="n"/>
      <c r="M2411" s="12" t="n"/>
      <c r="N2411" s="7" t="inlineStr"/>
      <c r="O2411" s="7" t="inlineStr"/>
    </row>
    <row r="2412">
      <c r="A2412" s="7" t="n">
        <v>558881</v>
      </c>
      <c r="B2412" s="10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1" t="n">
        <v>2</v>
      </c>
      <c r="G2412" s="11" t="n">
        <v>5</v>
      </c>
      <c r="H2412" s="8" t="n">
        <v>2.475</v>
      </c>
      <c r="I2412" s="8" t="n">
        <v>2.475</v>
      </c>
      <c r="J2412" s="13" t="n">
        <v>11.41</v>
      </c>
      <c r="K2412" s="7" t="inlineStr">
        <is>
          <t>DIMEC</t>
        </is>
      </c>
      <c r="L2412" s="8" t="n">
        <v>11.41</v>
      </c>
      <c r="M2412" s="12">
        <f>L2412/H2412-1</f>
        <v/>
      </c>
      <c r="N2412" s="14" t="inlineStr">
        <is>
          <t>ACIMA +361.0%</t>
        </is>
      </c>
      <c r="O2412" s="7" t="inlineStr">
        <is>
          <t>DIMEC: conferir emb.</t>
        </is>
      </c>
    </row>
    <row r="2413">
      <c r="A2413" s="7" t="n">
        <v>619571</v>
      </c>
      <c r="B2413" s="10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1" t="n">
        <v>1</v>
      </c>
      <c r="G2413" s="11" t="n">
        <v>1</v>
      </c>
      <c r="H2413" s="8" t="n">
        <v>35.4725</v>
      </c>
      <c r="I2413" s="8" t="n">
        <v>35.4725</v>
      </c>
      <c r="J2413" s="8" t="n"/>
      <c r="K2413" s="7" t="inlineStr">
        <is>
          <t>SEM COTAÇÃO</t>
        </is>
      </c>
      <c r="L2413" s="8" t="n"/>
      <c r="M2413" s="12" t="n"/>
      <c r="N2413" s="7" t="inlineStr"/>
      <c r="O2413" s="7" t="inlineStr"/>
    </row>
    <row r="2414">
      <c r="A2414" s="7" t="n">
        <v>618011</v>
      </c>
      <c r="B2414" s="10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1" t="n">
        <v>1</v>
      </c>
      <c r="G2414" s="11" t="n">
        <v>1</v>
      </c>
      <c r="H2414" s="8" t="n">
        <v>14.98</v>
      </c>
      <c r="I2414" s="8" t="n">
        <v>14.98</v>
      </c>
      <c r="J2414" s="8" t="n"/>
      <c r="K2414" s="7" t="inlineStr">
        <is>
          <t>SEM COTAÇÃO</t>
        </is>
      </c>
      <c r="L2414" s="8" t="n"/>
      <c r="M2414" s="12" t="n"/>
      <c r="N2414" s="7" t="inlineStr"/>
      <c r="O2414" s="7" t="inlineStr"/>
    </row>
    <row r="2415">
      <c r="A2415" s="7" t="n">
        <v>657091</v>
      </c>
      <c r="B2415" s="10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1" t="n">
        <v>1</v>
      </c>
      <c r="G2415" s="11" t="n">
        <v>1</v>
      </c>
      <c r="H2415" s="8" t="n">
        <v>11.58</v>
      </c>
      <c r="I2415" s="8" t="n">
        <v>11.58</v>
      </c>
      <c r="J2415" s="8" t="n"/>
      <c r="K2415" s="7" t="inlineStr">
        <is>
          <t>SEM COTAÇÃO</t>
        </is>
      </c>
      <c r="L2415" s="8" t="n"/>
      <c r="M2415" s="12" t="n"/>
      <c r="N2415" s="7" t="inlineStr"/>
      <c r="O2415" s="7" t="inlineStr"/>
    </row>
    <row r="2416">
      <c r="A2416" s="7" t="n">
        <v>649921</v>
      </c>
      <c r="B2416" s="10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1" t="n">
        <v>1</v>
      </c>
      <c r="G2416" s="11" t="n">
        <v>1</v>
      </c>
      <c r="H2416" s="8" t="n">
        <v>22.28</v>
      </c>
      <c r="I2416" s="8" t="n">
        <v>22.28</v>
      </c>
      <c r="J2416" s="8" t="n"/>
      <c r="K2416" s="7" t="inlineStr">
        <is>
          <t>SEM COTAÇÃO</t>
        </is>
      </c>
      <c r="L2416" s="8" t="n"/>
      <c r="M2416" s="12" t="n"/>
      <c r="N2416" s="7" t="inlineStr"/>
      <c r="O2416" s="7" t="inlineStr"/>
    </row>
    <row r="2417">
      <c r="A2417" s="7" t="n">
        <v>654591</v>
      </c>
      <c r="B2417" s="10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1" t="n">
        <v>1</v>
      </c>
      <c r="G2417" s="11" t="n">
        <v>1</v>
      </c>
      <c r="H2417" s="8" t="n">
        <v>8.24</v>
      </c>
      <c r="I2417" s="8" t="n">
        <v>8.24</v>
      </c>
      <c r="J2417" s="8" t="n"/>
      <c r="K2417" s="7" t="inlineStr">
        <is>
          <t>SEM COTAÇÃO</t>
        </is>
      </c>
      <c r="L2417" s="8" t="n"/>
      <c r="M2417" s="12" t="n"/>
      <c r="N2417" s="7" t="inlineStr"/>
      <c r="O2417" s="7" t="inlineStr"/>
    </row>
    <row r="2418">
      <c r="A2418" s="7" t="n">
        <v>284521</v>
      </c>
      <c r="B2418" s="10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1" t="n">
        <v>75</v>
      </c>
      <c r="G2418" s="11" t="n">
        <v>75</v>
      </c>
      <c r="H2418" s="8" t="n">
        <v>2.38</v>
      </c>
      <c r="I2418" s="8" t="n">
        <v>0.8065</v>
      </c>
      <c r="J2418" s="8" t="n"/>
      <c r="K2418" s="7" t="inlineStr">
        <is>
          <t>SEM COTAÇÃO</t>
        </is>
      </c>
      <c r="L2418" s="8" t="n"/>
      <c r="M2418" s="12" t="n"/>
      <c r="N2418" s="7" t="inlineStr"/>
      <c r="O2418" s="7" t="inlineStr"/>
    </row>
    <row r="2419">
      <c r="A2419" s="7" t="n">
        <v>285361</v>
      </c>
      <c r="B2419" s="10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1" t="n">
        <v>62</v>
      </c>
      <c r="G2419" s="11" t="n">
        <v>62</v>
      </c>
      <c r="H2419" s="8" t="n">
        <v>1.25</v>
      </c>
      <c r="I2419" s="8" t="n">
        <v>1.15</v>
      </c>
      <c r="J2419" s="8" t="n"/>
      <c r="K2419" s="7" t="inlineStr">
        <is>
          <t>SEM COTAÇÃO</t>
        </is>
      </c>
      <c r="L2419" s="8" t="n"/>
      <c r="M2419" s="12" t="n"/>
      <c r="N2419" s="7" t="inlineStr"/>
      <c r="O2419" s="7" t="inlineStr"/>
    </row>
    <row r="2420">
      <c r="A2420" s="7" t="n">
        <v>637601</v>
      </c>
      <c r="B2420" s="10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1" t="n">
        <v>1</v>
      </c>
      <c r="G2420" s="11" t="n">
        <v>1</v>
      </c>
      <c r="H2420" s="8" t="n">
        <v>14</v>
      </c>
      <c r="I2420" s="8" t="n">
        <v>14</v>
      </c>
      <c r="J2420" s="8" t="n"/>
      <c r="K2420" s="7" t="inlineStr">
        <is>
          <t>SEM COTAÇÃO</t>
        </is>
      </c>
      <c r="L2420" s="8" t="n"/>
      <c r="M2420" s="12" t="n"/>
      <c r="N2420" s="7" t="inlineStr"/>
      <c r="O2420" s="7" t="inlineStr"/>
    </row>
    <row r="2421">
      <c r="A2421" s="7" t="n">
        <v>621281</v>
      </c>
      <c r="B2421" s="10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1" t="n">
        <v>1</v>
      </c>
      <c r="G2421" s="11" t="n">
        <v>1</v>
      </c>
      <c r="H2421" s="8" t="n">
        <v>16</v>
      </c>
      <c r="I2421" s="8" t="n">
        <v>16</v>
      </c>
      <c r="J2421" s="8" t="n"/>
      <c r="K2421" s="7" t="inlineStr">
        <is>
          <t>SEM COTAÇÃO</t>
        </is>
      </c>
      <c r="L2421" s="8" t="n"/>
      <c r="M2421" s="12" t="n"/>
      <c r="N2421" s="7" t="inlineStr"/>
      <c r="O2421" s="7" t="inlineStr"/>
    </row>
    <row r="2422">
      <c r="A2422" s="7" t="n">
        <v>531541</v>
      </c>
      <c r="B2422" s="10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1" t="n">
        <v>53</v>
      </c>
      <c r="G2422" s="11" t="n">
        <v>53</v>
      </c>
      <c r="H2422" s="8" t="n">
        <v>5.28</v>
      </c>
      <c r="I2422" s="8" t="n">
        <v>4.65</v>
      </c>
      <c r="J2422" s="13" t="n">
        <v>6.08</v>
      </c>
      <c r="K2422" s="7" t="inlineStr">
        <is>
          <t>DIMEC</t>
        </is>
      </c>
      <c r="L2422" s="8" t="n">
        <v>6.08</v>
      </c>
      <c r="M2422" s="12">
        <f>L2422/H2422-1</f>
        <v/>
      </c>
      <c r="N2422" s="14" t="inlineStr">
        <is>
          <t>ACIMA +15.2%</t>
        </is>
      </c>
      <c r="O2422" s="7" t="inlineStr"/>
    </row>
    <row r="2423">
      <c r="A2423" s="7" t="n">
        <v>531561</v>
      </c>
      <c r="B2423" s="10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1" t="n">
        <v>4</v>
      </c>
      <c r="G2423" s="11" t="n">
        <v>4</v>
      </c>
      <c r="H2423" s="8" t="n">
        <v>7.25</v>
      </c>
      <c r="I2423" s="8" t="n">
        <v>7.25</v>
      </c>
      <c r="J2423" s="13" t="n">
        <v>7.25</v>
      </c>
      <c r="K2423" s="7" t="inlineStr">
        <is>
          <t>DIMEC</t>
        </is>
      </c>
      <c r="L2423" s="8" t="n">
        <v>7.25</v>
      </c>
      <c r="M2423" s="12">
        <f>L2423/H2423-1</f>
        <v/>
      </c>
      <c r="N2423" s="15" t="inlineStr">
        <is>
          <t>OK (≤ menor hist.)</t>
        </is>
      </c>
      <c r="O2423" s="7" t="inlineStr"/>
    </row>
    <row r="2424">
      <c r="A2424" s="7" t="n">
        <v>639851</v>
      </c>
      <c r="B2424" s="10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1" t="n">
        <v>9</v>
      </c>
      <c r="G2424" s="11" t="n">
        <v>9</v>
      </c>
      <c r="H2424" s="8" t="n">
        <v>39.465</v>
      </c>
      <c r="I2424" s="8" t="n">
        <v>33.63</v>
      </c>
      <c r="J2424" s="8" t="n"/>
      <c r="K2424" s="7" t="inlineStr">
        <is>
          <t>SEM COTAÇÃO</t>
        </is>
      </c>
      <c r="L2424" s="8" t="n"/>
      <c r="M2424" s="12" t="n"/>
      <c r="N2424" s="7" t="inlineStr"/>
      <c r="O2424" s="7" t="inlineStr"/>
    </row>
    <row r="2425">
      <c r="A2425" s="7" t="n">
        <v>554181</v>
      </c>
      <c r="B2425" s="10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1" t="n">
        <v>3</v>
      </c>
      <c r="G2425" s="11" t="n">
        <v>3</v>
      </c>
      <c r="H2425" s="8" t="n">
        <v>22.94</v>
      </c>
      <c r="I2425" s="8" t="n">
        <v>19.3367</v>
      </c>
      <c r="J2425" s="8" t="n"/>
      <c r="K2425" s="7" t="inlineStr">
        <is>
          <t>SEM COTAÇÃO</t>
        </is>
      </c>
      <c r="L2425" s="8" t="n"/>
      <c r="M2425" s="12" t="n"/>
      <c r="N2425" s="7" t="inlineStr"/>
      <c r="O2425" s="7" t="inlineStr"/>
    </row>
    <row r="2426">
      <c r="A2426" s="7" t="n">
        <v>621551</v>
      </c>
      <c r="B2426" s="10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1" t="n">
        <v>6</v>
      </c>
      <c r="G2426" s="11" t="n">
        <v>6</v>
      </c>
      <c r="H2426" s="8" t="n">
        <v>21.3575</v>
      </c>
      <c r="I2426" s="8" t="n">
        <v>18.405</v>
      </c>
      <c r="J2426" s="8" t="n"/>
      <c r="K2426" s="7" t="inlineStr">
        <is>
          <t>SEM COTAÇÃO</t>
        </is>
      </c>
      <c r="L2426" s="8" t="n"/>
      <c r="M2426" s="12" t="n"/>
      <c r="N2426" s="7" t="inlineStr"/>
      <c r="O2426" s="7" t="inlineStr"/>
    </row>
    <row r="2427">
      <c r="A2427" s="7" t="n">
        <v>572661</v>
      </c>
      <c r="B2427" s="10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1" t="n">
        <v>5</v>
      </c>
      <c r="G2427" s="11" t="n">
        <v>5</v>
      </c>
      <c r="H2427" s="8" t="n">
        <v>5.69</v>
      </c>
      <c r="I2427" s="8" t="n">
        <v>5.69</v>
      </c>
      <c r="J2427" s="8" t="n"/>
      <c r="K2427" s="7" t="inlineStr">
        <is>
          <t>SEM COTAÇÃO</t>
        </is>
      </c>
      <c r="L2427" s="8" t="n"/>
      <c r="M2427" s="12" t="n"/>
      <c r="N2427" s="7" t="inlineStr"/>
      <c r="O2427" s="7" t="inlineStr"/>
    </row>
    <row r="2428">
      <c r="A2428" s="7" t="n">
        <v>406241</v>
      </c>
      <c r="B2428" s="10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1" t="n">
        <v>2</v>
      </c>
      <c r="G2428" s="11" t="n">
        <v>2</v>
      </c>
      <c r="H2428" s="8" t="n">
        <v>32.92</v>
      </c>
      <c r="I2428" s="8" t="n">
        <v>28.79</v>
      </c>
      <c r="J2428" s="8" t="n"/>
      <c r="K2428" s="7" t="inlineStr">
        <is>
          <t>SEM COTAÇÃO</t>
        </is>
      </c>
      <c r="L2428" s="8" t="n"/>
      <c r="M2428" s="12" t="n"/>
      <c r="N2428" s="7" t="inlineStr"/>
      <c r="O2428" s="7" t="inlineStr"/>
    </row>
    <row r="2429">
      <c r="A2429" s="7" t="n">
        <v>406261</v>
      </c>
      <c r="B2429" s="10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1" t="n">
        <v>1</v>
      </c>
      <c r="G2429" s="11" t="n">
        <v>1</v>
      </c>
      <c r="H2429" s="8" t="n">
        <v>36.05</v>
      </c>
      <c r="I2429" s="8" t="n">
        <v>31.52</v>
      </c>
      <c r="J2429" s="8" t="n"/>
      <c r="K2429" s="7" t="inlineStr">
        <is>
          <t>SEM COTAÇÃO</t>
        </is>
      </c>
      <c r="L2429" s="8" t="n"/>
      <c r="M2429" s="12" t="n"/>
      <c r="N2429" s="7" t="inlineStr"/>
      <c r="O2429" s="7" t="inlineStr"/>
    </row>
    <row r="2430">
      <c r="A2430" s="7" t="n">
        <v>213481</v>
      </c>
      <c r="B2430" s="10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1" t="n">
        <v>1</v>
      </c>
      <c r="G2430" s="11" t="n">
        <v>1</v>
      </c>
      <c r="H2430" s="8" t="n">
        <v>47.88</v>
      </c>
      <c r="I2430" s="8" t="n">
        <v>43.2</v>
      </c>
      <c r="J2430" s="8" t="n"/>
      <c r="K2430" s="7" t="inlineStr">
        <is>
          <t>SEM COTAÇÃO</t>
        </is>
      </c>
      <c r="L2430" s="8" t="n"/>
      <c r="M2430" s="12" t="n"/>
      <c r="N2430" s="7" t="inlineStr"/>
      <c r="O2430" s="7" t="inlineStr"/>
    </row>
    <row r="2431">
      <c r="A2431" s="7" t="n">
        <v>289481</v>
      </c>
      <c r="B2431" s="10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1" t="n">
        <v>1</v>
      </c>
      <c r="G2431" s="11" t="n">
        <v>1</v>
      </c>
      <c r="H2431" s="8" t="n">
        <v>65.11</v>
      </c>
      <c r="I2431" s="8" t="n">
        <v>59.345</v>
      </c>
      <c r="J2431" s="8" t="n"/>
      <c r="K2431" s="7" t="inlineStr">
        <is>
          <t>SEM COTAÇÃO</t>
        </is>
      </c>
      <c r="L2431" s="8" t="n"/>
      <c r="M2431" s="12" t="n"/>
      <c r="N2431" s="7" t="inlineStr"/>
      <c r="O2431" s="7" t="inlineStr"/>
    </row>
    <row r="2432">
      <c r="A2432" s="7" t="n">
        <v>597601</v>
      </c>
      <c r="B2432" s="10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1" t="n">
        <v>1</v>
      </c>
      <c r="G2432" s="11" t="n">
        <v>1</v>
      </c>
      <c r="H2432" s="8" t="n">
        <v>63.43</v>
      </c>
      <c r="I2432" s="8" t="n">
        <v>63.43</v>
      </c>
      <c r="J2432" s="8" t="n"/>
      <c r="K2432" s="7" t="inlineStr">
        <is>
          <t>SEM COTAÇÃO</t>
        </is>
      </c>
      <c r="L2432" s="8" t="n"/>
      <c r="M2432" s="12" t="n"/>
      <c r="N2432" s="7" t="inlineStr"/>
      <c r="O2432" s="7" t="inlineStr"/>
    </row>
    <row r="2433">
      <c r="A2433" s="7" t="n">
        <v>597591</v>
      </c>
      <c r="B2433" s="10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1" t="n">
        <v>1</v>
      </c>
      <c r="G2433" s="11" t="n">
        <v>1</v>
      </c>
      <c r="H2433" s="8" t="n">
        <v>56.83</v>
      </c>
      <c r="I2433" s="8" t="n">
        <v>56.83</v>
      </c>
      <c r="J2433" s="8" t="n"/>
      <c r="K2433" s="7" t="inlineStr">
        <is>
          <t>SEM COTAÇÃO</t>
        </is>
      </c>
      <c r="L2433" s="8" t="n"/>
      <c r="M2433" s="12" t="n"/>
      <c r="N2433" s="7" t="inlineStr"/>
      <c r="O2433" s="7" t="inlineStr"/>
    </row>
    <row r="2434">
      <c r="A2434" s="7" t="n">
        <v>646171</v>
      </c>
      <c r="B2434" s="10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1" t="n">
        <v>3</v>
      </c>
      <c r="G2434" s="11" t="n">
        <v>3</v>
      </c>
      <c r="H2434" s="8" t="n">
        <v>59.9</v>
      </c>
      <c r="I2434" s="8" t="n">
        <v>59.9</v>
      </c>
      <c r="J2434" s="8" t="n"/>
      <c r="K2434" s="7" t="inlineStr">
        <is>
          <t>SEM COTAÇÃO</t>
        </is>
      </c>
      <c r="L2434" s="8" t="n"/>
      <c r="M2434" s="12" t="n"/>
      <c r="N2434" s="7" t="inlineStr"/>
      <c r="O2434" s="7" t="inlineStr"/>
    </row>
    <row r="2435">
      <c r="A2435" s="7" t="n">
        <v>589151</v>
      </c>
      <c r="B2435" s="10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1" t="n">
        <v>2</v>
      </c>
      <c r="G2435" s="11" t="n">
        <v>2</v>
      </c>
      <c r="H2435" s="8" t="n">
        <v>10.9442</v>
      </c>
      <c r="I2435" s="8" t="n">
        <v>10.9442</v>
      </c>
      <c r="J2435" s="8" t="n"/>
      <c r="K2435" s="7" t="inlineStr">
        <is>
          <t>SEM COTAÇÃO</t>
        </is>
      </c>
      <c r="L2435" s="8" t="n"/>
      <c r="M2435" s="12" t="n"/>
      <c r="N2435" s="7" t="inlineStr"/>
      <c r="O2435" s="7" t="inlineStr"/>
    </row>
    <row r="2436">
      <c r="A2436" s="7" t="n">
        <v>648871</v>
      </c>
      <c r="B2436" s="10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1" t="n">
        <v>1</v>
      </c>
      <c r="G2436" s="11" t="n">
        <v>1</v>
      </c>
      <c r="H2436" s="8" t="n">
        <v>60.6</v>
      </c>
      <c r="I2436" s="8" t="n">
        <v>60.6</v>
      </c>
      <c r="J2436" s="8" t="n"/>
      <c r="K2436" s="7" t="inlineStr">
        <is>
          <t>SEM COTAÇÃO</t>
        </is>
      </c>
      <c r="L2436" s="8" t="n"/>
      <c r="M2436" s="12" t="n"/>
      <c r="N2436" s="7" t="inlineStr"/>
      <c r="O2436" s="7" t="inlineStr"/>
    </row>
    <row r="2437">
      <c r="A2437" s="7" t="n">
        <v>656341</v>
      </c>
      <c r="B2437" s="10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1" t="n">
        <v>1</v>
      </c>
      <c r="G2437" s="11" t="n">
        <v>1</v>
      </c>
      <c r="H2437" s="8" t="n">
        <v>5.55</v>
      </c>
      <c r="I2437" s="8" t="n">
        <v>5.55</v>
      </c>
      <c r="J2437" s="8" t="n"/>
      <c r="K2437" s="7" t="inlineStr">
        <is>
          <t>SEM COTAÇÃO</t>
        </is>
      </c>
      <c r="L2437" s="8" t="n"/>
      <c r="M2437" s="12" t="n"/>
      <c r="N2437" s="7" t="inlineStr"/>
      <c r="O2437" s="7" t="inlineStr"/>
    </row>
    <row r="2438">
      <c r="A2438" s="7" t="n">
        <v>656391</v>
      </c>
      <c r="B2438" s="10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1" t="n">
        <v>2</v>
      </c>
      <c r="G2438" s="11" t="n">
        <v>2</v>
      </c>
      <c r="H2438" s="8" t="n">
        <v>5.55</v>
      </c>
      <c r="I2438" s="8" t="n">
        <v>5.55</v>
      </c>
      <c r="J2438" s="8" t="n"/>
      <c r="K2438" s="7" t="inlineStr">
        <is>
          <t>SEM COTAÇÃO</t>
        </is>
      </c>
      <c r="L2438" s="8" t="n"/>
      <c r="M2438" s="12" t="n"/>
      <c r="N2438" s="7" t="inlineStr"/>
      <c r="O2438" s="7" t="inlineStr"/>
    </row>
    <row r="2439">
      <c r="A2439" s="7" t="n">
        <v>656321</v>
      </c>
      <c r="B2439" s="10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1" t="n">
        <v>1</v>
      </c>
      <c r="G2439" s="11" t="n">
        <v>1</v>
      </c>
      <c r="H2439" s="8" t="n">
        <v>5.55</v>
      </c>
      <c r="I2439" s="8" t="n">
        <v>5.55</v>
      </c>
      <c r="J2439" s="8" t="n"/>
      <c r="K2439" s="7" t="inlineStr">
        <is>
          <t>SEM COTAÇÃO</t>
        </is>
      </c>
      <c r="L2439" s="8" t="n"/>
      <c r="M2439" s="12" t="n"/>
      <c r="N2439" s="7" t="inlineStr"/>
      <c r="O2439" s="7" t="inlineStr"/>
    </row>
    <row r="2440">
      <c r="A2440" s="7" t="n">
        <v>656331</v>
      </c>
      <c r="B2440" s="10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1" t="n">
        <v>1</v>
      </c>
      <c r="G2440" s="11" t="n">
        <v>1</v>
      </c>
      <c r="H2440" s="8" t="n">
        <v>5.55</v>
      </c>
      <c r="I2440" s="8" t="n">
        <v>5.55</v>
      </c>
      <c r="J2440" s="8" t="n"/>
      <c r="K2440" s="7" t="inlineStr">
        <is>
          <t>SEM COTAÇÃO</t>
        </is>
      </c>
      <c r="L2440" s="8" t="n"/>
      <c r="M2440" s="12" t="n"/>
      <c r="N2440" s="7" t="inlineStr"/>
      <c r="O2440" s="7" t="inlineStr"/>
    </row>
    <row r="2441">
      <c r="A2441" s="7" t="n">
        <v>359601</v>
      </c>
      <c r="B2441" s="10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1" t="n">
        <v>1</v>
      </c>
      <c r="G2441" s="11" t="n">
        <v>1</v>
      </c>
      <c r="H2441" s="8" t="n">
        <v>1.4052</v>
      </c>
      <c r="I2441" s="8" t="n">
        <v>1.4052</v>
      </c>
      <c r="J2441" s="13" t="n">
        <v>126.14</v>
      </c>
      <c r="K2441" s="7" t="inlineStr">
        <is>
          <t>DIMEC</t>
        </is>
      </c>
      <c r="L2441" s="8" t="n">
        <v>126.14</v>
      </c>
      <c r="M2441" s="12">
        <f>L2441/H2441-1</f>
        <v/>
      </c>
      <c r="N2441" s="14" t="inlineStr">
        <is>
          <t>ACIMA +8876.7%</t>
        </is>
      </c>
      <c r="O2441" s="7" t="inlineStr">
        <is>
          <t>DIMEC: conferir emb.</t>
        </is>
      </c>
    </row>
    <row r="2442">
      <c r="A2442" s="7" t="n">
        <v>442741</v>
      </c>
      <c r="B2442" s="10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1" t="n">
        <v>10</v>
      </c>
      <c r="G2442" s="11" t="n">
        <v>10</v>
      </c>
      <c r="H2442" s="8" t="n">
        <v>19.31</v>
      </c>
      <c r="I2442" s="8" t="n">
        <v>19.31</v>
      </c>
      <c r="J2442" s="8" t="n"/>
      <c r="K2442" s="7" t="inlineStr">
        <is>
          <t>SEM COTAÇÃO</t>
        </is>
      </c>
      <c r="L2442" s="8" t="n"/>
      <c r="M2442" s="12" t="n"/>
      <c r="N2442" s="7" t="inlineStr"/>
      <c r="O2442" s="7" t="inlineStr"/>
    </row>
    <row r="2443">
      <c r="A2443" s="7" t="n">
        <v>294061</v>
      </c>
      <c r="B2443" s="10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1" t="n">
        <v>1</v>
      </c>
      <c r="G2443" s="11" t="n">
        <v>1</v>
      </c>
      <c r="H2443" s="8" t="n">
        <v>19.51</v>
      </c>
      <c r="I2443" s="8" t="n">
        <v>19.51</v>
      </c>
      <c r="J2443" s="8" t="n"/>
      <c r="K2443" s="7" t="inlineStr">
        <is>
          <t>SEM COTAÇÃO</t>
        </is>
      </c>
      <c r="L2443" s="8" t="n"/>
      <c r="M2443" s="12" t="n"/>
      <c r="N2443" s="7" t="inlineStr"/>
      <c r="O2443" s="7" t="inlineStr"/>
    </row>
    <row r="2444">
      <c r="A2444" s="7" t="n">
        <v>295141</v>
      </c>
      <c r="B2444" s="10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1" t="n">
        <v>1</v>
      </c>
      <c r="G2444" s="11" t="n">
        <v>5</v>
      </c>
      <c r="H2444" s="8" t="n">
        <v>3.0145</v>
      </c>
      <c r="I2444" s="8" t="n">
        <v>2.782</v>
      </c>
      <c r="J2444" s="8" t="n"/>
      <c r="K2444" s="7" t="inlineStr">
        <is>
          <t>SEM COTAÇÃO</t>
        </is>
      </c>
      <c r="L2444" s="8" t="n"/>
      <c r="M2444" s="12" t="n"/>
      <c r="N2444" s="7" t="inlineStr"/>
      <c r="O2444" s="7" t="inlineStr"/>
    </row>
    <row r="2445">
      <c r="A2445" s="7" t="n">
        <v>295121</v>
      </c>
      <c r="B2445" s="10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1" t="n">
        <v>1</v>
      </c>
      <c r="G2445" s="11" t="n">
        <v>4</v>
      </c>
      <c r="H2445" s="8" t="n">
        <v>3.588</v>
      </c>
      <c r="I2445" s="8" t="n">
        <v>3.588</v>
      </c>
      <c r="J2445" s="8" t="n"/>
      <c r="K2445" s="7" t="inlineStr">
        <is>
          <t>SEM COTAÇÃO</t>
        </is>
      </c>
      <c r="L2445" s="8" t="n"/>
      <c r="M2445" s="12" t="n"/>
      <c r="N2445" s="7" t="inlineStr"/>
      <c r="O2445" s="7" t="inlineStr"/>
    </row>
    <row r="2446">
      <c r="A2446" s="7" t="n">
        <v>297621</v>
      </c>
      <c r="B2446" s="10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1" t="n">
        <v>9</v>
      </c>
      <c r="G2446" s="11" t="n">
        <v>9</v>
      </c>
      <c r="H2446" s="8" t="n">
        <v>2.64</v>
      </c>
      <c r="I2446" s="8" t="n">
        <v>2.64</v>
      </c>
      <c r="J2446" s="8" t="n"/>
      <c r="K2446" s="7" t="inlineStr">
        <is>
          <t>SEM COTAÇÃO</t>
        </is>
      </c>
      <c r="L2446" s="8" t="n"/>
      <c r="M2446" s="12" t="n"/>
      <c r="N2446" s="7" t="inlineStr"/>
      <c r="O2446" s="7" t="inlineStr"/>
    </row>
    <row r="2447">
      <c r="A2447" s="7" t="n">
        <v>30703</v>
      </c>
      <c r="B2447" s="10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1" t="n">
        <v>6</v>
      </c>
      <c r="G2447" s="11" t="n">
        <v>6</v>
      </c>
      <c r="H2447" s="8" t="n">
        <v>2.98</v>
      </c>
      <c r="I2447" s="8" t="n">
        <v>2.98</v>
      </c>
      <c r="J2447" s="8" t="n"/>
      <c r="K2447" s="7" t="inlineStr">
        <is>
          <t>SEM COTAÇÃO</t>
        </is>
      </c>
      <c r="L2447" s="8" t="n"/>
      <c r="M2447" s="12" t="n"/>
      <c r="N2447" s="7" t="inlineStr"/>
      <c r="O2447" s="7" t="inlineStr"/>
    </row>
    <row r="2448">
      <c r="A2448" s="7" t="n">
        <v>518921</v>
      </c>
      <c r="B2448" s="10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1" t="n">
        <v>1</v>
      </c>
      <c r="G2448" s="11" t="n">
        <v>1</v>
      </c>
      <c r="H2448" s="8" t="n">
        <v>13.06</v>
      </c>
      <c r="I2448" s="8" t="n">
        <v>12.73</v>
      </c>
      <c r="J2448" s="8" t="n"/>
      <c r="K2448" s="7" t="inlineStr">
        <is>
          <t>SEM COTAÇÃO</t>
        </is>
      </c>
      <c r="L2448" s="8" t="n"/>
      <c r="M2448" s="12" t="n"/>
      <c r="N2448" s="7" t="inlineStr"/>
      <c r="O2448" s="7" t="inlineStr"/>
    </row>
    <row r="2449">
      <c r="A2449" s="7" t="n">
        <v>627841</v>
      </c>
      <c r="B2449" s="10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1" t="n">
        <v>5</v>
      </c>
      <c r="G2449" s="11" t="n">
        <v>5</v>
      </c>
      <c r="H2449" s="8" t="n">
        <v>8.1</v>
      </c>
      <c r="I2449" s="8" t="n">
        <v>8.1</v>
      </c>
      <c r="J2449" s="13" t="n">
        <v>8.1</v>
      </c>
      <c r="K2449" s="7" t="inlineStr">
        <is>
          <t>DIMEC</t>
        </is>
      </c>
      <c r="L2449" s="8" t="n">
        <v>8.1</v>
      </c>
      <c r="M2449" s="12">
        <f>L2449/H2449-1</f>
        <v/>
      </c>
      <c r="N2449" s="15" t="inlineStr">
        <is>
          <t>OK (≤ menor hist.)</t>
        </is>
      </c>
      <c r="O2449" s="7" t="inlineStr"/>
    </row>
    <row r="2450">
      <c r="A2450" s="7" t="n">
        <v>572741</v>
      </c>
      <c r="B2450" s="10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1" t="n">
        <v>2</v>
      </c>
      <c r="G2450" s="11" t="n">
        <v>2</v>
      </c>
      <c r="H2450" s="8" t="n">
        <v>58.6</v>
      </c>
      <c r="I2450" s="8" t="n">
        <v>52.15</v>
      </c>
      <c r="J2450" s="8" t="n"/>
      <c r="K2450" s="7" t="inlineStr">
        <is>
          <t>SEM COTAÇÃO</t>
        </is>
      </c>
      <c r="L2450" s="8" t="n"/>
      <c r="M2450" s="12" t="n"/>
      <c r="N2450" s="7" t="inlineStr"/>
      <c r="O2450" s="7" t="inlineStr"/>
    </row>
    <row r="2451">
      <c r="A2451" s="7" t="n">
        <v>592811</v>
      </c>
      <c r="B2451" s="10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1" t="n">
        <v>3</v>
      </c>
      <c r="G2451" s="11" t="n">
        <v>3</v>
      </c>
      <c r="H2451" s="8" t="n">
        <v>67.37</v>
      </c>
      <c r="I2451" s="8" t="n">
        <v>67.37</v>
      </c>
      <c r="J2451" s="8" t="n"/>
      <c r="K2451" s="7" t="inlineStr">
        <is>
          <t>SEM COTAÇÃO</t>
        </is>
      </c>
      <c r="L2451" s="8" t="n"/>
      <c r="M2451" s="12" t="n"/>
      <c r="N2451" s="7" t="inlineStr"/>
      <c r="O2451" s="7" t="inlineStr"/>
    </row>
    <row r="2452">
      <c r="A2452" s="7" t="n">
        <v>153101</v>
      </c>
      <c r="B2452" s="10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1" t="n">
        <v>46</v>
      </c>
      <c r="G2452" s="11" t="n">
        <v>46</v>
      </c>
      <c r="H2452" s="8" t="n">
        <v>9.02</v>
      </c>
      <c r="I2452" s="8" t="n">
        <v>8.399100000000001</v>
      </c>
      <c r="J2452" s="8" t="n"/>
      <c r="K2452" s="7" t="inlineStr">
        <is>
          <t>SEM COTAÇÃO</t>
        </is>
      </c>
      <c r="L2452" s="8" t="n"/>
      <c r="M2452" s="12" t="n"/>
      <c r="N2452" s="7" t="inlineStr"/>
      <c r="O2452" s="7" t="inlineStr"/>
    </row>
    <row r="2453">
      <c r="A2453" s="7" t="n">
        <v>594881</v>
      </c>
      <c r="B2453" s="10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1" t="n">
        <v>2</v>
      </c>
      <c r="G2453" s="11" t="n">
        <v>2</v>
      </c>
      <c r="H2453" s="8" t="n">
        <v>90.756</v>
      </c>
      <c r="I2453" s="8" t="n">
        <v>90.756</v>
      </c>
      <c r="J2453" s="8" t="n"/>
      <c r="K2453" s="7" t="inlineStr">
        <is>
          <t>SEM COTAÇÃO</t>
        </is>
      </c>
      <c r="L2453" s="8" t="n"/>
      <c r="M2453" s="12" t="n"/>
      <c r="N2453" s="7" t="inlineStr"/>
      <c r="O2453" s="7" t="inlineStr"/>
    </row>
    <row r="2454">
      <c r="A2454" s="7" t="n">
        <v>594891</v>
      </c>
      <c r="B2454" s="10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1" t="n">
        <v>3</v>
      </c>
      <c r="G2454" s="11" t="n">
        <v>3</v>
      </c>
      <c r="H2454" s="8" t="n">
        <v>130.26</v>
      </c>
      <c r="I2454" s="8" t="n">
        <v>130.26</v>
      </c>
      <c r="J2454" s="8" t="n"/>
      <c r="K2454" s="7" t="inlineStr">
        <is>
          <t>SEM COTAÇÃO</t>
        </is>
      </c>
      <c r="L2454" s="8" t="n"/>
      <c r="M2454" s="12" t="n"/>
      <c r="N2454" s="7" t="inlineStr"/>
      <c r="O2454" s="7" t="inlineStr"/>
    </row>
    <row r="2455">
      <c r="A2455" s="7" t="n">
        <v>389621</v>
      </c>
      <c r="B2455" s="10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1" t="n">
        <v>3</v>
      </c>
      <c r="G2455" s="11" t="n">
        <v>3</v>
      </c>
      <c r="H2455" s="8" t="n">
        <v>46.29</v>
      </c>
      <c r="I2455" s="8" t="n">
        <v>39.0771</v>
      </c>
      <c r="J2455" s="8" t="n"/>
      <c r="K2455" s="7" t="inlineStr">
        <is>
          <t>SEM COTAÇÃO</t>
        </is>
      </c>
      <c r="L2455" s="8" t="n"/>
      <c r="M2455" s="12" t="n"/>
      <c r="N2455" s="7" t="inlineStr"/>
      <c r="O2455" s="7" t="inlineStr"/>
    </row>
    <row r="2456">
      <c r="A2456" s="7" t="n">
        <v>587981</v>
      </c>
      <c r="B2456" s="10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1" t="n">
        <v>2</v>
      </c>
      <c r="G2456" s="11" t="n">
        <v>2</v>
      </c>
      <c r="H2456" s="8" t="n">
        <v>6.23</v>
      </c>
      <c r="I2456" s="8" t="n">
        <v>6.23</v>
      </c>
      <c r="J2456" s="8" t="n"/>
      <c r="K2456" s="7" t="inlineStr">
        <is>
          <t>SEM COTAÇÃO</t>
        </is>
      </c>
      <c r="L2456" s="8" t="n"/>
      <c r="M2456" s="12" t="n"/>
      <c r="N2456" s="7" t="inlineStr"/>
      <c r="O2456" s="7" t="inlineStr"/>
    </row>
    <row r="2457">
      <c r="A2457" s="7" t="n">
        <v>592501</v>
      </c>
      <c r="B2457" s="10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1" t="n">
        <v>1</v>
      </c>
      <c r="G2457" s="11" t="n">
        <v>1</v>
      </c>
      <c r="H2457" s="8" t="n">
        <v>6.3</v>
      </c>
      <c r="I2457" s="8" t="n">
        <v>6.3</v>
      </c>
      <c r="J2457" s="8" t="n"/>
      <c r="K2457" s="7" t="inlineStr">
        <is>
          <t>SEM COTAÇÃO</t>
        </is>
      </c>
      <c r="L2457" s="8" t="n"/>
      <c r="M2457" s="12" t="n"/>
      <c r="N2457" s="7" t="inlineStr"/>
      <c r="O2457" s="7" t="inlineStr"/>
    </row>
    <row r="2458">
      <c r="A2458" s="7" t="n">
        <v>153041</v>
      </c>
      <c r="B2458" s="10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1" t="n">
        <v>2</v>
      </c>
      <c r="G2458" s="11" t="n">
        <v>2</v>
      </c>
      <c r="H2458" s="8" t="n">
        <v>2.02</v>
      </c>
      <c r="I2458" s="8" t="n">
        <v>2.02</v>
      </c>
      <c r="J2458" s="13" t="n">
        <v>2.08</v>
      </c>
      <c r="K2458" s="7" t="inlineStr">
        <is>
          <t>DIMEC</t>
        </is>
      </c>
      <c r="L2458" s="8" t="n">
        <v>2.08</v>
      </c>
      <c r="M2458" s="12">
        <f>L2458/H2458-1</f>
        <v/>
      </c>
      <c r="N2458" s="14" t="inlineStr">
        <is>
          <t>ACIMA +3.0%</t>
        </is>
      </c>
      <c r="O2458" s="7" t="inlineStr"/>
    </row>
    <row r="2459">
      <c r="A2459" s="7" t="n">
        <v>630321</v>
      </c>
      <c r="B2459" s="10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1" t="n">
        <v>11</v>
      </c>
      <c r="G2459" s="11" t="n">
        <v>11</v>
      </c>
      <c r="H2459" s="8" t="n">
        <v>14.56</v>
      </c>
      <c r="I2459" s="8" t="n">
        <v>14.56</v>
      </c>
      <c r="J2459" s="13" t="n">
        <v>15.46</v>
      </c>
      <c r="K2459" s="7" t="inlineStr">
        <is>
          <t>DIMEC</t>
        </is>
      </c>
      <c r="L2459" s="8" t="n">
        <v>15.46</v>
      </c>
      <c r="M2459" s="12">
        <f>L2459/H2459-1</f>
        <v/>
      </c>
      <c r="N2459" s="14" t="inlineStr">
        <is>
          <t>ACIMA +6.2%</t>
        </is>
      </c>
      <c r="O2459" s="7" t="inlineStr"/>
    </row>
    <row r="2460">
      <c r="A2460" s="7" t="n">
        <v>630311</v>
      </c>
      <c r="B2460" s="10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1" t="n">
        <v>7</v>
      </c>
      <c r="G2460" s="11" t="n">
        <v>7</v>
      </c>
      <c r="H2460" s="8" t="n">
        <v>7.32</v>
      </c>
      <c r="I2460" s="8" t="n">
        <v>7.32</v>
      </c>
      <c r="J2460" s="13" t="n">
        <v>7.85</v>
      </c>
      <c r="K2460" s="7" t="inlineStr">
        <is>
          <t>DIMEC</t>
        </is>
      </c>
      <c r="L2460" s="8" t="n">
        <v>7.85</v>
      </c>
      <c r="M2460" s="12">
        <f>L2460/H2460-1</f>
        <v/>
      </c>
      <c r="N2460" s="14" t="inlineStr">
        <is>
          <t>ACIMA +7.2%</t>
        </is>
      </c>
      <c r="O2460" s="7" t="inlineStr"/>
    </row>
    <row r="2461">
      <c r="A2461" s="7" t="n">
        <v>364281</v>
      </c>
      <c r="B2461" s="10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1" t="n">
        <v>12</v>
      </c>
      <c r="G2461" s="11" t="n">
        <v>12</v>
      </c>
      <c r="H2461" s="8" t="n">
        <v>12.02</v>
      </c>
      <c r="I2461" s="8" t="n">
        <v>10.97</v>
      </c>
      <c r="J2461" s="8" t="n"/>
      <c r="K2461" s="7" t="inlineStr">
        <is>
          <t>SEM COTAÇÃO</t>
        </is>
      </c>
      <c r="L2461" s="8" t="n"/>
      <c r="M2461" s="12" t="n"/>
      <c r="N2461" s="7" t="inlineStr"/>
      <c r="O2461" s="7" t="inlineStr"/>
    </row>
    <row r="2462">
      <c r="A2462" s="7" t="n">
        <v>706701</v>
      </c>
      <c r="B2462" s="10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1" t="n">
        <v>8</v>
      </c>
      <c r="G2462" s="11" t="n">
        <v>8</v>
      </c>
      <c r="H2462" s="8" t="n">
        <v>8.210000000000001</v>
      </c>
      <c r="I2462" s="8" t="n">
        <v>8.210000000000001</v>
      </c>
      <c r="J2462" s="8" t="n"/>
      <c r="K2462" s="7" t="inlineStr">
        <is>
          <t>SEM COTAÇÃO</t>
        </is>
      </c>
      <c r="L2462" s="8" t="n"/>
      <c r="M2462" s="12" t="n"/>
      <c r="N2462" s="7" t="inlineStr"/>
      <c r="O2462" s="7" t="inlineStr"/>
    </row>
    <row r="2463">
      <c r="A2463" s="7" t="n">
        <v>667821</v>
      </c>
      <c r="B2463" s="10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1" t="n">
        <v>16</v>
      </c>
      <c r="G2463" s="11" t="n">
        <v>16</v>
      </c>
      <c r="H2463" s="8" t="n">
        <v>1.98</v>
      </c>
      <c r="I2463" s="8" t="n">
        <v>1.98</v>
      </c>
      <c r="J2463" s="8" t="n"/>
      <c r="K2463" s="7" t="inlineStr">
        <is>
          <t>SEM COTAÇÃO</t>
        </is>
      </c>
      <c r="L2463" s="8" t="n"/>
      <c r="M2463" s="12" t="n"/>
      <c r="N2463" s="7" t="inlineStr"/>
      <c r="O2463" s="7" t="inlineStr"/>
    </row>
    <row r="2464">
      <c r="A2464" s="7" t="n">
        <v>675551</v>
      </c>
      <c r="B2464" s="10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1" t="n">
        <v>2</v>
      </c>
      <c r="G2464" s="11" t="n">
        <v>15</v>
      </c>
      <c r="H2464" s="8" t="n">
        <v>2.25</v>
      </c>
      <c r="I2464" s="8" t="n">
        <v>2.25</v>
      </c>
      <c r="J2464" s="8" t="n"/>
      <c r="K2464" s="7" t="inlineStr">
        <is>
          <t>SEM COTAÇÃO</t>
        </is>
      </c>
      <c r="L2464" s="8" t="n"/>
      <c r="M2464" s="12" t="n"/>
      <c r="N2464" s="7" t="inlineStr"/>
      <c r="O2464" s="7" t="inlineStr"/>
    </row>
    <row r="2465">
      <c r="A2465" s="7" t="n">
        <v>692801</v>
      </c>
      <c r="B2465" s="10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1" t="n">
        <v>6</v>
      </c>
      <c r="G2465" s="11" t="n">
        <v>6</v>
      </c>
      <c r="H2465" s="8" t="n">
        <v>34.11</v>
      </c>
      <c r="I2465" s="8" t="n">
        <v>32.21</v>
      </c>
      <c r="J2465" s="8" t="n"/>
      <c r="K2465" s="7" t="inlineStr">
        <is>
          <t>SEM COTAÇÃO</t>
        </is>
      </c>
      <c r="L2465" s="8" t="n"/>
      <c r="M2465" s="12" t="n"/>
      <c r="N2465" s="7" t="inlineStr"/>
      <c r="O2465" s="7" t="inlineStr"/>
    </row>
    <row r="2466">
      <c r="A2466" s="7" t="n">
        <v>692901</v>
      </c>
      <c r="B2466" s="10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1" t="n">
        <v>6</v>
      </c>
      <c r="G2466" s="11" t="n">
        <v>6</v>
      </c>
      <c r="H2466" s="8" t="n">
        <v>34.11</v>
      </c>
      <c r="I2466" s="8" t="n">
        <v>32.21</v>
      </c>
      <c r="J2466" s="8" t="n"/>
      <c r="K2466" s="7" t="inlineStr">
        <is>
          <t>SEM COTAÇÃO</t>
        </is>
      </c>
      <c r="L2466" s="8" t="n"/>
      <c r="M2466" s="12" t="n"/>
      <c r="N2466" s="7" t="inlineStr"/>
      <c r="O2466" s="7" t="inlineStr"/>
    </row>
    <row r="2467">
      <c r="A2467" s="7" t="n">
        <v>668171</v>
      </c>
      <c r="B2467" s="10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1" t="n">
        <v>4</v>
      </c>
      <c r="G2467" s="11" t="n">
        <v>4</v>
      </c>
      <c r="H2467" s="8" t="n">
        <v>8.17</v>
      </c>
      <c r="I2467" s="8" t="n">
        <v>8.17</v>
      </c>
      <c r="J2467" s="8" t="n"/>
      <c r="K2467" s="7" t="inlineStr">
        <is>
          <t>SEM COTAÇÃO</t>
        </is>
      </c>
      <c r="L2467" s="8" t="n"/>
      <c r="M2467" s="12" t="n"/>
      <c r="N2467" s="7" t="inlineStr"/>
      <c r="O2467" s="7" t="inlineStr"/>
    </row>
    <row r="2468">
      <c r="A2468" s="7" t="n">
        <v>668191</v>
      </c>
      <c r="B2468" s="10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1" t="n">
        <v>6</v>
      </c>
      <c r="G2468" s="11" t="n">
        <v>6</v>
      </c>
      <c r="H2468" s="8" t="n">
        <v>8.17</v>
      </c>
      <c r="I2468" s="8" t="n">
        <v>8.17</v>
      </c>
      <c r="J2468" s="8" t="n"/>
      <c r="K2468" s="7" t="inlineStr">
        <is>
          <t>SEM COTAÇÃO</t>
        </is>
      </c>
      <c r="L2468" s="8" t="n"/>
      <c r="M2468" s="12" t="n"/>
      <c r="N2468" s="7" t="inlineStr"/>
      <c r="O2468" s="7" t="inlineStr"/>
    </row>
    <row r="2469">
      <c r="A2469" s="7" t="n">
        <v>693301</v>
      </c>
      <c r="B2469" s="10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1" t="n">
        <v>5</v>
      </c>
      <c r="G2469" s="11" t="n">
        <v>5</v>
      </c>
      <c r="H2469" s="8" t="n">
        <v>4.56</v>
      </c>
      <c r="I2469" s="8" t="n">
        <v>4.56</v>
      </c>
      <c r="J2469" s="8" t="n"/>
      <c r="K2469" s="7" t="inlineStr">
        <is>
          <t>SEM COTAÇÃO</t>
        </is>
      </c>
      <c r="L2469" s="8" t="n"/>
      <c r="M2469" s="12" t="n"/>
      <c r="N2469" s="7" t="inlineStr"/>
      <c r="O2469" s="7" t="inlineStr"/>
    </row>
    <row r="2470">
      <c r="A2470" s="7" t="n">
        <v>693401</v>
      </c>
      <c r="B2470" s="10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1" t="n">
        <v>5</v>
      </c>
      <c r="G2470" s="11" t="n">
        <v>5</v>
      </c>
      <c r="H2470" s="8" t="n">
        <v>4.56</v>
      </c>
      <c r="I2470" s="8" t="n">
        <v>4.56</v>
      </c>
      <c r="J2470" s="8" t="n"/>
      <c r="K2470" s="7" t="inlineStr">
        <is>
          <t>SEM COTAÇÃO</t>
        </is>
      </c>
      <c r="L2470" s="8" t="n"/>
      <c r="M2470" s="12" t="n"/>
      <c r="N2470" s="7" t="inlineStr"/>
      <c r="O2470" s="7" t="inlineStr"/>
    </row>
    <row r="2471">
      <c r="A2471" s="7" t="n">
        <v>692701</v>
      </c>
      <c r="B2471" s="10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1" t="n">
        <v>14</v>
      </c>
      <c r="G2471" s="11" t="n">
        <v>14</v>
      </c>
      <c r="H2471" s="8" t="n">
        <v>4.99</v>
      </c>
      <c r="I2471" s="8" t="n">
        <v>4.99</v>
      </c>
      <c r="J2471" s="8" t="n"/>
      <c r="K2471" s="7" t="inlineStr">
        <is>
          <t>SEM COTAÇÃO</t>
        </is>
      </c>
      <c r="L2471" s="8" t="n"/>
      <c r="M2471" s="12" t="n"/>
      <c r="N2471" s="7" t="inlineStr"/>
      <c r="O2471" s="7" t="inlineStr"/>
    </row>
    <row r="2472">
      <c r="A2472" s="7" t="n">
        <v>655191</v>
      </c>
      <c r="B2472" s="10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1" t="n">
        <v>8</v>
      </c>
      <c r="G2472" s="11" t="n">
        <v>8</v>
      </c>
      <c r="H2472" s="8" t="n">
        <v>6.48</v>
      </c>
      <c r="I2472" s="8" t="n">
        <v>6.48</v>
      </c>
      <c r="J2472" s="8" t="n"/>
      <c r="K2472" s="7" t="inlineStr">
        <is>
          <t>SEM COTAÇÃO</t>
        </is>
      </c>
      <c r="L2472" s="8" t="n"/>
      <c r="M2472" s="12" t="n"/>
      <c r="N2472" s="7" t="inlineStr"/>
      <c r="O2472" s="7" t="inlineStr"/>
    </row>
    <row r="2473">
      <c r="A2473" s="7" t="n">
        <v>673831</v>
      </c>
      <c r="B2473" s="10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1" t="n">
        <v>1</v>
      </c>
      <c r="G2473" s="11" t="n">
        <v>1</v>
      </c>
      <c r="H2473" s="8" t="n"/>
      <c r="I2473" s="8" t="n"/>
      <c r="J2473" s="8" t="n"/>
      <c r="K2473" s="7" t="inlineStr">
        <is>
          <t>SEM COTAÇÃO</t>
        </is>
      </c>
      <c r="L2473" s="8" t="n"/>
      <c r="M2473" s="12" t="n"/>
      <c r="N2473" s="7" t="inlineStr"/>
      <c r="O2473" s="7" t="inlineStr"/>
    </row>
    <row r="2474">
      <c r="A2474" s="7" t="n">
        <v>656191</v>
      </c>
      <c r="B2474" s="10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1" t="n">
        <v>1</v>
      </c>
      <c r="G2474" s="11" t="n">
        <v>1</v>
      </c>
      <c r="H2474" s="8" t="n">
        <v>4.1</v>
      </c>
      <c r="I2474" s="8" t="n">
        <v>4.1</v>
      </c>
      <c r="J2474" s="8" t="n"/>
      <c r="K2474" s="7" t="inlineStr">
        <is>
          <t>SEM COTAÇÃO</t>
        </is>
      </c>
      <c r="L2474" s="8" t="n"/>
      <c r="M2474" s="12" t="n"/>
      <c r="N2474" s="7" t="inlineStr"/>
      <c r="O2474" s="7" t="inlineStr"/>
    </row>
    <row r="2475">
      <c r="A2475" s="7" t="n">
        <v>656291</v>
      </c>
      <c r="B2475" s="10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1" t="n">
        <v>1</v>
      </c>
      <c r="G2475" s="11" t="n">
        <v>1</v>
      </c>
      <c r="H2475" s="8" t="n">
        <v>27.49</v>
      </c>
      <c r="I2475" s="8" t="n">
        <v>27.49</v>
      </c>
      <c r="J2475" s="8" t="n"/>
      <c r="K2475" s="7" t="inlineStr">
        <is>
          <t>SEM COTAÇÃO</t>
        </is>
      </c>
      <c r="L2475" s="8" t="n"/>
      <c r="M2475" s="12" t="n"/>
      <c r="N2475" s="7" t="inlineStr"/>
      <c r="O2475" s="7" t="inlineStr"/>
    </row>
    <row r="2476">
      <c r="A2476" s="7" t="n">
        <v>656261</v>
      </c>
      <c r="B2476" s="10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1" t="n">
        <v>4</v>
      </c>
      <c r="G2476" s="11" t="n">
        <v>4</v>
      </c>
      <c r="H2476" s="8" t="n">
        <v>9.859999999999999</v>
      </c>
      <c r="I2476" s="8" t="n">
        <v>9.859999999999999</v>
      </c>
      <c r="J2476" s="8" t="n"/>
      <c r="K2476" s="7" t="inlineStr">
        <is>
          <t>SEM COTAÇÃO</t>
        </is>
      </c>
      <c r="L2476" s="8" t="n"/>
      <c r="M2476" s="12" t="n"/>
      <c r="N2476" s="7" t="inlineStr"/>
      <c r="O2476" s="7" t="inlineStr"/>
    </row>
    <row r="2477">
      <c r="A2477" s="7" t="n">
        <v>668051</v>
      </c>
      <c r="B2477" s="10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1" t="n">
        <v>1</v>
      </c>
      <c r="G2477" s="11" t="n">
        <v>1</v>
      </c>
      <c r="H2477" s="8" t="n">
        <v>9.52</v>
      </c>
      <c r="I2477" s="8" t="n">
        <v>9.52</v>
      </c>
      <c r="J2477" s="8" t="n"/>
      <c r="K2477" s="7" t="inlineStr">
        <is>
          <t>SEM COTAÇÃO</t>
        </is>
      </c>
      <c r="L2477" s="8" t="n"/>
      <c r="M2477" s="12" t="n"/>
      <c r="N2477" s="7" t="inlineStr"/>
      <c r="O2477" s="7" t="inlineStr"/>
    </row>
    <row r="2478">
      <c r="A2478" s="7" t="n">
        <v>656401</v>
      </c>
      <c r="B2478" s="10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1" t="n">
        <v>1</v>
      </c>
      <c r="G2478" s="11" t="n">
        <v>1</v>
      </c>
      <c r="H2478" s="8" t="n">
        <v>19.04</v>
      </c>
      <c r="I2478" s="8" t="n">
        <v>19.04</v>
      </c>
      <c r="J2478" s="8" t="n"/>
      <c r="K2478" s="7" t="inlineStr">
        <is>
          <t>SEM COTAÇÃO</t>
        </is>
      </c>
      <c r="L2478" s="8" t="n"/>
      <c r="M2478" s="12" t="n"/>
      <c r="N2478" s="7" t="inlineStr"/>
      <c r="O2478" s="7" t="inlineStr"/>
    </row>
    <row r="2479">
      <c r="A2479" s="7" t="n">
        <v>668131</v>
      </c>
      <c r="B2479" s="10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1" t="n">
        <v>4</v>
      </c>
      <c r="G2479" s="11" t="n">
        <v>4</v>
      </c>
      <c r="H2479" s="8" t="n">
        <v>6.51</v>
      </c>
      <c r="I2479" s="8" t="n">
        <v>5.91</v>
      </c>
      <c r="J2479" s="8" t="n"/>
      <c r="K2479" s="7" t="inlineStr">
        <is>
          <t>SEM COTAÇÃO</t>
        </is>
      </c>
      <c r="L2479" s="8" t="n"/>
      <c r="M2479" s="12" t="n"/>
      <c r="N2479" s="7" t="inlineStr"/>
      <c r="O2479" s="7" t="inlineStr"/>
    </row>
    <row r="2480">
      <c r="A2480" s="7" t="n">
        <v>641571</v>
      </c>
      <c r="B2480" s="10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1" t="n">
        <v>1</v>
      </c>
      <c r="G2480" s="11" t="n">
        <v>1</v>
      </c>
      <c r="H2480" s="8" t="n">
        <v>2.2675</v>
      </c>
      <c r="I2480" s="8" t="n">
        <v>2.2675</v>
      </c>
      <c r="J2480" s="8" t="n"/>
      <c r="K2480" s="7" t="inlineStr">
        <is>
          <t>SEM COTAÇÃO</t>
        </is>
      </c>
      <c r="L2480" s="8" t="n"/>
      <c r="M2480" s="12" t="n"/>
      <c r="N2480" s="7" t="inlineStr"/>
      <c r="O2480" s="7" t="inlineStr"/>
    </row>
    <row r="2481">
      <c r="A2481" s="7" t="n">
        <v>667991</v>
      </c>
      <c r="B2481" s="10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1" t="n">
        <v>1</v>
      </c>
      <c r="G2481" s="11" t="n">
        <v>1</v>
      </c>
      <c r="H2481" s="8" t="n">
        <v>14.57</v>
      </c>
      <c r="I2481" s="8" t="n">
        <v>14.57</v>
      </c>
      <c r="J2481" s="8" t="n"/>
      <c r="K2481" s="7" t="inlineStr">
        <is>
          <t>SEM COTAÇÃO</t>
        </is>
      </c>
      <c r="L2481" s="8" t="n"/>
      <c r="M2481" s="12" t="n"/>
      <c r="N2481" s="7" t="inlineStr"/>
      <c r="O2481" s="7" t="inlineStr"/>
    </row>
    <row r="2482">
      <c r="A2482" s="7" t="n">
        <v>305921</v>
      </c>
      <c r="B2482" s="10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1" t="n">
        <v>1</v>
      </c>
      <c r="G2482" s="11" t="n">
        <v>1</v>
      </c>
      <c r="H2482" s="8" t="n">
        <v>31.09</v>
      </c>
      <c r="I2482" s="8" t="n">
        <v>31.09</v>
      </c>
      <c r="J2482" s="13" t="n">
        <v>36.93</v>
      </c>
      <c r="K2482" s="7" t="inlineStr">
        <is>
          <t>DIMEC</t>
        </is>
      </c>
      <c r="L2482" s="8" t="n">
        <v>36.93</v>
      </c>
      <c r="M2482" s="12">
        <f>L2482/H2482-1</f>
        <v/>
      </c>
      <c r="N2482" s="14" t="inlineStr">
        <is>
          <t>ACIMA +18.8%</t>
        </is>
      </c>
      <c r="O2482" s="7" t="inlineStr"/>
    </row>
    <row r="2483">
      <c r="A2483" s="7" t="n">
        <v>306601</v>
      </c>
      <c r="B2483" s="10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1" t="n">
        <v>9</v>
      </c>
      <c r="G2483" s="11" t="n">
        <v>9</v>
      </c>
      <c r="H2483" s="8" t="n">
        <v>17.49</v>
      </c>
      <c r="I2483" s="8" t="n">
        <v>17.49</v>
      </c>
      <c r="J2483" s="8" t="n"/>
      <c r="K2483" s="7" t="inlineStr">
        <is>
          <t>SEM COTAÇÃO</t>
        </is>
      </c>
      <c r="L2483" s="8" t="n"/>
      <c r="M2483" s="12" t="n"/>
      <c r="N2483" s="7" t="inlineStr"/>
      <c r="O2483" s="7" t="inlineStr"/>
    </row>
    <row r="2484">
      <c r="A2484" s="7" t="n">
        <v>240081</v>
      </c>
      <c r="B2484" s="10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1" t="n">
        <v>1</v>
      </c>
      <c r="G2484" s="11" t="n">
        <v>1</v>
      </c>
      <c r="H2484" s="8" t="n">
        <v>58.84</v>
      </c>
      <c r="I2484" s="8" t="n">
        <v>54.58</v>
      </c>
      <c r="J2484" s="8" t="n"/>
      <c r="K2484" s="7" t="inlineStr">
        <is>
          <t>SEM COTAÇÃO</t>
        </is>
      </c>
      <c r="L2484" s="8" t="n"/>
      <c r="M2484" s="12" t="n"/>
      <c r="N2484" s="7" t="inlineStr"/>
      <c r="O2484" s="7" t="inlineStr"/>
    </row>
    <row r="2485">
      <c r="A2485" s="7" t="n">
        <v>14903</v>
      </c>
      <c r="B2485" s="10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1" t="n">
        <v>12</v>
      </c>
      <c r="G2485" s="11" t="n">
        <v>12</v>
      </c>
      <c r="H2485" s="8" t="n">
        <v>1.35</v>
      </c>
      <c r="I2485" s="8" t="n">
        <v>1.35</v>
      </c>
      <c r="J2485" s="8" t="n"/>
      <c r="K2485" s="7" t="inlineStr">
        <is>
          <t>SEM COTAÇÃO</t>
        </is>
      </c>
      <c r="L2485" s="8" t="n"/>
      <c r="M2485" s="12" t="n"/>
      <c r="N2485" s="7" t="inlineStr"/>
      <c r="O2485" s="7" t="inlineStr"/>
    </row>
    <row r="2486">
      <c r="A2486" s="7" t="n">
        <v>237681</v>
      </c>
      <c r="B2486" s="10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1" t="n">
        <v>1</v>
      </c>
      <c r="G2486" s="11" t="n">
        <v>1</v>
      </c>
      <c r="H2486" s="8" t="n">
        <v>42.1167</v>
      </c>
      <c r="I2486" s="8" t="n">
        <v>38.5967</v>
      </c>
      <c r="J2486" s="8" t="n"/>
      <c r="K2486" s="7" t="inlineStr">
        <is>
          <t>SEM COTAÇÃO</t>
        </is>
      </c>
      <c r="L2486" s="8" t="n"/>
      <c r="M2486" s="12" t="n"/>
      <c r="N2486" s="7" t="inlineStr"/>
      <c r="O2486" s="7" t="inlineStr"/>
    </row>
    <row r="2487">
      <c r="A2487" s="7" t="n">
        <v>654851</v>
      </c>
      <c r="B2487" s="10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1" t="n">
        <v>2</v>
      </c>
      <c r="G2487" s="11" t="n">
        <v>2</v>
      </c>
      <c r="H2487" s="8" t="n">
        <v>8.65</v>
      </c>
      <c r="I2487" s="8" t="n">
        <v>8.380000000000001</v>
      </c>
      <c r="J2487" s="8" t="n"/>
      <c r="K2487" s="7" t="inlineStr">
        <is>
          <t>SEM COTAÇÃO</t>
        </is>
      </c>
      <c r="L2487" s="8" t="n"/>
      <c r="M2487" s="12" t="n"/>
      <c r="N2487" s="7" t="inlineStr"/>
      <c r="O2487" s="7" t="inlineStr"/>
    </row>
    <row r="2488">
      <c r="A2488" s="7" t="n">
        <v>1184</v>
      </c>
      <c r="B2488" s="10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1" t="n">
        <v>13</v>
      </c>
      <c r="G2488" s="11" t="n">
        <v>13</v>
      </c>
      <c r="H2488" s="8" t="n">
        <v>8.99</v>
      </c>
      <c r="I2488" s="8" t="n">
        <v>8.99</v>
      </c>
      <c r="J2488" s="8" t="n"/>
      <c r="K2488" s="7" t="inlineStr">
        <is>
          <t>SEM COTAÇÃO</t>
        </is>
      </c>
      <c r="L2488" s="8" t="n"/>
      <c r="M2488" s="12" t="n"/>
      <c r="N2488" s="7" t="inlineStr"/>
      <c r="O2488" s="7" t="inlineStr"/>
    </row>
    <row r="2489">
      <c r="A2489" s="7" t="n">
        <v>654861</v>
      </c>
      <c r="B2489" s="10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1" t="n">
        <v>1</v>
      </c>
      <c r="G2489" s="11" t="n">
        <v>1</v>
      </c>
      <c r="H2489" s="8" t="n">
        <v>13.83</v>
      </c>
      <c r="I2489" s="8" t="n">
        <v>13.83</v>
      </c>
      <c r="J2489" s="8" t="n"/>
      <c r="K2489" s="7" t="inlineStr">
        <is>
          <t>SEM COTAÇÃO</t>
        </is>
      </c>
      <c r="L2489" s="8" t="n"/>
      <c r="M2489" s="12" t="n"/>
      <c r="N2489" s="7" t="inlineStr"/>
      <c r="O2489" s="7" t="inlineStr"/>
    </row>
    <row r="2490">
      <c r="A2490" s="7" t="n">
        <v>649221</v>
      </c>
      <c r="B2490" s="10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1" t="n">
        <v>2</v>
      </c>
      <c r="G2490" s="11" t="n">
        <v>2</v>
      </c>
      <c r="H2490" s="8" t="n">
        <v>5.055</v>
      </c>
      <c r="I2490" s="8" t="n">
        <v>4.8117</v>
      </c>
      <c r="J2490" s="8" t="n"/>
      <c r="K2490" s="7" t="inlineStr">
        <is>
          <t>SEM COTAÇÃO</t>
        </is>
      </c>
      <c r="L2490" s="8" t="n"/>
      <c r="M2490" s="12" t="n"/>
      <c r="N2490" s="7" t="inlineStr"/>
      <c r="O2490" s="7" t="inlineStr"/>
    </row>
    <row r="2491">
      <c r="A2491" s="7" t="n">
        <v>42603</v>
      </c>
      <c r="B2491" s="10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1" t="n">
        <v>1</v>
      </c>
      <c r="G2491" s="11" t="n">
        <v>1</v>
      </c>
      <c r="H2491" s="8" t="n">
        <v>13.7433</v>
      </c>
      <c r="I2491" s="8" t="n">
        <v>13.7433</v>
      </c>
      <c r="J2491" s="8" t="n"/>
      <c r="K2491" s="7" t="inlineStr">
        <is>
          <t>SEM COTAÇÃO</t>
        </is>
      </c>
      <c r="L2491" s="8" t="n"/>
      <c r="M2491" s="12" t="n"/>
      <c r="N2491" s="7" t="inlineStr"/>
      <c r="O2491" s="7" t="inlineStr"/>
    </row>
    <row r="2492">
      <c r="A2492" s="7" t="n">
        <v>607411</v>
      </c>
      <c r="B2492" s="10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1" t="n">
        <v>10</v>
      </c>
      <c r="G2492" s="11" t="n">
        <v>10</v>
      </c>
      <c r="H2492" s="8" t="n">
        <v>1.68</v>
      </c>
      <c r="I2492" s="8" t="n">
        <v>1.68</v>
      </c>
      <c r="J2492" s="8" t="n"/>
      <c r="K2492" s="7" t="inlineStr">
        <is>
          <t>SEM COTAÇÃO</t>
        </is>
      </c>
      <c r="L2492" s="8" t="n"/>
      <c r="M2492" s="12" t="n"/>
      <c r="N2492" s="7" t="inlineStr"/>
      <c r="O2492" s="7" t="inlineStr"/>
    </row>
    <row r="2493">
      <c r="A2493" s="7" t="n">
        <v>615081</v>
      </c>
      <c r="B2493" s="10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1" t="n">
        <v>7</v>
      </c>
      <c r="G2493" s="11" t="n">
        <v>7</v>
      </c>
      <c r="H2493" s="8" t="n">
        <v>1.68</v>
      </c>
      <c r="I2493" s="8" t="n">
        <v>1.68</v>
      </c>
      <c r="J2493" s="8" t="n"/>
      <c r="K2493" s="7" t="inlineStr">
        <is>
          <t>SEM COTAÇÃO</t>
        </is>
      </c>
      <c r="L2493" s="8" t="n"/>
      <c r="M2493" s="12" t="n"/>
      <c r="N2493" s="7" t="inlineStr"/>
      <c r="O2493" s="7" t="inlineStr"/>
    </row>
    <row r="2494">
      <c r="A2494" s="7" t="n">
        <v>655071</v>
      </c>
      <c r="B2494" s="10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1" t="n">
        <v>1</v>
      </c>
      <c r="G2494" s="11" t="n">
        <v>1</v>
      </c>
      <c r="H2494" s="8" t="n">
        <v>24.94</v>
      </c>
      <c r="I2494" s="8" t="n">
        <v>24.94</v>
      </c>
      <c r="J2494" s="8" t="n"/>
      <c r="K2494" s="7" t="inlineStr">
        <is>
          <t>SEM COTAÇÃO</t>
        </is>
      </c>
      <c r="L2494" s="8" t="n"/>
      <c r="M2494" s="12" t="n"/>
      <c r="N2494" s="7" t="inlineStr"/>
      <c r="O2494" s="7" t="inlineStr"/>
    </row>
    <row r="2495">
      <c r="A2495" s="7" t="n">
        <v>546681</v>
      </c>
      <c r="B2495" s="10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1" t="n">
        <v>8</v>
      </c>
      <c r="G2495" s="11" t="n">
        <v>8</v>
      </c>
      <c r="H2495" s="8" t="n">
        <v>27.83</v>
      </c>
      <c r="I2495" s="8" t="n">
        <v>13.99</v>
      </c>
      <c r="J2495" s="8" t="n"/>
      <c r="K2495" s="7" t="inlineStr">
        <is>
          <t>SEM COTAÇÃO</t>
        </is>
      </c>
      <c r="L2495" s="8" t="n"/>
      <c r="M2495" s="12" t="n"/>
      <c r="N2495" s="7" t="inlineStr"/>
      <c r="O2495" s="7" t="inlineStr"/>
    </row>
    <row r="2496">
      <c r="A2496" s="7" t="n">
        <v>607011</v>
      </c>
      <c r="B2496" s="10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1" t="n">
        <v>3</v>
      </c>
      <c r="G2496" s="11" t="n">
        <v>3</v>
      </c>
      <c r="H2496" s="8" t="n">
        <v>26.72</v>
      </c>
      <c r="I2496" s="8" t="n">
        <v>24.29</v>
      </c>
      <c r="J2496" s="8" t="n"/>
      <c r="K2496" s="7" t="inlineStr">
        <is>
          <t>SEM COTAÇÃO</t>
        </is>
      </c>
      <c r="L2496" s="8" t="n"/>
      <c r="M2496" s="12" t="n"/>
      <c r="N2496" s="7" t="inlineStr"/>
      <c r="O2496" s="7" t="inlineStr"/>
    </row>
    <row r="2497">
      <c r="A2497" s="7" t="n">
        <v>630501</v>
      </c>
      <c r="B2497" s="10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1" t="n">
        <v>7</v>
      </c>
      <c r="G2497" s="11" t="n">
        <v>7</v>
      </c>
      <c r="H2497" s="8" t="n">
        <v>13.3</v>
      </c>
      <c r="I2497" s="8" t="n">
        <v>12.09</v>
      </c>
      <c r="J2497" s="8" t="n"/>
      <c r="K2497" s="7" t="inlineStr">
        <is>
          <t>SEM COTAÇÃO</t>
        </is>
      </c>
      <c r="L2497" s="8" t="n"/>
      <c r="M2497" s="12" t="n"/>
      <c r="N2497" s="7" t="inlineStr"/>
      <c r="O2497" s="7" t="inlineStr"/>
    </row>
    <row r="2498">
      <c r="A2498" s="7" t="n">
        <v>553601</v>
      </c>
      <c r="B2498" s="10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1" t="n">
        <v>13</v>
      </c>
      <c r="G2498" s="11" t="n">
        <v>13</v>
      </c>
      <c r="H2498" s="8" t="n">
        <v>6.59</v>
      </c>
      <c r="I2498" s="8" t="n">
        <v>2.99</v>
      </c>
      <c r="J2498" s="13" t="n">
        <v>5.67</v>
      </c>
      <c r="K2498" s="7" t="inlineStr">
        <is>
          <t>DIMEC</t>
        </is>
      </c>
      <c r="L2498" s="8" t="n">
        <v>5.67</v>
      </c>
      <c r="M2498" s="12">
        <f>L2498/H2498-1</f>
        <v/>
      </c>
      <c r="N2498" s="15" t="inlineStr">
        <is>
          <t>OK (≤ últ. compra)</t>
        </is>
      </c>
      <c r="O2498" s="7" t="inlineStr"/>
    </row>
    <row r="2499">
      <c r="A2499" s="7" t="n">
        <v>33</v>
      </c>
      <c r="B2499" s="10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1" t="n">
        <v>9</v>
      </c>
      <c r="G2499" s="11" t="n">
        <v>9</v>
      </c>
      <c r="H2499" s="8" t="n">
        <v>14.79</v>
      </c>
      <c r="I2499" s="8" t="n">
        <v>12.09</v>
      </c>
      <c r="J2499" s="8" t="n"/>
      <c r="K2499" s="7" t="inlineStr">
        <is>
          <t>SEM COTAÇÃO</t>
        </is>
      </c>
      <c r="L2499" s="8" t="n"/>
      <c r="M2499" s="12" t="n"/>
      <c r="N2499" s="7" t="inlineStr"/>
      <c r="O2499" s="7" t="inlineStr"/>
    </row>
    <row r="2500">
      <c r="A2500" s="7" t="n">
        <v>621221</v>
      </c>
      <c r="B2500" s="10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1" t="n">
        <v>7</v>
      </c>
      <c r="G2500" s="11" t="n">
        <v>7</v>
      </c>
      <c r="H2500" s="8" t="n">
        <v>14.06</v>
      </c>
      <c r="I2500" s="8" t="n">
        <v>12.09</v>
      </c>
      <c r="J2500" s="8" t="n"/>
      <c r="K2500" s="7" t="inlineStr">
        <is>
          <t>SEM COTAÇÃO</t>
        </is>
      </c>
      <c r="L2500" s="8" t="n"/>
      <c r="M2500" s="12" t="n"/>
      <c r="N2500" s="7" t="inlineStr"/>
      <c r="O2500" s="7" t="inlineStr"/>
    </row>
    <row r="2501">
      <c r="A2501" s="7" t="n">
        <v>657241</v>
      </c>
      <c r="B2501" s="10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1" t="n">
        <v>1</v>
      </c>
      <c r="G2501" s="11" t="n">
        <v>1</v>
      </c>
      <c r="H2501" s="8" t="n"/>
      <c r="I2501" s="8" t="n"/>
      <c r="J2501" s="8" t="n"/>
      <c r="K2501" s="7" t="inlineStr">
        <is>
          <t>SEM COTAÇÃO</t>
        </is>
      </c>
      <c r="L2501" s="8" t="n"/>
      <c r="M2501" s="12" t="n"/>
      <c r="N2501" s="7" t="inlineStr"/>
      <c r="O2501" s="7" t="inlineStr"/>
    </row>
    <row r="2502">
      <c r="A2502" s="7" t="n">
        <v>657261</v>
      </c>
      <c r="B2502" s="10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1" t="n">
        <v>1</v>
      </c>
      <c r="G2502" s="11" t="n">
        <v>1</v>
      </c>
      <c r="H2502" s="8" t="n"/>
      <c r="I2502" s="8" t="n"/>
      <c r="J2502" s="8" t="n"/>
      <c r="K2502" s="7" t="inlineStr">
        <is>
          <t>SEM COTAÇÃO</t>
        </is>
      </c>
      <c r="L2502" s="8" t="n"/>
      <c r="M2502" s="12" t="n"/>
      <c r="N2502" s="7" t="inlineStr"/>
      <c r="O2502" s="7" t="inlineStr"/>
    </row>
    <row r="2503">
      <c r="A2503" s="7" t="n">
        <v>1253</v>
      </c>
      <c r="B2503" s="10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1" t="n">
        <v>1</v>
      </c>
      <c r="G2503" s="11" t="n">
        <v>1</v>
      </c>
      <c r="H2503" s="8" t="n"/>
      <c r="I2503" s="8" t="n"/>
      <c r="J2503" s="8" t="n"/>
      <c r="K2503" s="7" t="inlineStr">
        <is>
          <t>SEM COTAÇÃO</t>
        </is>
      </c>
      <c r="L2503" s="8" t="n"/>
      <c r="M2503" s="12" t="n"/>
      <c r="N2503" s="7" t="inlineStr"/>
      <c r="O2503" s="7" t="inlineStr"/>
    </row>
    <row r="2504">
      <c r="A2504" s="7" t="n">
        <v>657251</v>
      </c>
      <c r="B2504" s="10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1" t="n">
        <v>1</v>
      </c>
      <c r="G2504" s="11" t="n">
        <v>1</v>
      </c>
      <c r="H2504" s="8" t="n"/>
      <c r="I2504" s="8" t="n"/>
      <c r="J2504" s="8" t="n"/>
      <c r="K2504" s="7" t="inlineStr">
        <is>
          <t>SEM COTAÇÃO</t>
        </is>
      </c>
      <c r="L2504" s="8" t="n"/>
      <c r="M2504" s="12" t="n"/>
      <c r="N2504" s="7" t="inlineStr"/>
      <c r="O2504" s="7" t="inlineStr"/>
    </row>
    <row r="2505">
      <c r="A2505" s="7" t="n">
        <v>666121</v>
      </c>
      <c r="B2505" s="10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1" t="n">
        <v>1</v>
      </c>
      <c r="G2505" s="11" t="n">
        <v>1</v>
      </c>
      <c r="H2505" s="8" t="n"/>
      <c r="I2505" s="8" t="n"/>
      <c r="J2505" s="8" t="n"/>
      <c r="K2505" s="7" t="inlineStr">
        <is>
          <t>SEM COTAÇÃO</t>
        </is>
      </c>
      <c r="L2505" s="8" t="n"/>
      <c r="M2505" s="12" t="n"/>
      <c r="N2505" s="7" t="inlineStr"/>
      <c r="O2505" s="7" t="inlineStr"/>
    </row>
    <row r="2506">
      <c r="A2506" s="7" t="n">
        <v>637531</v>
      </c>
      <c r="B2506" s="10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1" t="n">
        <v>3</v>
      </c>
      <c r="G2506" s="11" t="n">
        <v>3</v>
      </c>
      <c r="H2506" s="8" t="n">
        <v>18.53</v>
      </c>
      <c r="I2506" s="8" t="n">
        <v>18.53</v>
      </c>
      <c r="J2506" s="8" t="n"/>
      <c r="K2506" s="7" t="inlineStr">
        <is>
          <t>SEM COTAÇÃO</t>
        </is>
      </c>
      <c r="L2506" s="8" t="n"/>
      <c r="M2506" s="12" t="n"/>
      <c r="N2506" s="7" t="inlineStr"/>
      <c r="O2506" s="7" t="inlineStr"/>
    </row>
    <row r="2507">
      <c r="A2507" s="7" t="n">
        <v>400881</v>
      </c>
      <c r="B2507" s="10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1" t="n">
        <v>7</v>
      </c>
      <c r="G2507" s="11" t="n">
        <v>7</v>
      </c>
      <c r="H2507" s="8" t="n">
        <v>77.37</v>
      </c>
      <c r="I2507" s="8" t="n">
        <v>71.405</v>
      </c>
      <c r="J2507" s="8" t="n"/>
      <c r="K2507" s="7" t="inlineStr">
        <is>
          <t>SEM COTAÇÃO</t>
        </is>
      </c>
      <c r="L2507" s="8" t="n"/>
      <c r="M2507" s="12" t="n"/>
      <c r="N2507" s="7" t="inlineStr"/>
      <c r="O2507" s="7" t="inlineStr"/>
    </row>
    <row r="2508">
      <c r="A2508" s="7" t="n">
        <v>400901</v>
      </c>
      <c r="B2508" s="10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1" t="n">
        <v>1</v>
      </c>
      <c r="G2508" s="11" t="n">
        <v>1</v>
      </c>
      <c r="H2508" s="8" t="n">
        <v>128.35</v>
      </c>
      <c r="I2508" s="8" t="n">
        <v>111.97</v>
      </c>
      <c r="J2508" s="8" t="n"/>
      <c r="K2508" s="7" t="inlineStr">
        <is>
          <t>SEM COTAÇÃO</t>
        </is>
      </c>
      <c r="L2508" s="8" t="n"/>
      <c r="M2508" s="12" t="n"/>
      <c r="N2508" s="7" t="inlineStr"/>
      <c r="O2508" s="7" t="inlineStr"/>
    </row>
    <row r="2509">
      <c r="A2509" s="7" t="n">
        <v>14103</v>
      </c>
      <c r="B2509" s="10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1" t="n">
        <v>1</v>
      </c>
      <c r="G2509" s="11" t="n">
        <v>1</v>
      </c>
      <c r="H2509" s="8" t="n">
        <v>8.41</v>
      </c>
      <c r="I2509" s="8" t="n">
        <v>8.359999999999999</v>
      </c>
      <c r="J2509" s="13" t="n">
        <v>8.73</v>
      </c>
      <c r="K2509" s="7" t="inlineStr">
        <is>
          <t>DIMEC</t>
        </is>
      </c>
      <c r="L2509" s="8" t="n">
        <v>8.73</v>
      </c>
      <c r="M2509" s="12">
        <f>L2509/H2509-1</f>
        <v/>
      </c>
      <c r="N2509" s="14" t="inlineStr">
        <is>
          <t>ACIMA +3.8%</t>
        </is>
      </c>
      <c r="O2509" s="7" t="inlineStr"/>
    </row>
    <row r="2510">
      <c r="A2510" s="7" t="n">
        <v>583721</v>
      </c>
      <c r="B2510" s="10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1" t="n">
        <v>1</v>
      </c>
      <c r="G2510" s="11" t="n">
        <v>1</v>
      </c>
      <c r="H2510" s="8" t="n">
        <v>2.19</v>
      </c>
      <c r="I2510" s="8" t="n">
        <v>2.19</v>
      </c>
      <c r="J2510" s="8" t="n"/>
      <c r="K2510" s="7" t="inlineStr">
        <is>
          <t>SEM COTAÇÃO</t>
        </is>
      </c>
      <c r="L2510" s="8" t="n"/>
      <c r="M2510" s="12" t="n"/>
      <c r="N2510" s="7" t="inlineStr"/>
      <c r="O2510" s="7" t="inlineStr"/>
    </row>
    <row r="2511">
      <c r="A2511" s="7" t="n">
        <v>3703</v>
      </c>
      <c r="B2511" s="10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1" t="n">
        <v>1</v>
      </c>
      <c r="G2511" s="11" t="n">
        <v>1</v>
      </c>
      <c r="H2511" s="8" t="n">
        <v>2.335</v>
      </c>
      <c r="I2511" s="8" t="n">
        <v>2.335</v>
      </c>
      <c r="J2511" s="8" t="n"/>
      <c r="K2511" s="7" t="inlineStr">
        <is>
          <t>SEM COTAÇÃO</t>
        </is>
      </c>
      <c r="L2511" s="8" t="n"/>
      <c r="M2511" s="12" t="n"/>
      <c r="N2511" s="7" t="inlineStr"/>
      <c r="O2511" s="7" t="inlineStr"/>
    </row>
    <row r="2512">
      <c r="A2512" s="7" t="n">
        <v>622541</v>
      </c>
      <c r="B2512" s="10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1" t="n">
        <v>1</v>
      </c>
      <c r="G2512" s="11" t="n">
        <v>1</v>
      </c>
      <c r="H2512" s="8" t="n">
        <v>2.08</v>
      </c>
      <c r="I2512" s="8" t="n">
        <v>2.08</v>
      </c>
      <c r="J2512" s="8" t="n"/>
      <c r="K2512" s="7" t="inlineStr">
        <is>
          <t>SEM COTAÇÃO</t>
        </is>
      </c>
      <c r="L2512" s="8" t="n"/>
      <c r="M2512" s="12" t="n"/>
      <c r="N2512" s="7" t="inlineStr"/>
      <c r="O2512" s="7" t="inlineStr"/>
    </row>
    <row r="2513">
      <c r="A2513" s="7" t="n">
        <v>2233</v>
      </c>
      <c r="B2513" s="10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1" t="n">
        <v>1</v>
      </c>
      <c r="G2513" s="11" t="n">
        <v>1</v>
      </c>
      <c r="H2513" s="8" t="n">
        <v>23.54</v>
      </c>
      <c r="I2513" s="8" t="n">
        <v>23.54</v>
      </c>
      <c r="J2513" s="8" t="n"/>
      <c r="K2513" s="7" t="inlineStr">
        <is>
          <t>SEM COTAÇÃO</t>
        </is>
      </c>
      <c r="L2513" s="8" t="n"/>
      <c r="M2513" s="12" t="n"/>
      <c r="N2513" s="7" t="inlineStr"/>
      <c r="O2513" s="7" t="inlineStr"/>
    </row>
    <row r="2514">
      <c r="A2514" s="7" t="n">
        <v>648831</v>
      </c>
      <c r="B2514" s="10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1" t="n">
        <v>1</v>
      </c>
      <c r="G2514" s="11" t="n">
        <v>1</v>
      </c>
      <c r="H2514" s="8" t="n">
        <v>39.99</v>
      </c>
      <c r="I2514" s="8" t="n">
        <v>39.99</v>
      </c>
      <c r="J2514" s="8" t="n"/>
      <c r="K2514" s="7" t="inlineStr">
        <is>
          <t>SEM COTAÇÃO</t>
        </is>
      </c>
      <c r="L2514" s="8" t="n"/>
      <c r="M2514" s="12" t="n"/>
      <c r="N2514" s="7" t="inlineStr"/>
      <c r="O2514" s="7" t="inlineStr"/>
    </row>
    <row r="2515">
      <c r="A2515" s="7" t="n">
        <v>403121</v>
      </c>
      <c r="B2515" s="10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1" t="n">
        <v>21</v>
      </c>
      <c r="G2515" s="11" t="n">
        <v>21</v>
      </c>
      <c r="H2515" s="8" t="n">
        <v>9.68</v>
      </c>
      <c r="I2515" s="8" t="n">
        <v>9.68</v>
      </c>
      <c r="J2515" s="8" t="n"/>
      <c r="K2515" s="7" t="inlineStr">
        <is>
          <t>SEM COTAÇÃO</t>
        </is>
      </c>
      <c r="L2515" s="8" t="n"/>
      <c r="M2515" s="12" t="n"/>
      <c r="N2515" s="7" t="inlineStr"/>
      <c r="O2515" s="7" t="inlineStr"/>
    </row>
    <row r="2516">
      <c r="A2516" s="7" t="n">
        <v>602131</v>
      </c>
      <c r="B2516" s="10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1" t="n">
        <v>1</v>
      </c>
      <c r="G2516" s="11" t="n">
        <v>1</v>
      </c>
      <c r="H2516" s="8" t="n">
        <v>50.43</v>
      </c>
      <c r="I2516" s="8" t="n">
        <v>50.43</v>
      </c>
      <c r="J2516" s="8" t="n"/>
      <c r="K2516" s="7" t="inlineStr">
        <is>
          <t>SEM COTAÇÃO</t>
        </is>
      </c>
      <c r="L2516" s="8" t="n"/>
      <c r="M2516" s="12" t="n"/>
      <c r="N2516" s="7" t="inlineStr"/>
      <c r="O2516" s="7" t="inlineStr"/>
    </row>
    <row r="2517">
      <c r="A2517" s="7" t="n">
        <v>590901</v>
      </c>
      <c r="B2517" s="10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1" t="n">
        <v>20</v>
      </c>
      <c r="G2517" s="11" t="n">
        <v>20</v>
      </c>
      <c r="H2517" s="8" t="n">
        <v>0.4793</v>
      </c>
      <c r="I2517" s="8" t="n">
        <v>0.4793</v>
      </c>
      <c r="J2517" s="8" t="n"/>
      <c r="K2517" s="7" t="inlineStr">
        <is>
          <t>SEM COTAÇÃO</t>
        </is>
      </c>
      <c r="L2517" s="8" t="n"/>
      <c r="M2517" s="12" t="n"/>
      <c r="N2517" s="7" t="inlineStr"/>
      <c r="O2517" s="7" t="inlineStr"/>
    </row>
    <row r="2518">
      <c r="A2518" s="7" t="n">
        <v>640361</v>
      </c>
      <c r="B2518" s="10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1" t="n">
        <v>1</v>
      </c>
      <c r="G2518" s="11" t="n">
        <v>8</v>
      </c>
      <c r="H2518" s="8" t="n">
        <v>7.7858</v>
      </c>
      <c r="I2518" s="8" t="n">
        <v>7.7858</v>
      </c>
      <c r="J2518" s="8" t="n"/>
      <c r="K2518" s="7" t="inlineStr">
        <is>
          <t>SEM COTAÇÃO</t>
        </is>
      </c>
      <c r="L2518" s="8" t="n"/>
      <c r="M2518" s="12" t="n"/>
      <c r="N2518" s="7" t="inlineStr"/>
      <c r="O2518" s="7" t="inlineStr"/>
    </row>
    <row r="2519">
      <c r="A2519" s="7" t="n">
        <v>599751</v>
      </c>
      <c r="B2519" s="10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1" t="n">
        <v>15</v>
      </c>
      <c r="G2519" s="11" t="n">
        <v>15</v>
      </c>
      <c r="H2519" s="8" t="n">
        <v>7.7858</v>
      </c>
      <c r="I2519" s="8" t="n">
        <v>7.7858</v>
      </c>
      <c r="J2519" s="8" t="n"/>
      <c r="K2519" s="7" t="inlineStr">
        <is>
          <t>SEM COTAÇÃO</t>
        </is>
      </c>
      <c r="L2519" s="8" t="n"/>
      <c r="M2519" s="12" t="n"/>
      <c r="N2519" s="7" t="inlineStr"/>
      <c r="O2519" s="7" t="inlineStr"/>
    </row>
    <row r="2520">
      <c r="A2520" s="7" t="n">
        <v>599761</v>
      </c>
      <c r="B2520" s="10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1" t="n">
        <v>10</v>
      </c>
      <c r="G2520" s="11" t="n">
        <v>10</v>
      </c>
      <c r="H2520" s="8" t="n">
        <v>7.7858</v>
      </c>
      <c r="I2520" s="8" t="n">
        <v>7.7858</v>
      </c>
      <c r="J2520" s="8" t="n"/>
      <c r="K2520" s="7" t="inlineStr">
        <is>
          <t>SEM COTAÇÃO</t>
        </is>
      </c>
      <c r="L2520" s="8" t="n"/>
      <c r="M2520" s="12" t="n"/>
      <c r="N2520" s="7" t="inlineStr"/>
      <c r="O2520" s="7" t="inlineStr"/>
    </row>
    <row r="2521">
      <c r="A2521" s="7" t="n">
        <v>627771</v>
      </c>
      <c r="B2521" s="10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1" t="n">
        <v>2</v>
      </c>
      <c r="G2521" s="11" t="n">
        <v>2</v>
      </c>
      <c r="H2521" s="8" t="n">
        <v>9.16</v>
      </c>
      <c r="I2521" s="8" t="n">
        <v>9.16</v>
      </c>
      <c r="J2521" s="8" t="n"/>
      <c r="K2521" s="7" t="inlineStr">
        <is>
          <t>SEM COTAÇÃO</t>
        </is>
      </c>
      <c r="L2521" s="8" t="n"/>
      <c r="M2521" s="12" t="n"/>
      <c r="N2521" s="7" t="inlineStr"/>
      <c r="O2521" s="7" t="inlineStr"/>
    </row>
    <row r="2522">
      <c r="A2522" s="7" t="n">
        <v>670551</v>
      </c>
      <c r="B2522" s="10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1" t="n">
        <v>1</v>
      </c>
      <c r="G2522" s="11" t="n">
        <v>3</v>
      </c>
      <c r="H2522" s="8" t="n">
        <v>4.229</v>
      </c>
      <c r="I2522" s="8" t="n">
        <v>4.229</v>
      </c>
      <c r="J2522" s="8" t="n"/>
      <c r="K2522" s="7" t="inlineStr">
        <is>
          <t>SEM COTAÇÃO</t>
        </is>
      </c>
      <c r="L2522" s="8" t="n"/>
      <c r="M2522" s="12" t="n"/>
      <c r="N2522" s="7" t="inlineStr"/>
      <c r="O2522" s="7" t="inlineStr"/>
    </row>
    <row r="2523">
      <c r="A2523" s="7" t="n">
        <v>633531</v>
      </c>
      <c r="B2523" s="10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1" t="n">
        <v>2</v>
      </c>
      <c r="G2523" s="11" t="n">
        <v>2</v>
      </c>
      <c r="H2523" s="8" t="n">
        <v>25.96</v>
      </c>
      <c r="I2523" s="8" t="n">
        <v>25.96</v>
      </c>
      <c r="J2523" s="8" t="n"/>
      <c r="K2523" s="7" t="inlineStr">
        <is>
          <t>SEM COTAÇÃO</t>
        </is>
      </c>
      <c r="L2523" s="8" t="n"/>
      <c r="M2523" s="12" t="n"/>
      <c r="N2523" s="7" t="inlineStr"/>
      <c r="O2523" s="7" t="inlineStr"/>
    </row>
    <row r="2524">
      <c r="A2524" s="7" t="n">
        <v>633511</v>
      </c>
      <c r="B2524" s="10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1" t="n">
        <v>4</v>
      </c>
      <c r="G2524" s="11" t="n">
        <v>4</v>
      </c>
      <c r="H2524" s="8" t="n">
        <v>25.96</v>
      </c>
      <c r="I2524" s="8" t="n">
        <v>25.96</v>
      </c>
      <c r="J2524" s="8" t="n"/>
      <c r="K2524" s="7" t="inlineStr">
        <is>
          <t>SEM COTAÇÃO</t>
        </is>
      </c>
      <c r="L2524" s="8" t="n"/>
      <c r="M2524" s="12" t="n"/>
      <c r="N2524" s="7" t="inlineStr"/>
      <c r="O2524" s="7" t="inlineStr"/>
    </row>
    <row r="2525">
      <c r="A2525" s="7" t="n">
        <v>629631</v>
      </c>
      <c r="B2525" s="10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1" t="n">
        <v>1</v>
      </c>
      <c r="G2525" s="11" t="n">
        <v>1</v>
      </c>
      <c r="H2525" s="8" t="n">
        <v>21.9</v>
      </c>
      <c r="I2525" s="8" t="n">
        <v>21.9</v>
      </c>
      <c r="J2525" s="8" t="n"/>
      <c r="K2525" s="7" t="inlineStr">
        <is>
          <t>SEM COTAÇÃO</t>
        </is>
      </c>
      <c r="L2525" s="8" t="n"/>
      <c r="M2525" s="12" t="n"/>
      <c r="N2525" s="7" t="inlineStr"/>
      <c r="O2525" s="7" t="inlineStr"/>
    </row>
    <row r="2526">
      <c r="A2526" s="7" t="n">
        <v>629641</v>
      </c>
      <c r="B2526" s="10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1" t="n">
        <v>1</v>
      </c>
      <c r="G2526" s="11" t="n">
        <v>1</v>
      </c>
      <c r="H2526" s="8" t="n">
        <v>21.9</v>
      </c>
      <c r="I2526" s="8" t="n">
        <v>21.9</v>
      </c>
      <c r="J2526" s="8" t="n"/>
      <c r="K2526" s="7" t="inlineStr">
        <is>
          <t>SEM COTAÇÃO</t>
        </is>
      </c>
      <c r="L2526" s="8" t="n"/>
      <c r="M2526" s="12" t="n"/>
      <c r="N2526" s="7" t="inlineStr"/>
      <c r="O2526" s="7" t="inlineStr"/>
    </row>
    <row r="2527">
      <c r="A2527" s="7" t="n">
        <v>610691</v>
      </c>
      <c r="B2527" s="10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1" t="n">
        <v>1</v>
      </c>
      <c r="G2527" s="11" t="n">
        <v>1</v>
      </c>
      <c r="H2527" s="8" t="n">
        <v>28.2</v>
      </c>
      <c r="I2527" s="8" t="n">
        <v>28.2</v>
      </c>
      <c r="J2527" s="8" t="n"/>
      <c r="K2527" s="7" t="inlineStr">
        <is>
          <t>SEM COTAÇÃO</t>
        </is>
      </c>
      <c r="L2527" s="8" t="n"/>
      <c r="M2527" s="12" t="n"/>
      <c r="N2527" s="7" t="inlineStr"/>
      <c r="O2527" s="7" t="inlineStr"/>
    </row>
    <row r="2528">
      <c r="A2528" s="7" t="n">
        <v>649961</v>
      </c>
      <c r="B2528" s="10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1" t="n">
        <v>1</v>
      </c>
      <c r="G2528" s="11" t="n">
        <v>1</v>
      </c>
      <c r="H2528" s="8" t="n">
        <v>25.34</v>
      </c>
      <c r="I2528" s="8" t="n">
        <v>25.34</v>
      </c>
      <c r="J2528" s="8" t="n"/>
      <c r="K2528" s="7" t="inlineStr">
        <is>
          <t>SEM COTAÇÃO</t>
        </is>
      </c>
      <c r="L2528" s="8" t="n"/>
      <c r="M2528" s="12" t="n"/>
      <c r="N2528" s="7" t="inlineStr"/>
      <c r="O2528" s="7" t="inlineStr"/>
    </row>
    <row r="2529">
      <c r="A2529" s="7" t="n">
        <v>632831</v>
      </c>
      <c r="B2529" s="10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1" t="n">
        <v>1</v>
      </c>
      <c r="G2529" s="11" t="n">
        <v>1</v>
      </c>
      <c r="H2529" s="8" t="n">
        <v>41.72</v>
      </c>
      <c r="I2529" s="8" t="n">
        <v>41.72</v>
      </c>
      <c r="J2529" s="8" t="n"/>
      <c r="K2529" s="7" t="inlineStr">
        <is>
          <t>SEM COTAÇÃO</t>
        </is>
      </c>
      <c r="L2529" s="8" t="n"/>
      <c r="M2529" s="12" t="n"/>
      <c r="N2529" s="7" t="inlineStr"/>
      <c r="O2529" s="7" t="inlineStr"/>
    </row>
    <row r="2530">
      <c r="A2530" s="7" t="n">
        <v>601101</v>
      </c>
      <c r="B2530" s="10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1" t="n">
        <v>1</v>
      </c>
      <c r="G2530" s="11" t="n">
        <v>1</v>
      </c>
      <c r="H2530" s="8" t="n">
        <v>17.75</v>
      </c>
      <c r="I2530" s="8" t="n">
        <v>17.75</v>
      </c>
      <c r="J2530" s="8" t="n"/>
      <c r="K2530" s="7" t="inlineStr">
        <is>
          <t>SEM COTAÇÃO</t>
        </is>
      </c>
      <c r="L2530" s="8" t="n"/>
      <c r="M2530" s="12" t="n"/>
      <c r="N2530" s="7" t="inlineStr"/>
      <c r="O2530" s="7" t="inlineStr"/>
    </row>
    <row r="2531">
      <c r="A2531" s="7" t="n">
        <v>3853</v>
      </c>
      <c r="B2531" s="10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1" t="n">
        <v>1</v>
      </c>
      <c r="G2531" s="11" t="n">
        <v>1</v>
      </c>
      <c r="H2531" s="8" t="n"/>
      <c r="I2531" s="8" t="n"/>
      <c r="J2531" s="8" t="n"/>
      <c r="K2531" s="7" t="inlineStr">
        <is>
          <t>SEM COTAÇÃO</t>
        </is>
      </c>
      <c r="L2531" s="8" t="n"/>
      <c r="M2531" s="12" t="n"/>
      <c r="N2531" s="7" t="inlineStr"/>
      <c r="O2531" s="7" t="inlineStr"/>
    </row>
    <row r="2532">
      <c r="A2532" s="7" t="n">
        <v>648471</v>
      </c>
      <c r="B2532" s="10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1" t="n">
        <v>1</v>
      </c>
      <c r="G2532" s="11" t="n">
        <v>1</v>
      </c>
      <c r="H2532" s="8" t="n">
        <v>33.25</v>
      </c>
      <c r="I2532" s="8" t="n">
        <v>33.25</v>
      </c>
      <c r="J2532" s="8" t="n"/>
      <c r="K2532" s="7" t="inlineStr">
        <is>
          <t>SEM COTAÇÃO</t>
        </is>
      </c>
      <c r="L2532" s="8" t="n"/>
      <c r="M2532" s="12" t="n"/>
      <c r="N2532" s="7" t="inlineStr"/>
      <c r="O2532" s="7" t="inlineStr"/>
    </row>
    <row r="2533">
      <c r="A2533" s="7" t="n">
        <v>664551</v>
      </c>
      <c r="B2533" s="10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1" t="n">
        <v>1</v>
      </c>
      <c r="G2533" s="11" t="n">
        <v>1</v>
      </c>
      <c r="H2533" s="8" t="n">
        <v>43.08</v>
      </c>
      <c r="I2533" s="8" t="n">
        <v>43.08</v>
      </c>
      <c r="J2533" s="8" t="n"/>
      <c r="K2533" s="7" t="inlineStr">
        <is>
          <t>SEM COTAÇÃO</t>
        </is>
      </c>
      <c r="L2533" s="8" t="n"/>
      <c r="M2533" s="12" t="n"/>
      <c r="N2533" s="7" t="inlineStr"/>
      <c r="O2533" s="7" t="inlineStr"/>
    </row>
    <row r="2534">
      <c r="A2534" s="7" t="n">
        <v>662841</v>
      </c>
      <c r="B2534" s="10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1" t="n">
        <v>1</v>
      </c>
      <c r="G2534" s="11" t="n">
        <v>1</v>
      </c>
      <c r="H2534" s="8" t="n"/>
      <c r="I2534" s="8" t="n"/>
      <c r="J2534" s="8" t="n"/>
      <c r="K2534" s="7" t="inlineStr">
        <is>
          <t>SEM COTAÇÃO</t>
        </is>
      </c>
      <c r="L2534" s="8" t="n"/>
      <c r="M2534" s="12" t="n"/>
      <c r="N2534" s="7" t="inlineStr"/>
      <c r="O2534" s="7" t="inlineStr"/>
    </row>
    <row r="2535">
      <c r="A2535" s="7" t="n">
        <v>570441</v>
      </c>
      <c r="B2535" s="10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1" t="n">
        <v>1</v>
      </c>
      <c r="G2535" s="11" t="n">
        <v>1</v>
      </c>
      <c r="H2535" s="8" t="n">
        <v>10.5</v>
      </c>
      <c r="I2535" s="8" t="n">
        <v>10.5</v>
      </c>
      <c r="J2535" s="8" t="n"/>
      <c r="K2535" s="7" t="inlineStr">
        <is>
          <t>SEM COTAÇÃO</t>
        </is>
      </c>
      <c r="L2535" s="8" t="n"/>
      <c r="M2535" s="12" t="n"/>
      <c r="N2535" s="7" t="inlineStr"/>
      <c r="O2535" s="7" t="inlineStr"/>
    </row>
    <row r="2536">
      <c r="A2536" s="7" t="n">
        <v>698101</v>
      </c>
      <c r="B2536" s="10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1" t="n">
        <v>1</v>
      </c>
      <c r="G2536" s="11" t="n">
        <v>1</v>
      </c>
      <c r="H2536" s="8" t="n">
        <v>18.15</v>
      </c>
      <c r="I2536" s="8" t="n">
        <v>18.15</v>
      </c>
      <c r="J2536" s="8" t="n"/>
      <c r="K2536" s="7" t="inlineStr">
        <is>
          <t>SEM COTAÇÃO</t>
        </is>
      </c>
      <c r="L2536" s="8" t="n"/>
      <c r="M2536" s="12" t="n"/>
      <c r="N2536" s="7" t="inlineStr"/>
      <c r="O2536" s="7" t="inlineStr"/>
    </row>
    <row r="2537">
      <c r="A2537" s="7" t="n">
        <v>698501</v>
      </c>
      <c r="B2537" s="10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1" t="n">
        <v>1</v>
      </c>
      <c r="G2537" s="11" t="n">
        <v>1</v>
      </c>
      <c r="H2537" s="8" t="n">
        <v>18.15</v>
      </c>
      <c r="I2537" s="8" t="n">
        <v>18.15</v>
      </c>
      <c r="J2537" s="8" t="n"/>
      <c r="K2537" s="7" t="inlineStr">
        <is>
          <t>SEM COTAÇÃO</t>
        </is>
      </c>
      <c r="L2537" s="8" t="n"/>
      <c r="M2537" s="12" t="n"/>
      <c r="N2537" s="7" t="inlineStr"/>
      <c r="O2537" s="7" t="inlineStr"/>
    </row>
    <row r="2538">
      <c r="A2538" s="7" t="n">
        <v>641301</v>
      </c>
      <c r="B2538" s="10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1" t="n">
        <v>7</v>
      </c>
      <c r="G2538" s="11" t="n">
        <v>7</v>
      </c>
      <c r="H2538" s="8" t="n">
        <v>18.15</v>
      </c>
      <c r="I2538" s="8" t="n">
        <v>18.15</v>
      </c>
      <c r="J2538" s="8" t="n"/>
      <c r="K2538" s="7" t="inlineStr">
        <is>
          <t>SEM COTAÇÃO</t>
        </is>
      </c>
      <c r="L2538" s="8" t="n"/>
      <c r="M2538" s="12" t="n"/>
      <c r="N2538" s="7" t="inlineStr"/>
      <c r="O2538" s="7" t="inlineStr"/>
    </row>
    <row r="2539">
      <c r="A2539" s="7" t="n">
        <v>535001</v>
      </c>
      <c r="B2539" s="10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1" t="n">
        <v>4</v>
      </c>
      <c r="G2539" s="11" t="n">
        <v>4</v>
      </c>
      <c r="H2539" s="8" t="n">
        <v>12.58</v>
      </c>
      <c r="I2539" s="8" t="n">
        <v>10.5</v>
      </c>
      <c r="J2539" s="8" t="n"/>
      <c r="K2539" s="7" t="inlineStr">
        <is>
          <t>SEM COTAÇÃO</t>
        </is>
      </c>
      <c r="L2539" s="8" t="n"/>
      <c r="M2539" s="12" t="n"/>
      <c r="N2539" s="7" t="inlineStr"/>
      <c r="O2539" s="7" t="inlineStr"/>
    </row>
    <row r="2540">
      <c r="A2540" s="7" t="n">
        <v>535041</v>
      </c>
      <c r="B2540" s="10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1" t="n">
        <v>2</v>
      </c>
      <c r="G2540" s="11" t="n">
        <v>2</v>
      </c>
      <c r="H2540" s="8" t="n">
        <v>12.58</v>
      </c>
      <c r="I2540" s="8" t="n">
        <v>9.585000000000001</v>
      </c>
      <c r="J2540" s="8" t="n"/>
      <c r="K2540" s="7" t="inlineStr">
        <is>
          <t>SEM COTAÇÃO</t>
        </is>
      </c>
      <c r="L2540" s="8" t="n"/>
      <c r="M2540" s="12" t="n"/>
      <c r="N2540" s="7" t="inlineStr"/>
      <c r="O2540" s="7" t="inlineStr"/>
    </row>
    <row r="2541">
      <c r="A2541" s="7" t="n">
        <v>534981</v>
      </c>
      <c r="B2541" s="10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1" t="n">
        <v>4</v>
      </c>
      <c r="G2541" s="11" t="n">
        <v>4</v>
      </c>
      <c r="H2541" s="8" t="n">
        <v>12.58</v>
      </c>
      <c r="I2541" s="8" t="n">
        <v>9.82</v>
      </c>
      <c r="J2541" s="8" t="n"/>
      <c r="K2541" s="7" t="inlineStr">
        <is>
          <t>SEM COTAÇÃO</t>
        </is>
      </c>
      <c r="L2541" s="8" t="n"/>
      <c r="M2541" s="12" t="n"/>
      <c r="N2541" s="7" t="inlineStr"/>
      <c r="O2541" s="7" t="inlineStr"/>
    </row>
    <row r="2542">
      <c r="A2542" s="7" t="n">
        <v>536661</v>
      </c>
      <c r="B2542" s="10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1" t="n">
        <v>3</v>
      </c>
      <c r="G2542" s="11" t="n">
        <v>3</v>
      </c>
      <c r="H2542" s="8" t="n">
        <v>12.58</v>
      </c>
      <c r="I2542" s="8" t="n">
        <v>9.7033</v>
      </c>
      <c r="J2542" s="8" t="n"/>
      <c r="K2542" s="7" t="inlineStr">
        <is>
          <t>SEM COTAÇÃO</t>
        </is>
      </c>
      <c r="L2542" s="8" t="n"/>
      <c r="M2542" s="12" t="n"/>
      <c r="N2542" s="7" t="inlineStr"/>
      <c r="O2542" s="7" t="inlineStr"/>
    </row>
    <row r="2543">
      <c r="A2543" s="7" t="n">
        <v>535081</v>
      </c>
      <c r="B2543" s="10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1" t="n">
        <v>3</v>
      </c>
      <c r="G2543" s="11" t="n">
        <v>3</v>
      </c>
      <c r="H2543" s="8" t="n">
        <v>12.58</v>
      </c>
      <c r="I2543" s="8" t="n">
        <v>10.5</v>
      </c>
      <c r="J2543" s="8" t="n"/>
      <c r="K2543" s="7" t="inlineStr">
        <is>
          <t>SEM COTAÇÃO</t>
        </is>
      </c>
      <c r="L2543" s="8" t="n"/>
      <c r="M2543" s="12" t="n"/>
      <c r="N2543" s="7" t="inlineStr"/>
      <c r="O2543" s="7" t="inlineStr"/>
    </row>
    <row r="2544">
      <c r="A2544" s="7" t="n">
        <v>535101</v>
      </c>
      <c r="B2544" s="10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1" t="n">
        <v>3</v>
      </c>
      <c r="G2544" s="11" t="n">
        <v>3</v>
      </c>
      <c r="H2544" s="8" t="n">
        <v>12.58</v>
      </c>
      <c r="I2544" s="8" t="n">
        <v>9.585000000000001</v>
      </c>
      <c r="J2544" s="8" t="n"/>
      <c r="K2544" s="7" t="inlineStr">
        <is>
          <t>SEM COTAÇÃO</t>
        </is>
      </c>
      <c r="L2544" s="8" t="n"/>
      <c r="M2544" s="12" t="n"/>
      <c r="N2544" s="7" t="inlineStr"/>
      <c r="O2544" s="7" t="inlineStr"/>
    </row>
    <row r="2545">
      <c r="A2545" s="7" t="n">
        <v>580161</v>
      </c>
      <c r="B2545" s="10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1" t="n">
        <v>1</v>
      </c>
      <c r="G2545" s="11" t="n">
        <v>1</v>
      </c>
      <c r="H2545" s="8" t="n">
        <v>11.55</v>
      </c>
      <c r="I2545" s="8" t="n">
        <v>10.83</v>
      </c>
      <c r="J2545" s="8" t="n"/>
      <c r="K2545" s="7" t="inlineStr">
        <is>
          <t>SEM COTAÇÃO</t>
        </is>
      </c>
      <c r="L2545" s="8" t="n"/>
      <c r="M2545" s="12" t="n"/>
      <c r="N2545" s="7" t="inlineStr"/>
      <c r="O2545" s="7" t="inlineStr"/>
    </row>
    <row r="2546">
      <c r="A2546" s="7" t="n">
        <v>577081</v>
      </c>
      <c r="B2546" s="10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1" t="n">
        <v>1</v>
      </c>
      <c r="G2546" s="11" t="n">
        <v>1</v>
      </c>
      <c r="H2546" s="8" t="n">
        <v>10.5</v>
      </c>
      <c r="I2546" s="8" t="n">
        <v>10.5</v>
      </c>
      <c r="J2546" s="8" t="n"/>
      <c r="K2546" s="7" t="inlineStr">
        <is>
          <t>SEM COTAÇÃO</t>
        </is>
      </c>
      <c r="L2546" s="8" t="n"/>
      <c r="M2546" s="12" t="n"/>
      <c r="N2546" s="7" t="inlineStr"/>
      <c r="O2546" s="7" t="inlineStr"/>
    </row>
    <row r="2547">
      <c r="A2547" s="7" t="n">
        <v>633521</v>
      </c>
      <c r="B2547" s="10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1" t="n">
        <v>1</v>
      </c>
      <c r="G2547" s="11" t="n">
        <v>1</v>
      </c>
      <c r="H2547" s="8" t="n">
        <v>25.96</v>
      </c>
      <c r="I2547" s="8" t="n">
        <v>25.96</v>
      </c>
      <c r="J2547" s="8" t="n"/>
      <c r="K2547" s="7" t="inlineStr">
        <is>
          <t>SEM COTAÇÃO</t>
        </is>
      </c>
      <c r="L2547" s="8" t="n"/>
      <c r="M2547" s="12" t="n"/>
      <c r="N2547" s="7" t="inlineStr"/>
      <c r="O2547" s="7" t="inlineStr"/>
    </row>
    <row r="2548">
      <c r="A2548" s="7" t="n">
        <v>653111</v>
      </c>
      <c r="B2548" s="10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1" t="n">
        <v>3</v>
      </c>
      <c r="G2548" s="11" t="n">
        <v>3</v>
      </c>
      <c r="H2548" s="8" t="n">
        <v>15.16</v>
      </c>
      <c r="I2548" s="8" t="n">
        <v>15.16</v>
      </c>
      <c r="J2548" s="8" t="n"/>
      <c r="K2548" s="7" t="inlineStr">
        <is>
          <t>SEM COTAÇÃO</t>
        </is>
      </c>
      <c r="L2548" s="8" t="n"/>
      <c r="M2548" s="12" t="n"/>
      <c r="N2548" s="7" t="inlineStr"/>
      <c r="O2548" s="7" t="inlineStr"/>
    </row>
    <row r="2549">
      <c r="A2549" s="7" t="n">
        <v>667231</v>
      </c>
      <c r="B2549" s="10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1" t="n">
        <v>1</v>
      </c>
      <c r="G2549" s="11" t="n">
        <v>1</v>
      </c>
      <c r="H2549" s="8" t="n"/>
      <c r="I2549" s="8" t="n"/>
      <c r="J2549" s="8" t="n"/>
      <c r="K2549" s="7" t="inlineStr">
        <is>
          <t>SEM COTAÇÃO</t>
        </is>
      </c>
      <c r="L2549" s="8" t="n"/>
      <c r="M2549" s="12" t="n"/>
      <c r="N2549" s="7" t="inlineStr"/>
      <c r="O2549" s="7" t="inlineStr"/>
    </row>
    <row r="2550">
      <c r="A2550" s="7" t="n">
        <v>662851</v>
      </c>
      <c r="B2550" s="10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1" t="n">
        <v>1</v>
      </c>
      <c r="G2550" s="11" t="n">
        <v>1</v>
      </c>
      <c r="H2550" s="8" t="n"/>
      <c r="I2550" s="8" t="n"/>
      <c r="J2550" s="8" t="n"/>
      <c r="K2550" s="7" t="inlineStr">
        <is>
          <t>SEM COTAÇÃO</t>
        </is>
      </c>
      <c r="L2550" s="8" t="n"/>
      <c r="M2550" s="12" t="n"/>
      <c r="N2550" s="7" t="inlineStr"/>
      <c r="O2550" s="7" t="inlineStr"/>
    </row>
    <row r="2551">
      <c r="A2551" s="7" t="n">
        <v>614061</v>
      </c>
      <c r="B2551" s="10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1" t="n">
        <v>1</v>
      </c>
      <c r="G2551" s="11" t="n">
        <v>1</v>
      </c>
      <c r="H2551" s="8" t="n">
        <v>4.3462</v>
      </c>
      <c r="I2551" s="8" t="n">
        <v>4.3462</v>
      </c>
      <c r="J2551" s="8" t="n"/>
      <c r="K2551" s="7" t="inlineStr">
        <is>
          <t>SEM COTAÇÃO</t>
        </is>
      </c>
      <c r="L2551" s="8" t="n"/>
      <c r="M2551" s="12" t="n"/>
      <c r="N2551" s="7" t="inlineStr"/>
      <c r="O2551" s="7" t="inlineStr"/>
    </row>
    <row r="2552">
      <c r="A2552" s="7" t="n">
        <v>614071</v>
      </c>
      <c r="B2552" s="10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1" t="n">
        <v>1</v>
      </c>
      <c r="G2552" s="11" t="n">
        <v>4</v>
      </c>
      <c r="H2552" s="8" t="n">
        <v>4.1315</v>
      </c>
      <c r="I2552" s="8" t="n">
        <v>4.1315</v>
      </c>
      <c r="J2552" s="8" t="n"/>
      <c r="K2552" s="7" t="inlineStr">
        <is>
          <t>SEM COTAÇÃO</t>
        </is>
      </c>
      <c r="L2552" s="8" t="n"/>
      <c r="M2552" s="12" t="n"/>
      <c r="N2552" s="7" t="inlineStr"/>
      <c r="O2552" s="7" t="inlineStr"/>
    </row>
    <row r="2553">
      <c r="A2553" s="7" t="n">
        <v>604041</v>
      </c>
      <c r="B2553" s="10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1" t="n">
        <v>1</v>
      </c>
      <c r="G2553" s="11" t="n">
        <v>1</v>
      </c>
      <c r="H2553" s="8" t="n">
        <v>52.91</v>
      </c>
      <c r="I2553" s="8" t="n">
        <v>52.91</v>
      </c>
      <c r="J2553" s="8" t="n"/>
      <c r="K2553" s="7" t="inlineStr">
        <is>
          <t>SEM COTAÇÃO</t>
        </is>
      </c>
      <c r="L2553" s="8" t="n"/>
      <c r="M2553" s="12" t="n"/>
      <c r="N2553" s="7" t="inlineStr"/>
      <c r="O2553" s="7" t="inlineStr"/>
    </row>
    <row r="2554">
      <c r="A2554" s="7" t="n">
        <v>648451</v>
      </c>
      <c r="B2554" s="10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1" t="n">
        <v>1</v>
      </c>
      <c r="G2554" s="11" t="n">
        <v>1</v>
      </c>
      <c r="H2554" s="8" t="n">
        <v>23.88</v>
      </c>
      <c r="I2554" s="8" t="n">
        <v>23.88</v>
      </c>
      <c r="J2554" s="8" t="n"/>
      <c r="K2554" s="7" t="inlineStr">
        <is>
          <t>SEM COTAÇÃO</t>
        </is>
      </c>
      <c r="L2554" s="8" t="n"/>
      <c r="M2554" s="12" t="n"/>
      <c r="N2554" s="7" t="inlineStr"/>
      <c r="O2554" s="7" t="inlineStr"/>
    </row>
    <row r="2555">
      <c r="A2555" s="7" t="n">
        <v>648441</v>
      </c>
      <c r="B2555" s="10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1" t="n">
        <v>1</v>
      </c>
      <c r="G2555" s="11" t="n">
        <v>1</v>
      </c>
      <c r="H2555" s="8" t="n">
        <v>23.88</v>
      </c>
      <c r="I2555" s="8" t="n">
        <v>23.88</v>
      </c>
      <c r="J2555" s="8" t="n"/>
      <c r="K2555" s="7" t="inlineStr">
        <is>
          <t>SEM COTAÇÃO</t>
        </is>
      </c>
      <c r="L2555" s="8" t="n"/>
      <c r="M2555" s="12" t="n"/>
      <c r="N2555" s="7" t="inlineStr"/>
      <c r="O2555" s="7" t="inlineStr"/>
    </row>
    <row r="2556">
      <c r="A2556" s="7" t="n">
        <v>646621</v>
      </c>
      <c r="B2556" s="10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1" t="n">
        <v>3</v>
      </c>
      <c r="G2556" s="11" t="n">
        <v>3</v>
      </c>
      <c r="H2556" s="8" t="n">
        <v>37.929</v>
      </c>
      <c r="I2556" s="8" t="n">
        <v>35.91</v>
      </c>
      <c r="J2556" s="8" t="n"/>
      <c r="K2556" s="7" t="inlineStr">
        <is>
          <t>SEM COTAÇÃO</t>
        </is>
      </c>
      <c r="L2556" s="8" t="n"/>
      <c r="M2556" s="12" t="n"/>
      <c r="N2556" s="7" t="inlineStr"/>
      <c r="O2556" s="7" t="inlineStr"/>
    </row>
    <row r="2557">
      <c r="A2557" s="7" t="n">
        <v>619221</v>
      </c>
      <c r="B2557" s="10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1" t="n">
        <v>1</v>
      </c>
      <c r="G2557" s="11" t="n">
        <v>1</v>
      </c>
      <c r="H2557" s="8" t="n">
        <v>43.56</v>
      </c>
      <c r="I2557" s="8" t="n">
        <v>43.095</v>
      </c>
      <c r="J2557" s="8" t="n"/>
      <c r="K2557" s="7" t="inlineStr">
        <is>
          <t>SEM COTAÇÃO</t>
        </is>
      </c>
      <c r="L2557" s="8" t="n"/>
      <c r="M2557" s="12" t="n"/>
      <c r="N2557" s="7" t="inlineStr"/>
      <c r="O2557" s="7" t="inlineStr"/>
    </row>
    <row r="2558">
      <c r="A2558" s="7" t="n">
        <v>1723</v>
      </c>
      <c r="B2558" s="10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1" t="n">
        <v>1</v>
      </c>
      <c r="G2558" s="11" t="n">
        <v>1</v>
      </c>
      <c r="H2558" s="8" t="n">
        <v>14.3925</v>
      </c>
      <c r="I2558" s="8" t="n">
        <v>14.3925</v>
      </c>
      <c r="J2558" s="8" t="n"/>
      <c r="K2558" s="7" t="inlineStr">
        <is>
          <t>SEM COTAÇÃO</t>
        </is>
      </c>
      <c r="L2558" s="8" t="n"/>
      <c r="M2558" s="12" t="n"/>
      <c r="N2558" s="7" t="inlineStr"/>
      <c r="O2558" s="7" t="inlineStr"/>
    </row>
    <row r="2559">
      <c r="A2559" s="7" t="n">
        <v>414</v>
      </c>
      <c r="B2559" s="10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1" t="n">
        <v>1</v>
      </c>
      <c r="G2559" s="11" t="n">
        <v>1</v>
      </c>
      <c r="H2559" s="8" t="n"/>
      <c r="I2559" s="8" t="n"/>
      <c r="J2559" s="8" t="n"/>
      <c r="K2559" s="7" t="inlineStr">
        <is>
          <t>SEM COTAÇÃO</t>
        </is>
      </c>
      <c r="L2559" s="8" t="n"/>
      <c r="M2559" s="12" t="n"/>
      <c r="N2559" s="7" t="inlineStr"/>
      <c r="O2559" s="7" t="inlineStr"/>
    </row>
    <row r="2560">
      <c r="A2560" s="7" t="n">
        <v>424</v>
      </c>
      <c r="B2560" s="10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1" t="n">
        <v>1</v>
      </c>
      <c r="G2560" s="11" t="n">
        <v>1</v>
      </c>
      <c r="H2560" s="8" t="n"/>
      <c r="I2560" s="8" t="n"/>
      <c r="J2560" s="8" t="n"/>
      <c r="K2560" s="7" t="inlineStr">
        <is>
          <t>SEM COTAÇÃO</t>
        </is>
      </c>
      <c r="L2560" s="8" t="n"/>
      <c r="M2560" s="12" t="n"/>
      <c r="N2560" s="7" t="inlineStr"/>
      <c r="O2560" s="7" t="inlineStr"/>
    </row>
    <row r="2561">
      <c r="A2561" s="7" t="n">
        <v>674591</v>
      </c>
      <c r="B2561" s="10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1" t="n">
        <v>3</v>
      </c>
      <c r="G2561" s="11" t="n">
        <v>3</v>
      </c>
      <c r="H2561" s="8" t="n">
        <v>21.89</v>
      </c>
      <c r="I2561" s="8" t="n">
        <v>21.89</v>
      </c>
      <c r="J2561" s="8" t="n"/>
      <c r="K2561" s="7" t="inlineStr">
        <is>
          <t>SEM COTAÇÃO</t>
        </is>
      </c>
      <c r="L2561" s="8" t="n"/>
      <c r="M2561" s="12" t="n"/>
      <c r="N2561" s="7" t="inlineStr"/>
      <c r="O2561" s="7" t="inlineStr"/>
    </row>
    <row r="2562">
      <c r="A2562" s="7" t="n">
        <v>647201</v>
      </c>
      <c r="B2562" s="10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1" t="n">
        <v>1</v>
      </c>
      <c r="G2562" s="11" t="n">
        <v>1</v>
      </c>
      <c r="H2562" s="8" t="n">
        <v>21.89</v>
      </c>
      <c r="I2562" s="8" t="n">
        <v>21.89</v>
      </c>
      <c r="J2562" s="8" t="n"/>
      <c r="K2562" s="7" t="inlineStr">
        <is>
          <t>SEM COTAÇÃO</t>
        </is>
      </c>
      <c r="L2562" s="8" t="n"/>
      <c r="M2562" s="12" t="n"/>
      <c r="N2562" s="7" t="inlineStr"/>
      <c r="O2562" s="7" t="inlineStr"/>
    </row>
    <row r="2563">
      <c r="A2563" s="7" t="n">
        <v>3583</v>
      </c>
      <c r="B2563" s="10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1" t="n">
        <v>8</v>
      </c>
      <c r="G2563" s="11" t="n">
        <v>8</v>
      </c>
      <c r="H2563" s="8" t="n">
        <v>0.89</v>
      </c>
      <c r="I2563" s="8" t="n">
        <v>0.89</v>
      </c>
      <c r="J2563" s="13" t="n">
        <v>1.03</v>
      </c>
      <c r="K2563" s="7" t="inlineStr">
        <is>
          <t>DIMEC</t>
        </is>
      </c>
      <c r="L2563" s="8" t="n">
        <v>1.03</v>
      </c>
      <c r="M2563" s="12">
        <f>L2563/H2563-1</f>
        <v/>
      </c>
      <c r="N2563" s="14" t="inlineStr">
        <is>
          <t>ACIMA +15.7%</t>
        </is>
      </c>
      <c r="O2563" s="7" t="inlineStr"/>
    </row>
    <row r="2564">
      <c r="A2564" s="7" t="n">
        <v>655481</v>
      </c>
      <c r="B2564" s="10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1" t="n">
        <v>1</v>
      </c>
      <c r="G2564" s="11" t="n">
        <v>1</v>
      </c>
      <c r="H2564" s="8" t="n">
        <v>83.98999999999999</v>
      </c>
      <c r="I2564" s="8" t="n">
        <v>83.98999999999999</v>
      </c>
      <c r="J2564" s="8" t="n"/>
      <c r="K2564" s="7" t="inlineStr">
        <is>
          <t>SEM COTAÇÃO</t>
        </is>
      </c>
      <c r="L2564" s="8" t="n"/>
      <c r="M2564" s="12" t="n"/>
      <c r="N2564" s="7" t="inlineStr"/>
      <c r="O2564" s="7" t="inlineStr"/>
    </row>
    <row r="2565">
      <c r="A2565" s="7" t="n">
        <v>538421</v>
      </c>
      <c r="B2565" s="10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1" t="n">
        <v>3</v>
      </c>
      <c r="G2565" s="11" t="n">
        <v>3</v>
      </c>
      <c r="H2565" s="8" t="n"/>
      <c r="I2565" s="8" t="n"/>
      <c r="J2565" s="8" t="n"/>
      <c r="K2565" s="7" t="inlineStr">
        <is>
          <t>SEM COTAÇÃO</t>
        </is>
      </c>
      <c r="L2565" s="8" t="n"/>
      <c r="M2565" s="12" t="n"/>
      <c r="N2565" s="7" t="inlineStr"/>
      <c r="O2565" s="7" t="inlineStr"/>
    </row>
    <row r="2566">
      <c r="A2566" s="7" t="n">
        <v>704601</v>
      </c>
      <c r="B2566" s="10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1" t="n">
        <v>9</v>
      </c>
      <c r="G2566" s="11" t="n">
        <v>9</v>
      </c>
      <c r="H2566" s="8" t="n">
        <v>40.68</v>
      </c>
      <c r="I2566" s="8" t="n">
        <v>40.68</v>
      </c>
      <c r="J2566" s="8" t="n"/>
      <c r="K2566" s="7" t="inlineStr">
        <is>
          <t>SEM COTAÇÃO</t>
        </is>
      </c>
      <c r="L2566" s="8" t="n"/>
      <c r="M2566" s="12" t="n"/>
      <c r="N2566" s="7" t="inlineStr"/>
      <c r="O2566" s="7" t="inlineStr"/>
    </row>
    <row r="2567">
      <c r="A2567" s="7" t="n">
        <v>654171</v>
      </c>
      <c r="B2567" s="10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1" t="n">
        <v>3</v>
      </c>
      <c r="G2567" s="11" t="n">
        <v>3</v>
      </c>
      <c r="H2567" s="8" t="n">
        <v>12.07</v>
      </c>
      <c r="I2567" s="8" t="n">
        <v>12.07</v>
      </c>
      <c r="J2567" s="8" t="n"/>
      <c r="K2567" s="7" t="inlineStr">
        <is>
          <t>SEM COTAÇÃO</t>
        </is>
      </c>
      <c r="L2567" s="8" t="n"/>
      <c r="M2567" s="12" t="n"/>
      <c r="N2567" s="7" t="inlineStr"/>
      <c r="O2567" s="7" t="inlineStr"/>
    </row>
    <row r="2568">
      <c r="A2568" s="7" t="n">
        <v>677701</v>
      </c>
      <c r="B2568" s="10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1" t="n">
        <v>1</v>
      </c>
      <c r="G2568" s="11" t="n">
        <v>1</v>
      </c>
      <c r="H2568" s="8" t="n">
        <v>28.36</v>
      </c>
      <c r="I2568" s="8" t="n">
        <v>28.36</v>
      </c>
      <c r="J2568" s="8" t="n"/>
      <c r="K2568" s="7" t="inlineStr">
        <is>
          <t>SEM COTAÇÃO</t>
        </is>
      </c>
      <c r="L2568" s="8" t="n"/>
      <c r="M2568" s="12" t="n"/>
      <c r="N2568" s="7" t="inlineStr"/>
      <c r="O2568" s="7" t="inlineStr"/>
    </row>
    <row r="2569">
      <c r="A2569" s="7" t="n">
        <v>677801</v>
      </c>
      <c r="B2569" s="10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1" t="n">
        <v>1</v>
      </c>
      <c r="G2569" s="11" t="n">
        <v>1</v>
      </c>
      <c r="H2569" s="8" t="n">
        <v>28.36</v>
      </c>
      <c r="I2569" s="8" t="n">
        <v>28.36</v>
      </c>
      <c r="J2569" s="8" t="n"/>
      <c r="K2569" s="7" t="inlineStr">
        <is>
          <t>SEM COTAÇÃO</t>
        </is>
      </c>
      <c r="L2569" s="8" t="n"/>
      <c r="M2569" s="12" t="n"/>
      <c r="N2569" s="7" t="inlineStr"/>
      <c r="O2569" s="7" t="inlineStr"/>
    </row>
    <row r="2570">
      <c r="A2570" s="7" t="n">
        <v>620751</v>
      </c>
      <c r="B2570" s="10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1" t="n">
        <v>1</v>
      </c>
      <c r="G2570" s="11" t="n">
        <v>1</v>
      </c>
      <c r="H2570" s="8" t="n">
        <v>18.85</v>
      </c>
      <c r="I2570" s="8" t="n">
        <v>18.85</v>
      </c>
      <c r="J2570" s="8" t="n"/>
      <c r="K2570" s="7" t="inlineStr">
        <is>
          <t>SEM COTAÇÃO</t>
        </is>
      </c>
      <c r="L2570" s="8" t="n"/>
      <c r="M2570" s="12" t="n"/>
      <c r="N2570" s="7" t="inlineStr"/>
      <c r="O2570" s="7" t="inlineStr"/>
    </row>
    <row r="2571">
      <c r="A2571" s="7" t="n">
        <v>645601</v>
      </c>
      <c r="B2571" s="10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1" t="n">
        <v>1</v>
      </c>
      <c r="G2571" s="11" t="n">
        <v>1</v>
      </c>
      <c r="H2571" s="8" t="n">
        <v>14.93</v>
      </c>
      <c r="I2571" s="8" t="n">
        <v>14.93</v>
      </c>
      <c r="J2571" s="8" t="n"/>
      <c r="K2571" s="7" t="inlineStr">
        <is>
          <t>SEM COTAÇÃO</t>
        </is>
      </c>
      <c r="L2571" s="8" t="n"/>
      <c r="M2571" s="12" t="n"/>
      <c r="N2571" s="7" t="inlineStr"/>
      <c r="O2571" s="7" t="inlineStr"/>
    </row>
    <row r="2572">
      <c r="A2572" s="7" t="n">
        <v>658431</v>
      </c>
      <c r="B2572" s="10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1" t="n">
        <v>1</v>
      </c>
      <c r="G2572" s="11" t="n">
        <v>1</v>
      </c>
      <c r="H2572" s="8" t="n">
        <v>20.29</v>
      </c>
      <c r="I2572" s="8" t="n">
        <v>20.29</v>
      </c>
      <c r="J2572" s="8" t="n"/>
      <c r="K2572" s="7" t="inlineStr">
        <is>
          <t>SEM COTAÇÃO</t>
        </is>
      </c>
      <c r="L2572" s="8" t="n"/>
      <c r="M2572" s="12" t="n"/>
      <c r="N2572" s="7" t="inlineStr"/>
      <c r="O2572" s="7" t="inlineStr"/>
    </row>
    <row r="2573">
      <c r="A2573" s="7" t="n">
        <v>658451</v>
      </c>
      <c r="B2573" s="10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1" t="n">
        <v>1</v>
      </c>
      <c r="G2573" s="11" t="n">
        <v>1</v>
      </c>
      <c r="H2573" s="8" t="n">
        <v>20.29</v>
      </c>
      <c r="I2573" s="8" t="n">
        <v>20.29</v>
      </c>
      <c r="J2573" s="8" t="n"/>
      <c r="K2573" s="7" t="inlineStr">
        <is>
          <t>SEM COTAÇÃO</t>
        </is>
      </c>
      <c r="L2573" s="8" t="n"/>
      <c r="M2573" s="12" t="n"/>
      <c r="N2573" s="7" t="inlineStr"/>
      <c r="O2573" s="7" t="inlineStr"/>
    </row>
    <row r="2574">
      <c r="A2574" s="7" t="n">
        <v>658481</v>
      </c>
      <c r="B2574" s="10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1" t="n">
        <v>1</v>
      </c>
      <c r="G2574" s="11" t="n">
        <v>1</v>
      </c>
      <c r="H2574" s="8" t="n">
        <v>20.29</v>
      </c>
      <c r="I2574" s="8" t="n">
        <v>20.29</v>
      </c>
      <c r="J2574" s="8" t="n"/>
      <c r="K2574" s="7" t="inlineStr">
        <is>
          <t>SEM COTAÇÃO</t>
        </is>
      </c>
      <c r="L2574" s="8" t="n"/>
      <c r="M2574" s="12" t="n"/>
      <c r="N2574" s="7" t="inlineStr"/>
      <c r="O2574" s="7" t="inlineStr"/>
    </row>
    <row r="2575">
      <c r="A2575" s="7" t="n">
        <v>677901</v>
      </c>
      <c r="B2575" s="10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1" t="n">
        <v>1</v>
      </c>
      <c r="G2575" s="11" t="n">
        <v>1</v>
      </c>
      <c r="H2575" s="8" t="n">
        <v>14.65</v>
      </c>
      <c r="I2575" s="8" t="n">
        <v>14.65</v>
      </c>
      <c r="J2575" s="8" t="n"/>
      <c r="K2575" s="7" t="inlineStr">
        <is>
          <t>SEM COTAÇÃO</t>
        </is>
      </c>
      <c r="L2575" s="8" t="n"/>
      <c r="M2575" s="12" t="n"/>
      <c r="N2575" s="7" t="inlineStr"/>
      <c r="O2575" s="7" t="inlineStr"/>
    </row>
    <row r="2576">
      <c r="A2576" s="7" t="n">
        <v>631531</v>
      </c>
      <c r="B2576" s="10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1" t="n">
        <v>1</v>
      </c>
      <c r="G2576" s="11" t="n">
        <v>1</v>
      </c>
      <c r="H2576" s="8" t="n">
        <v>20.055</v>
      </c>
      <c r="I2576" s="8" t="n">
        <v>20.055</v>
      </c>
      <c r="J2576" s="8" t="n"/>
      <c r="K2576" s="7" t="inlineStr">
        <is>
          <t>SEM COTAÇÃO</t>
        </is>
      </c>
      <c r="L2576" s="8" t="n"/>
      <c r="M2576" s="12" t="n"/>
      <c r="N2576" s="7" t="inlineStr"/>
      <c r="O2576" s="7" t="inlineStr"/>
    </row>
    <row r="2577">
      <c r="A2577" s="7" t="n">
        <v>589701</v>
      </c>
      <c r="B2577" s="10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1" t="n">
        <v>1</v>
      </c>
      <c r="G2577" s="11" t="n">
        <v>1</v>
      </c>
      <c r="H2577" s="8" t="n">
        <v>12.29</v>
      </c>
      <c r="I2577" s="8" t="n">
        <v>12.29</v>
      </c>
      <c r="J2577" s="8" t="n"/>
      <c r="K2577" s="7" t="inlineStr">
        <is>
          <t>SEM COTAÇÃO</t>
        </is>
      </c>
      <c r="L2577" s="8" t="n"/>
      <c r="M2577" s="12" t="n"/>
      <c r="N2577" s="7" t="inlineStr"/>
      <c r="O2577" s="7" t="inlineStr"/>
    </row>
    <row r="2578">
      <c r="A2578" s="7" t="n">
        <v>534101</v>
      </c>
      <c r="B2578" s="10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1" t="n">
        <v>1</v>
      </c>
      <c r="G2578" s="11" t="n">
        <v>1</v>
      </c>
      <c r="H2578" s="8" t="n">
        <v>9.56</v>
      </c>
      <c r="I2578" s="8" t="n">
        <v>9.56</v>
      </c>
      <c r="J2578" s="8" t="n"/>
      <c r="K2578" s="7" t="inlineStr">
        <is>
          <t>SEM COTAÇÃO</t>
        </is>
      </c>
      <c r="L2578" s="8" t="n"/>
      <c r="M2578" s="12" t="n"/>
      <c r="N2578" s="7" t="inlineStr"/>
      <c r="O2578" s="7" t="inlineStr"/>
    </row>
    <row r="2579">
      <c r="A2579" s="7" t="n">
        <v>552141</v>
      </c>
      <c r="B2579" s="10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1" t="n">
        <v>1</v>
      </c>
      <c r="G2579" s="11" t="n">
        <v>1</v>
      </c>
      <c r="H2579" s="8" t="n">
        <v>15.08</v>
      </c>
      <c r="I2579" s="8" t="n">
        <v>15.08</v>
      </c>
      <c r="J2579" s="8" t="n"/>
      <c r="K2579" s="7" t="inlineStr">
        <is>
          <t>SEM COTAÇÃO</t>
        </is>
      </c>
      <c r="L2579" s="8" t="n"/>
      <c r="M2579" s="12" t="n"/>
      <c r="N2579" s="7" t="inlineStr"/>
      <c r="O2579" s="7" t="inlineStr"/>
    </row>
    <row r="2580">
      <c r="A2580" s="7" t="n">
        <v>533441</v>
      </c>
      <c r="B2580" s="10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1" t="n">
        <v>1</v>
      </c>
      <c r="G2580" s="11" t="n">
        <v>1</v>
      </c>
      <c r="H2580" s="8" t="n">
        <v>12.66</v>
      </c>
      <c r="I2580" s="8" t="n">
        <v>12.66</v>
      </c>
      <c r="J2580" s="8" t="n"/>
      <c r="K2580" s="7" t="inlineStr">
        <is>
          <t>SEM COTAÇÃO</t>
        </is>
      </c>
      <c r="L2580" s="8" t="n"/>
      <c r="M2580" s="12" t="n"/>
      <c r="N2580" s="7" t="inlineStr"/>
      <c r="O2580" s="7" t="inlineStr"/>
    </row>
    <row r="2581">
      <c r="A2581" s="7" t="n">
        <v>663131</v>
      </c>
      <c r="B2581" s="10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1" t="n">
        <v>1</v>
      </c>
      <c r="G2581" s="11" t="n">
        <v>1</v>
      </c>
      <c r="H2581" s="8" t="n">
        <v>13.22</v>
      </c>
      <c r="I2581" s="8" t="n">
        <v>13.22</v>
      </c>
      <c r="J2581" s="8" t="n"/>
      <c r="K2581" s="7" t="inlineStr">
        <is>
          <t>SEM COTAÇÃO</t>
        </is>
      </c>
      <c r="L2581" s="8" t="n"/>
      <c r="M2581" s="12" t="n"/>
      <c r="N2581" s="7" t="inlineStr"/>
      <c r="O2581" s="7" t="inlineStr"/>
    </row>
    <row r="2582">
      <c r="A2582" s="7" t="n">
        <v>663141</v>
      </c>
      <c r="B2582" s="10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1" t="n">
        <v>2</v>
      </c>
      <c r="G2582" s="11" t="n">
        <v>2</v>
      </c>
      <c r="H2582" s="8" t="n">
        <v>13.625</v>
      </c>
      <c r="I2582" s="8" t="n">
        <v>13.625</v>
      </c>
      <c r="J2582" s="8" t="n"/>
      <c r="K2582" s="7" t="inlineStr">
        <is>
          <t>SEM COTAÇÃO</t>
        </is>
      </c>
      <c r="L2582" s="8" t="n"/>
      <c r="M2582" s="12" t="n"/>
      <c r="N2582" s="7" t="inlineStr"/>
      <c r="O2582" s="7" t="inlineStr"/>
    </row>
    <row r="2583">
      <c r="A2583" s="7" t="n">
        <v>548901</v>
      </c>
      <c r="B2583" s="10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1" t="n">
        <v>1</v>
      </c>
      <c r="G2583" s="11" t="n">
        <v>1</v>
      </c>
      <c r="H2583" s="8" t="n">
        <v>9.56</v>
      </c>
      <c r="I2583" s="8" t="n">
        <v>9.56</v>
      </c>
      <c r="J2583" s="8" t="n"/>
      <c r="K2583" s="7" t="inlineStr">
        <is>
          <t>SEM COTAÇÃO</t>
        </is>
      </c>
      <c r="L2583" s="8" t="n"/>
      <c r="M2583" s="12" t="n"/>
      <c r="N2583" s="7" t="inlineStr"/>
      <c r="O2583" s="7" t="inlineStr"/>
    </row>
    <row r="2584">
      <c r="A2584" s="7" t="n">
        <v>632251</v>
      </c>
      <c r="B2584" s="10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1" t="n">
        <v>1</v>
      </c>
      <c r="G2584" s="11" t="n">
        <v>1</v>
      </c>
      <c r="H2584" s="8" t="n">
        <v>17.81</v>
      </c>
      <c r="I2584" s="8" t="n">
        <v>17.81</v>
      </c>
      <c r="J2584" s="8" t="n"/>
      <c r="K2584" s="7" t="inlineStr">
        <is>
          <t>SEM COTAÇÃO</t>
        </is>
      </c>
      <c r="L2584" s="8" t="n"/>
      <c r="M2584" s="12" t="n"/>
      <c r="N2584" s="7" t="inlineStr"/>
      <c r="O2584" s="7" t="inlineStr"/>
    </row>
    <row r="2585">
      <c r="A2585" s="7" t="n">
        <v>535221</v>
      </c>
      <c r="B2585" s="10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1" t="n">
        <v>3</v>
      </c>
      <c r="G2585" s="11" t="n">
        <v>3</v>
      </c>
      <c r="H2585" s="8" t="n">
        <v>12.75</v>
      </c>
      <c r="I2585" s="8" t="n">
        <v>9.73</v>
      </c>
      <c r="J2585" s="8" t="n"/>
      <c r="K2585" s="7" t="inlineStr">
        <is>
          <t>SEM COTAÇÃO</t>
        </is>
      </c>
      <c r="L2585" s="8" t="n"/>
      <c r="M2585" s="12" t="n"/>
      <c r="N2585" s="7" t="inlineStr"/>
      <c r="O2585" s="7" t="inlineStr"/>
    </row>
    <row r="2586">
      <c r="A2586" s="7" t="n">
        <v>649971</v>
      </c>
      <c r="B2586" s="10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1" t="n">
        <v>1</v>
      </c>
      <c r="G2586" s="11" t="n">
        <v>1</v>
      </c>
      <c r="H2586" s="8" t="n">
        <v>21.19</v>
      </c>
      <c r="I2586" s="8" t="n">
        <v>21.19</v>
      </c>
      <c r="J2586" s="8" t="n"/>
      <c r="K2586" s="7" t="inlineStr">
        <is>
          <t>SEM COTAÇÃO</t>
        </is>
      </c>
      <c r="L2586" s="8" t="n"/>
      <c r="M2586" s="12" t="n"/>
      <c r="N2586" s="7" t="inlineStr"/>
      <c r="O2586" s="7" t="inlineStr"/>
    </row>
    <row r="2587">
      <c r="A2587" s="7" t="n">
        <v>649991</v>
      </c>
      <c r="B2587" s="10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1" t="n">
        <v>1</v>
      </c>
      <c r="G2587" s="11" t="n">
        <v>1</v>
      </c>
      <c r="H2587" s="8" t="n">
        <v>21.19</v>
      </c>
      <c r="I2587" s="8" t="n">
        <v>21.19</v>
      </c>
      <c r="J2587" s="8" t="n"/>
      <c r="K2587" s="7" t="inlineStr">
        <is>
          <t>SEM COTAÇÃO</t>
        </is>
      </c>
      <c r="L2587" s="8" t="n"/>
      <c r="M2587" s="12" t="n"/>
      <c r="N2587" s="7" t="inlineStr"/>
      <c r="O2587" s="7" t="inlineStr"/>
    </row>
    <row r="2588">
      <c r="A2588" s="7" t="n">
        <v>656471</v>
      </c>
      <c r="B2588" s="10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1" t="n">
        <v>1</v>
      </c>
      <c r="G2588" s="11" t="n">
        <v>1</v>
      </c>
      <c r="H2588" s="8" t="n">
        <v>21.19</v>
      </c>
      <c r="I2588" s="8" t="n">
        <v>21.19</v>
      </c>
      <c r="J2588" s="8" t="n"/>
      <c r="K2588" s="7" t="inlineStr">
        <is>
          <t>SEM COTAÇÃO</t>
        </is>
      </c>
      <c r="L2588" s="8" t="n"/>
      <c r="M2588" s="12" t="n"/>
      <c r="N2588" s="7" t="inlineStr"/>
      <c r="O2588" s="7" t="inlineStr"/>
    </row>
    <row r="2589">
      <c r="A2589" s="7" t="n">
        <v>670491</v>
      </c>
      <c r="B2589" s="10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1" t="n">
        <v>1</v>
      </c>
      <c r="G2589" s="11" t="n">
        <v>1</v>
      </c>
      <c r="H2589" s="8" t="n">
        <v>21.19</v>
      </c>
      <c r="I2589" s="8" t="n">
        <v>21.19</v>
      </c>
      <c r="J2589" s="8" t="n"/>
      <c r="K2589" s="7" t="inlineStr">
        <is>
          <t>SEM COTAÇÃO</t>
        </is>
      </c>
      <c r="L2589" s="8" t="n"/>
      <c r="M2589" s="12" t="n"/>
      <c r="N2589" s="7" t="inlineStr"/>
      <c r="O2589" s="7" t="inlineStr"/>
    </row>
    <row r="2590">
      <c r="A2590" s="7" t="n">
        <v>650011</v>
      </c>
      <c r="B2590" s="10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1" t="n">
        <v>2</v>
      </c>
      <c r="G2590" s="11" t="n">
        <v>2</v>
      </c>
      <c r="H2590" s="8" t="n">
        <v>21.19</v>
      </c>
      <c r="I2590" s="8" t="n">
        <v>21.19</v>
      </c>
      <c r="J2590" s="8" t="n"/>
      <c r="K2590" s="7" t="inlineStr">
        <is>
          <t>SEM COTAÇÃO</t>
        </is>
      </c>
      <c r="L2590" s="8" t="n"/>
      <c r="M2590" s="12" t="n"/>
      <c r="N2590" s="7" t="inlineStr"/>
      <c r="O2590" s="7" t="inlineStr"/>
    </row>
    <row r="2591">
      <c r="A2591" s="7" t="n">
        <v>656491</v>
      </c>
      <c r="B2591" s="10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1" t="n">
        <v>1</v>
      </c>
      <c r="G2591" s="11" t="n">
        <v>1</v>
      </c>
      <c r="H2591" s="8" t="n">
        <v>24.93</v>
      </c>
      <c r="I2591" s="8" t="n">
        <v>24.93</v>
      </c>
      <c r="J2591" s="8" t="n"/>
      <c r="K2591" s="7" t="inlineStr">
        <is>
          <t>SEM COTAÇÃO</t>
        </is>
      </c>
      <c r="L2591" s="8" t="n"/>
      <c r="M2591" s="12" t="n"/>
      <c r="N2591" s="7" t="inlineStr"/>
      <c r="O2591" s="7" t="inlineStr"/>
    </row>
    <row r="2592">
      <c r="A2592" s="7" t="n">
        <v>664651</v>
      </c>
      <c r="B2592" s="10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1" t="n">
        <v>1</v>
      </c>
      <c r="G2592" s="11" t="n">
        <v>1</v>
      </c>
      <c r="H2592" s="8" t="n">
        <v>21.19</v>
      </c>
      <c r="I2592" s="8" t="n">
        <v>21.19</v>
      </c>
      <c r="J2592" s="8" t="n"/>
      <c r="K2592" s="7" t="inlineStr">
        <is>
          <t>SEM COTAÇÃO</t>
        </is>
      </c>
      <c r="L2592" s="8" t="n"/>
      <c r="M2592" s="12" t="n"/>
      <c r="N2592" s="7" t="inlineStr"/>
      <c r="O2592" s="7" t="inlineStr"/>
    </row>
    <row r="2593">
      <c r="A2593" s="7" t="n">
        <v>650021</v>
      </c>
      <c r="B2593" s="10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1" t="n">
        <v>1</v>
      </c>
      <c r="G2593" s="11" t="n">
        <v>1</v>
      </c>
      <c r="H2593" s="8" t="n">
        <v>21.19</v>
      </c>
      <c r="I2593" s="8" t="n">
        <v>21.19</v>
      </c>
      <c r="J2593" s="8" t="n"/>
      <c r="K2593" s="7" t="inlineStr">
        <is>
          <t>SEM COTAÇÃO</t>
        </is>
      </c>
      <c r="L2593" s="8" t="n"/>
      <c r="M2593" s="12" t="n"/>
      <c r="N2593" s="7" t="inlineStr"/>
      <c r="O2593" s="7" t="inlineStr"/>
    </row>
    <row r="2594">
      <c r="A2594" s="7" t="n">
        <v>656501</v>
      </c>
      <c r="B2594" s="10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1" t="n">
        <v>1</v>
      </c>
      <c r="G2594" s="11" t="n">
        <v>1</v>
      </c>
      <c r="H2594" s="8" t="n">
        <v>24.93</v>
      </c>
      <c r="I2594" s="8" t="n">
        <v>24.93</v>
      </c>
      <c r="J2594" s="8" t="n"/>
      <c r="K2594" s="7" t="inlineStr">
        <is>
          <t>SEM COTAÇÃO</t>
        </is>
      </c>
      <c r="L2594" s="8" t="n"/>
      <c r="M2594" s="12" t="n"/>
      <c r="N2594" s="7" t="inlineStr"/>
      <c r="O2594" s="7" t="inlineStr"/>
    </row>
    <row r="2595">
      <c r="A2595" s="7" t="n">
        <v>656511</v>
      </c>
      <c r="B2595" s="10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1" t="n">
        <v>1</v>
      </c>
      <c r="G2595" s="11" t="n">
        <v>1</v>
      </c>
      <c r="H2595" s="8" t="n">
        <v>21.19</v>
      </c>
      <c r="I2595" s="8" t="n">
        <v>21.19</v>
      </c>
      <c r="J2595" s="8" t="n"/>
      <c r="K2595" s="7" t="inlineStr">
        <is>
          <t>SEM COTAÇÃO</t>
        </is>
      </c>
      <c r="L2595" s="8" t="n"/>
      <c r="M2595" s="12" t="n"/>
      <c r="N2595" s="7" t="inlineStr"/>
      <c r="O2595" s="7" t="inlineStr"/>
    </row>
    <row r="2596">
      <c r="A2596" s="7" t="n">
        <v>650041</v>
      </c>
      <c r="B2596" s="10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1" t="n">
        <v>2</v>
      </c>
      <c r="G2596" s="11" t="n">
        <v>2</v>
      </c>
      <c r="H2596" s="8" t="n">
        <v>21.19</v>
      </c>
      <c r="I2596" s="8" t="n">
        <v>21.19</v>
      </c>
      <c r="J2596" s="8" t="n"/>
      <c r="K2596" s="7" t="inlineStr">
        <is>
          <t>SEM COTAÇÃO</t>
        </is>
      </c>
      <c r="L2596" s="8" t="n"/>
      <c r="M2596" s="12" t="n"/>
      <c r="N2596" s="7" t="inlineStr"/>
      <c r="O2596" s="7" t="inlineStr"/>
    </row>
    <row r="2597">
      <c r="A2597" s="7" t="n">
        <v>656521</v>
      </c>
      <c r="B2597" s="10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1" t="n">
        <v>1</v>
      </c>
      <c r="G2597" s="11" t="n">
        <v>1</v>
      </c>
      <c r="H2597" s="8" t="n">
        <v>24.93</v>
      </c>
      <c r="I2597" s="8" t="n">
        <v>24.93</v>
      </c>
      <c r="J2597" s="8" t="n"/>
      <c r="K2597" s="7" t="inlineStr">
        <is>
          <t>SEM COTAÇÃO</t>
        </is>
      </c>
      <c r="L2597" s="8" t="n"/>
      <c r="M2597" s="12" t="n"/>
      <c r="N2597" s="7" t="inlineStr"/>
      <c r="O2597" s="7" t="inlineStr"/>
    </row>
    <row r="2598">
      <c r="A2598" s="7" t="n">
        <v>656531</v>
      </c>
      <c r="B2598" s="10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1" t="n">
        <v>1</v>
      </c>
      <c r="G2598" s="11" t="n">
        <v>1</v>
      </c>
      <c r="H2598" s="8" t="n">
        <v>24.93</v>
      </c>
      <c r="I2598" s="8" t="n">
        <v>24.93</v>
      </c>
      <c r="J2598" s="8" t="n"/>
      <c r="K2598" s="7" t="inlineStr">
        <is>
          <t>SEM COTAÇÃO</t>
        </is>
      </c>
      <c r="L2598" s="8" t="n"/>
      <c r="M2598" s="12" t="n"/>
      <c r="N2598" s="7" t="inlineStr"/>
      <c r="O2598" s="7" t="inlineStr"/>
    </row>
    <row r="2599">
      <c r="A2599" s="7" t="n">
        <v>595041</v>
      </c>
      <c r="B2599" s="10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1" t="n">
        <v>1</v>
      </c>
      <c r="G2599" s="11" t="n">
        <v>17</v>
      </c>
      <c r="H2599" s="8" t="n">
        <v>3.4258</v>
      </c>
      <c r="I2599" s="8" t="n">
        <v>3.4258</v>
      </c>
      <c r="J2599" s="8" t="n"/>
      <c r="K2599" s="7" t="inlineStr">
        <is>
          <t>SEM COTAÇÃO</t>
        </is>
      </c>
      <c r="L2599" s="8" t="n"/>
      <c r="M2599" s="12" t="n"/>
      <c r="N2599" s="7" t="inlineStr"/>
      <c r="O2599" s="7" t="inlineStr"/>
    </row>
    <row r="2600">
      <c r="A2600" s="7" t="n">
        <v>554901</v>
      </c>
      <c r="B2600" s="10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1" t="n">
        <v>1</v>
      </c>
      <c r="G2600" s="11" t="n">
        <v>19</v>
      </c>
      <c r="H2600" s="8" t="n">
        <v>3.4529</v>
      </c>
      <c r="I2600" s="8" t="n">
        <v>3.3588</v>
      </c>
      <c r="J2600" s="8" t="n"/>
      <c r="K2600" s="7" t="inlineStr">
        <is>
          <t>SEM COTAÇÃO</t>
        </is>
      </c>
      <c r="L2600" s="8" t="n"/>
      <c r="M2600" s="12" t="n"/>
      <c r="N2600" s="7" t="inlineStr"/>
      <c r="O2600" s="7" t="inlineStr"/>
    </row>
    <row r="2601">
      <c r="A2601" s="7" t="n">
        <v>537141</v>
      </c>
      <c r="B2601" s="10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1" t="n">
        <v>2</v>
      </c>
      <c r="G2601" s="11" t="n">
        <v>48</v>
      </c>
      <c r="H2601" s="8" t="n">
        <v>3.4258</v>
      </c>
      <c r="I2601" s="8" t="n">
        <v>3.3588</v>
      </c>
      <c r="J2601" s="8" t="n"/>
      <c r="K2601" s="7" t="inlineStr">
        <is>
          <t>SEM COTAÇÃO</t>
        </is>
      </c>
      <c r="L2601" s="8" t="n"/>
      <c r="M2601" s="12" t="n"/>
      <c r="N2601" s="7" t="inlineStr"/>
      <c r="O2601" s="7" t="inlineStr"/>
    </row>
    <row r="2602">
      <c r="A2602" s="7" t="n">
        <v>556341</v>
      </c>
      <c r="B2602" s="10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1" t="n">
        <v>7</v>
      </c>
      <c r="G2602" s="11" t="n">
        <v>7</v>
      </c>
      <c r="H2602" s="8" t="n">
        <v>38.1</v>
      </c>
      <c r="I2602" s="8" t="n">
        <v>35.6038</v>
      </c>
      <c r="J2602" s="8" t="n"/>
      <c r="K2602" s="7" t="inlineStr">
        <is>
          <t>SEM COTAÇÃO</t>
        </is>
      </c>
      <c r="L2602" s="8" t="n"/>
      <c r="M2602" s="12" t="n"/>
      <c r="N2602" s="7" t="inlineStr"/>
      <c r="O2602" s="7" t="inlineStr"/>
    </row>
    <row r="2603">
      <c r="A2603" s="7" t="n">
        <v>636691</v>
      </c>
      <c r="B2603" s="10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1" t="n">
        <v>1</v>
      </c>
      <c r="G2603" s="11" t="n">
        <v>1</v>
      </c>
      <c r="H2603" s="8" t="n">
        <v>4.86</v>
      </c>
      <c r="I2603" s="8" t="n">
        <v>4.85</v>
      </c>
      <c r="J2603" s="8" t="n"/>
      <c r="K2603" s="7" t="inlineStr">
        <is>
          <t>SEM COTAÇÃO</t>
        </is>
      </c>
      <c r="L2603" s="8" t="n"/>
      <c r="M2603" s="12" t="n"/>
      <c r="N2603" s="7" t="inlineStr"/>
      <c r="O2603" s="7" t="inlineStr"/>
    </row>
    <row r="2604">
      <c r="A2604" s="7" t="n">
        <v>636641</v>
      </c>
      <c r="B2604" s="10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1" t="n">
        <v>2</v>
      </c>
      <c r="G2604" s="11" t="n">
        <v>2</v>
      </c>
      <c r="H2604" s="8" t="n">
        <v>14.95</v>
      </c>
      <c r="I2604" s="8" t="n">
        <v>14.95</v>
      </c>
      <c r="J2604" s="8" t="n"/>
      <c r="K2604" s="7" t="inlineStr">
        <is>
          <t>SEM COTAÇÃO</t>
        </is>
      </c>
      <c r="L2604" s="8" t="n"/>
      <c r="M2604" s="12" t="n"/>
      <c r="N2604" s="7" t="inlineStr"/>
      <c r="O2604" s="7" t="inlineStr"/>
    </row>
    <row r="2605">
      <c r="A2605" s="7" t="n">
        <v>636661</v>
      </c>
      <c r="B2605" s="10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1" t="n">
        <v>1</v>
      </c>
      <c r="G2605" s="11" t="n">
        <v>1</v>
      </c>
      <c r="H2605" s="8" t="n">
        <v>9.4</v>
      </c>
      <c r="I2605" s="8" t="n">
        <v>9.4</v>
      </c>
      <c r="J2605" s="8" t="n"/>
      <c r="K2605" s="7" t="inlineStr">
        <is>
          <t>SEM COTAÇÃO</t>
        </is>
      </c>
      <c r="L2605" s="8" t="n"/>
      <c r="M2605" s="12" t="n"/>
      <c r="N2605" s="7" t="inlineStr"/>
      <c r="O2605" s="7" t="inlineStr"/>
    </row>
    <row r="2606">
      <c r="A2606" s="7" t="n">
        <v>636741</v>
      </c>
      <c r="B2606" s="10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1" t="n">
        <v>3</v>
      </c>
      <c r="G2606" s="11" t="n">
        <v>3</v>
      </c>
      <c r="H2606" s="8" t="n">
        <v>9.16</v>
      </c>
      <c r="I2606" s="8" t="n">
        <v>9.15</v>
      </c>
      <c r="J2606" s="8" t="n"/>
      <c r="K2606" s="7" t="inlineStr">
        <is>
          <t>SEM COTAÇÃO</t>
        </is>
      </c>
      <c r="L2606" s="8" t="n"/>
      <c r="M2606" s="12" t="n"/>
      <c r="N2606" s="7" t="inlineStr"/>
      <c r="O2606" s="7" t="inlineStr"/>
    </row>
    <row r="2607">
      <c r="A2607" s="7" t="n">
        <v>2393</v>
      </c>
      <c r="B2607" s="10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1" t="n">
        <v>1</v>
      </c>
      <c r="G2607" s="11" t="n">
        <v>1</v>
      </c>
      <c r="H2607" s="8" t="n">
        <v>13.62</v>
      </c>
      <c r="I2607" s="8" t="n">
        <v>13.62</v>
      </c>
      <c r="J2607" s="8" t="n"/>
      <c r="K2607" s="7" t="inlineStr">
        <is>
          <t>SEM COTAÇÃO</t>
        </is>
      </c>
      <c r="L2607" s="8" t="n"/>
      <c r="M2607" s="12" t="n"/>
      <c r="N2607" s="7" t="inlineStr"/>
      <c r="O2607" s="7" t="inlineStr"/>
    </row>
    <row r="2608">
      <c r="A2608" s="7" t="n">
        <v>644551</v>
      </c>
      <c r="B2608" s="10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1" t="n">
        <v>1</v>
      </c>
      <c r="G2608" s="11" t="n">
        <v>1</v>
      </c>
      <c r="H2608" s="8" t="n">
        <v>13.02</v>
      </c>
      <c r="I2608" s="8" t="n">
        <v>13.02</v>
      </c>
      <c r="J2608" s="8" t="n"/>
      <c r="K2608" s="7" t="inlineStr">
        <is>
          <t>SEM COTAÇÃO</t>
        </is>
      </c>
      <c r="L2608" s="8" t="n"/>
      <c r="M2608" s="12" t="n"/>
      <c r="N2608" s="7" t="inlineStr"/>
      <c r="O2608" s="7" t="inlineStr"/>
    </row>
    <row r="2609">
      <c r="A2609" s="7" t="n">
        <v>673491</v>
      </c>
      <c r="B2609" s="10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1" t="n">
        <v>1</v>
      </c>
      <c r="G2609" s="11" t="n">
        <v>1</v>
      </c>
      <c r="H2609" s="8" t="n">
        <v>18.69</v>
      </c>
      <c r="I2609" s="8" t="n">
        <v>18.69</v>
      </c>
      <c r="J2609" s="8" t="n"/>
      <c r="K2609" s="7" t="inlineStr">
        <is>
          <t>SEM COTAÇÃO</t>
        </is>
      </c>
      <c r="L2609" s="8" t="n"/>
      <c r="M2609" s="12" t="n"/>
      <c r="N2609" s="7" t="inlineStr"/>
      <c r="O2609" s="7" t="inlineStr"/>
    </row>
    <row r="2610">
      <c r="A2610" s="7" t="n">
        <v>649621</v>
      </c>
      <c r="B2610" s="10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1" t="n">
        <v>3</v>
      </c>
      <c r="G2610" s="11" t="n">
        <v>3</v>
      </c>
      <c r="H2610" s="8" t="n">
        <v>15.4</v>
      </c>
      <c r="I2610" s="8" t="n">
        <v>15.4</v>
      </c>
      <c r="J2610" s="8" t="n"/>
      <c r="K2610" s="7" t="inlineStr">
        <is>
          <t>SEM COTAÇÃO</t>
        </is>
      </c>
      <c r="L2610" s="8" t="n"/>
      <c r="M2610" s="12" t="n"/>
      <c r="N2610" s="7" t="inlineStr"/>
      <c r="O2610" s="7" t="inlineStr"/>
    </row>
    <row r="2611">
      <c r="A2611" s="7" t="n">
        <v>636701</v>
      </c>
      <c r="B2611" s="10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1" t="n">
        <v>1</v>
      </c>
      <c r="G2611" s="11" t="n">
        <v>1</v>
      </c>
      <c r="H2611" s="8" t="n">
        <v>10.65</v>
      </c>
      <c r="I2611" s="8" t="n">
        <v>10.65</v>
      </c>
      <c r="J2611" s="8" t="n"/>
      <c r="K2611" s="7" t="inlineStr">
        <is>
          <t>SEM COTAÇÃO</t>
        </is>
      </c>
      <c r="L2611" s="8" t="n"/>
      <c r="M2611" s="12" t="n"/>
      <c r="N2611" s="7" t="inlineStr"/>
      <c r="O2611" s="7" t="inlineStr"/>
    </row>
    <row r="2612">
      <c r="A2612" s="7" t="n">
        <v>190241</v>
      </c>
      <c r="B2612" s="10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1" t="n">
        <v>3</v>
      </c>
      <c r="G2612" s="11" t="n">
        <v>3</v>
      </c>
      <c r="H2612" s="8" t="n">
        <v>54.35</v>
      </c>
      <c r="I2612" s="8" t="n">
        <v>49.1033</v>
      </c>
      <c r="J2612" s="8" t="n"/>
      <c r="K2612" s="7" t="inlineStr">
        <is>
          <t>SEM COTAÇÃO</t>
        </is>
      </c>
      <c r="L2612" s="8" t="n"/>
      <c r="M2612" s="12" t="n"/>
      <c r="N2612" s="7" t="inlineStr"/>
      <c r="O2612" s="7" t="inlineStr"/>
    </row>
    <row r="2613">
      <c r="A2613" s="7" t="n">
        <v>114101</v>
      </c>
      <c r="B2613" s="10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1" t="n">
        <v>7</v>
      </c>
      <c r="G2613" s="11" t="n">
        <v>7</v>
      </c>
      <c r="H2613" s="8" t="n">
        <v>29.24</v>
      </c>
      <c r="I2613" s="8" t="n">
        <v>25.52</v>
      </c>
      <c r="J2613" s="8" t="n"/>
      <c r="K2613" s="7" t="inlineStr">
        <is>
          <t>SEM COTAÇÃO</t>
        </is>
      </c>
      <c r="L2613" s="8" t="n"/>
      <c r="M2613" s="12" t="n"/>
      <c r="N2613" s="7" t="inlineStr"/>
      <c r="O2613" s="7" t="inlineStr"/>
    </row>
    <row r="2614">
      <c r="A2614" s="7" t="n">
        <v>654991</v>
      </c>
      <c r="B2614" s="10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1" t="n">
        <v>1</v>
      </c>
      <c r="G2614" s="11" t="n">
        <v>1</v>
      </c>
      <c r="H2614" s="8" t="n">
        <v>24.94</v>
      </c>
      <c r="I2614" s="8" t="n">
        <v>24.94</v>
      </c>
      <c r="J2614" s="8" t="n"/>
      <c r="K2614" s="7" t="inlineStr">
        <is>
          <t>SEM COTAÇÃO</t>
        </is>
      </c>
      <c r="L2614" s="8" t="n"/>
      <c r="M2614" s="12" t="n"/>
      <c r="N2614" s="7" t="inlineStr"/>
      <c r="O2614" s="7" t="inlineStr"/>
    </row>
    <row r="2615">
      <c r="A2615" s="7" t="n">
        <v>114801</v>
      </c>
      <c r="B2615" s="10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1" t="n">
        <v>4</v>
      </c>
      <c r="G2615" s="11" t="n">
        <v>4</v>
      </c>
      <c r="H2615" s="8" t="n">
        <v>7.99</v>
      </c>
      <c r="I2615" s="8" t="n">
        <v>7.99</v>
      </c>
      <c r="J2615" s="8" t="n"/>
      <c r="K2615" s="7" t="inlineStr">
        <is>
          <t>SEM COTAÇÃO</t>
        </is>
      </c>
      <c r="L2615" s="8" t="n"/>
      <c r="M2615" s="12" t="n"/>
      <c r="N2615" s="7" t="inlineStr"/>
      <c r="O2615" s="7" t="inlineStr"/>
    </row>
    <row r="2616">
      <c r="A2616" s="7" t="n">
        <v>1733</v>
      </c>
      <c r="B2616" s="10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1" t="n">
        <v>2</v>
      </c>
      <c r="G2616" s="11" t="n">
        <v>2</v>
      </c>
      <c r="H2616" s="8" t="n">
        <v>14.68</v>
      </c>
      <c r="I2616" s="8" t="n">
        <v>14.68</v>
      </c>
      <c r="J2616" s="8" t="n"/>
      <c r="K2616" s="7" t="inlineStr">
        <is>
          <t>SEM COTAÇÃO</t>
        </is>
      </c>
      <c r="L2616" s="8" t="n"/>
      <c r="M2616" s="12" t="n"/>
      <c r="N2616" s="7" t="inlineStr"/>
      <c r="O2616" s="7" t="inlineStr"/>
    </row>
    <row r="2617">
      <c r="A2617" s="7" t="n">
        <v>659131</v>
      </c>
      <c r="B2617" s="10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1" t="n">
        <v>1</v>
      </c>
      <c r="G2617" s="11" t="n">
        <v>1</v>
      </c>
      <c r="H2617" s="8" t="n"/>
      <c r="I2617" s="8" t="n"/>
      <c r="J2617" s="8" t="n"/>
      <c r="K2617" s="7" t="inlineStr">
        <is>
          <t>SEM COTAÇÃO</t>
        </is>
      </c>
      <c r="L2617" s="8" t="n"/>
      <c r="M2617" s="12" t="n"/>
      <c r="N2617" s="7" t="inlineStr"/>
      <c r="O2617" s="7" t="inlineStr"/>
    </row>
    <row r="2618">
      <c r="A2618" s="7" t="n">
        <v>152141</v>
      </c>
      <c r="B2618" s="10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1" t="n">
        <v>3</v>
      </c>
      <c r="G2618" s="11" t="n">
        <v>3</v>
      </c>
      <c r="H2618" s="8" t="n">
        <v>7.21</v>
      </c>
      <c r="I2618" s="8" t="n">
        <v>7.21</v>
      </c>
      <c r="J2618" s="13" t="n">
        <v>8.82</v>
      </c>
      <c r="K2618" s="7" t="inlineStr">
        <is>
          <t>DIMEC</t>
        </is>
      </c>
      <c r="L2618" s="8" t="n">
        <v>8.82</v>
      </c>
      <c r="M2618" s="12">
        <f>L2618/H2618-1</f>
        <v/>
      </c>
      <c r="N2618" s="14" t="inlineStr">
        <is>
          <t>ACIMA +22.3%</t>
        </is>
      </c>
      <c r="O2618" s="7" t="inlineStr"/>
    </row>
    <row r="2619">
      <c r="A2619" s="7" t="n">
        <v>637661</v>
      </c>
      <c r="B2619" s="10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1" t="n">
        <v>2</v>
      </c>
      <c r="G2619" s="11" t="n">
        <v>2</v>
      </c>
      <c r="H2619" s="8" t="n">
        <v>14.2933</v>
      </c>
      <c r="I2619" s="8" t="n">
        <v>14.1692</v>
      </c>
      <c r="J2619" s="8" t="n"/>
      <c r="K2619" s="7" t="inlineStr">
        <is>
          <t>SEM COTAÇÃO</t>
        </is>
      </c>
      <c r="L2619" s="8" t="n"/>
      <c r="M2619" s="12" t="n"/>
      <c r="N2619" s="7" t="inlineStr"/>
      <c r="O2619" s="7" t="inlineStr"/>
    </row>
    <row r="2620">
      <c r="A2620" s="7" t="n">
        <v>582461</v>
      </c>
      <c r="B2620" s="10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1" t="n">
        <v>4</v>
      </c>
      <c r="G2620" s="11" t="n">
        <v>4</v>
      </c>
      <c r="H2620" s="8" t="n">
        <v>14.17</v>
      </c>
      <c r="I2620" s="8" t="n">
        <v>14.17</v>
      </c>
      <c r="J2620" s="8" t="n"/>
      <c r="K2620" s="7" t="inlineStr">
        <is>
          <t>SEM COTAÇÃO</t>
        </is>
      </c>
      <c r="L2620" s="8" t="n"/>
      <c r="M2620" s="12" t="n"/>
      <c r="N2620" s="7" t="inlineStr"/>
      <c r="O2620" s="7" t="inlineStr"/>
    </row>
    <row r="2621">
      <c r="A2621" s="7" t="n">
        <v>566881</v>
      </c>
      <c r="B2621" s="10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1" t="n">
        <v>1</v>
      </c>
      <c r="G2621" s="11" t="n">
        <v>1</v>
      </c>
      <c r="H2621" s="8" t="n">
        <v>13.92</v>
      </c>
      <c r="I2621" s="8" t="n">
        <v>13.92</v>
      </c>
      <c r="J2621" s="8" t="n"/>
      <c r="K2621" s="7" t="inlineStr">
        <is>
          <t>SEM COTAÇÃO</t>
        </is>
      </c>
      <c r="L2621" s="8" t="n"/>
      <c r="M2621" s="12" t="n"/>
      <c r="N2621" s="7" t="inlineStr"/>
      <c r="O2621" s="7" t="inlineStr"/>
    </row>
    <row r="2622">
      <c r="A2622" s="7" t="n">
        <v>22803</v>
      </c>
      <c r="B2622" s="10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1" t="n">
        <v>1</v>
      </c>
      <c r="G2622" s="11" t="n">
        <v>1</v>
      </c>
      <c r="H2622" s="8" t="n">
        <v>23.18</v>
      </c>
      <c r="I2622" s="8" t="n">
        <v>23.18</v>
      </c>
      <c r="J2622" s="8" t="n"/>
      <c r="K2622" s="7" t="inlineStr">
        <is>
          <t>SEM COTAÇÃO</t>
        </is>
      </c>
      <c r="L2622" s="8" t="n"/>
      <c r="M2622" s="12" t="n"/>
      <c r="N2622" s="7" t="inlineStr"/>
      <c r="O2622" s="7" t="inlineStr"/>
    </row>
    <row r="2623">
      <c r="A2623" s="7" t="n">
        <v>594291</v>
      </c>
      <c r="B2623" s="10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1" t="n">
        <v>2</v>
      </c>
      <c r="G2623" s="11" t="n">
        <v>2</v>
      </c>
      <c r="H2623" s="8" t="n">
        <v>14.34</v>
      </c>
      <c r="I2623" s="8" t="n">
        <v>14.34</v>
      </c>
      <c r="J2623" s="8" t="n"/>
      <c r="K2623" s="7" t="inlineStr">
        <is>
          <t>SEM COTAÇÃO</t>
        </is>
      </c>
      <c r="L2623" s="8" t="n"/>
      <c r="M2623" s="12" t="n"/>
      <c r="N2623" s="7" t="inlineStr"/>
      <c r="O2623" s="7" t="inlineStr"/>
    </row>
    <row r="2624">
      <c r="A2624" s="7" t="n">
        <v>615351</v>
      </c>
      <c r="B2624" s="10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1" t="n">
        <v>5</v>
      </c>
      <c r="G2624" s="11" t="n">
        <v>5</v>
      </c>
      <c r="H2624" s="8" t="n">
        <v>14.2933</v>
      </c>
      <c r="I2624" s="8" t="n">
        <v>13.92</v>
      </c>
      <c r="J2624" s="8" t="n"/>
      <c r="K2624" s="7" t="inlineStr">
        <is>
          <t>SEM COTAÇÃO</t>
        </is>
      </c>
      <c r="L2624" s="8" t="n"/>
      <c r="M2624" s="12" t="n"/>
      <c r="N2624" s="7" t="inlineStr"/>
      <c r="O2624" s="7" t="inlineStr"/>
    </row>
    <row r="2625">
      <c r="A2625" s="7" t="n">
        <v>128981</v>
      </c>
      <c r="B2625" s="10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1" t="n">
        <v>1</v>
      </c>
      <c r="G2625" s="11" t="n">
        <v>1</v>
      </c>
      <c r="H2625" s="8" t="n">
        <v>18.52</v>
      </c>
      <c r="I2625" s="8" t="n">
        <v>17.82</v>
      </c>
      <c r="J2625" s="8" t="n"/>
      <c r="K2625" s="7" t="inlineStr">
        <is>
          <t>SEM COTAÇÃO</t>
        </is>
      </c>
      <c r="L2625" s="8" t="n"/>
      <c r="M2625" s="12" t="n"/>
      <c r="N2625" s="7" t="inlineStr"/>
      <c r="O2625" s="7" t="inlineStr"/>
    </row>
    <row r="2626">
      <c r="A2626" s="7" t="n">
        <v>129021</v>
      </c>
      <c r="B2626" s="10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1" t="n">
        <v>3</v>
      </c>
      <c r="G2626" s="11" t="n">
        <v>3</v>
      </c>
      <c r="H2626" s="8" t="n">
        <v>19.44</v>
      </c>
      <c r="I2626" s="8" t="n">
        <v>16.2667</v>
      </c>
      <c r="J2626" s="8" t="n"/>
      <c r="K2626" s="7" t="inlineStr">
        <is>
          <t>SEM COTAÇÃO</t>
        </is>
      </c>
      <c r="L2626" s="8" t="n"/>
      <c r="M2626" s="12" t="n"/>
      <c r="N2626" s="7" t="inlineStr"/>
      <c r="O2626" s="7" t="inlineStr"/>
    </row>
    <row r="2627">
      <c r="A2627" s="7" t="n">
        <v>128941</v>
      </c>
      <c r="B2627" s="10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1" t="n">
        <v>1</v>
      </c>
      <c r="G2627" s="11" t="n">
        <v>1</v>
      </c>
      <c r="H2627" s="8" t="n">
        <v>29.194</v>
      </c>
      <c r="I2627" s="8" t="n">
        <v>29.194</v>
      </c>
      <c r="J2627" s="8" t="n"/>
      <c r="K2627" s="7" t="inlineStr">
        <is>
          <t>SEM COTAÇÃO</t>
        </is>
      </c>
      <c r="L2627" s="8" t="n"/>
      <c r="M2627" s="12" t="n"/>
      <c r="N2627" s="7" t="inlineStr"/>
      <c r="O2627" s="7" t="inlineStr"/>
    </row>
    <row r="2628">
      <c r="A2628" s="7" t="n">
        <v>662291</v>
      </c>
      <c r="B2628" s="10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1" t="n">
        <v>1</v>
      </c>
      <c r="G2628" s="11" t="n">
        <v>1</v>
      </c>
      <c r="H2628" s="8" t="n">
        <v>61.68</v>
      </c>
      <c r="I2628" s="8" t="n">
        <v>61.67</v>
      </c>
      <c r="J2628" s="8" t="n"/>
      <c r="K2628" s="7" t="inlineStr">
        <is>
          <t>SEM COTAÇÃO</t>
        </is>
      </c>
      <c r="L2628" s="8" t="n"/>
      <c r="M2628" s="12" t="n"/>
      <c r="N2628" s="7" t="inlineStr"/>
      <c r="O2628" s="7" t="inlineStr"/>
    </row>
    <row r="2629">
      <c r="A2629" s="7" t="n">
        <v>615601</v>
      </c>
      <c r="B2629" s="10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1" t="n">
        <v>2</v>
      </c>
      <c r="G2629" s="11" t="n">
        <v>2</v>
      </c>
      <c r="H2629" s="8" t="n">
        <v>12.43</v>
      </c>
      <c r="I2629" s="8" t="n">
        <v>12.43</v>
      </c>
      <c r="J2629" s="8" t="n"/>
      <c r="K2629" s="7" t="inlineStr">
        <is>
          <t>SEM COTAÇÃO</t>
        </is>
      </c>
      <c r="L2629" s="8" t="n"/>
      <c r="M2629" s="12" t="n"/>
      <c r="N2629" s="7" t="inlineStr"/>
      <c r="O2629" s="7" t="inlineStr"/>
    </row>
    <row r="2630">
      <c r="A2630" s="7" t="n">
        <v>615581</v>
      </c>
      <c r="B2630" s="10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1" t="n">
        <v>1</v>
      </c>
      <c r="G2630" s="11" t="n">
        <v>1</v>
      </c>
      <c r="H2630" s="8" t="n">
        <v>6.45</v>
      </c>
      <c r="I2630" s="8" t="n">
        <v>6.45</v>
      </c>
      <c r="J2630" s="8" t="n"/>
      <c r="K2630" s="7" t="inlineStr">
        <is>
          <t>SEM COTAÇÃO</t>
        </is>
      </c>
      <c r="L2630" s="8" t="n"/>
      <c r="M2630" s="12" t="n"/>
      <c r="N2630" s="7" t="inlineStr"/>
      <c r="O2630" s="7" t="inlineStr"/>
    </row>
    <row r="2631">
      <c r="A2631" s="7" t="n">
        <v>617981</v>
      </c>
      <c r="B2631" s="10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1" t="n">
        <v>1</v>
      </c>
      <c r="G2631" s="11" t="n">
        <v>1</v>
      </c>
      <c r="H2631" s="8" t="n">
        <v>11.9</v>
      </c>
      <c r="I2631" s="8" t="n">
        <v>11.9</v>
      </c>
      <c r="J2631" s="8" t="n"/>
      <c r="K2631" s="7" t="inlineStr">
        <is>
          <t>SEM COTAÇÃO</t>
        </is>
      </c>
      <c r="L2631" s="8" t="n"/>
      <c r="M2631" s="12" t="n"/>
      <c r="N2631" s="7" t="inlineStr"/>
      <c r="O2631" s="7" t="inlineStr"/>
    </row>
    <row r="2632">
      <c r="A2632" s="7" t="n">
        <v>617971</v>
      </c>
      <c r="B2632" s="10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1" t="n">
        <v>2</v>
      </c>
      <c r="G2632" s="11" t="n">
        <v>2</v>
      </c>
      <c r="H2632" s="8" t="n">
        <v>12.98</v>
      </c>
      <c r="I2632" s="8" t="n">
        <v>12.98</v>
      </c>
      <c r="J2632" s="8" t="n"/>
      <c r="K2632" s="7" t="inlineStr">
        <is>
          <t>SEM COTAÇÃO</t>
        </is>
      </c>
      <c r="L2632" s="8" t="n"/>
      <c r="M2632" s="12" t="n"/>
      <c r="N2632" s="7" t="inlineStr"/>
      <c r="O2632" s="7" t="inlineStr"/>
    </row>
    <row r="2633">
      <c r="A2633" s="7" t="n">
        <v>627101</v>
      </c>
      <c r="B2633" s="10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1" t="n">
        <v>3</v>
      </c>
      <c r="G2633" s="11" t="n">
        <v>3</v>
      </c>
      <c r="H2633" s="8" t="n">
        <v>12.98</v>
      </c>
      <c r="I2633" s="8" t="n">
        <v>12.98</v>
      </c>
      <c r="J2633" s="8" t="n"/>
      <c r="K2633" s="7" t="inlineStr">
        <is>
          <t>SEM COTAÇÃO</t>
        </is>
      </c>
      <c r="L2633" s="8" t="n"/>
      <c r="M2633" s="12" t="n"/>
      <c r="N2633" s="7" t="inlineStr"/>
      <c r="O2633" s="7" t="inlineStr"/>
    </row>
    <row r="2634">
      <c r="A2634" s="7" t="n">
        <v>618751</v>
      </c>
      <c r="B2634" s="10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1" t="n">
        <v>3</v>
      </c>
      <c r="G2634" s="11" t="n">
        <v>3</v>
      </c>
      <c r="H2634" s="8" t="n">
        <v>12.98</v>
      </c>
      <c r="I2634" s="8" t="n">
        <v>12.98</v>
      </c>
      <c r="J2634" s="8" t="n"/>
      <c r="K2634" s="7" t="inlineStr">
        <is>
          <t>SEM COTAÇÃO</t>
        </is>
      </c>
      <c r="L2634" s="8" t="n"/>
      <c r="M2634" s="12" t="n"/>
      <c r="N2634" s="7" t="inlineStr"/>
      <c r="O2634" s="7" t="inlineStr"/>
    </row>
    <row r="2635">
      <c r="A2635" s="7" t="n">
        <v>615551</v>
      </c>
      <c r="B2635" s="10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1" t="n">
        <v>2</v>
      </c>
      <c r="G2635" s="11" t="n">
        <v>2</v>
      </c>
      <c r="H2635" s="8" t="n">
        <v>12.98</v>
      </c>
      <c r="I2635" s="8" t="n">
        <v>12.98</v>
      </c>
      <c r="J2635" s="8" t="n"/>
      <c r="K2635" s="7" t="inlineStr">
        <is>
          <t>SEM COTAÇÃO</t>
        </is>
      </c>
      <c r="L2635" s="8" t="n"/>
      <c r="M2635" s="12" t="n"/>
      <c r="N2635" s="7" t="inlineStr"/>
      <c r="O2635" s="7" t="inlineStr"/>
    </row>
    <row r="2636">
      <c r="A2636" s="7" t="n">
        <v>627111</v>
      </c>
      <c r="B2636" s="10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1" t="n">
        <v>2</v>
      </c>
      <c r="G2636" s="11" t="n">
        <v>2</v>
      </c>
      <c r="H2636" s="8" t="n">
        <v>12.98</v>
      </c>
      <c r="I2636" s="8" t="n">
        <v>12.98</v>
      </c>
      <c r="J2636" s="8" t="n"/>
      <c r="K2636" s="7" t="inlineStr">
        <is>
          <t>SEM COTAÇÃO</t>
        </is>
      </c>
      <c r="L2636" s="8" t="n"/>
      <c r="M2636" s="12" t="n"/>
      <c r="N2636" s="7" t="inlineStr"/>
      <c r="O2636" s="7" t="inlineStr"/>
    </row>
    <row r="2637">
      <c r="A2637" s="7" t="n">
        <v>615541</v>
      </c>
      <c r="B2637" s="10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1" t="n">
        <v>2</v>
      </c>
      <c r="G2637" s="11" t="n">
        <v>2</v>
      </c>
      <c r="H2637" s="8" t="n">
        <v>12.98</v>
      </c>
      <c r="I2637" s="8" t="n">
        <v>12.98</v>
      </c>
      <c r="J2637" s="8" t="n"/>
      <c r="K2637" s="7" t="inlineStr">
        <is>
          <t>SEM COTAÇÃO</t>
        </is>
      </c>
      <c r="L2637" s="8" t="n"/>
      <c r="M2637" s="12" t="n"/>
      <c r="N2637" s="7" t="inlineStr"/>
      <c r="O2637" s="7" t="inlineStr"/>
    </row>
    <row r="2638">
      <c r="A2638" s="7" t="n">
        <v>618761</v>
      </c>
      <c r="B2638" s="10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1" t="n">
        <v>2</v>
      </c>
      <c r="G2638" s="11" t="n">
        <v>2</v>
      </c>
      <c r="H2638" s="8" t="n">
        <v>20.52</v>
      </c>
      <c r="I2638" s="8" t="n">
        <v>20.52</v>
      </c>
      <c r="J2638" s="8" t="n"/>
      <c r="K2638" s="7" t="inlineStr">
        <is>
          <t>SEM COTAÇÃO</t>
        </is>
      </c>
      <c r="L2638" s="8" t="n"/>
      <c r="M2638" s="12" t="n"/>
      <c r="N2638" s="7" t="inlineStr"/>
      <c r="O2638" s="7" t="inlineStr"/>
    </row>
    <row r="2639">
      <c r="A2639" s="7" t="n">
        <v>622281</v>
      </c>
      <c r="B2639" s="10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1" t="n">
        <v>1</v>
      </c>
      <c r="G2639" s="11" t="n">
        <v>1</v>
      </c>
      <c r="H2639" s="8" t="n">
        <v>18.9</v>
      </c>
      <c r="I2639" s="8" t="n">
        <v>18.9</v>
      </c>
      <c r="J2639" s="8" t="n"/>
      <c r="K2639" s="7" t="inlineStr">
        <is>
          <t>SEM COTAÇÃO</t>
        </is>
      </c>
      <c r="L2639" s="8" t="n"/>
      <c r="M2639" s="12" t="n"/>
      <c r="N2639" s="7" t="inlineStr"/>
      <c r="O2639" s="7" t="inlineStr"/>
    </row>
    <row r="2640">
      <c r="A2640" s="7" t="n">
        <v>617901</v>
      </c>
      <c r="B2640" s="10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1" t="n">
        <v>1</v>
      </c>
      <c r="G2640" s="11" t="n">
        <v>1</v>
      </c>
      <c r="H2640" s="8" t="n">
        <v>11.96</v>
      </c>
      <c r="I2640" s="8" t="n">
        <v>11.96</v>
      </c>
      <c r="J2640" s="8" t="n"/>
      <c r="K2640" s="7" t="inlineStr">
        <is>
          <t>SEM COTAÇÃO</t>
        </is>
      </c>
      <c r="L2640" s="8" t="n"/>
      <c r="M2640" s="12" t="n"/>
      <c r="N2640" s="7" t="inlineStr"/>
      <c r="O2640" s="7" t="inlineStr"/>
    </row>
    <row r="2641">
      <c r="A2641" s="7" t="n">
        <v>615561</v>
      </c>
      <c r="B2641" s="10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1" t="n">
        <v>1</v>
      </c>
      <c r="G2641" s="11" t="n">
        <v>1</v>
      </c>
      <c r="H2641" s="8" t="n">
        <v>11.96</v>
      </c>
      <c r="I2641" s="8" t="n">
        <v>11.96</v>
      </c>
      <c r="J2641" s="8" t="n"/>
      <c r="K2641" s="7" t="inlineStr">
        <is>
          <t>SEM COTAÇÃO</t>
        </is>
      </c>
      <c r="L2641" s="8" t="n"/>
      <c r="M2641" s="12" t="n"/>
      <c r="N2641" s="7" t="inlineStr"/>
      <c r="O2641" s="7" t="inlineStr"/>
    </row>
    <row r="2642">
      <c r="A2642" s="7" t="n">
        <v>615631</v>
      </c>
      <c r="B2642" s="10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1" t="n">
        <v>2</v>
      </c>
      <c r="G2642" s="11" t="n">
        <v>2</v>
      </c>
      <c r="H2642" s="8" t="n">
        <v>12.43</v>
      </c>
      <c r="I2642" s="8" t="n">
        <v>12.43</v>
      </c>
      <c r="J2642" s="8" t="n"/>
      <c r="K2642" s="7" t="inlineStr">
        <is>
          <t>SEM COTAÇÃO</t>
        </is>
      </c>
      <c r="L2642" s="8" t="n"/>
      <c r="M2642" s="12" t="n"/>
      <c r="N2642" s="7" t="inlineStr"/>
      <c r="O2642" s="7" t="inlineStr"/>
    </row>
    <row r="2643">
      <c r="A2643" s="7" t="n">
        <v>627041</v>
      </c>
      <c r="B2643" s="10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1" t="n">
        <v>1</v>
      </c>
      <c r="G2643" s="11" t="n">
        <v>1</v>
      </c>
      <c r="H2643" s="8" t="n">
        <v>12.43</v>
      </c>
      <c r="I2643" s="8" t="n">
        <v>12.43</v>
      </c>
      <c r="J2643" s="8" t="n"/>
      <c r="K2643" s="7" t="inlineStr">
        <is>
          <t>SEM COTAÇÃO</t>
        </is>
      </c>
      <c r="L2643" s="8" t="n"/>
      <c r="M2643" s="12" t="n"/>
      <c r="N2643" s="7" t="inlineStr"/>
      <c r="O2643" s="7" t="inlineStr"/>
    </row>
    <row r="2644">
      <c r="A2644" s="7" t="n">
        <v>618721</v>
      </c>
      <c r="B2644" s="10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1" t="n">
        <v>2</v>
      </c>
      <c r="G2644" s="11" t="n">
        <v>2</v>
      </c>
      <c r="H2644" s="8" t="n">
        <v>12.43</v>
      </c>
      <c r="I2644" s="8" t="n">
        <v>12.43</v>
      </c>
      <c r="J2644" s="8" t="n"/>
      <c r="K2644" s="7" t="inlineStr">
        <is>
          <t>SEM COTAÇÃO</t>
        </is>
      </c>
      <c r="L2644" s="8" t="n"/>
      <c r="M2644" s="12" t="n"/>
      <c r="N2644" s="7" t="inlineStr"/>
      <c r="O2644" s="7" t="inlineStr"/>
    </row>
    <row r="2645">
      <c r="A2645" s="7" t="n">
        <v>615621</v>
      </c>
      <c r="B2645" s="10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1" t="n">
        <v>2</v>
      </c>
      <c r="G2645" s="11" t="n">
        <v>2</v>
      </c>
      <c r="H2645" s="8" t="n">
        <v>12.43</v>
      </c>
      <c r="I2645" s="8" t="n">
        <v>12.43</v>
      </c>
      <c r="J2645" s="8" t="n"/>
      <c r="K2645" s="7" t="inlineStr">
        <is>
          <t>SEM COTAÇÃO</t>
        </is>
      </c>
      <c r="L2645" s="8" t="n"/>
      <c r="M2645" s="12" t="n"/>
      <c r="N2645" s="7" t="inlineStr"/>
      <c r="O2645" s="7" t="inlineStr"/>
    </row>
    <row r="2646">
      <c r="A2646" s="7" t="n">
        <v>570201</v>
      </c>
      <c r="B2646" s="10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1" t="n">
        <v>3</v>
      </c>
      <c r="G2646" s="11" t="n">
        <v>3</v>
      </c>
      <c r="H2646" s="8" t="n">
        <v>16.73</v>
      </c>
      <c r="I2646" s="8" t="n">
        <v>16.73</v>
      </c>
      <c r="J2646" s="8" t="n"/>
      <c r="K2646" s="7" t="inlineStr">
        <is>
          <t>SEM COTAÇÃO</t>
        </is>
      </c>
      <c r="L2646" s="8" t="n"/>
      <c r="M2646" s="12" t="n"/>
      <c r="N2646" s="7" t="inlineStr"/>
      <c r="O2646" s="7" t="inlineStr"/>
    </row>
    <row r="2647">
      <c r="A2647" s="7" t="n">
        <v>208201</v>
      </c>
      <c r="B2647" s="10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1" t="n">
        <v>3</v>
      </c>
      <c r="G2647" s="11" t="n">
        <v>3</v>
      </c>
      <c r="H2647" s="8" t="n">
        <v>19.53</v>
      </c>
      <c r="I2647" s="8" t="n">
        <v>17.415</v>
      </c>
      <c r="J2647" s="8" t="n"/>
      <c r="K2647" s="7" t="inlineStr">
        <is>
          <t>SEM COTAÇÃO</t>
        </is>
      </c>
      <c r="L2647" s="8" t="n"/>
      <c r="M2647" s="12" t="n"/>
      <c r="N2647" s="7" t="inlineStr"/>
      <c r="O2647" s="7" t="inlineStr"/>
    </row>
    <row r="2648">
      <c r="A2648" s="7" t="n">
        <v>556941</v>
      </c>
      <c r="B2648" s="10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1" t="n">
        <v>16</v>
      </c>
      <c r="G2648" s="11" t="n">
        <v>16</v>
      </c>
      <c r="H2648" s="8" t="n">
        <v>9.09</v>
      </c>
      <c r="I2648" s="8" t="n">
        <v>9.09</v>
      </c>
      <c r="J2648" s="8" t="n"/>
      <c r="K2648" s="7" t="inlineStr">
        <is>
          <t>SEM COTAÇÃO</t>
        </is>
      </c>
      <c r="L2648" s="8" t="n"/>
      <c r="M2648" s="12" t="n"/>
      <c r="N2648" s="7" t="inlineStr"/>
      <c r="O2648" s="7" t="inlineStr"/>
    </row>
    <row r="2649">
      <c r="A2649" s="7" t="n">
        <v>549281</v>
      </c>
      <c r="B2649" s="10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1" t="n">
        <v>7</v>
      </c>
      <c r="G2649" s="11" t="n">
        <v>7</v>
      </c>
      <c r="H2649" s="8" t="n">
        <v>13.43</v>
      </c>
      <c r="I2649" s="8" t="n">
        <v>12.89</v>
      </c>
      <c r="J2649" s="8" t="n"/>
      <c r="K2649" s="7" t="inlineStr">
        <is>
          <t>SEM COTAÇÃO</t>
        </is>
      </c>
      <c r="L2649" s="8" t="n"/>
      <c r="M2649" s="12" t="n"/>
      <c r="N2649" s="7" t="inlineStr"/>
      <c r="O2649" s="7" t="inlineStr"/>
    </row>
    <row r="2650">
      <c r="A2650" s="7" t="n">
        <v>645491</v>
      </c>
      <c r="B2650" s="10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1" t="n">
        <v>3</v>
      </c>
      <c r="G2650" s="11" t="n">
        <v>3</v>
      </c>
      <c r="H2650" s="8" t="n">
        <v>4.17</v>
      </c>
      <c r="I2650" s="8" t="n">
        <v>4.17</v>
      </c>
      <c r="J2650" s="8" t="n"/>
      <c r="K2650" s="7" t="inlineStr">
        <is>
          <t>SEM COTAÇÃO</t>
        </is>
      </c>
      <c r="L2650" s="8" t="n"/>
      <c r="M2650" s="12" t="n"/>
      <c r="N2650" s="7" t="inlineStr"/>
      <c r="O2650" s="7" t="inlineStr"/>
    </row>
    <row r="2651">
      <c r="A2651" s="7" t="n">
        <v>310061</v>
      </c>
      <c r="B2651" s="10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1" t="n">
        <v>1</v>
      </c>
      <c r="G2651" s="11" t="n">
        <v>1</v>
      </c>
      <c r="H2651" s="8" t="n">
        <v>48.17</v>
      </c>
      <c r="I2651" s="8" t="n">
        <v>42.12</v>
      </c>
      <c r="J2651" s="8" t="n"/>
      <c r="K2651" s="7" t="inlineStr">
        <is>
          <t>SEM COTAÇÃO</t>
        </is>
      </c>
      <c r="L2651" s="8" t="n"/>
      <c r="M2651" s="12" t="n"/>
      <c r="N2651" s="7" t="inlineStr"/>
      <c r="O2651" s="7" t="inlineStr"/>
    </row>
    <row r="2652">
      <c r="A2652" s="7" t="n">
        <v>555341</v>
      </c>
      <c r="B2652" s="10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1" t="n">
        <v>4</v>
      </c>
      <c r="G2652" s="11" t="n">
        <v>4</v>
      </c>
      <c r="H2652" s="8" t="n">
        <v>35.342</v>
      </c>
      <c r="I2652" s="8" t="n">
        <v>33.17</v>
      </c>
      <c r="J2652" s="8" t="n"/>
      <c r="K2652" s="7" t="inlineStr">
        <is>
          <t>SEM COTAÇÃO</t>
        </is>
      </c>
      <c r="L2652" s="8" t="n"/>
      <c r="M2652" s="12" t="n"/>
      <c r="N2652" s="7" t="inlineStr"/>
      <c r="O2652" s="7" t="inlineStr"/>
    </row>
    <row r="2653">
      <c r="A2653" s="7" t="n">
        <v>586161</v>
      </c>
      <c r="B2653" s="10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1" t="n">
        <v>10</v>
      </c>
      <c r="G2653" s="11" t="n">
        <v>10</v>
      </c>
      <c r="H2653" s="8" t="n">
        <v>1.096</v>
      </c>
      <c r="I2653" s="8" t="n">
        <v>1.096</v>
      </c>
      <c r="J2653" s="8" t="n"/>
      <c r="K2653" s="7" t="inlineStr">
        <is>
          <t>SEM COTAÇÃO</t>
        </is>
      </c>
      <c r="L2653" s="8" t="n"/>
      <c r="M2653" s="12" t="n"/>
      <c r="N2653" s="7" t="inlineStr"/>
      <c r="O2653" s="7" t="inlineStr"/>
    </row>
    <row r="2654">
      <c r="A2654" s="7" t="n">
        <v>542101</v>
      </c>
      <c r="B2654" s="10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1" t="n">
        <v>1</v>
      </c>
      <c r="G2654" s="11" t="n">
        <v>1</v>
      </c>
      <c r="H2654" s="8" t="n"/>
      <c r="I2654" s="8" t="n"/>
      <c r="J2654" s="8" t="n"/>
      <c r="K2654" s="7" t="inlineStr">
        <is>
          <t>SEM COTAÇÃO</t>
        </is>
      </c>
      <c r="L2654" s="8" t="n"/>
      <c r="M2654" s="12" t="n"/>
      <c r="N2654" s="7" t="inlineStr"/>
      <c r="O2654" s="7" t="inlineStr"/>
    </row>
    <row r="2655">
      <c r="A2655" s="7" t="n">
        <v>1173</v>
      </c>
      <c r="B2655" s="10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1" t="n">
        <v>1</v>
      </c>
      <c r="G2655" s="11" t="n">
        <v>1</v>
      </c>
      <c r="H2655" s="8" t="n">
        <v>5.6025</v>
      </c>
      <c r="I2655" s="8" t="n">
        <v>5.6025</v>
      </c>
      <c r="J2655" s="8" t="n"/>
      <c r="K2655" s="7" t="inlineStr">
        <is>
          <t>SEM COTAÇÃO</t>
        </is>
      </c>
      <c r="L2655" s="8" t="n"/>
      <c r="M2655" s="12" t="n"/>
      <c r="N2655" s="7" t="inlineStr"/>
      <c r="O2655" s="7" t="inlineStr"/>
    </row>
    <row r="2656">
      <c r="A2656" s="7" t="n">
        <v>1183</v>
      </c>
      <c r="B2656" s="10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1" t="n">
        <v>1</v>
      </c>
      <c r="G2656" s="11" t="n">
        <v>1</v>
      </c>
      <c r="H2656" s="8" t="n">
        <v>2.84</v>
      </c>
      <c r="I2656" s="8" t="n">
        <v>2.84</v>
      </c>
      <c r="J2656" s="8" t="n"/>
      <c r="K2656" s="7" t="inlineStr">
        <is>
          <t>SEM COTAÇÃO</t>
        </is>
      </c>
      <c r="L2656" s="8" t="n"/>
      <c r="M2656" s="12" t="n"/>
      <c r="N2656" s="7" t="inlineStr"/>
      <c r="O2656" s="7" t="inlineStr"/>
    </row>
    <row r="2657">
      <c r="A2657" s="7" t="n">
        <v>655561</v>
      </c>
      <c r="B2657" s="10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1" t="n">
        <v>2</v>
      </c>
      <c r="G2657" s="11" t="n">
        <v>2</v>
      </c>
      <c r="H2657" s="8" t="n">
        <v>33.36</v>
      </c>
      <c r="I2657" s="8" t="n">
        <v>33.36</v>
      </c>
      <c r="J2657" s="8" t="n"/>
      <c r="K2657" s="7" t="inlineStr">
        <is>
          <t>SEM COTAÇÃO</t>
        </is>
      </c>
      <c r="L2657" s="8" t="n"/>
      <c r="M2657" s="12" t="n"/>
      <c r="N2657" s="7" t="inlineStr"/>
      <c r="O2657" s="7" t="inlineStr"/>
    </row>
    <row r="2658">
      <c r="A2658" s="7" t="n">
        <v>671941</v>
      </c>
      <c r="B2658" s="10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1" t="n">
        <v>6</v>
      </c>
      <c r="G2658" s="11" t="n">
        <v>6</v>
      </c>
      <c r="H2658" s="8" t="n">
        <v>43.96</v>
      </c>
      <c r="I2658" s="8" t="n">
        <v>37.81</v>
      </c>
      <c r="J2658" s="8" t="n"/>
      <c r="K2658" s="7" t="inlineStr">
        <is>
          <t>SEM COTAÇÃO</t>
        </is>
      </c>
      <c r="L2658" s="8" t="n"/>
      <c r="M2658" s="12" t="n"/>
      <c r="N2658" s="7" t="inlineStr"/>
      <c r="O2658" s="7" t="inlineStr"/>
    </row>
    <row r="2659">
      <c r="A2659" s="7" t="n">
        <v>3203</v>
      </c>
      <c r="B2659" s="10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1" t="n">
        <v>2</v>
      </c>
      <c r="G2659" s="11" t="n">
        <v>2</v>
      </c>
      <c r="H2659" s="8" t="n">
        <v>11.49</v>
      </c>
      <c r="I2659" s="8" t="n">
        <v>11.49</v>
      </c>
      <c r="J2659" s="13" t="n">
        <v>11.49</v>
      </c>
      <c r="K2659" s="7" t="inlineStr">
        <is>
          <t>DIMEC</t>
        </is>
      </c>
      <c r="L2659" s="8" t="n">
        <v>11.49</v>
      </c>
      <c r="M2659" s="12">
        <f>L2659/H2659-1</f>
        <v/>
      </c>
      <c r="N2659" s="15" t="inlineStr">
        <is>
          <t>OK (≤ menor hist.)</t>
        </is>
      </c>
      <c r="O2659" s="7" t="inlineStr"/>
    </row>
    <row r="2660">
      <c r="A2660" s="7" t="n">
        <v>568661</v>
      </c>
      <c r="B2660" s="10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1" t="n">
        <v>4</v>
      </c>
      <c r="G2660" s="11" t="n">
        <v>4</v>
      </c>
      <c r="H2660" s="8" t="n">
        <v>20.71</v>
      </c>
      <c r="I2660" s="8" t="n">
        <v>20.71</v>
      </c>
      <c r="J2660" s="8" t="n"/>
      <c r="K2660" s="7" t="inlineStr">
        <is>
          <t>SEM COTAÇÃO</t>
        </is>
      </c>
      <c r="L2660" s="8" t="n"/>
      <c r="M2660" s="12" t="n"/>
      <c r="N2660" s="7" t="inlineStr"/>
      <c r="O2660" s="7" t="inlineStr"/>
    </row>
    <row r="2661">
      <c r="A2661" s="7" t="n">
        <v>643461</v>
      </c>
      <c r="B2661" s="10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1" t="n">
        <v>2</v>
      </c>
      <c r="G2661" s="11" t="n">
        <v>2</v>
      </c>
      <c r="H2661" s="8" t="n">
        <v>31.79</v>
      </c>
      <c r="I2661" s="8" t="n">
        <v>31.79</v>
      </c>
      <c r="J2661" s="8" t="n"/>
      <c r="K2661" s="7" t="inlineStr">
        <is>
          <t>SEM COTAÇÃO</t>
        </is>
      </c>
      <c r="L2661" s="8" t="n"/>
      <c r="M2661" s="12" t="n"/>
      <c r="N2661" s="7" t="inlineStr"/>
      <c r="O2661" s="7" t="inlineStr"/>
    </row>
    <row r="2662">
      <c r="A2662" s="7" t="n">
        <v>630511</v>
      </c>
      <c r="B2662" s="10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1" t="n">
        <v>1</v>
      </c>
      <c r="G2662" s="11" t="n">
        <v>1</v>
      </c>
      <c r="H2662" s="8" t="n">
        <v>45.79</v>
      </c>
      <c r="I2662" s="8" t="n">
        <v>45.79</v>
      </c>
      <c r="J2662" s="8" t="n"/>
      <c r="K2662" s="7" t="inlineStr">
        <is>
          <t>SEM COTAÇÃO</t>
        </is>
      </c>
      <c r="L2662" s="8" t="n"/>
      <c r="M2662" s="12" t="n"/>
      <c r="N2662" s="7" t="inlineStr"/>
      <c r="O2662" s="7" t="inlineStr"/>
    </row>
    <row r="2663">
      <c r="A2663" s="7" t="n">
        <v>640111</v>
      </c>
      <c r="B2663" s="10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1" t="n">
        <v>1</v>
      </c>
      <c r="G2663" s="11" t="n">
        <v>1</v>
      </c>
      <c r="H2663" s="8" t="n">
        <v>38.21</v>
      </c>
      <c r="I2663" s="8" t="n">
        <v>36.39</v>
      </c>
      <c r="J2663" s="8" t="n"/>
      <c r="K2663" s="7" t="inlineStr">
        <is>
          <t>SEM COTAÇÃO</t>
        </is>
      </c>
      <c r="L2663" s="8" t="n"/>
      <c r="M2663" s="12" t="n"/>
      <c r="N2663" s="7" t="inlineStr"/>
      <c r="O2663" s="7" t="inlineStr"/>
    </row>
    <row r="2664">
      <c r="A2664" s="7" t="n">
        <v>674421</v>
      </c>
      <c r="B2664" s="10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1" t="n">
        <v>1</v>
      </c>
      <c r="G2664" s="11" t="n">
        <v>1</v>
      </c>
      <c r="H2664" s="8" t="n"/>
      <c r="I2664" s="8" t="n"/>
      <c r="J2664" s="8" t="n"/>
      <c r="K2664" s="7" t="inlineStr">
        <is>
          <t>SEM COTAÇÃO</t>
        </is>
      </c>
      <c r="L2664" s="8" t="n"/>
      <c r="M2664" s="12" t="n"/>
      <c r="N2664" s="7" t="inlineStr"/>
      <c r="O2664" s="7" t="inlineStr"/>
    </row>
    <row r="2665">
      <c r="A2665" s="7" t="n">
        <v>1243</v>
      </c>
      <c r="B2665" s="10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1" t="n">
        <v>1</v>
      </c>
      <c r="G2665" s="11" t="n">
        <v>1</v>
      </c>
      <c r="H2665" s="8" t="n">
        <v>78.52</v>
      </c>
      <c r="I2665" s="8" t="n">
        <v>78.52</v>
      </c>
      <c r="J2665" s="8" t="n"/>
      <c r="K2665" s="7" t="inlineStr">
        <is>
          <t>SEM COTAÇÃO</t>
        </is>
      </c>
      <c r="L2665" s="8" t="n"/>
      <c r="M2665" s="12" t="n"/>
      <c r="N2665" s="7" t="inlineStr"/>
      <c r="O2665" s="7" t="inlineStr"/>
    </row>
    <row r="2666">
      <c r="A2666" s="7" t="n">
        <v>662861</v>
      </c>
      <c r="B2666" s="10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1" t="n">
        <v>1</v>
      </c>
      <c r="G2666" s="11" t="n">
        <v>1</v>
      </c>
      <c r="H2666" s="8" t="n"/>
      <c r="I2666" s="8" t="n"/>
      <c r="J2666" s="8" t="n"/>
      <c r="K2666" s="7" t="inlineStr">
        <is>
          <t>SEM COTAÇÃO</t>
        </is>
      </c>
      <c r="L2666" s="8" t="n"/>
      <c r="M2666" s="12" t="n"/>
      <c r="N2666" s="7" t="inlineStr"/>
      <c r="O2666" s="7" t="inlineStr"/>
    </row>
    <row r="2667">
      <c r="A2667" s="7" t="n">
        <v>984</v>
      </c>
      <c r="B2667" s="10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1" t="n">
        <v>1</v>
      </c>
      <c r="G2667" s="11" t="n">
        <v>1</v>
      </c>
      <c r="H2667" s="8" t="n"/>
      <c r="I2667" s="8" t="n"/>
      <c r="J2667" s="8" t="n"/>
      <c r="K2667" s="7" t="inlineStr">
        <is>
          <t>SEM COTAÇÃO</t>
        </is>
      </c>
      <c r="L2667" s="8" t="n"/>
      <c r="M2667" s="12" t="n"/>
      <c r="N2667" s="7" t="inlineStr"/>
      <c r="O2667" s="7" t="inlineStr"/>
    </row>
    <row r="2668">
      <c r="A2668" s="7" t="n">
        <v>655431</v>
      </c>
      <c r="B2668" s="10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1" t="n">
        <v>3</v>
      </c>
      <c r="G2668" s="11" t="n">
        <v>3</v>
      </c>
      <c r="H2668" s="8" t="n">
        <v>31.99</v>
      </c>
      <c r="I2668" s="8" t="n">
        <v>31.99</v>
      </c>
      <c r="J2668" s="8" t="n"/>
      <c r="K2668" s="7" t="inlineStr">
        <is>
          <t>SEM COTAÇÃO</t>
        </is>
      </c>
      <c r="L2668" s="8" t="n"/>
      <c r="M2668" s="12" t="n"/>
      <c r="N2668" s="7" t="inlineStr"/>
      <c r="O2668" s="7" t="inlineStr"/>
    </row>
    <row r="2669">
      <c r="A2669" s="7" t="n">
        <v>572901</v>
      </c>
      <c r="B2669" s="10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1" t="n">
        <v>1</v>
      </c>
      <c r="G2669" s="11" t="n">
        <v>1</v>
      </c>
      <c r="H2669" s="8" t="n"/>
      <c r="I2669" s="8" t="n"/>
      <c r="J2669" s="8" t="n"/>
      <c r="K2669" s="7" t="inlineStr">
        <is>
          <t>SEM COTAÇÃO</t>
        </is>
      </c>
      <c r="L2669" s="8" t="n"/>
      <c r="M2669" s="12" t="n"/>
      <c r="N2669" s="7" t="inlineStr"/>
      <c r="O2669" s="7" t="inlineStr"/>
    </row>
    <row r="2670">
      <c r="A2670" s="7" t="n">
        <v>546601</v>
      </c>
      <c r="B2670" s="10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1" t="n">
        <v>1</v>
      </c>
      <c r="G2670" s="11" t="n">
        <v>1</v>
      </c>
      <c r="H2670" s="8" t="n">
        <v>24.79</v>
      </c>
      <c r="I2670" s="8" t="n">
        <v>24.79</v>
      </c>
      <c r="J2670" s="8" t="n"/>
      <c r="K2670" s="7" t="inlineStr">
        <is>
          <t>SEM COTAÇÃO</t>
        </is>
      </c>
      <c r="L2670" s="8" t="n"/>
      <c r="M2670" s="12" t="n"/>
      <c r="N2670" s="7" t="inlineStr"/>
      <c r="O2670" s="7" t="inlineStr"/>
    </row>
    <row r="2671">
      <c r="A2671" s="7" t="n">
        <v>546581</v>
      </c>
      <c r="B2671" s="10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1" t="n">
        <v>13</v>
      </c>
      <c r="G2671" s="11" t="n">
        <v>13</v>
      </c>
      <c r="H2671" s="8" t="n">
        <v>21.38</v>
      </c>
      <c r="I2671" s="8" t="n">
        <v>19.09</v>
      </c>
      <c r="J2671" s="8" t="n"/>
      <c r="K2671" s="7" t="inlineStr">
        <is>
          <t>SEM COTAÇÃO</t>
        </is>
      </c>
      <c r="L2671" s="8" t="n"/>
      <c r="M2671" s="12" t="n"/>
      <c r="N2671" s="7" t="inlineStr"/>
      <c r="O2671" s="7" t="inlineStr"/>
    </row>
    <row r="2672">
      <c r="A2672" s="7" t="n">
        <v>564641</v>
      </c>
      <c r="B2672" s="10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1" t="n">
        <v>13</v>
      </c>
      <c r="G2672" s="11" t="n">
        <v>13</v>
      </c>
      <c r="H2672" s="8" t="n">
        <v>21.94</v>
      </c>
      <c r="I2672" s="8" t="n">
        <v>19.59</v>
      </c>
      <c r="J2672" s="8" t="n"/>
      <c r="K2672" s="7" t="inlineStr">
        <is>
          <t>SEM COTAÇÃO</t>
        </is>
      </c>
      <c r="L2672" s="8" t="n"/>
      <c r="M2672" s="12" t="n"/>
      <c r="N2672" s="7" t="inlineStr"/>
      <c r="O2672" s="7" t="inlineStr"/>
    </row>
    <row r="2673">
      <c r="A2673" s="7" t="n">
        <v>570101</v>
      </c>
      <c r="B2673" s="10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1" t="n">
        <v>3</v>
      </c>
      <c r="G2673" s="11" t="n">
        <v>3</v>
      </c>
      <c r="H2673" s="8" t="n">
        <v>16.68</v>
      </c>
      <c r="I2673" s="8" t="n">
        <v>16.68</v>
      </c>
      <c r="J2673" s="8" t="n"/>
      <c r="K2673" s="7" t="inlineStr">
        <is>
          <t>SEM COTAÇÃO</t>
        </is>
      </c>
      <c r="L2673" s="8" t="n"/>
      <c r="M2673" s="12" t="n"/>
      <c r="N2673" s="7" t="inlineStr"/>
      <c r="O2673" s="7" t="inlineStr"/>
    </row>
    <row r="2674">
      <c r="A2674" s="7" t="n">
        <v>546081</v>
      </c>
      <c r="B2674" s="10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1" t="n">
        <v>7</v>
      </c>
      <c r="G2674" s="11" t="n">
        <v>7</v>
      </c>
      <c r="H2674" s="8" t="n">
        <v>21.27</v>
      </c>
      <c r="I2674" s="8" t="n">
        <v>21.27</v>
      </c>
      <c r="J2674" s="13" t="n">
        <v>14.85</v>
      </c>
      <c r="K2674" s="7" t="inlineStr">
        <is>
          <t>DIMEC</t>
        </is>
      </c>
      <c r="L2674" s="8" t="n">
        <v>14.85</v>
      </c>
      <c r="M2674" s="12">
        <f>L2674/H2674-1</f>
        <v/>
      </c>
      <c r="N2674" s="15" t="inlineStr">
        <is>
          <t>OK (≤ menor hist.)</t>
        </is>
      </c>
      <c r="O2674" s="7" t="inlineStr"/>
    </row>
    <row r="2675">
      <c r="A2675" s="7" t="n">
        <v>546241</v>
      </c>
      <c r="B2675" s="10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1" t="n">
        <v>8</v>
      </c>
      <c r="G2675" s="11" t="n">
        <v>8</v>
      </c>
      <c r="H2675" s="8" t="n">
        <v>36.5</v>
      </c>
      <c r="I2675" s="8" t="n">
        <v>32.59</v>
      </c>
      <c r="J2675" s="8" t="n"/>
      <c r="K2675" s="7" t="inlineStr">
        <is>
          <t>SEM COTAÇÃO</t>
        </is>
      </c>
      <c r="L2675" s="8" t="n"/>
      <c r="M2675" s="12" t="n"/>
      <c r="N2675" s="7" t="inlineStr"/>
      <c r="O2675" s="7" t="inlineStr"/>
    </row>
    <row r="2676">
      <c r="A2676" s="7" t="n">
        <v>546261</v>
      </c>
      <c r="B2676" s="10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1" t="n">
        <v>4</v>
      </c>
      <c r="G2676" s="11" t="n">
        <v>4</v>
      </c>
      <c r="H2676" s="8" t="n">
        <v>38.33</v>
      </c>
      <c r="I2676" s="8" t="n">
        <v>32.59</v>
      </c>
      <c r="J2676" s="8" t="n"/>
      <c r="K2676" s="7" t="inlineStr">
        <is>
          <t>SEM COTAÇÃO</t>
        </is>
      </c>
      <c r="L2676" s="8" t="n"/>
      <c r="M2676" s="12" t="n"/>
      <c r="N2676" s="7" t="inlineStr"/>
      <c r="O2676" s="7" t="inlineStr"/>
    </row>
    <row r="2677">
      <c r="A2677" s="7" t="n">
        <v>904</v>
      </c>
      <c r="B2677" s="10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1" t="n">
        <v>1</v>
      </c>
      <c r="G2677" s="11" t="n">
        <v>1</v>
      </c>
      <c r="H2677" s="8" t="n"/>
      <c r="I2677" s="8" t="n"/>
      <c r="J2677" s="8" t="n"/>
      <c r="K2677" s="7" t="inlineStr">
        <is>
          <t>SEM COTAÇÃO</t>
        </is>
      </c>
      <c r="L2677" s="8" t="n"/>
      <c r="M2677" s="12" t="n"/>
      <c r="N2677" s="7" t="inlineStr"/>
      <c r="O2677" s="7" t="inlineStr"/>
    </row>
    <row r="2678">
      <c r="A2678" s="7" t="n">
        <v>546101</v>
      </c>
      <c r="B2678" s="10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1" t="n">
        <v>1</v>
      </c>
      <c r="G2678" s="11" t="n">
        <v>1</v>
      </c>
      <c r="H2678" s="8" t="n">
        <v>32.59</v>
      </c>
      <c r="I2678" s="8" t="n">
        <v>32.59</v>
      </c>
      <c r="J2678" s="8" t="n"/>
      <c r="K2678" s="7" t="inlineStr">
        <is>
          <t>SEM COTAÇÃO</t>
        </is>
      </c>
      <c r="L2678" s="8" t="n"/>
      <c r="M2678" s="12" t="n"/>
      <c r="N2678" s="7" t="inlineStr"/>
      <c r="O2678" s="7" t="inlineStr"/>
    </row>
    <row r="2679">
      <c r="A2679" s="7" t="n">
        <v>561121</v>
      </c>
      <c r="B2679" s="10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1" t="n">
        <v>4</v>
      </c>
      <c r="G2679" s="11" t="n">
        <v>4</v>
      </c>
      <c r="H2679" s="8" t="n">
        <v>28.21</v>
      </c>
      <c r="I2679" s="8" t="n">
        <v>28.21</v>
      </c>
      <c r="J2679" s="8" t="n"/>
      <c r="K2679" s="7" t="inlineStr">
        <is>
          <t>SEM COTAÇÃO</t>
        </is>
      </c>
      <c r="L2679" s="8" t="n"/>
      <c r="M2679" s="12" t="n"/>
      <c r="N2679" s="7" t="inlineStr"/>
      <c r="O2679" s="7" t="inlineStr"/>
    </row>
    <row r="2680">
      <c r="A2680" s="7" t="n">
        <v>944</v>
      </c>
      <c r="B2680" s="10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1" t="n">
        <v>1</v>
      </c>
      <c r="G2680" s="11" t="n">
        <v>1</v>
      </c>
      <c r="H2680" s="8" t="n"/>
      <c r="I2680" s="8" t="n"/>
      <c r="J2680" s="8" t="n"/>
      <c r="K2680" s="7" t="inlineStr">
        <is>
          <t>SEM COTAÇÃO</t>
        </is>
      </c>
      <c r="L2680" s="8" t="n"/>
      <c r="M2680" s="12" t="n"/>
      <c r="N2680" s="7" t="inlineStr"/>
      <c r="O2680" s="7" t="inlineStr"/>
    </row>
    <row r="2681">
      <c r="A2681" s="7" t="n">
        <v>914</v>
      </c>
      <c r="B2681" s="10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1" t="n">
        <v>1</v>
      </c>
      <c r="G2681" s="11" t="n">
        <v>1</v>
      </c>
      <c r="H2681" s="8" t="n"/>
      <c r="I2681" s="8" t="n"/>
      <c r="J2681" s="8" t="n"/>
      <c r="K2681" s="7" t="inlineStr">
        <is>
          <t>SEM COTAÇÃO</t>
        </is>
      </c>
      <c r="L2681" s="8" t="n"/>
      <c r="M2681" s="12" t="n"/>
      <c r="N2681" s="7" t="inlineStr"/>
      <c r="O2681" s="7" t="inlineStr"/>
    </row>
    <row r="2682">
      <c r="A2682" s="7" t="n">
        <v>924</v>
      </c>
      <c r="B2682" s="10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1" t="n">
        <v>1</v>
      </c>
      <c r="G2682" s="11" t="n">
        <v>1</v>
      </c>
      <c r="H2682" s="8" t="n"/>
      <c r="I2682" s="8" t="n"/>
      <c r="J2682" s="8" t="n"/>
      <c r="K2682" s="7" t="inlineStr">
        <is>
          <t>SEM COTAÇÃO</t>
        </is>
      </c>
      <c r="L2682" s="8" t="n"/>
      <c r="M2682" s="12" t="n"/>
      <c r="N2682" s="7" t="inlineStr"/>
      <c r="O2682" s="7" t="inlineStr"/>
    </row>
    <row r="2683">
      <c r="A2683" s="7" t="n">
        <v>674431</v>
      </c>
      <c r="B2683" s="10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1" t="n">
        <v>1</v>
      </c>
      <c r="G2683" s="11" t="n">
        <v>1</v>
      </c>
      <c r="H2683" s="8" t="n"/>
      <c r="I2683" s="8" t="n"/>
      <c r="J2683" s="8" t="n"/>
      <c r="K2683" s="7" t="inlineStr">
        <is>
          <t>SEM COTAÇÃO</t>
        </is>
      </c>
      <c r="L2683" s="8" t="n"/>
      <c r="M2683" s="12" t="n"/>
      <c r="N2683" s="7" t="inlineStr"/>
      <c r="O2683" s="7" t="inlineStr"/>
    </row>
    <row r="2684">
      <c r="A2684" s="7" t="n">
        <v>546121</v>
      </c>
      <c r="B2684" s="10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1" t="n">
        <v>4</v>
      </c>
      <c r="G2684" s="11" t="n">
        <v>4</v>
      </c>
      <c r="H2684" s="8" t="n">
        <v>10.99</v>
      </c>
      <c r="I2684" s="8" t="n">
        <v>9.99</v>
      </c>
      <c r="J2684" s="8" t="n"/>
      <c r="K2684" s="7" t="inlineStr">
        <is>
          <t>SEM COTAÇÃO</t>
        </is>
      </c>
      <c r="L2684" s="8" t="n"/>
      <c r="M2684" s="12" t="n"/>
      <c r="N2684" s="7" t="inlineStr"/>
      <c r="O2684" s="7" t="inlineStr"/>
    </row>
    <row r="2685">
      <c r="A2685" s="7" t="n">
        <v>546481</v>
      </c>
      <c r="B2685" s="10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1" t="n">
        <v>11</v>
      </c>
      <c r="G2685" s="11" t="n">
        <v>11</v>
      </c>
      <c r="H2685" s="8" t="n">
        <v>14.85</v>
      </c>
      <c r="I2685" s="8" t="n">
        <v>14.85</v>
      </c>
      <c r="J2685" s="13" t="n">
        <v>14.85</v>
      </c>
      <c r="K2685" s="7" t="inlineStr">
        <is>
          <t>DIMEC</t>
        </is>
      </c>
      <c r="L2685" s="8" t="n">
        <v>14.85</v>
      </c>
      <c r="M2685" s="12">
        <f>L2685/H2685-1</f>
        <v/>
      </c>
      <c r="N2685" s="15" t="inlineStr">
        <is>
          <t>OK (≤ menor hist.)</t>
        </is>
      </c>
      <c r="O2685" s="7" t="inlineStr"/>
    </row>
    <row r="2686">
      <c r="A2686" s="7" t="n">
        <v>616351</v>
      </c>
      <c r="B2686" s="10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1" t="n">
        <v>9</v>
      </c>
      <c r="G2686" s="11" t="n">
        <v>9</v>
      </c>
      <c r="H2686" s="8" t="n">
        <v>21.39</v>
      </c>
      <c r="I2686" s="8" t="n">
        <v>21.39</v>
      </c>
      <c r="J2686" s="8" t="n"/>
      <c r="K2686" s="7" t="inlineStr">
        <is>
          <t>SEM COTAÇÃO</t>
        </is>
      </c>
      <c r="L2686" s="8" t="n"/>
      <c r="M2686" s="12" t="n"/>
      <c r="N2686" s="7" t="inlineStr"/>
      <c r="O2686" s="7" t="inlineStr"/>
    </row>
    <row r="2687">
      <c r="A2687" s="7" t="n">
        <v>550901</v>
      </c>
      <c r="B2687" s="10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1" t="n">
        <v>19</v>
      </c>
      <c r="G2687" s="11" t="n">
        <v>19</v>
      </c>
      <c r="H2687" s="8" t="n">
        <v>9.99</v>
      </c>
      <c r="I2687" s="8" t="n">
        <v>9.99</v>
      </c>
      <c r="J2687" s="13" t="n">
        <v>14.85</v>
      </c>
      <c r="K2687" s="7" t="inlineStr">
        <is>
          <t>DIMEC</t>
        </is>
      </c>
      <c r="L2687" s="8" t="n">
        <v>14.85</v>
      </c>
      <c r="M2687" s="12">
        <f>L2687/H2687-1</f>
        <v/>
      </c>
      <c r="N2687" s="14" t="inlineStr">
        <is>
          <t>ACIMA +48.6%</t>
        </is>
      </c>
      <c r="O2687" s="7" t="inlineStr"/>
    </row>
    <row r="2688">
      <c r="A2688" s="7" t="n">
        <v>604031</v>
      </c>
      <c r="B2688" s="10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1" t="n">
        <v>4</v>
      </c>
      <c r="G2688" s="11" t="n">
        <v>4</v>
      </c>
      <c r="H2688" s="8" t="n">
        <v>13.25</v>
      </c>
      <c r="I2688" s="8" t="n">
        <v>13.25</v>
      </c>
      <c r="J2688" s="8" t="n"/>
      <c r="K2688" s="7" t="inlineStr">
        <is>
          <t>SEM COTAÇÃO</t>
        </is>
      </c>
      <c r="L2688" s="8" t="n"/>
      <c r="M2688" s="12" t="n"/>
      <c r="N2688" s="7" t="inlineStr"/>
      <c r="O2688" s="7" t="inlineStr"/>
    </row>
    <row r="2689">
      <c r="A2689" s="7" t="n">
        <v>556981</v>
      </c>
      <c r="B2689" s="10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1" t="n">
        <v>8</v>
      </c>
      <c r="G2689" s="11" t="n">
        <v>8</v>
      </c>
      <c r="H2689" s="8" t="n">
        <v>8.99</v>
      </c>
      <c r="I2689" s="8" t="n">
        <v>6.99</v>
      </c>
      <c r="J2689" s="13" t="n">
        <v>12.62</v>
      </c>
      <c r="K2689" s="7" t="inlineStr">
        <is>
          <t>DIMEC</t>
        </is>
      </c>
      <c r="L2689" s="8" t="n">
        <v>12.62</v>
      </c>
      <c r="M2689" s="12">
        <f>L2689/H2689-1</f>
        <v/>
      </c>
      <c r="N2689" s="14" t="inlineStr">
        <is>
          <t>ACIMA +40.4%</t>
        </is>
      </c>
      <c r="O2689" s="7" t="inlineStr"/>
    </row>
    <row r="2690">
      <c r="A2690" s="7" t="n">
        <v>574921</v>
      </c>
      <c r="B2690" s="10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1" t="n">
        <v>2</v>
      </c>
      <c r="G2690" s="11" t="n">
        <v>2</v>
      </c>
      <c r="H2690" s="8" t="n">
        <v>16.99</v>
      </c>
      <c r="I2690" s="8" t="n">
        <v>16.99</v>
      </c>
      <c r="J2690" s="8" t="n"/>
      <c r="K2690" s="7" t="inlineStr">
        <is>
          <t>SEM COTAÇÃO</t>
        </is>
      </c>
      <c r="L2690" s="8" t="n"/>
      <c r="M2690" s="12" t="n"/>
      <c r="N2690" s="7" t="inlineStr"/>
      <c r="O2690" s="7" t="inlineStr"/>
    </row>
    <row r="2691">
      <c r="A2691" s="7" t="n">
        <v>655491</v>
      </c>
      <c r="B2691" s="10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1" t="n">
        <v>2</v>
      </c>
      <c r="G2691" s="11" t="n">
        <v>2</v>
      </c>
      <c r="H2691" s="8" t="n">
        <v>17.94</v>
      </c>
      <c r="I2691" s="8" t="n">
        <v>17.94</v>
      </c>
      <c r="J2691" s="8" t="n"/>
      <c r="K2691" s="7" t="inlineStr">
        <is>
          <t>SEM COTAÇÃO</t>
        </is>
      </c>
      <c r="L2691" s="8" t="n"/>
      <c r="M2691" s="12" t="n"/>
      <c r="N2691" s="7" t="inlineStr"/>
      <c r="O2691" s="7" t="inlineStr"/>
    </row>
    <row r="2692">
      <c r="A2692" s="7" t="n">
        <v>553661</v>
      </c>
      <c r="B2692" s="10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1" t="n">
        <v>2</v>
      </c>
      <c r="G2692" s="11" t="n">
        <v>2</v>
      </c>
      <c r="H2692" s="8" t="n">
        <v>10.99</v>
      </c>
      <c r="I2692" s="8" t="n">
        <v>8.99</v>
      </c>
      <c r="J2692" s="13" t="n">
        <v>13.85</v>
      </c>
      <c r="K2692" s="7" t="inlineStr">
        <is>
          <t>DIMEC</t>
        </is>
      </c>
      <c r="L2692" s="8" t="n">
        <v>13.85</v>
      </c>
      <c r="M2692" s="12">
        <f>L2692/H2692-1</f>
        <v/>
      </c>
      <c r="N2692" s="14" t="inlineStr">
        <is>
          <t>ACIMA +26.0%</t>
        </is>
      </c>
      <c r="O2692" s="7" t="inlineStr"/>
    </row>
    <row r="2693">
      <c r="A2693" s="7" t="n">
        <v>561161</v>
      </c>
      <c r="B2693" s="10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1" t="n">
        <v>4</v>
      </c>
      <c r="G2693" s="11" t="n">
        <v>4</v>
      </c>
      <c r="H2693" s="8" t="n">
        <v>15.62</v>
      </c>
      <c r="I2693" s="8" t="n">
        <v>15.62</v>
      </c>
      <c r="J2693" s="8" t="n"/>
      <c r="K2693" s="7" t="inlineStr">
        <is>
          <t>SEM COTAÇÃO</t>
        </is>
      </c>
      <c r="L2693" s="8" t="n"/>
      <c r="M2693" s="12" t="n"/>
      <c r="N2693" s="7" t="inlineStr"/>
      <c r="O2693" s="7" t="inlineStr"/>
    </row>
    <row r="2694">
      <c r="A2694" s="7" t="n">
        <v>662911</v>
      </c>
      <c r="B2694" s="10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1" t="n">
        <v>1</v>
      </c>
      <c r="G2694" s="11" t="n">
        <v>1</v>
      </c>
      <c r="H2694" s="8" t="n"/>
      <c r="I2694" s="8" t="n"/>
      <c r="J2694" s="8" t="n"/>
      <c r="K2694" s="7" t="inlineStr">
        <is>
          <t>SEM COTAÇÃO</t>
        </is>
      </c>
      <c r="L2694" s="8" t="n"/>
      <c r="M2694" s="12" t="n"/>
      <c r="N2694" s="7" t="inlineStr"/>
      <c r="O2694" s="7" t="inlineStr"/>
    </row>
    <row r="2695">
      <c r="A2695" s="7" t="n">
        <v>546461</v>
      </c>
      <c r="B2695" s="10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1" t="n">
        <v>1</v>
      </c>
      <c r="G2695" s="11" t="n">
        <v>1</v>
      </c>
      <c r="H2695" s="8" t="n">
        <v>15.04</v>
      </c>
      <c r="I2695" s="8" t="n">
        <v>15.04</v>
      </c>
      <c r="J2695" s="8" t="n"/>
      <c r="K2695" s="7" t="inlineStr">
        <is>
          <t>SEM COTAÇÃO</t>
        </is>
      </c>
      <c r="L2695" s="8" t="n"/>
      <c r="M2695" s="12" t="n"/>
      <c r="N2695" s="7" t="inlineStr"/>
      <c r="O2695" s="7" t="inlineStr"/>
    </row>
    <row r="2696">
      <c r="A2696" s="7" t="n">
        <v>627791</v>
      </c>
      <c r="B2696" s="10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1" t="n">
        <v>10</v>
      </c>
      <c r="G2696" s="11" t="n">
        <v>10</v>
      </c>
      <c r="H2696" s="8" t="n">
        <v>18.36</v>
      </c>
      <c r="I2696" s="8" t="n">
        <v>16.39</v>
      </c>
      <c r="J2696" s="13" t="n">
        <v>13.5</v>
      </c>
      <c r="K2696" s="7" t="inlineStr">
        <is>
          <t>DIMEC</t>
        </is>
      </c>
      <c r="L2696" s="8" t="n">
        <v>13.5</v>
      </c>
      <c r="M2696" s="12">
        <f>L2696/H2696-1</f>
        <v/>
      </c>
      <c r="N2696" s="15" t="inlineStr">
        <is>
          <t>OK (≤ menor hist.)</t>
        </is>
      </c>
      <c r="O2696" s="7" t="inlineStr"/>
    </row>
    <row r="2697">
      <c r="A2697" s="7" t="n">
        <v>679601</v>
      </c>
      <c r="B2697" s="10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1" t="n">
        <v>4</v>
      </c>
      <c r="G2697" s="11" t="n">
        <v>4</v>
      </c>
      <c r="H2697" s="8" t="n">
        <v>10.68</v>
      </c>
      <c r="I2697" s="8" t="n">
        <v>10.68</v>
      </c>
      <c r="J2697" s="8" t="n"/>
      <c r="K2697" s="7" t="inlineStr">
        <is>
          <t>SEM COTAÇÃO</t>
        </is>
      </c>
      <c r="L2697" s="8" t="n"/>
      <c r="M2697" s="12" t="n"/>
      <c r="N2697" s="7" t="inlineStr"/>
      <c r="O2697" s="7" t="inlineStr"/>
    </row>
    <row r="2698">
      <c r="A2698" s="7" t="n">
        <v>646341</v>
      </c>
      <c r="B2698" s="10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1" t="n">
        <v>1</v>
      </c>
      <c r="G2698" s="11" t="n">
        <v>1</v>
      </c>
      <c r="H2698" s="8" t="n">
        <v>30.07</v>
      </c>
      <c r="I2698" s="8" t="n">
        <v>30.07</v>
      </c>
      <c r="J2698" s="8" t="n"/>
      <c r="K2698" s="7" t="inlineStr">
        <is>
          <t>SEM COTAÇÃO</t>
        </is>
      </c>
      <c r="L2698" s="8" t="n"/>
      <c r="M2698" s="12" t="n"/>
      <c r="N2698" s="7" t="inlineStr"/>
      <c r="O2698" s="7" t="inlineStr"/>
    </row>
    <row r="2699">
      <c r="A2699" s="7" t="n">
        <v>670241</v>
      </c>
      <c r="B2699" s="10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1" t="n">
        <v>1</v>
      </c>
      <c r="G2699" s="11" t="n">
        <v>1</v>
      </c>
      <c r="H2699" s="8" t="n">
        <v>36.68</v>
      </c>
      <c r="I2699" s="8" t="n">
        <v>36.68</v>
      </c>
      <c r="J2699" s="8" t="n"/>
      <c r="K2699" s="7" t="inlineStr">
        <is>
          <t>SEM COTAÇÃO</t>
        </is>
      </c>
      <c r="L2699" s="8" t="n"/>
      <c r="M2699" s="12" t="n"/>
      <c r="N2699" s="7" t="inlineStr"/>
      <c r="O2699" s="7" t="inlineStr"/>
    </row>
    <row r="2700">
      <c r="A2700" s="7" t="n">
        <v>28003</v>
      </c>
      <c r="B2700" s="10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1" t="n">
        <v>2</v>
      </c>
      <c r="G2700" s="11" t="n">
        <v>2</v>
      </c>
      <c r="H2700" s="8" t="n">
        <v>26.31</v>
      </c>
      <c r="I2700" s="8" t="n">
        <v>26.31</v>
      </c>
      <c r="J2700" s="8" t="n"/>
      <c r="K2700" s="7" t="inlineStr">
        <is>
          <t>SEM COTAÇÃO</t>
        </is>
      </c>
      <c r="L2700" s="8" t="n"/>
      <c r="M2700" s="12" t="n"/>
      <c r="N2700" s="7" t="inlineStr"/>
      <c r="O2700" s="7" t="inlineStr"/>
    </row>
    <row r="2701">
      <c r="A2701" s="7" t="n">
        <v>560241</v>
      </c>
      <c r="B2701" s="10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1" t="n">
        <v>1</v>
      </c>
      <c r="G2701" s="11" t="n">
        <v>1</v>
      </c>
      <c r="H2701" s="8" t="n">
        <v>10.42</v>
      </c>
      <c r="I2701" s="8" t="n">
        <v>10.03</v>
      </c>
      <c r="J2701" s="13" t="n">
        <v>10.52</v>
      </c>
      <c r="K2701" s="7" t="inlineStr">
        <is>
          <t>DIMEC</t>
        </is>
      </c>
      <c r="L2701" s="8" t="n">
        <v>10.52</v>
      </c>
      <c r="M2701" s="12">
        <f>L2701/H2701-1</f>
        <v/>
      </c>
      <c r="N2701" s="14" t="inlineStr">
        <is>
          <t>ACIMA +1.0%</t>
        </is>
      </c>
      <c r="O2701" s="7" t="inlineStr"/>
    </row>
    <row r="2702">
      <c r="A2702" s="7" t="n">
        <v>434101</v>
      </c>
      <c r="B2702" s="10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1" t="n">
        <v>2</v>
      </c>
      <c r="G2702" s="11" t="n">
        <v>2</v>
      </c>
      <c r="H2702" s="8" t="n">
        <v>78.62</v>
      </c>
      <c r="I2702" s="8" t="n">
        <v>74.58</v>
      </c>
      <c r="J2702" s="8" t="n"/>
      <c r="K2702" s="7" t="inlineStr">
        <is>
          <t>SEM COTAÇÃO</t>
        </is>
      </c>
      <c r="L2702" s="8" t="n"/>
      <c r="M2702" s="12" t="n"/>
      <c r="N2702" s="7" t="inlineStr"/>
      <c r="O2702" s="7" t="inlineStr"/>
    </row>
    <row r="2703">
      <c r="A2703" s="7" t="n">
        <v>4083</v>
      </c>
      <c r="B2703" s="10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1" t="n">
        <v>6</v>
      </c>
      <c r="G2703" s="11" t="n">
        <v>6</v>
      </c>
      <c r="H2703" s="8" t="n">
        <v>3.54</v>
      </c>
      <c r="I2703" s="8" t="n">
        <v>3.54</v>
      </c>
      <c r="J2703" s="13" t="n">
        <v>1.99</v>
      </c>
      <c r="K2703" s="7" t="inlineStr">
        <is>
          <t>DIMEC</t>
        </is>
      </c>
      <c r="L2703" s="8" t="n">
        <v>1.99</v>
      </c>
      <c r="M2703" s="12">
        <f>L2703/H2703-1</f>
        <v/>
      </c>
      <c r="N2703" s="15" t="inlineStr">
        <is>
          <t>OK (≤ menor hist.)</t>
        </is>
      </c>
      <c r="O2703" s="7" t="inlineStr"/>
    </row>
    <row r="2704">
      <c r="A2704" s="7" t="n">
        <v>556441</v>
      </c>
      <c r="B2704" s="10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1" t="n">
        <v>5</v>
      </c>
      <c r="G2704" s="11" t="n">
        <v>5</v>
      </c>
      <c r="H2704" s="8" t="n">
        <v>4.12</v>
      </c>
      <c r="I2704" s="8" t="n">
        <v>4.12</v>
      </c>
      <c r="J2704" s="13" t="n">
        <v>4.65</v>
      </c>
      <c r="K2704" s="7" t="inlineStr">
        <is>
          <t>DIMEC</t>
        </is>
      </c>
      <c r="L2704" s="8" t="n">
        <v>4.65</v>
      </c>
      <c r="M2704" s="12">
        <f>L2704/H2704-1</f>
        <v/>
      </c>
      <c r="N2704" s="14" t="inlineStr">
        <is>
          <t>ACIMA +12.9%</t>
        </is>
      </c>
      <c r="O2704" s="7" t="inlineStr"/>
    </row>
    <row r="2705">
      <c r="A2705" s="7" t="n">
        <v>646631</v>
      </c>
      <c r="B2705" s="10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1" t="n">
        <v>2</v>
      </c>
      <c r="G2705" s="11" t="n">
        <v>2</v>
      </c>
      <c r="H2705" s="8" t="n">
        <v>5.01</v>
      </c>
      <c r="I2705" s="8" t="n">
        <v>5.01</v>
      </c>
      <c r="J2705" s="13" t="n">
        <v>5</v>
      </c>
      <c r="K2705" s="7" t="inlineStr">
        <is>
          <t>DIMEC</t>
        </is>
      </c>
      <c r="L2705" s="8" t="n">
        <v>5</v>
      </c>
      <c r="M2705" s="12">
        <f>L2705/H2705-1</f>
        <v/>
      </c>
      <c r="N2705" s="15" t="inlineStr">
        <is>
          <t>OK (≤ menor hist.)</t>
        </is>
      </c>
      <c r="O2705" s="7" t="inlineStr"/>
    </row>
    <row r="2706">
      <c r="A2706" s="7" t="n">
        <v>651461</v>
      </c>
      <c r="B2706" s="10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1" t="n">
        <v>11</v>
      </c>
      <c r="G2706" s="11" t="n">
        <v>11</v>
      </c>
      <c r="H2706" s="8" t="n">
        <v>4.5</v>
      </c>
      <c r="I2706" s="8" t="n">
        <v>4.5</v>
      </c>
      <c r="J2706" s="13" t="n">
        <v>4.58</v>
      </c>
      <c r="K2706" s="7" t="inlineStr">
        <is>
          <t>DIMEC</t>
        </is>
      </c>
      <c r="L2706" s="8" t="n">
        <v>4.58</v>
      </c>
      <c r="M2706" s="12">
        <f>L2706/H2706-1</f>
        <v/>
      </c>
      <c r="N2706" s="14" t="inlineStr">
        <is>
          <t>ACIMA +1.8%</t>
        </is>
      </c>
      <c r="O2706" s="7" t="inlineStr"/>
    </row>
    <row r="2707">
      <c r="A2707" s="7" t="n">
        <v>651991</v>
      </c>
      <c r="B2707" s="10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1" t="n">
        <v>1</v>
      </c>
      <c r="G2707" s="11" t="n">
        <v>1</v>
      </c>
      <c r="H2707" s="8" t="n">
        <v>18.31</v>
      </c>
      <c r="I2707" s="8" t="n">
        <v>9.81</v>
      </c>
      <c r="J2707" s="8" t="n"/>
      <c r="K2707" s="7" t="inlineStr">
        <is>
          <t>SEM COTAÇÃO</t>
        </is>
      </c>
      <c r="L2707" s="8" t="n"/>
      <c r="M2707" s="12" t="n"/>
      <c r="N2707" s="7" t="inlineStr"/>
      <c r="O2707" s="7" t="inlineStr"/>
    </row>
    <row r="2708">
      <c r="A2708" s="7" t="n">
        <v>621601</v>
      </c>
      <c r="B2708" s="10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1" t="n">
        <v>5</v>
      </c>
      <c r="G2708" s="11" t="n">
        <v>5</v>
      </c>
      <c r="H2708" s="8" t="n">
        <v>3.61</v>
      </c>
      <c r="I2708" s="8" t="n">
        <v>3.61</v>
      </c>
      <c r="J2708" s="8" t="n"/>
      <c r="K2708" s="7" t="inlineStr">
        <is>
          <t>SEM COTAÇÃO</t>
        </is>
      </c>
      <c r="L2708" s="8" t="n"/>
      <c r="M2708" s="12" t="n"/>
      <c r="N2708" s="7" t="inlineStr"/>
      <c r="O2708" s="7" t="inlineStr"/>
    </row>
    <row r="2709">
      <c r="A2709" s="7" t="n">
        <v>655401</v>
      </c>
      <c r="B2709" s="10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1" t="n">
        <v>12</v>
      </c>
      <c r="G2709" s="11" t="n">
        <v>12</v>
      </c>
      <c r="H2709" s="8" t="n">
        <v>5.99</v>
      </c>
      <c r="I2709" s="8" t="n">
        <v>5.79</v>
      </c>
      <c r="J2709" s="8" t="n"/>
      <c r="K2709" s="7" t="inlineStr">
        <is>
          <t>SEM COTAÇÃO</t>
        </is>
      </c>
      <c r="L2709" s="8" t="n"/>
      <c r="M2709" s="12" t="n"/>
      <c r="N2709" s="7" t="inlineStr"/>
      <c r="O2709" s="7" t="inlineStr"/>
    </row>
    <row r="2710">
      <c r="A2710" s="7" t="n">
        <v>539621</v>
      </c>
      <c r="B2710" s="10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1" t="n">
        <v>11</v>
      </c>
      <c r="G2710" s="11" t="n">
        <v>11</v>
      </c>
      <c r="H2710" s="8" t="n">
        <v>16.875</v>
      </c>
      <c r="I2710" s="8" t="n">
        <v>8.1403</v>
      </c>
      <c r="J2710" s="8" t="n"/>
      <c r="K2710" s="7" t="inlineStr">
        <is>
          <t>SEM COTAÇÃO</t>
        </is>
      </c>
      <c r="L2710" s="8" t="n"/>
      <c r="M2710" s="12" t="n"/>
      <c r="N2710" s="7" t="inlineStr"/>
      <c r="O2710" s="7" t="inlineStr"/>
    </row>
    <row r="2711">
      <c r="A2711" s="7" t="n">
        <v>560961</v>
      </c>
      <c r="B2711" s="10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1" t="n">
        <v>8</v>
      </c>
      <c r="G2711" s="11" t="n">
        <v>8</v>
      </c>
      <c r="H2711" s="8" t="n">
        <v>27.2467</v>
      </c>
      <c r="I2711" s="8" t="n">
        <v>13.1507</v>
      </c>
      <c r="J2711" s="8" t="n"/>
      <c r="K2711" s="7" t="inlineStr">
        <is>
          <t>SEM COTAÇÃO</t>
        </is>
      </c>
      <c r="L2711" s="8" t="n"/>
      <c r="M2711" s="12" t="n"/>
      <c r="N2711" s="7" t="inlineStr"/>
      <c r="O2711" s="7" t="inlineStr"/>
    </row>
    <row r="2712">
      <c r="A2712" s="7" t="n">
        <v>651691</v>
      </c>
      <c r="B2712" s="10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1" t="n">
        <v>1</v>
      </c>
      <c r="G2712" s="11" t="n">
        <v>1</v>
      </c>
      <c r="H2712" s="8" t="n">
        <v>5.75</v>
      </c>
      <c r="I2712" s="8" t="n">
        <v>5.75</v>
      </c>
      <c r="J2712" s="8" t="n"/>
      <c r="K2712" s="7" t="inlineStr">
        <is>
          <t>SEM COTAÇÃO</t>
        </is>
      </c>
      <c r="L2712" s="8" t="n"/>
      <c r="M2712" s="12" t="n"/>
      <c r="N2712" s="7" t="inlineStr"/>
      <c r="O2712" s="7" t="inlineStr"/>
    </row>
    <row r="2713">
      <c r="A2713" s="7" t="n">
        <v>540861</v>
      </c>
      <c r="B2713" s="10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1" t="n">
        <v>3</v>
      </c>
      <c r="G2713" s="11" t="n">
        <v>3</v>
      </c>
      <c r="H2713" s="8" t="n">
        <v>5.59</v>
      </c>
      <c r="I2713" s="8" t="n">
        <v>5.59</v>
      </c>
      <c r="J2713" s="8" t="n"/>
      <c r="K2713" s="7" t="inlineStr">
        <is>
          <t>SEM COTAÇÃO</t>
        </is>
      </c>
      <c r="L2713" s="8" t="n"/>
      <c r="M2713" s="12" t="n"/>
      <c r="N2713" s="7" t="inlineStr"/>
      <c r="O2713" s="7" t="inlineStr"/>
    </row>
    <row r="2714">
      <c r="A2714" s="7" t="n">
        <v>537361</v>
      </c>
      <c r="B2714" s="10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1" t="n">
        <v>4</v>
      </c>
      <c r="G2714" s="11" t="n">
        <v>4</v>
      </c>
      <c r="H2714" s="8" t="n">
        <v>11.36</v>
      </c>
      <c r="I2714" s="8" t="n">
        <v>11.36</v>
      </c>
      <c r="J2714" s="8" t="n"/>
      <c r="K2714" s="7" t="inlineStr">
        <is>
          <t>SEM COTAÇÃO</t>
        </is>
      </c>
      <c r="L2714" s="8" t="n"/>
      <c r="M2714" s="12" t="n"/>
      <c r="N2714" s="7" t="inlineStr"/>
      <c r="O2714" s="7" t="inlineStr"/>
    </row>
    <row r="2715">
      <c r="A2715" s="7" t="n">
        <v>540841</v>
      </c>
      <c r="B2715" s="10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1" t="n">
        <v>1</v>
      </c>
      <c r="G2715" s="11" t="n">
        <v>1</v>
      </c>
      <c r="H2715" s="8" t="n">
        <v>8.9</v>
      </c>
      <c r="I2715" s="8" t="n">
        <v>8.9</v>
      </c>
      <c r="J2715" s="8" t="n"/>
      <c r="K2715" s="7" t="inlineStr">
        <is>
          <t>SEM COTAÇÃO</t>
        </is>
      </c>
      <c r="L2715" s="8" t="n"/>
      <c r="M2715" s="12" t="n"/>
      <c r="N2715" s="7" t="inlineStr"/>
      <c r="O2715" s="7" t="inlineStr"/>
    </row>
    <row r="2716">
      <c r="A2716" s="7" t="n">
        <v>604</v>
      </c>
      <c r="B2716" s="10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1" t="n">
        <v>1</v>
      </c>
      <c r="G2716" s="11" t="n">
        <v>1</v>
      </c>
      <c r="H2716" s="8" t="n"/>
      <c r="I2716" s="8" t="n"/>
      <c r="J2716" s="8" t="n"/>
      <c r="K2716" s="7" t="inlineStr">
        <is>
          <t>SEM COTAÇÃO</t>
        </is>
      </c>
      <c r="L2716" s="8" t="n"/>
      <c r="M2716" s="12" t="n"/>
      <c r="N2716" s="7" t="inlineStr"/>
      <c r="O2716" s="7" t="inlineStr"/>
    </row>
    <row r="2717">
      <c r="A2717" s="7" t="n">
        <v>649321</v>
      </c>
      <c r="B2717" s="10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1" t="n">
        <v>1</v>
      </c>
      <c r="G2717" s="11" t="n">
        <v>1</v>
      </c>
      <c r="H2717" s="8" t="n">
        <v>10.1283</v>
      </c>
      <c r="I2717" s="8" t="n">
        <v>10.1283</v>
      </c>
      <c r="J2717" s="8" t="n"/>
      <c r="K2717" s="7" t="inlineStr">
        <is>
          <t>SEM COTAÇÃO</t>
        </is>
      </c>
      <c r="L2717" s="8" t="n"/>
      <c r="M2717" s="12" t="n"/>
      <c r="N2717" s="7" t="inlineStr"/>
      <c r="O2717" s="7" t="inlineStr"/>
    </row>
    <row r="2718">
      <c r="A2718" s="7" t="n">
        <v>661741</v>
      </c>
      <c r="B2718" s="10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1" t="n">
        <v>2</v>
      </c>
      <c r="G2718" s="11" t="n">
        <v>2</v>
      </c>
      <c r="H2718" s="8" t="n">
        <v>6.5371</v>
      </c>
      <c r="I2718" s="8" t="n">
        <v>6.5371</v>
      </c>
      <c r="J2718" s="8" t="n"/>
      <c r="K2718" s="7" t="inlineStr">
        <is>
          <t>SEM COTAÇÃO</t>
        </is>
      </c>
      <c r="L2718" s="8" t="n"/>
      <c r="M2718" s="12" t="n"/>
      <c r="N2718" s="7" t="inlineStr"/>
      <c r="O2718" s="7" t="inlineStr"/>
    </row>
    <row r="2719">
      <c r="A2719" s="7" t="n">
        <v>634071</v>
      </c>
      <c r="B2719" s="10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1" t="n">
        <v>32</v>
      </c>
      <c r="G2719" s="11" t="n">
        <v>32</v>
      </c>
      <c r="H2719" s="8" t="n">
        <v>5.29</v>
      </c>
      <c r="I2719" s="8" t="n">
        <v>5.29</v>
      </c>
      <c r="J2719" s="8" t="n"/>
      <c r="K2719" s="7" t="inlineStr">
        <is>
          <t>SEM COTAÇÃO</t>
        </is>
      </c>
      <c r="L2719" s="8" t="n"/>
      <c r="M2719" s="12" t="n"/>
      <c r="N2719" s="7" t="inlineStr"/>
      <c r="O2719" s="7" t="inlineStr"/>
    </row>
    <row r="2720">
      <c r="A2720" s="7" t="n">
        <v>557581</v>
      </c>
      <c r="B2720" s="10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1" t="n">
        <v>5</v>
      </c>
      <c r="G2720" s="11" t="n">
        <v>5</v>
      </c>
      <c r="H2720" s="8" t="n">
        <v>5.59</v>
      </c>
      <c r="I2720" s="8" t="n">
        <v>5.59</v>
      </c>
      <c r="J2720" s="8" t="n"/>
      <c r="K2720" s="7" t="inlineStr">
        <is>
          <t>SEM COTAÇÃO</t>
        </is>
      </c>
      <c r="L2720" s="8" t="n"/>
      <c r="M2720" s="12" t="n"/>
      <c r="N2720" s="7" t="inlineStr"/>
      <c r="O2720" s="7" t="inlineStr"/>
    </row>
    <row r="2721">
      <c r="A2721" s="7" t="n">
        <v>594421</v>
      </c>
      <c r="B2721" s="10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1" t="n">
        <v>2</v>
      </c>
      <c r="G2721" s="11" t="n">
        <v>2</v>
      </c>
      <c r="H2721" s="8" t="n">
        <v>15.74</v>
      </c>
      <c r="I2721" s="8" t="n">
        <v>15.74</v>
      </c>
      <c r="J2721" s="8" t="n"/>
      <c r="K2721" s="7" t="inlineStr">
        <is>
          <t>SEM COTAÇÃO</t>
        </is>
      </c>
      <c r="L2721" s="8" t="n"/>
      <c r="M2721" s="12" t="n"/>
      <c r="N2721" s="7" t="inlineStr"/>
      <c r="O2721" s="7" t="inlineStr"/>
    </row>
    <row r="2722">
      <c r="A2722" s="7" t="n">
        <v>569341</v>
      </c>
      <c r="B2722" s="10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1" t="n">
        <v>12</v>
      </c>
      <c r="G2722" s="11" t="n">
        <v>12</v>
      </c>
      <c r="H2722" s="8" t="n">
        <v>4.86</v>
      </c>
      <c r="I2722" s="8" t="n">
        <v>4.26</v>
      </c>
      <c r="J2722" s="8" t="n"/>
      <c r="K2722" s="7" t="inlineStr">
        <is>
          <t>SEM COTAÇÃO</t>
        </is>
      </c>
      <c r="L2722" s="8" t="n"/>
      <c r="M2722" s="12" t="n"/>
      <c r="N2722" s="7" t="inlineStr"/>
      <c r="O2722" s="7" t="inlineStr"/>
    </row>
    <row r="2723">
      <c r="A2723" s="7" t="n">
        <v>552061</v>
      </c>
      <c r="B2723" s="10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1" t="n">
        <v>2</v>
      </c>
      <c r="G2723" s="11" t="n">
        <v>2</v>
      </c>
      <c r="H2723" s="8" t="n">
        <v>2.96</v>
      </c>
      <c r="I2723" s="8" t="n">
        <v>2.96</v>
      </c>
      <c r="J2723" s="8" t="n"/>
      <c r="K2723" s="7" t="inlineStr">
        <is>
          <t>SEM COTAÇÃO</t>
        </is>
      </c>
      <c r="L2723" s="8" t="n"/>
      <c r="M2723" s="12" t="n"/>
      <c r="N2723" s="7" t="inlineStr"/>
      <c r="O2723" s="7" t="inlineStr"/>
    </row>
    <row r="2724">
      <c r="A2724" s="7" t="n">
        <v>55801</v>
      </c>
      <c r="B2724" s="10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1" t="n">
        <v>4</v>
      </c>
      <c r="G2724" s="11" t="n">
        <v>4</v>
      </c>
      <c r="H2724" s="8" t="n">
        <v>4.31</v>
      </c>
      <c r="I2724" s="8" t="n">
        <v>4.31</v>
      </c>
      <c r="J2724" s="13" t="n">
        <v>4.5</v>
      </c>
      <c r="K2724" s="7" t="inlineStr">
        <is>
          <t>DIMEC</t>
        </is>
      </c>
      <c r="L2724" s="8" t="n">
        <v>4.5</v>
      </c>
      <c r="M2724" s="12">
        <f>L2724/H2724-1</f>
        <v/>
      </c>
      <c r="N2724" s="14" t="inlineStr">
        <is>
          <t>ACIMA +4.4%</t>
        </is>
      </c>
      <c r="O2724" s="7" t="inlineStr"/>
    </row>
    <row r="2725">
      <c r="A2725" s="7" t="n">
        <v>316601</v>
      </c>
      <c r="B2725" s="10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1" t="n">
        <v>2</v>
      </c>
      <c r="G2725" s="11" t="n">
        <v>2</v>
      </c>
      <c r="H2725" s="8" t="n"/>
      <c r="I2725" s="8" t="n"/>
      <c r="J2725" s="8" t="n"/>
      <c r="K2725" s="7" t="inlineStr">
        <is>
          <t>SEM COTAÇÃO</t>
        </is>
      </c>
      <c r="L2725" s="8" t="n"/>
      <c r="M2725" s="12" t="n"/>
      <c r="N2725" s="7" t="inlineStr"/>
      <c r="O2725" s="7" t="inlineStr"/>
    </row>
    <row r="2726">
      <c r="A2726" s="7" t="n">
        <v>317041</v>
      </c>
      <c r="B2726" s="10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1" t="n">
        <v>2</v>
      </c>
      <c r="G2726" s="11" t="n">
        <v>2</v>
      </c>
      <c r="H2726" s="8" t="n">
        <v>7.92</v>
      </c>
      <c r="I2726" s="8" t="n">
        <v>7.92</v>
      </c>
      <c r="J2726" s="8" t="n"/>
      <c r="K2726" s="7" t="inlineStr">
        <is>
          <t>SEM COTAÇÃO</t>
        </is>
      </c>
      <c r="L2726" s="8" t="n"/>
      <c r="M2726" s="12" t="n"/>
      <c r="N2726" s="7" t="inlineStr"/>
      <c r="O2726" s="7" t="inlineStr"/>
    </row>
    <row r="2727">
      <c r="A2727" s="7" t="n">
        <v>320361</v>
      </c>
      <c r="B2727" s="10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1" t="n">
        <v>1</v>
      </c>
      <c r="G2727" s="11" t="n">
        <v>1</v>
      </c>
      <c r="H2727" s="8" t="n">
        <v>23.94</v>
      </c>
      <c r="I2727" s="8" t="n">
        <v>23.94</v>
      </c>
      <c r="J2727" s="8" t="n"/>
      <c r="K2727" s="7" t="inlineStr">
        <is>
          <t>SEM COTAÇÃO</t>
        </is>
      </c>
      <c r="L2727" s="8" t="n"/>
      <c r="M2727" s="12" t="n"/>
      <c r="N2727" s="7" t="inlineStr"/>
      <c r="O2727" s="7" t="inlineStr"/>
    </row>
    <row r="2728">
      <c r="A2728" s="7" t="n">
        <v>320321</v>
      </c>
      <c r="B2728" s="10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1" t="n">
        <v>4</v>
      </c>
      <c r="G2728" s="11" t="n">
        <v>4</v>
      </c>
      <c r="H2728" s="8" t="n">
        <v>20.33</v>
      </c>
      <c r="I2728" s="8" t="n">
        <v>18.71</v>
      </c>
      <c r="J2728" s="8" t="n"/>
      <c r="K2728" s="7" t="inlineStr">
        <is>
          <t>SEM COTAÇÃO</t>
        </is>
      </c>
      <c r="L2728" s="8" t="n"/>
      <c r="M2728" s="12" t="n"/>
      <c r="N2728" s="7" t="inlineStr"/>
      <c r="O2728" s="7" t="inlineStr"/>
    </row>
    <row r="2729">
      <c r="A2729" s="7" t="n">
        <v>492281</v>
      </c>
      <c r="B2729" s="10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1" t="n">
        <v>1</v>
      </c>
      <c r="G2729" s="11" t="n">
        <v>1</v>
      </c>
      <c r="H2729" s="8" t="n">
        <v>3.23</v>
      </c>
      <c r="I2729" s="8" t="n">
        <v>3.23</v>
      </c>
      <c r="J2729" s="8" t="n"/>
      <c r="K2729" s="7" t="inlineStr">
        <is>
          <t>SEM COTAÇÃO</t>
        </is>
      </c>
      <c r="L2729" s="8" t="n"/>
      <c r="M2729" s="12" t="n"/>
      <c r="N2729" s="7" t="inlineStr"/>
      <c r="O2729" s="7" t="inlineStr"/>
    </row>
    <row r="2730">
      <c r="A2730" s="7" t="n">
        <v>319001</v>
      </c>
      <c r="B2730" s="10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1" t="n">
        <v>40</v>
      </c>
      <c r="G2730" s="11" t="n">
        <v>40</v>
      </c>
      <c r="H2730" s="8" t="n">
        <v>5.19</v>
      </c>
      <c r="I2730" s="8" t="n">
        <v>5.19</v>
      </c>
      <c r="J2730" s="8" t="n"/>
      <c r="K2730" s="7" t="inlineStr">
        <is>
          <t>SEM COTAÇÃO</t>
        </is>
      </c>
      <c r="L2730" s="8" t="n"/>
      <c r="M2730" s="12" t="n"/>
      <c r="N2730" s="7" t="inlineStr"/>
      <c r="O2730" s="7" t="inlineStr"/>
    </row>
    <row r="2731">
      <c r="A2731" s="7" t="n">
        <v>634641</v>
      </c>
      <c r="B2731" s="10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1" t="n">
        <v>11</v>
      </c>
      <c r="G2731" s="11" t="n">
        <v>11</v>
      </c>
      <c r="H2731" s="8" t="n">
        <v>10.295</v>
      </c>
      <c r="I2731" s="8" t="n">
        <v>10.275</v>
      </c>
      <c r="J2731" s="8" t="n"/>
      <c r="K2731" s="7" t="inlineStr">
        <is>
          <t>SEM COTAÇÃO</t>
        </is>
      </c>
      <c r="L2731" s="8" t="n"/>
      <c r="M2731" s="12" t="n"/>
      <c r="N2731" s="7" t="inlineStr"/>
      <c r="O2731" s="7" t="inlineStr"/>
    </row>
    <row r="2732">
      <c r="A2732" s="7" t="n">
        <v>634661</v>
      </c>
      <c r="B2732" s="10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1" t="n">
        <v>2</v>
      </c>
      <c r="G2732" s="11" t="n">
        <v>2</v>
      </c>
      <c r="H2732" s="8" t="n">
        <v>6.89</v>
      </c>
      <c r="I2732" s="8" t="n">
        <v>6.6717</v>
      </c>
      <c r="J2732" s="8" t="n"/>
      <c r="K2732" s="7" t="inlineStr">
        <is>
          <t>SEM COTAÇÃO</t>
        </is>
      </c>
      <c r="L2732" s="8" t="n"/>
      <c r="M2732" s="12" t="n"/>
      <c r="N2732" s="7" t="inlineStr"/>
      <c r="O2732" s="7" t="inlineStr"/>
    </row>
    <row r="2733">
      <c r="A2733" s="7" t="n">
        <v>634671</v>
      </c>
      <c r="B2733" s="10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1" t="n">
        <v>1</v>
      </c>
      <c r="G2733" s="11" t="n">
        <v>1</v>
      </c>
      <c r="H2733" s="8" t="n">
        <v>7.53</v>
      </c>
      <c r="I2733" s="8" t="n">
        <v>7.3</v>
      </c>
      <c r="J2733" s="8" t="n"/>
      <c r="K2733" s="7" t="inlineStr">
        <is>
          <t>SEM COTAÇÃO</t>
        </is>
      </c>
      <c r="L2733" s="8" t="n"/>
      <c r="M2733" s="12" t="n"/>
      <c r="N2733" s="7" t="inlineStr"/>
      <c r="O2733" s="7" t="inlineStr"/>
    </row>
    <row r="2734">
      <c r="A2734" s="7" t="n">
        <v>634681</v>
      </c>
      <c r="B2734" s="10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1" t="n">
        <v>4</v>
      </c>
      <c r="G2734" s="11" t="n">
        <v>4</v>
      </c>
      <c r="H2734" s="8" t="n">
        <v>9.085599999999999</v>
      </c>
      <c r="I2734" s="8" t="n">
        <v>8.81</v>
      </c>
      <c r="J2734" s="8" t="n"/>
      <c r="K2734" s="7" t="inlineStr">
        <is>
          <t>SEM COTAÇÃO</t>
        </is>
      </c>
      <c r="L2734" s="8" t="n"/>
      <c r="M2734" s="12" t="n"/>
      <c r="N2734" s="7" t="inlineStr"/>
      <c r="O2734" s="7" t="inlineStr"/>
    </row>
    <row r="2735">
      <c r="A2735" s="7" t="n">
        <v>151761</v>
      </c>
      <c r="B2735" s="10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1" t="n">
        <v>3</v>
      </c>
      <c r="G2735" s="11" t="n">
        <v>3</v>
      </c>
      <c r="H2735" s="8" t="n">
        <v>6.73</v>
      </c>
      <c r="I2735" s="8" t="n">
        <v>6.73</v>
      </c>
      <c r="J2735" s="13" t="n">
        <v>6.95</v>
      </c>
      <c r="K2735" s="7" t="inlineStr">
        <is>
          <t>DIMEC</t>
        </is>
      </c>
      <c r="L2735" s="8" t="n">
        <v>6.95</v>
      </c>
      <c r="M2735" s="12">
        <f>L2735/H2735-1</f>
        <v/>
      </c>
      <c r="N2735" s="14" t="inlineStr">
        <is>
          <t>ACIMA +3.3%</t>
        </is>
      </c>
      <c r="O2735" s="7" t="inlineStr"/>
    </row>
    <row r="2736">
      <c r="A2736" s="7" t="n">
        <v>584741</v>
      </c>
      <c r="B2736" s="10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1" t="n">
        <v>1</v>
      </c>
      <c r="G2736" s="11" t="n">
        <v>1</v>
      </c>
      <c r="H2736" s="8" t="n">
        <v>8.76</v>
      </c>
      <c r="I2736" s="8" t="n">
        <v>8.06</v>
      </c>
      <c r="J2736" s="8" t="n"/>
      <c r="K2736" s="7" t="inlineStr">
        <is>
          <t>SEM COTAÇÃO</t>
        </is>
      </c>
      <c r="L2736" s="8" t="n"/>
      <c r="M2736" s="12" t="n"/>
      <c r="N2736" s="7" t="inlineStr"/>
      <c r="O2736" s="7" t="inlineStr"/>
    </row>
    <row r="2737">
      <c r="A2737" s="7" t="n">
        <v>623531</v>
      </c>
      <c r="B2737" s="10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1" t="n">
        <v>1</v>
      </c>
      <c r="G2737" s="11" t="n">
        <v>1</v>
      </c>
      <c r="H2737" s="8" t="n">
        <v>162.55</v>
      </c>
      <c r="I2737" s="8" t="n">
        <v>162.55</v>
      </c>
      <c r="J2737" s="8" t="n"/>
      <c r="K2737" s="7" t="inlineStr">
        <is>
          <t>SEM COTAÇÃO</t>
        </is>
      </c>
      <c r="L2737" s="8" t="n"/>
      <c r="M2737" s="12" t="n"/>
      <c r="N2737" s="7" t="inlineStr"/>
      <c r="O2737" s="7" t="inlineStr"/>
    </row>
    <row r="2738">
      <c r="A2738" s="7" t="n">
        <v>434241</v>
      </c>
      <c r="B2738" s="10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1" t="n">
        <v>1</v>
      </c>
      <c r="G2738" s="11" t="n">
        <v>1</v>
      </c>
      <c r="H2738" s="8" t="n">
        <v>20.05</v>
      </c>
      <c r="I2738" s="8" t="n">
        <v>20.05</v>
      </c>
      <c r="J2738" s="8" t="n"/>
      <c r="K2738" s="7" t="inlineStr">
        <is>
          <t>SEM COTAÇÃO</t>
        </is>
      </c>
      <c r="L2738" s="8" t="n"/>
      <c r="M2738" s="12" t="n"/>
      <c r="N2738" s="7" t="inlineStr"/>
      <c r="O2738" s="7" t="inlineStr"/>
    </row>
    <row r="2739">
      <c r="A2739" s="7" t="n">
        <v>504</v>
      </c>
      <c r="B2739" s="10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1" t="n">
        <v>1</v>
      </c>
      <c r="G2739" s="11" t="n">
        <v>1</v>
      </c>
      <c r="H2739" s="8" t="n"/>
      <c r="I2739" s="8" t="n"/>
      <c r="J2739" s="8" t="n"/>
      <c r="K2739" s="7" t="inlineStr">
        <is>
          <t>SEM COTAÇÃO</t>
        </is>
      </c>
      <c r="L2739" s="8" t="n"/>
      <c r="M2739" s="12" t="n"/>
      <c r="N2739" s="7" t="inlineStr"/>
      <c r="O2739" s="7" t="inlineStr"/>
    </row>
    <row r="2740">
      <c r="A2740" s="7" t="n">
        <v>550341</v>
      </c>
      <c r="B2740" s="10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1" t="n">
        <v>2</v>
      </c>
      <c r="G2740" s="11" t="n">
        <v>2</v>
      </c>
      <c r="H2740" s="8" t="n"/>
      <c r="I2740" s="8" t="n"/>
      <c r="J2740" s="8" t="n"/>
      <c r="K2740" s="7" t="inlineStr">
        <is>
          <t>SEM COTAÇÃO</t>
        </is>
      </c>
      <c r="L2740" s="8" t="n"/>
      <c r="M2740" s="12" t="n"/>
      <c r="N2740" s="7" t="inlineStr"/>
      <c r="O2740" s="7" t="inlineStr"/>
    </row>
    <row r="2741">
      <c r="A2741" s="7" t="n">
        <v>641791</v>
      </c>
      <c r="B2741" s="10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1" t="n">
        <v>1</v>
      </c>
      <c r="G2741" s="11" t="n">
        <v>1</v>
      </c>
      <c r="H2741" s="8" t="n">
        <v>32.85</v>
      </c>
      <c r="I2741" s="8" t="n">
        <v>32.85</v>
      </c>
      <c r="J2741" s="8" t="n"/>
      <c r="K2741" s="7" t="inlineStr">
        <is>
          <t>SEM COTAÇÃO</t>
        </is>
      </c>
      <c r="L2741" s="8" t="n"/>
      <c r="M2741" s="12" t="n"/>
      <c r="N2741" s="7" t="inlineStr"/>
      <c r="O2741" s="7" t="inlineStr"/>
    </row>
    <row r="2742">
      <c r="A2742" s="7" t="n">
        <v>619581</v>
      </c>
      <c r="B2742" s="10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1" t="n">
        <v>1</v>
      </c>
      <c r="G2742" s="11" t="n">
        <v>1</v>
      </c>
      <c r="H2742" s="8" t="n">
        <v>19.8367</v>
      </c>
      <c r="I2742" s="8" t="n">
        <v>19.8367</v>
      </c>
      <c r="J2742" s="8" t="n"/>
      <c r="K2742" s="7" t="inlineStr">
        <is>
          <t>SEM COTAÇÃO</t>
        </is>
      </c>
      <c r="L2742" s="8" t="n"/>
      <c r="M2742" s="12" t="n"/>
      <c r="N2742" s="7" t="inlineStr"/>
      <c r="O2742" s="7" t="inlineStr"/>
    </row>
    <row r="2743">
      <c r="A2743" s="7" t="n">
        <v>619591</v>
      </c>
      <c r="B2743" s="10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1" t="n">
        <v>1</v>
      </c>
      <c r="G2743" s="11" t="n">
        <v>1</v>
      </c>
      <c r="H2743" s="8" t="n">
        <v>35.77</v>
      </c>
      <c r="I2743" s="8" t="n">
        <v>35.77</v>
      </c>
      <c r="J2743" s="8" t="n"/>
      <c r="K2743" s="7" t="inlineStr">
        <is>
          <t>SEM COTAÇÃO</t>
        </is>
      </c>
      <c r="L2743" s="8" t="n"/>
      <c r="M2743" s="12" t="n"/>
      <c r="N2743" s="7" t="inlineStr"/>
      <c r="O2743" s="7" t="inlineStr"/>
    </row>
    <row r="2744">
      <c r="A2744" s="7" t="n">
        <v>631221</v>
      </c>
      <c r="B2744" s="10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1" t="n">
        <v>1</v>
      </c>
      <c r="G2744" s="11" t="n">
        <v>1</v>
      </c>
      <c r="H2744" s="8" t="n">
        <v>13.94</v>
      </c>
      <c r="I2744" s="8" t="n">
        <v>13.94</v>
      </c>
      <c r="J2744" s="8" t="n"/>
      <c r="K2744" s="7" t="inlineStr">
        <is>
          <t>SEM COTAÇÃO</t>
        </is>
      </c>
      <c r="L2744" s="8" t="n"/>
      <c r="M2744" s="12" t="n"/>
      <c r="N2744" s="7" t="inlineStr"/>
      <c r="O2744" s="7" t="inlineStr"/>
    </row>
    <row r="2745">
      <c r="A2745" s="7" t="n">
        <v>647111</v>
      </c>
      <c r="B2745" s="10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1" t="n">
        <v>1</v>
      </c>
      <c r="G2745" s="11" t="n">
        <v>1</v>
      </c>
      <c r="H2745" s="8" t="n">
        <v>3.23</v>
      </c>
      <c r="I2745" s="8" t="n">
        <v>3.23</v>
      </c>
      <c r="J2745" s="8" t="n"/>
      <c r="K2745" s="7" t="inlineStr">
        <is>
          <t>SEM COTAÇÃO</t>
        </is>
      </c>
      <c r="L2745" s="8" t="n"/>
      <c r="M2745" s="12" t="n"/>
      <c r="N2745" s="7" t="inlineStr"/>
      <c r="O2745" s="7" t="inlineStr"/>
    </row>
    <row r="2746">
      <c r="A2746" s="7" t="n">
        <v>631201</v>
      </c>
      <c r="B2746" s="10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1" t="n">
        <v>1</v>
      </c>
      <c r="G2746" s="11" t="n">
        <v>1</v>
      </c>
      <c r="H2746" s="8" t="n">
        <v>11.15</v>
      </c>
      <c r="I2746" s="8" t="n">
        <v>11.15</v>
      </c>
      <c r="J2746" s="8" t="n"/>
      <c r="K2746" s="7" t="inlineStr">
        <is>
          <t>SEM COTAÇÃO</t>
        </is>
      </c>
      <c r="L2746" s="8" t="n"/>
      <c r="M2746" s="12" t="n"/>
      <c r="N2746" s="7" t="inlineStr"/>
      <c r="O2746" s="7" t="inlineStr"/>
    </row>
    <row r="2747">
      <c r="A2747" s="7" t="n">
        <v>631211</v>
      </c>
      <c r="B2747" s="10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1" t="n">
        <v>1</v>
      </c>
      <c r="G2747" s="11" t="n">
        <v>1</v>
      </c>
      <c r="H2747" s="8" t="n">
        <v>13.94</v>
      </c>
      <c r="I2747" s="8" t="n">
        <v>13.94</v>
      </c>
      <c r="J2747" s="8" t="n"/>
      <c r="K2747" s="7" t="inlineStr">
        <is>
          <t>SEM COTAÇÃO</t>
        </is>
      </c>
      <c r="L2747" s="8" t="n"/>
      <c r="M2747" s="12" t="n"/>
      <c r="N2747" s="7" t="inlineStr"/>
      <c r="O2747" s="7" t="inlineStr"/>
    </row>
    <row r="2748">
      <c r="A2748" s="7" t="n">
        <v>638651</v>
      </c>
      <c r="B2748" s="10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1" t="n">
        <v>1</v>
      </c>
      <c r="G2748" s="11" t="n">
        <v>1</v>
      </c>
      <c r="H2748" s="8" t="n">
        <v>11.15</v>
      </c>
      <c r="I2748" s="8" t="n">
        <v>11.15</v>
      </c>
      <c r="J2748" s="8" t="n"/>
      <c r="K2748" s="7" t="inlineStr">
        <is>
          <t>SEM COTAÇÃO</t>
        </is>
      </c>
      <c r="L2748" s="8" t="n"/>
      <c r="M2748" s="12" t="n"/>
      <c r="N2748" s="7" t="inlineStr"/>
      <c r="O2748" s="7" t="inlineStr"/>
    </row>
    <row r="2749">
      <c r="A2749" s="7" t="n">
        <v>664561</v>
      </c>
      <c r="B2749" s="10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1" t="n">
        <v>1</v>
      </c>
      <c r="G2749" s="11" t="n">
        <v>1</v>
      </c>
      <c r="H2749" s="8" t="n">
        <v>46.42</v>
      </c>
      <c r="I2749" s="8" t="n">
        <v>46.42</v>
      </c>
      <c r="J2749" s="8" t="n"/>
      <c r="K2749" s="7" t="inlineStr">
        <is>
          <t>SEM COTAÇÃO</t>
        </is>
      </c>
      <c r="L2749" s="8" t="n"/>
      <c r="M2749" s="12" t="n"/>
      <c r="N2749" s="7" t="inlineStr"/>
      <c r="O2749" s="7" t="inlineStr"/>
    </row>
    <row r="2750">
      <c r="A2750" s="7" t="n">
        <v>630101</v>
      </c>
      <c r="B2750" s="10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1" t="n">
        <v>1</v>
      </c>
      <c r="G2750" s="11" t="n">
        <v>1</v>
      </c>
      <c r="H2750" s="8" t="n">
        <v>21.84</v>
      </c>
      <c r="I2750" s="8" t="n">
        <v>21.84</v>
      </c>
      <c r="J2750" s="8" t="n"/>
      <c r="K2750" s="7" t="inlineStr">
        <is>
          <t>SEM COTAÇÃO</t>
        </is>
      </c>
      <c r="L2750" s="8" t="n"/>
      <c r="M2750" s="12" t="n"/>
      <c r="N2750" s="7" t="inlineStr"/>
      <c r="O2750" s="7" t="inlineStr"/>
    </row>
    <row r="2751">
      <c r="A2751" s="7" t="n">
        <v>665371</v>
      </c>
      <c r="B2751" s="10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1" t="n">
        <v>1</v>
      </c>
      <c r="G2751" s="11" t="n">
        <v>1</v>
      </c>
      <c r="H2751" s="8" t="n">
        <v>39.97</v>
      </c>
      <c r="I2751" s="8" t="n">
        <v>39.97</v>
      </c>
      <c r="J2751" s="8" t="n"/>
      <c r="K2751" s="7" t="inlineStr">
        <is>
          <t>SEM COTAÇÃO</t>
        </is>
      </c>
      <c r="L2751" s="8" t="n"/>
      <c r="M2751" s="12" t="n"/>
      <c r="N2751" s="7" t="inlineStr"/>
      <c r="O2751" s="7" t="inlineStr"/>
    </row>
    <row r="2752">
      <c r="A2752" s="7" t="n">
        <v>665351</v>
      </c>
      <c r="B2752" s="10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1" t="n">
        <v>1</v>
      </c>
      <c r="G2752" s="11" t="n">
        <v>1</v>
      </c>
      <c r="H2752" s="8" t="n">
        <v>35.31</v>
      </c>
      <c r="I2752" s="8" t="n">
        <v>35.31</v>
      </c>
      <c r="J2752" s="8" t="n"/>
      <c r="K2752" s="7" t="inlineStr">
        <is>
          <t>SEM COTAÇÃO</t>
        </is>
      </c>
      <c r="L2752" s="8" t="n"/>
      <c r="M2752" s="12" t="n"/>
      <c r="N2752" s="7" t="inlineStr"/>
      <c r="O2752" s="7" t="inlineStr"/>
    </row>
    <row r="2753">
      <c r="A2753" s="7" t="n">
        <v>664871</v>
      </c>
      <c r="B2753" s="10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1" t="n">
        <v>2</v>
      </c>
      <c r="G2753" s="11" t="n">
        <v>2</v>
      </c>
      <c r="H2753" s="8" t="n">
        <v>23.35</v>
      </c>
      <c r="I2753" s="8" t="n">
        <v>23.35</v>
      </c>
      <c r="J2753" s="8" t="n"/>
      <c r="K2753" s="7" t="inlineStr">
        <is>
          <t>SEM COTAÇÃO</t>
        </is>
      </c>
      <c r="L2753" s="8" t="n"/>
      <c r="M2753" s="12" t="n"/>
      <c r="N2753" s="7" t="inlineStr"/>
      <c r="O2753" s="7" t="inlineStr"/>
    </row>
    <row r="2754">
      <c r="A2754" s="7" t="n">
        <v>665231</v>
      </c>
      <c r="B2754" s="10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1" t="n">
        <v>1</v>
      </c>
      <c r="G2754" s="11" t="n">
        <v>1</v>
      </c>
      <c r="H2754" s="8" t="n">
        <v>44.95</v>
      </c>
      <c r="I2754" s="8" t="n">
        <v>44.95</v>
      </c>
      <c r="J2754" s="8" t="n"/>
      <c r="K2754" s="7" t="inlineStr">
        <is>
          <t>SEM COTAÇÃO</t>
        </is>
      </c>
      <c r="L2754" s="8" t="n"/>
      <c r="M2754" s="12" t="n"/>
      <c r="N2754" s="7" t="inlineStr"/>
      <c r="O2754" s="7" t="inlineStr"/>
    </row>
    <row r="2755">
      <c r="A2755" s="7" t="n">
        <v>665011</v>
      </c>
      <c r="B2755" s="10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1" t="n">
        <v>4</v>
      </c>
      <c r="G2755" s="11" t="n">
        <v>4</v>
      </c>
      <c r="H2755" s="8" t="n">
        <v>32.5</v>
      </c>
      <c r="I2755" s="8" t="n">
        <v>32.5</v>
      </c>
      <c r="J2755" s="8" t="n"/>
      <c r="K2755" s="7" t="inlineStr">
        <is>
          <t>SEM COTAÇÃO</t>
        </is>
      </c>
      <c r="L2755" s="8" t="n"/>
      <c r="M2755" s="12" t="n"/>
      <c r="N2755" s="7" t="inlineStr"/>
      <c r="O2755" s="7" t="inlineStr"/>
    </row>
    <row r="2756">
      <c r="A2756" s="7" t="n">
        <v>664921</v>
      </c>
      <c r="B2756" s="10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1" t="n">
        <v>1</v>
      </c>
      <c r="G2756" s="11" t="n">
        <v>1</v>
      </c>
      <c r="H2756" s="8" t="n">
        <v>32.5</v>
      </c>
      <c r="I2756" s="8" t="n">
        <v>32.5</v>
      </c>
      <c r="J2756" s="8" t="n"/>
      <c r="K2756" s="7" t="inlineStr">
        <is>
          <t>SEM COTAÇÃO</t>
        </is>
      </c>
      <c r="L2756" s="8" t="n"/>
      <c r="M2756" s="12" t="n"/>
      <c r="N2756" s="7" t="inlineStr"/>
      <c r="O2756" s="7" t="inlineStr"/>
    </row>
    <row r="2757">
      <c r="A2757" s="7" t="n">
        <v>665311</v>
      </c>
      <c r="B2757" s="10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1" t="n">
        <v>1</v>
      </c>
      <c r="G2757" s="11" t="n">
        <v>1</v>
      </c>
      <c r="H2757" s="8" t="n">
        <v>41.74</v>
      </c>
      <c r="I2757" s="8" t="n">
        <v>41.74</v>
      </c>
      <c r="J2757" s="8" t="n"/>
      <c r="K2757" s="7" t="inlineStr">
        <is>
          <t>SEM COTAÇÃO</t>
        </is>
      </c>
      <c r="L2757" s="8" t="n"/>
      <c r="M2757" s="12" t="n"/>
      <c r="N2757" s="7" t="inlineStr"/>
      <c r="O2757" s="7" t="inlineStr"/>
    </row>
    <row r="2758">
      <c r="A2758" s="7" t="n">
        <v>665251</v>
      </c>
      <c r="B2758" s="10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1" t="n">
        <v>1</v>
      </c>
      <c r="G2758" s="11" t="n">
        <v>1</v>
      </c>
      <c r="H2758" s="8" t="n">
        <v>33.93</v>
      </c>
      <c r="I2758" s="8" t="n">
        <v>33.93</v>
      </c>
      <c r="J2758" s="8" t="n"/>
      <c r="K2758" s="7" t="inlineStr">
        <is>
          <t>SEM COTAÇÃO</t>
        </is>
      </c>
      <c r="L2758" s="8" t="n"/>
      <c r="M2758" s="12" t="n"/>
      <c r="N2758" s="7" t="inlineStr"/>
      <c r="O2758" s="7" t="inlineStr"/>
    </row>
    <row r="2759">
      <c r="A2759" s="7" t="n">
        <v>665141</v>
      </c>
      <c r="B2759" s="10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1" t="n">
        <v>1</v>
      </c>
      <c r="G2759" s="11" t="n">
        <v>1</v>
      </c>
      <c r="H2759" s="8" t="n">
        <v>43.46</v>
      </c>
      <c r="I2759" s="8" t="n">
        <v>43.46</v>
      </c>
      <c r="J2759" s="8" t="n"/>
      <c r="K2759" s="7" t="inlineStr">
        <is>
          <t>SEM COTAÇÃO</t>
        </is>
      </c>
      <c r="L2759" s="8" t="n"/>
      <c r="M2759" s="12" t="n"/>
      <c r="N2759" s="7" t="inlineStr"/>
      <c r="O2759" s="7" t="inlineStr"/>
    </row>
    <row r="2760">
      <c r="A2760" s="7" t="n">
        <v>665331</v>
      </c>
      <c r="B2760" s="10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1" t="n">
        <v>1</v>
      </c>
      <c r="G2760" s="11" t="n">
        <v>1</v>
      </c>
      <c r="H2760" s="8" t="n">
        <v>25.45</v>
      </c>
      <c r="I2760" s="8" t="n">
        <v>25.45</v>
      </c>
      <c r="J2760" s="8" t="n"/>
      <c r="K2760" s="7" t="inlineStr">
        <is>
          <t>SEM COTAÇÃO</t>
        </is>
      </c>
      <c r="L2760" s="8" t="n"/>
      <c r="M2760" s="12" t="n"/>
      <c r="N2760" s="7" t="inlineStr"/>
      <c r="O2760" s="7" t="inlineStr"/>
    </row>
    <row r="2761">
      <c r="A2761" s="7" t="n">
        <v>665171</v>
      </c>
      <c r="B2761" s="10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1" t="n">
        <v>1</v>
      </c>
      <c r="G2761" s="11" t="n">
        <v>1</v>
      </c>
      <c r="H2761" s="8" t="n">
        <v>37.88</v>
      </c>
      <c r="I2761" s="8" t="n">
        <v>37.88</v>
      </c>
      <c r="J2761" s="8" t="n"/>
      <c r="K2761" s="7" t="inlineStr">
        <is>
          <t>SEM COTAÇÃO</t>
        </is>
      </c>
      <c r="L2761" s="8" t="n"/>
      <c r="M2761" s="12" t="n"/>
      <c r="N2761" s="7" t="inlineStr"/>
      <c r="O2761" s="7" t="inlineStr"/>
    </row>
    <row r="2762">
      <c r="A2762" s="7" t="n">
        <v>665001</v>
      </c>
      <c r="B2762" s="10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1" t="n">
        <v>2</v>
      </c>
      <c r="G2762" s="11" t="n">
        <v>2</v>
      </c>
      <c r="H2762" s="8" t="n">
        <v>42.53</v>
      </c>
      <c r="I2762" s="8" t="n">
        <v>42.53</v>
      </c>
      <c r="J2762" s="8" t="n"/>
      <c r="K2762" s="7" t="inlineStr">
        <is>
          <t>SEM COTAÇÃO</t>
        </is>
      </c>
      <c r="L2762" s="8" t="n"/>
      <c r="M2762" s="12" t="n"/>
      <c r="N2762" s="7" t="inlineStr"/>
      <c r="O2762" s="7" t="inlineStr"/>
    </row>
    <row r="2763">
      <c r="A2763" s="7" t="n">
        <v>665181</v>
      </c>
      <c r="B2763" s="10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1" t="n">
        <v>1</v>
      </c>
      <c r="G2763" s="11" t="n">
        <v>1</v>
      </c>
      <c r="H2763" s="8" t="n">
        <v>32.1</v>
      </c>
      <c r="I2763" s="8" t="n">
        <v>32.1</v>
      </c>
      <c r="J2763" s="8" t="n"/>
      <c r="K2763" s="7" t="inlineStr">
        <is>
          <t>SEM COTAÇÃO</t>
        </is>
      </c>
      <c r="L2763" s="8" t="n"/>
      <c r="M2763" s="12" t="n"/>
      <c r="N2763" s="7" t="inlineStr"/>
      <c r="O2763" s="7" t="inlineStr"/>
    </row>
    <row r="2764">
      <c r="A2764" s="7" t="n">
        <v>665021</v>
      </c>
      <c r="B2764" s="10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1" t="n">
        <v>1</v>
      </c>
      <c r="G2764" s="11" t="n">
        <v>1</v>
      </c>
      <c r="H2764" s="8" t="n">
        <v>29.17</v>
      </c>
      <c r="I2764" s="8" t="n">
        <v>29.17</v>
      </c>
      <c r="J2764" s="8" t="n"/>
      <c r="K2764" s="7" t="inlineStr">
        <is>
          <t>SEM COTAÇÃO</t>
        </is>
      </c>
      <c r="L2764" s="8" t="n"/>
      <c r="M2764" s="12" t="n"/>
      <c r="N2764" s="7" t="inlineStr"/>
      <c r="O2764" s="7" t="inlineStr"/>
    </row>
    <row r="2765">
      <c r="A2765" s="7" t="n">
        <v>665121</v>
      </c>
      <c r="B2765" s="10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1" t="n">
        <v>1</v>
      </c>
      <c r="G2765" s="11" t="n">
        <v>1</v>
      </c>
      <c r="H2765" s="8" t="n">
        <v>31.5</v>
      </c>
      <c r="I2765" s="8" t="n">
        <v>31.5</v>
      </c>
      <c r="J2765" s="8" t="n"/>
      <c r="K2765" s="7" t="inlineStr">
        <is>
          <t>SEM COTAÇÃO</t>
        </is>
      </c>
      <c r="L2765" s="8" t="n"/>
      <c r="M2765" s="12" t="n"/>
      <c r="N2765" s="7" t="inlineStr"/>
      <c r="O2765" s="7" t="inlineStr"/>
    </row>
    <row r="2766">
      <c r="A2766" s="7" t="n">
        <v>665161</v>
      </c>
      <c r="B2766" s="10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1" t="n">
        <v>1</v>
      </c>
      <c r="G2766" s="11" t="n">
        <v>1</v>
      </c>
      <c r="H2766" s="8" t="n">
        <v>44.76</v>
      </c>
      <c r="I2766" s="8" t="n">
        <v>44.76</v>
      </c>
      <c r="J2766" s="8" t="n"/>
      <c r="K2766" s="7" t="inlineStr">
        <is>
          <t>SEM COTAÇÃO</t>
        </is>
      </c>
      <c r="L2766" s="8" t="n"/>
      <c r="M2766" s="12" t="n"/>
      <c r="N2766" s="7" t="inlineStr"/>
      <c r="O2766" s="7" t="inlineStr"/>
    </row>
    <row r="2767">
      <c r="A2767" s="7" t="n">
        <v>665271</v>
      </c>
      <c r="B2767" s="10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1" t="n">
        <v>3</v>
      </c>
      <c r="G2767" s="11" t="n">
        <v>3</v>
      </c>
      <c r="H2767" s="8" t="n">
        <v>44.02</v>
      </c>
      <c r="I2767" s="8" t="n">
        <v>44.02</v>
      </c>
      <c r="J2767" s="8" t="n"/>
      <c r="K2767" s="7" t="inlineStr">
        <is>
          <t>SEM COTAÇÃO</t>
        </is>
      </c>
      <c r="L2767" s="8" t="n"/>
      <c r="M2767" s="12" t="n"/>
      <c r="N2767" s="7" t="inlineStr"/>
      <c r="O2767" s="7" t="inlineStr"/>
    </row>
    <row r="2768">
      <c r="A2768" s="7" t="n">
        <v>664891</v>
      </c>
      <c r="B2768" s="10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1" t="n">
        <v>1</v>
      </c>
      <c r="G2768" s="11" t="n">
        <v>1</v>
      </c>
      <c r="H2768" s="8" t="n">
        <v>33.68</v>
      </c>
      <c r="I2768" s="8" t="n">
        <v>33.68</v>
      </c>
      <c r="J2768" s="8" t="n"/>
      <c r="K2768" s="7" t="inlineStr">
        <is>
          <t>SEM COTAÇÃO</t>
        </is>
      </c>
      <c r="L2768" s="8" t="n"/>
      <c r="M2768" s="12" t="n"/>
      <c r="N2768" s="7" t="inlineStr"/>
      <c r="O2768" s="7" t="inlineStr"/>
    </row>
    <row r="2769">
      <c r="A2769" s="7" t="n">
        <v>592071</v>
      </c>
      <c r="B2769" s="10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1" t="n">
        <v>2</v>
      </c>
      <c r="G2769" s="11" t="n">
        <v>49</v>
      </c>
      <c r="H2769" s="8" t="n">
        <v>2.41</v>
      </c>
      <c r="I2769" s="8" t="n">
        <v>2.41</v>
      </c>
      <c r="J2769" s="8" t="n"/>
      <c r="K2769" s="7" t="inlineStr">
        <is>
          <t>SEM COTAÇÃO</t>
        </is>
      </c>
      <c r="L2769" s="8" t="n"/>
      <c r="M2769" s="12" t="n"/>
      <c r="N2769" s="7" t="inlineStr"/>
      <c r="O2769" s="7" t="inlineStr"/>
    </row>
    <row r="2770">
      <c r="A2770" s="7" t="n">
        <v>655641</v>
      </c>
      <c r="B2770" s="10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1" t="n">
        <v>1</v>
      </c>
      <c r="G2770" s="11" t="n">
        <v>10</v>
      </c>
      <c r="H2770" s="8" t="n">
        <v>10.7357</v>
      </c>
      <c r="I2770" s="8" t="n">
        <v>10.7357</v>
      </c>
      <c r="J2770" s="8" t="n"/>
      <c r="K2770" s="7" t="inlineStr">
        <is>
          <t>SEM COTAÇÃO</t>
        </is>
      </c>
      <c r="L2770" s="8" t="n"/>
      <c r="M2770" s="12" t="n"/>
      <c r="N2770" s="7" t="inlineStr"/>
      <c r="O2770" s="7" t="inlineStr"/>
    </row>
    <row r="2771">
      <c r="A2771" s="7" t="n">
        <v>629751</v>
      </c>
      <c r="B2771" s="10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1" t="n">
        <v>2</v>
      </c>
      <c r="G2771" s="11" t="n">
        <v>2</v>
      </c>
      <c r="H2771" s="8" t="n">
        <v>6.21</v>
      </c>
      <c r="I2771" s="8" t="n">
        <v>6.21</v>
      </c>
      <c r="J2771" s="8" t="n"/>
      <c r="K2771" s="7" t="inlineStr">
        <is>
          <t>SEM COTAÇÃO</t>
        </is>
      </c>
      <c r="L2771" s="8" t="n"/>
      <c r="M2771" s="12" t="n"/>
      <c r="N2771" s="7" t="inlineStr"/>
      <c r="O2771" s="7" t="inlineStr"/>
    </row>
    <row r="2772">
      <c r="A2772" s="7" t="n">
        <v>629951</v>
      </c>
      <c r="B2772" s="10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1" t="n">
        <v>6</v>
      </c>
      <c r="G2772" s="11" t="n">
        <v>6</v>
      </c>
      <c r="H2772" s="8" t="n">
        <v>6.95</v>
      </c>
      <c r="I2772" s="8" t="n">
        <v>6.95</v>
      </c>
      <c r="J2772" s="8" t="n"/>
      <c r="K2772" s="7" t="inlineStr">
        <is>
          <t>SEM COTAÇÃO</t>
        </is>
      </c>
      <c r="L2772" s="8" t="n"/>
      <c r="M2772" s="12" t="n"/>
      <c r="N2772" s="7" t="inlineStr"/>
      <c r="O2772" s="7" t="inlineStr"/>
    </row>
    <row r="2773">
      <c r="A2773" s="7" t="n">
        <v>629861</v>
      </c>
      <c r="B2773" s="10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1" t="n">
        <v>2</v>
      </c>
      <c r="G2773" s="11" t="n">
        <v>2</v>
      </c>
      <c r="H2773" s="8" t="n">
        <v>13.6</v>
      </c>
      <c r="I2773" s="8" t="n">
        <v>13.6</v>
      </c>
      <c r="J2773" s="8" t="n"/>
      <c r="K2773" s="7" t="inlineStr">
        <is>
          <t>SEM COTAÇÃO</t>
        </is>
      </c>
      <c r="L2773" s="8" t="n"/>
      <c r="M2773" s="12" t="n"/>
      <c r="N2773" s="7" t="inlineStr"/>
      <c r="O2773" s="7" t="inlineStr"/>
    </row>
    <row r="2774">
      <c r="A2774" s="7" t="n">
        <v>629811</v>
      </c>
      <c r="B2774" s="10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1" t="n">
        <v>3</v>
      </c>
      <c r="G2774" s="11" t="n">
        <v>3</v>
      </c>
      <c r="H2774" s="8" t="n">
        <v>9.83</v>
      </c>
      <c r="I2774" s="8" t="n">
        <v>9.83</v>
      </c>
      <c r="J2774" s="8" t="n"/>
      <c r="K2774" s="7" t="inlineStr">
        <is>
          <t>SEM COTAÇÃO</t>
        </is>
      </c>
      <c r="L2774" s="8" t="n"/>
      <c r="M2774" s="12" t="n"/>
      <c r="N2774" s="7" t="inlineStr"/>
      <c r="O2774" s="7" t="inlineStr"/>
    </row>
    <row r="2775">
      <c r="A2775" s="7" t="n">
        <v>629821</v>
      </c>
      <c r="B2775" s="10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1" t="n">
        <v>4</v>
      </c>
      <c r="G2775" s="11" t="n">
        <v>4</v>
      </c>
      <c r="H2775" s="8" t="n">
        <v>10.08</v>
      </c>
      <c r="I2775" s="8" t="n">
        <v>9.31</v>
      </c>
      <c r="J2775" s="8" t="n"/>
      <c r="K2775" s="7" t="inlineStr">
        <is>
          <t>SEM COTAÇÃO</t>
        </is>
      </c>
      <c r="L2775" s="8" t="n"/>
      <c r="M2775" s="12" t="n"/>
      <c r="N2775" s="7" t="inlineStr"/>
      <c r="O2775" s="7" t="inlineStr"/>
    </row>
    <row r="2776">
      <c r="A2776" s="7" t="n">
        <v>554</v>
      </c>
      <c r="B2776" s="10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1" t="n">
        <v>1</v>
      </c>
      <c r="G2776" s="11" t="n">
        <v>1</v>
      </c>
      <c r="H2776" s="8" t="n"/>
      <c r="I2776" s="8" t="n"/>
      <c r="J2776" s="8" t="n"/>
      <c r="K2776" s="7" t="inlineStr">
        <is>
          <t>SEM COTAÇÃO</t>
        </is>
      </c>
      <c r="L2776" s="8" t="n"/>
      <c r="M2776" s="12" t="n"/>
      <c r="N2776" s="7" t="inlineStr"/>
      <c r="O2776" s="7" t="inlineStr"/>
    </row>
    <row r="2777">
      <c r="A2777" s="7" t="n">
        <v>62761</v>
      </c>
      <c r="B2777" s="10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1" t="n">
        <v>1</v>
      </c>
      <c r="G2777" s="11" t="n">
        <v>1</v>
      </c>
      <c r="H2777" s="8" t="n">
        <v>59.94</v>
      </c>
      <c r="I2777" s="8" t="n">
        <v>59.94</v>
      </c>
      <c r="J2777" s="8" t="n"/>
      <c r="K2777" s="7" t="inlineStr">
        <is>
          <t>SEM COTAÇÃO</t>
        </is>
      </c>
      <c r="L2777" s="8" t="n"/>
      <c r="M2777" s="12" t="n"/>
      <c r="N2777" s="7" t="inlineStr"/>
      <c r="O2777" s="7" t="inlineStr"/>
    </row>
    <row r="2778">
      <c r="A2778" s="7" t="n">
        <v>616271</v>
      </c>
      <c r="B2778" s="10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1" t="n">
        <v>4</v>
      </c>
      <c r="G2778" s="11" t="n">
        <v>4</v>
      </c>
      <c r="H2778" s="8" t="n">
        <v>5.65</v>
      </c>
      <c r="I2778" s="8" t="n">
        <v>5.65</v>
      </c>
      <c r="J2778" s="13" t="n">
        <v>5.93</v>
      </c>
      <c r="K2778" s="7" t="inlineStr">
        <is>
          <t>DIMEC</t>
        </is>
      </c>
      <c r="L2778" s="8" t="n">
        <v>5.93</v>
      </c>
      <c r="M2778" s="12">
        <f>L2778/H2778-1</f>
        <v/>
      </c>
      <c r="N2778" s="14" t="inlineStr">
        <is>
          <t>ACIMA +5.0%</t>
        </is>
      </c>
      <c r="O2778" s="7" t="inlineStr"/>
    </row>
    <row r="2779">
      <c r="A2779" s="7" t="n">
        <v>325001</v>
      </c>
      <c r="B2779" s="10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1" t="n">
        <v>8</v>
      </c>
      <c r="G2779" s="11" t="n">
        <v>8</v>
      </c>
      <c r="H2779" s="8" t="n">
        <v>4.58</v>
      </c>
      <c r="I2779" s="8" t="n">
        <v>4.58</v>
      </c>
      <c r="J2779" s="8" t="n"/>
      <c r="K2779" s="7" t="inlineStr">
        <is>
          <t>SEM COTAÇÃO</t>
        </is>
      </c>
      <c r="L2779" s="8" t="n"/>
      <c r="M2779" s="12" t="n"/>
      <c r="N2779" s="7" t="inlineStr"/>
      <c r="O2779" s="7" t="inlineStr"/>
    </row>
    <row r="2780">
      <c r="A2780" s="7" t="n">
        <v>324761</v>
      </c>
      <c r="B2780" s="10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1" t="n">
        <v>42</v>
      </c>
      <c r="G2780" s="11" t="n">
        <v>42</v>
      </c>
      <c r="H2780" s="8" t="n">
        <v>1.69</v>
      </c>
      <c r="I2780" s="8" t="n">
        <v>1.49</v>
      </c>
      <c r="J2780" s="13" t="n">
        <v>1.76</v>
      </c>
      <c r="K2780" s="7" t="inlineStr">
        <is>
          <t>DIMEC</t>
        </is>
      </c>
      <c r="L2780" s="8" t="n">
        <v>1.76</v>
      </c>
      <c r="M2780" s="12">
        <f>L2780/H2780-1</f>
        <v/>
      </c>
      <c r="N2780" s="14" t="inlineStr">
        <is>
          <t>ACIMA +4.1%</t>
        </is>
      </c>
      <c r="O2780" s="7" t="inlineStr"/>
    </row>
    <row r="2781">
      <c r="A2781" s="7" t="n">
        <v>327401</v>
      </c>
      <c r="B2781" s="10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1" t="n">
        <v>3</v>
      </c>
      <c r="G2781" s="11" t="n">
        <v>3</v>
      </c>
      <c r="H2781" s="8" t="n">
        <v>2.0479</v>
      </c>
      <c r="I2781" s="8" t="n">
        <v>0.8093</v>
      </c>
      <c r="J2781" s="8" t="n"/>
      <c r="K2781" s="7" t="inlineStr">
        <is>
          <t>SEM COTAÇÃO</t>
        </is>
      </c>
      <c r="L2781" s="8" t="n"/>
      <c r="M2781" s="12" t="n"/>
      <c r="N2781" s="7" t="inlineStr"/>
      <c r="O2781" s="7" t="inlineStr"/>
    </row>
    <row r="2782">
      <c r="A2782" s="7" t="n">
        <v>668941</v>
      </c>
      <c r="B2782" s="10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1" t="n">
        <v>9</v>
      </c>
      <c r="G2782" s="11" t="n">
        <v>9</v>
      </c>
      <c r="H2782" s="8" t="n">
        <v>9.9</v>
      </c>
      <c r="I2782" s="8" t="n">
        <v>9.9</v>
      </c>
      <c r="J2782" s="13" t="n">
        <v>9.07</v>
      </c>
      <c r="K2782" s="7" t="inlineStr">
        <is>
          <t>DIMEC</t>
        </is>
      </c>
      <c r="L2782" s="8" t="n">
        <v>9.07</v>
      </c>
      <c r="M2782" s="12">
        <f>L2782/H2782-1</f>
        <v/>
      </c>
      <c r="N2782" s="15" t="inlineStr">
        <is>
          <t>OK (≤ menor hist.)</t>
        </is>
      </c>
      <c r="O2782" s="7" t="inlineStr"/>
    </row>
    <row r="2783">
      <c r="A2783" s="7" t="n">
        <v>558921</v>
      </c>
      <c r="B2783" s="10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1" t="n">
        <v>1</v>
      </c>
      <c r="G2783" s="11" t="n">
        <v>1</v>
      </c>
      <c r="H2783" s="8" t="n">
        <v>15.27</v>
      </c>
      <c r="I2783" s="8" t="n">
        <v>15.27</v>
      </c>
      <c r="J2783" s="13" t="n">
        <v>15.34</v>
      </c>
      <c r="K2783" s="7" t="inlineStr">
        <is>
          <t>DIMEC</t>
        </is>
      </c>
      <c r="L2783" s="8" t="n">
        <v>15.34</v>
      </c>
      <c r="M2783" s="12">
        <f>L2783/H2783-1</f>
        <v/>
      </c>
      <c r="N2783" s="14" t="inlineStr">
        <is>
          <t>ACIMA +0.5%</t>
        </is>
      </c>
      <c r="O2783" s="7" t="inlineStr"/>
    </row>
    <row r="2784">
      <c r="A2784" s="7" t="n">
        <v>557121</v>
      </c>
      <c r="B2784" s="10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1" t="n">
        <v>17</v>
      </c>
      <c r="G2784" s="11" t="n">
        <v>17</v>
      </c>
      <c r="H2784" s="8" t="n">
        <v>4.32</v>
      </c>
      <c r="I2784" s="8" t="n">
        <v>4.32</v>
      </c>
      <c r="J2784" s="13" t="n">
        <v>4.32</v>
      </c>
      <c r="K2784" s="7" t="inlineStr">
        <is>
          <t>DIMEC</t>
        </is>
      </c>
      <c r="L2784" s="8" t="n">
        <v>4.32</v>
      </c>
      <c r="M2784" s="12">
        <f>L2784/H2784-1</f>
        <v/>
      </c>
      <c r="N2784" s="15" t="inlineStr">
        <is>
          <t>OK (≤ menor hist.)</t>
        </is>
      </c>
      <c r="O2784" s="7" t="inlineStr"/>
    </row>
    <row r="2785">
      <c r="A2785" s="7" t="n">
        <v>672491</v>
      </c>
      <c r="B2785" s="10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1" t="n">
        <v>1</v>
      </c>
      <c r="G2785" s="11" t="n">
        <v>1</v>
      </c>
      <c r="H2785" s="8" t="n"/>
      <c r="I2785" s="8" t="n"/>
      <c r="J2785" s="8" t="n"/>
      <c r="K2785" s="7" t="inlineStr">
        <is>
          <t>SEM COTAÇÃO</t>
        </is>
      </c>
      <c r="L2785" s="8" t="n"/>
      <c r="M2785" s="12" t="n"/>
      <c r="N2785" s="7" t="inlineStr"/>
      <c r="O2785" s="7" t="inlineStr"/>
    </row>
    <row r="2786">
      <c r="A2786" s="7" t="n">
        <v>672501</v>
      </c>
      <c r="B2786" s="10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1" t="n">
        <v>1</v>
      </c>
      <c r="G2786" s="11" t="n">
        <v>1</v>
      </c>
      <c r="H2786" s="8" t="n"/>
      <c r="I2786" s="8" t="n"/>
      <c r="J2786" s="8" t="n"/>
      <c r="K2786" s="7" t="inlineStr">
        <is>
          <t>SEM COTAÇÃO</t>
        </is>
      </c>
      <c r="L2786" s="8" t="n"/>
      <c r="M2786" s="12" t="n"/>
      <c r="N2786" s="7" t="inlineStr"/>
      <c r="O2786" s="7" t="inlineStr"/>
    </row>
    <row r="2787">
      <c r="A2787" s="7" t="n">
        <v>672481</v>
      </c>
      <c r="B2787" s="10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1" t="n">
        <v>1</v>
      </c>
      <c r="G2787" s="11" t="n">
        <v>1</v>
      </c>
      <c r="H2787" s="8" t="n"/>
      <c r="I2787" s="8" t="n"/>
      <c r="J2787" s="8" t="n"/>
      <c r="K2787" s="7" t="inlineStr">
        <is>
          <t>SEM COTAÇÃO</t>
        </is>
      </c>
      <c r="L2787" s="8" t="n"/>
      <c r="M2787" s="12" t="n"/>
      <c r="N2787" s="7" t="inlineStr"/>
      <c r="O2787" s="7" t="inlineStr"/>
    </row>
    <row r="2788">
      <c r="A2788" s="7" t="n">
        <v>284241</v>
      </c>
      <c r="B2788" s="10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1" t="n">
        <v>4</v>
      </c>
      <c r="G2788" s="11" t="n">
        <v>4</v>
      </c>
      <c r="H2788" s="8" t="n">
        <v>42.72</v>
      </c>
      <c r="I2788" s="8" t="n">
        <v>38.0767</v>
      </c>
      <c r="J2788" s="8" t="n"/>
      <c r="K2788" s="7" t="inlineStr">
        <is>
          <t>SEM COTAÇÃO</t>
        </is>
      </c>
      <c r="L2788" s="8" t="n"/>
      <c r="M2788" s="12" t="n"/>
      <c r="N2788" s="7" t="inlineStr"/>
      <c r="O2788" s="7" t="inlineStr"/>
    </row>
    <row r="2789">
      <c r="A2789" s="7" t="n">
        <v>643801</v>
      </c>
      <c r="B2789" s="10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1" t="n">
        <v>1</v>
      </c>
      <c r="G2789" s="11" t="n">
        <v>1</v>
      </c>
      <c r="H2789" s="8" t="n">
        <v>1.7</v>
      </c>
      <c r="I2789" s="8" t="n">
        <v>1.7</v>
      </c>
      <c r="J2789" s="8" t="n"/>
      <c r="K2789" s="7" t="inlineStr">
        <is>
          <t>SEM COTAÇÃO</t>
        </is>
      </c>
      <c r="L2789" s="8" t="n"/>
      <c r="M2789" s="12" t="n"/>
      <c r="N2789" s="7" t="inlineStr"/>
      <c r="O2789" s="7" t="inlineStr"/>
    </row>
    <row r="2790">
      <c r="A2790" s="7" t="n">
        <v>4143</v>
      </c>
      <c r="B2790" s="10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1" t="n">
        <v>2</v>
      </c>
      <c r="G2790" s="11" t="n">
        <v>2</v>
      </c>
      <c r="H2790" s="8" t="n">
        <v>1.76</v>
      </c>
      <c r="I2790" s="8" t="n">
        <v>1.76</v>
      </c>
      <c r="J2790" s="13" t="n">
        <v>1.76</v>
      </c>
      <c r="K2790" s="7" t="inlineStr">
        <is>
          <t>DIMEC</t>
        </is>
      </c>
      <c r="L2790" s="8" t="n">
        <v>1.76</v>
      </c>
      <c r="M2790" s="12">
        <f>L2790/H2790-1</f>
        <v/>
      </c>
      <c r="N2790" s="15" t="inlineStr">
        <is>
          <t>OK (≤ menor hist.)</t>
        </is>
      </c>
      <c r="O2790" s="7" t="inlineStr"/>
    </row>
    <row r="2791">
      <c r="A2791" s="7" t="n">
        <v>4153</v>
      </c>
      <c r="B2791" s="10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1" t="n">
        <v>2</v>
      </c>
      <c r="G2791" s="11" t="n">
        <v>2</v>
      </c>
      <c r="H2791" s="8" t="n">
        <v>1.74</v>
      </c>
      <c r="I2791" s="8" t="n">
        <v>1.74</v>
      </c>
      <c r="J2791" s="13" t="n">
        <v>1.74</v>
      </c>
      <c r="K2791" s="7" t="inlineStr">
        <is>
          <t>DIMEC</t>
        </is>
      </c>
      <c r="L2791" s="8" t="n">
        <v>1.74</v>
      </c>
      <c r="M2791" s="12">
        <f>L2791/H2791-1</f>
        <v/>
      </c>
      <c r="N2791" s="15" t="inlineStr">
        <is>
          <t>OK (≤ menor hist.)</t>
        </is>
      </c>
      <c r="O2791" s="7" t="inlineStr"/>
    </row>
    <row r="2792">
      <c r="A2792" s="7" t="n">
        <v>651161</v>
      </c>
      <c r="B2792" s="10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1" t="n">
        <v>1</v>
      </c>
      <c r="G2792" s="11" t="n">
        <v>1</v>
      </c>
      <c r="H2792" s="8" t="n">
        <v>1.99</v>
      </c>
      <c r="I2792" s="8" t="n">
        <v>1.99</v>
      </c>
      <c r="J2792" s="8" t="n"/>
      <c r="K2792" s="7" t="inlineStr">
        <is>
          <t>SEM COTAÇÃO</t>
        </is>
      </c>
      <c r="L2792" s="8" t="n"/>
      <c r="M2792" s="12" t="n"/>
      <c r="N2792" s="7" t="inlineStr"/>
      <c r="O2792" s="7" t="inlineStr"/>
    </row>
    <row r="2793">
      <c r="A2793" s="7" t="n">
        <v>637401</v>
      </c>
      <c r="B2793" s="10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1" t="n">
        <v>1</v>
      </c>
      <c r="G2793" s="11" t="n">
        <v>1</v>
      </c>
      <c r="H2793" s="8" t="n">
        <v>1.71</v>
      </c>
      <c r="I2793" s="8" t="n">
        <v>1.71</v>
      </c>
      <c r="J2793" s="8" t="n"/>
      <c r="K2793" s="7" t="inlineStr">
        <is>
          <t>SEM COTAÇÃO</t>
        </is>
      </c>
      <c r="L2793" s="8" t="n"/>
      <c r="M2793" s="12" t="n"/>
      <c r="N2793" s="7" t="inlineStr"/>
      <c r="O2793" s="7" t="inlineStr"/>
    </row>
    <row r="2794">
      <c r="A2794" s="7" t="n">
        <v>643831</v>
      </c>
      <c r="B2794" s="10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1" t="n">
        <v>1</v>
      </c>
      <c r="G2794" s="11" t="n">
        <v>1</v>
      </c>
      <c r="H2794" s="8" t="n">
        <v>1.7</v>
      </c>
      <c r="I2794" s="8" t="n">
        <v>1.7</v>
      </c>
      <c r="J2794" s="8" t="n"/>
      <c r="K2794" s="7" t="inlineStr">
        <is>
          <t>SEM COTAÇÃO</t>
        </is>
      </c>
      <c r="L2794" s="8" t="n"/>
      <c r="M2794" s="12" t="n"/>
      <c r="N2794" s="7" t="inlineStr"/>
      <c r="O2794" s="7" t="inlineStr"/>
    </row>
    <row r="2795">
      <c r="A2795" s="7" t="n">
        <v>637411</v>
      </c>
      <c r="B2795" s="10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1" t="n">
        <v>1</v>
      </c>
      <c r="G2795" s="11" t="n">
        <v>1</v>
      </c>
      <c r="H2795" s="8" t="n">
        <v>1.71</v>
      </c>
      <c r="I2795" s="8" t="n">
        <v>1.71</v>
      </c>
      <c r="J2795" s="8" t="n"/>
      <c r="K2795" s="7" t="inlineStr">
        <is>
          <t>SEM COTAÇÃO</t>
        </is>
      </c>
      <c r="L2795" s="8" t="n"/>
      <c r="M2795" s="12" t="n"/>
      <c r="N2795" s="7" t="inlineStr"/>
      <c r="O2795" s="7" t="inlineStr"/>
    </row>
    <row r="2796">
      <c r="A2796" s="7" t="n">
        <v>668421</v>
      </c>
      <c r="B2796" s="10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1" t="n">
        <v>1</v>
      </c>
      <c r="G2796" s="11" t="n">
        <v>1</v>
      </c>
      <c r="H2796" s="8" t="n">
        <v>19.99</v>
      </c>
      <c r="I2796" s="8" t="n">
        <v>19.99</v>
      </c>
      <c r="J2796" s="8" t="n"/>
      <c r="K2796" s="7" t="inlineStr">
        <is>
          <t>SEM COTAÇÃO</t>
        </is>
      </c>
      <c r="L2796" s="8" t="n"/>
      <c r="M2796" s="12" t="n"/>
      <c r="N2796" s="7" t="inlineStr"/>
      <c r="O2796" s="7" t="inlineStr"/>
    </row>
    <row r="2797">
      <c r="A2797" s="7" t="n">
        <v>9503</v>
      </c>
      <c r="B2797" s="10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1" t="n">
        <v>1</v>
      </c>
      <c r="G2797" s="11" t="n">
        <v>1</v>
      </c>
      <c r="H2797" s="8" t="n">
        <v>19.99</v>
      </c>
      <c r="I2797" s="8" t="n">
        <v>19.99</v>
      </c>
      <c r="J2797" s="8" t="n"/>
      <c r="K2797" s="7" t="inlineStr">
        <is>
          <t>SEM COTAÇÃO</t>
        </is>
      </c>
      <c r="L2797" s="8" t="n"/>
      <c r="M2797" s="12" t="n"/>
      <c r="N2797" s="7" t="inlineStr"/>
      <c r="O2797" s="7" t="inlineStr"/>
    </row>
    <row r="2798">
      <c r="A2798" s="7" t="n">
        <v>668431</v>
      </c>
      <c r="B2798" s="10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1" t="n">
        <v>1</v>
      </c>
      <c r="G2798" s="11" t="n">
        <v>1</v>
      </c>
      <c r="H2798" s="8" t="n">
        <v>24.99</v>
      </c>
      <c r="I2798" s="8" t="n">
        <v>24.99</v>
      </c>
      <c r="J2798" s="8" t="n"/>
      <c r="K2798" s="7" t="inlineStr">
        <is>
          <t>SEM COTAÇÃO</t>
        </is>
      </c>
      <c r="L2798" s="8" t="n"/>
      <c r="M2798" s="12" t="n"/>
      <c r="N2798" s="7" t="inlineStr"/>
      <c r="O2798" s="7" t="inlineStr"/>
    </row>
    <row r="2799">
      <c r="A2799" s="7" t="n">
        <v>9603</v>
      </c>
      <c r="B2799" s="10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1" t="n">
        <v>1</v>
      </c>
      <c r="G2799" s="11" t="n">
        <v>1</v>
      </c>
      <c r="H2799" s="8" t="n">
        <v>19.9</v>
      </c>
      <c r="I2799" s="8" t="n">
        <v>19.9</v>
      </c>
      <c r="J2799" s="8" t="n"/>
      <c r="K2799" s="7" t="inlineStr">
        <is>
          <t>SEM COTAÇÃO</t>
        </is>
      </c>
      <c r="L2799" s="8" t="n"/>
      <c r="M2799" s="12" t="n"/>
      <c r="N2799" s="7" t="inlineStr"/>
      <c r="O2799" s="7" t="inlineStr"/>
    </row>
    <row r="2800">
      <c r="A2800" s="7" t="n">
        <v>675981</v>
      </c>
      <c r="B2800" s="10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1" t="n">
        <v>2</v>
      </c>
      <c r="G2800" s="11" t="n">
        <v>2</v>
      </c>
      <c r="H2800" s="8" t="n">
        <v>19.9</v>
      </c>
      <c r="I2800" s="8" t="n">
        <v>19.9</v>
      </c>
      <c r="J2800" s="13" t="n">
        <v>26.33</v>
      </c>
      <c r="K2800" s="7" t="inlineStr">
        <is>
          <t>DIMEC</t>
        </is>
      </c>
      <c r="L2800" s="8" t="n">
        <v>26.33</v>
      </c>
      <c r="M2800" s="12">
        <f>L2800/H2800-1</f>
        <v/>
      </c>
      <c r="N2800" s="14" t="inlineStr">
        <is>
          <t>ACIMA +32.3%</t>
        </is>
      </c>
      <c r="O2800" s="7" t="inlineStr"/>
    </row>
    <row r="2801">
      <c r="A2801" s="7" t="n">
        <v>658991</v>
      </c>
      <c r="B2801" s="10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1" t="n">
        <v>10</v>
      </c>
      <c r="G2801" s="11" t="n">
        <v>10</v>
      </c>
      <c r="H2801" s="8" t="n">
        <v>9.029999999999999</v>
      </c>
      <c r="I2801" s="8" t="n">
        <v>9.029999999999999</v>
      </c>
      <c r="J2801" s="8" t="n"/>
      <c r="K2801" s="7" t="inlineStr">
        <is>
          <t>SEM COTAÇÃO</t>
        </is>
      </c>
      <c r="L2801" s="8" t="n"/>
      <c r="M2801" s="12" t="n"/>
      <c r="N2801" s="7" t="inlineStr"/>
      <c r="O2801" s="7" t="inlineStr"/>
    </row>
    <row r="2802">
      <c r="A2802" s="7" t="n">
        <v>659001</v>
      </c>
      <c r="B2802" s="10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1" t="n">
        <v>12</v>
      </c>
      <c r="G2802" s="11" t="n">
        <v>12</v>
      </c>
      <c r="H2802" s="8" t="n">
        <v>9.890000000000001</v>
      </c>
      <c r="I2802" s="8" t="n">
        <v>9.789999999999999</v>
      </c>
      <c r="J2802" s="8" t="n"/>
      <c r="K2802" s="7" t="inlineStr">
        <is>
          <t>SEM COTAÇÃO</t>
        </is>
      </c>
      <c r="L2802" s="8" t="n"/>
      <c r="M2802" s="12" t="n"/>
      <c r="N2802" s="7" t="inlineStr"/>
      <c r="O2802" s="7" t="inlineStr"/>
    </row>
    <row r="2803">
      <c r="A2803" s="7" t="n">
        <v>659011</v>
      </c>
      <c r="B2803" s="10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1" t="n">
        <v>1</v>
      </c>
      <c r="G2803" s="11" t="n">
        <v>1</v>
      </c>
      <c r="H2803" s="8" t="n">
        <v>9.68</v>
      </c>
      <c r="I2803" s="8" t="n">
        <v>9.68</v>
      </c>
      <c r="J2803" s="8" t="n"/>
      <c r="K2803" s="7" t="inlineStr">
        <is>
          <t>SEM COTAÇÃO</t>
        </is>
      </c>
      <c r="L2803" s="8" t="n"/>
      <c r="M2803" s="12" t="n"/>
      <c r="N2803" s="7" t="inlineStr"/>
      <c r="O2803" s="7" t="inlineStr"/>
    </row>
    <row r="2804">
      <c r="A2804" s="7" t="n">
        <v>647581</v>
      </c>
      <c r="B2804" s="10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1" t="n">
        <v>8</v>
      </c>
      <c r="G2804" s="11" t="n">
        <v>8</v>
      </c>
      <c r="H2804" s="8" t="n">
        <v>7.25</v>
      </c>
      <c r="I2804" s="8" t="n">
        <v>7.25</v>
      </c>
      <c r="J2804" s="8" t="n"/>
      <c r="K2804" s="7" t="inlineStr">
        <is>
          <t>SEM COTAÇÃO</t>
        </is>
      </c>
      <c r="L2804" s="8" t="n"/>
      <c r="M2804" s="12" t="n"/>
      <c r="N2804" s="7" t="inlineStr"/>
      <c r="O2804" s="7" t="inlineStr"/>
    </row>
    <row r="2805">
      <c r="A2805" s="7" t="n">
        <v>635431</v>
      </c>
      <c r="B2805" s="10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1" t="n">
        <v>1</v>
      </c>
      <c r="G2805" s="11" t="n">
        <v>1</v>
      </c>
      <c r="H2805" s="8" t="n">
        <v>11.2</v>
      </c>
      <c r="I2805" s="8" t="n">
        <v>11.2</v>
      </c>
      <c r="J2805" s="8" t="n"/>
      <c r="K2805" s="7" t="inlineStr">
        <is>
          <t>SEM COTAÇÃO</t>
        </is>
      </c>
      <c r="L2805" s="8" t="n"/>
      <c r="M2805" s="12" t="n"/>
      <c r="N2805" s="7" t="inlineStr"/>
      <c r="O2805" s="7" t="inlineStr"/>
    </row>
    <row r="2806">
      <c r="A2806" s="7" t="n">
        <v>600431</v>
      </c>
      <c r="B2806" s="10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1" t="n">
        <v>2</v>
      </c>
      <c r="G2806" s="11" t="n">
        <v>2</v>
      </c>
      <c r="H2806" s="8" t="n">
        <v>11.2</v>
      </c>
      <c r="I2806" s="8" t="n">
        <v>11.2</v>
      </c>
      <c r="J2806" s="8" t="n"/>
      <c r="K2806" s="7" t="inlineStr">
        <is>
          <t>SEM COTAÇÃO</t>
        </is>
      </c>
      <c r="L2806" s="8" t="n"/>
      <c r="M2806" s="12" t="n"/>
      <c r="N2806" s="7" t="inlineStr"/>
      <c r="O2806" s="7" t="inlineStr"/>
    </row>
    <row r="2807">
      <c r="A2807" s="7" t="n">
        <v>600421</v>
      </c>
      <c r="B2807" s="10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1" t="n">
        <v>3</v>
      </c>
      <c r="G2807" s="11" t="n">
        <v>3</v>
      </c>
      <c r="H2807" s="8" t="n">
        <v>3.9</v>
      </c>
      <c r="I2807" s="8" t="n">
        <v>3.9</v>
      </c>
      <c r="J2807" s="8" t="n"/>
      <c r="K2807" s="7" t="inlineStr">
        <is>
          <t>SEM COTAÇÃO</t>
        </is>
      </c>
      <c r="L2807" s="8" t="n"/>
      <c r="M2807" s="12" t="n"/>
      <c r="N2807" s="7" t="inlineStr"/>
      <c r="O2807" s="7" t="inlineStr"/>
    </row>
    <row r="2808">
      <c r="A2808" s="7" t="n">
        <v>600441</v>
      </c>
      <c r="B2808" s="10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1" t="n">
        <v>1</v>
      </c>
      <c r="G2808" s="11" t="n">
        <v>1</v>
      </c>
      <c r="H2808" s="8" t="n">
        <v>6.27</v>
      </c>
      <c r="I2808" s="8" t="n">
        <v>6.27</v>
      </c>
      <c r="J2808" s="8" t="n"/>
      <c r="K2808" s="7" t="inlineStr">
        <is>
          <t>SEM COTAÇÃO</t>
        </is>
      </c>
      <c r="L2808" s="8" t="n"/>
      <c r="M2808" s="12" t="n"/>
      <c r="N2808" s="7" t="inlineStr"/>
      <c r="O2808" s="7" t="inlineStr"/>
    </row>
    <row r="2809">
      <c r="A2809" s="7" t="n">
        <v>600451</v>
      </c>
      <c r="B2809" s="10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1" t="n">
        <v>5</v>
      </c>
      <c r="G2809" s="11" t="n">
        <v>5</v>
      </c>
      <c r="H2809" s="8" t="n">
        <v>3.58</v>
      </c>
      <c r="I2809" s="8" t="n">
        <v>3.58</v>
      </c>
      <c r="J2809" s="8" t="n"/>
      <c r="K2809" s="7" t="inlineStr">
        <is>
          <t>SEM COTAÇÃO</t>
        </is>
      </c>
      <c r="L2809" s="8" t="n"/>
      <c r="M2809" s="12" t="n"/>
      <c r="N2809" s="7" t="inlineStr"/>
      <c r="O2809" s="7" t="inlineStr"/>
    </row>
    <row r="2810">
      <c r="A2810" s="7" t="n">
        <v>681101</v>
      </c>
      <c r="B2810" s="10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1" t="n">
        <v>1</v>
      </c>
      <c r="G2810" s="11" t="n">
        <v>1</v>
      </c>
      <c r="H2810" s="8" t="n">
        <v>3.58</v>
      </c>
      <c r="I2810" s="8" t="n">
        <v>3.58</v>
      </c>
      <c r="J2810" s="8" t="n"/>
      <c r="K2810" s="7" t="inlineStr">
        <is>
          <t>SEM COTAÇÃO</t>
        </is>
      </c>
      <c r="L2810" s="8" t="n"/>
      <c r="M2810" s="12" t="n"/>
      <c r="N2810" s="7" t="inlineStr"/>
      <c r="O2810" s="7" t="inlineStr"/>
    </row>
    <row r="2811">
      <c r="A2811" s="7" t="n">
        <v>643761</v>
      </c>
      <c r="B2811" s="10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1" t="n">
        <v>2</v>
      </c>
      <c r="G2811" s="11" t="n">
        <v>2</v>
      </c>
      <c r="H2811" s="8" t="n">
        <v>3.9</v>
      </c>
      <c r="I2811" s="8" t="n">
        <v>3.9</v>
      </c>
      <c r="J2811" s="8" t="n"/>
      <c r="K2811" s="7" t="inlineStr">
        <is>
          <t>SEM COTAÇÃO</t>
        </is>
      </c>
      <c r="L2811" s="8" t="n"/>
      <c r="M2811" s="12" t="n"/>
      <c r="N2811" s="7" t="inlineStr"/>
      <c r="O2811" s="7" t="inlineStr"/>
    </row>
    <row r="2812">
      <c r="A2812" s="7" t="n">
        <v>38703</v>
      </c>
      <c r="B2812" s="10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1" t="n">
        <v>2</v>
      </c>
      <c r="G2812" s="11" t="n">
        <v>2</v>
      </c>
      <c r="H2812" s="8" t="n">
        <v>9.99</v>
      </c>
      <c r="I2812" s="8" t="n">
        <v>9.99</v>
      </c>
      <c r="J2812" s="8" t="n"/>
      <c r="K2812" s="7" t="inlineStr">
        <is>
          <t>SEM COTAÇÃO</t>
        </is>
      </c>
      <c r="L2812" s="8" t="n"/>
      <c r="M2812" s="12" t="n"/>
      <c r="N2812" s="7" t="inlineStr"/>
      <c r="O2812" s="7" t="inlineStr"/>
    </row>
    <row r="2813">
      <c r="A2813" s="7" t="n">
        <v>681201</v>
      </c>
      <c r="B2813" s="10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1" t="n">
        <v>1</v>
      </c>
      <c r="G2813" s="11" t="n">
        <v>1</v>
      </c>
      <c r="H2813" s="8" t="n">
        <v>3.58</v>
      </c>
      <c r="I2813" s="8" t="n">
        <v>3.58</v>
      </c>
      <c r="J2813" s="8" t="n"/>
      <c r="K2813" s="7" t="inlineStr">
        <is>
          <t>SEM COTAÇÃO</t>
        </is>
      </c>
      <c r="L2813" s="8" t="n"/>
      <c r="M2813" s="12" t="n"/>
      <c r="N2813" s="7" t="inlineStr"/>
      <c r="O2813" s="7" t="inlineStr"/>
    </row>
    <row r="2814">
      <c r="A2814" s="7" t="n">
        <v>699101</v>
      </c>
      <c r="B2814" s="10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1" t="n">
        <v>10</v>
      </c>
      <c r="G2814" s="11" t="n">
        <v>10</v>
      </c>
      <c r="H2814" s="8" t="n">
        <v>3.58</v>
      </c>
      <c r="I2814" s="8" t="n">
        <v>3.58</v>
      </c>
      <c r="J2814" s="8" t="n"/>
      <c r="K2814" s="7" t="inlineStr">
        <is>
          <t>SEM COTAÇÃO</t>
        </is>
      </c>
      <c r="L2814" s="8" t="n"/>
      <c r="M2814" s="12" t="n"/>
      <c r="N2814" s="7" t="inlineStr"/>
      <c r="O2814" s="7" t="inlineStr"/>
    </row>
    <row r="2815">
      <c r="A2815" s="7" t="n">
        <v>658501</v>
      </c>
      <c r="B2815" s="10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1" t="n">
        <v>1</v>
      </c>
      <c r="G2815" s="11" t="n">
        <v>1</v>
      </c>
      <c r="H2815" s="8" t="n">
        <v>3.9</v>
      </c>
      <c r="I2815" s="8" t="n">
        <v>3.9</v>
      </c>
      <c r="J2815" s="8" t="n"/>
      <c r="K2815" s="7" t="inlineStr">
        <is>
          <t>SEM COTAÇÃO</t>
        </is>
      </c>
      <c r="L2815" s="8" t="n"/>
      <c r="M2815" s="12" t="n"/>
      <c r="N2815" s="7" t="inlineStr"/>
      <c r="O2815" s="7" t="inlineStr"/>
    </row>
    <row r="2816">
      <c r="A2816" s="7" t="n">
        <v>656041</v>
      </c>
      <c r="B2816" s="10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1" t="n">
        <v>3</v>
      </c>
      <c r="G2816" s="11" t="n">
        <v>3</v>
      </c>
      <c r="H2816" s="8" t="n">
        <v>26.83</v>
      </c>
      <c r="I2816" s="8" t="n">
        <v>26.83</v>
      </c>
      <c r="J2816" s="8" t="n"/>
      <c r="K2816" s="7" t="inlineStr">
        <is>
          <t>SEM COTAÇÃO</t>
        </is>
      </c>
      <c r="L2816" s="8" t="n"/>
      <c r="M2816" s="12" t="n"/>
      <c r="N2816" s="7" t="inlineStr"/>
      <c r="O2816" s="7" t="inlineStr"/>
    </row>
    <row r="2817">
      <c r="A2817" s="7" t="n">
        <v>661031</v>
      </c>
      <c r="B2817" s="10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1" t="n">
        <v>3</v>
      </c>
      <c r="G2817" s="11" t="n">
        <v>3</v>
      </c>
      <c r="H2817" s="8" t="n">
        <v>22.98</v>
      </c>
      <c r="I2817" s="8" t="n">
        <v>22.98</v>
      </c>
      <c r="J2817" s="8" t="n"/>
      <c r="K2817" s="7" t="inlineStr">
        <is>
          <t>SEM COTAÇÃO</t>
        </is>
      </c>
      <c r="L2817" s="8" t="n"/>
      <c r="M2817" s="12" t="n"/>
      <c r="N2817" s="7" t="inlineStr"/>
      <c r="O2817" s="7" t="inlineStr"/>
    </row>
    <row r="2818">
      <c r="A2818" s="7" t="n">
        <v>4533</v>
      </c>
      <c r="B2818" s="10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1" t="n">
        <v>1</v>
      </c>
      <c r="G2818" s="11" t="n">
        <v>1</v>
      </c>
      <c r="H2818" s="8" t="n"/>
      <c r="I2818" s="8" t="n"/>
      <c r="J2818" s="8" t="n"/>
      <c r="K2818" s="7" t="inlineStr">
        <is>
          <t>SEM COTAÇÃO</t>
        </is>
      </c>
      <c r="L2818" s="8" t="n"/>
      <c r="M2818" s="12" t="n"/>
      <c r="N2818" s="7" t="inlineStr"/>
      <c r="O2818" s="7" t="inlineStr"/>
    </row>
    <row r="2819">
      <c r="A2819" s="7" t="n">
        <v>612321</v>
      </c>
      <c r="B2819" s="10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1" t="n">
        <v>3</v>
      </c>
      <c r="G2819" s="11" t="n">
        <v>3</v>
      </c>
      <c r="H2819" s="8" t="n">
        <v>4.14</v>
      </c>
      <c r="I2819" s="8" t="n">
        <v>4.14</v>
      </c>
      <c r="J2819" s="13" t="n">
        <v>4.85</v>
      </c>
      <c r="K2819" s="7" t="inlineStr">
        <is>
          <t>DIMEC</t>
        </is>
      </c>
      <c r="L2819" s="8" t="n">
        <v>4.85</v>
      </c>
      <c r="M2819" s="12">
        <f>L2819/H2819-1</f>
        <v/>
      </c>
      <c r="N2819" s="14" t="inlineStr">
        <is>
          <t>ACIMA +17.1%</t>
        </is>
      </c>
      <c r="O2819" s="7" t="inlineStr"/>
    </row>
    <row r="2820">
      <c r="A2820" s="7" t="n">
        <v>542681</v>
      </c>
      <c r="B2820" s="10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1" t="n">
        <v>11</v>
      </c>
      <c r="G2820" s="11" t="n">
        <v>11</v>
      </c>
      <c r="H2820" s="8" t="n">
        <v>4.71</v>
      </c>
      <c r="I2820" s="8" t="n">
        <v>4.71</v>
      </c>
      <c r="J2820" s="13" t="n">
        <v>4.71</v>
      </c>
      <c r="K2820" s="7" t="inlineStr">
        <is>
          <t>DIMEC</t>
        </is>
      </c>
      <c r="L2820" s="8" t="n">
        <v>4.71</v>
      </c>
      <c r="M2820" s="12">
        <f>L2820/H2820-1</f>
        <v/>
      </c>
      <c r="N2820" s="15" t="inlineStr">
        <is>
          <t>OK (≤ menor hist.)</t>
        </is>
      </c>
      <c r="O2820" s="7" t="inlineStr"/>
    </row>
    <row r="2821">
      <c r="A2821" s="7" t="n">
        <v>657231</v>
      </c>
      <c r="B2821" s="10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1" t="n">
        <v>9</v>
      </c>
      <c r="G2821" s="11" t="n">
        <v>9</v>
      </c>
      <c r="H2821" s="8" t="n">
        <v>5.99</v>
      </c>
      <c r="I2821" s="8" t="n">
        <v>5.69</v>
      </c>
      <c r="J2821" s="8" t="n"/>
      <c r="K2821" s="7" t="inlineStr">
        <is>
          <t>SEM COTAÇÃO</t>
        </is>
      </c>
      <c r="L2821" s="8" t="n"/>
      <c r="M2821" s="12" t="n"/>
      <c r="N2821" s="7" t="inlineStr"/>
      <c r="O2821" s="7" t="inlineStr"/>
    </row>
    <row r="2822">
      <c r="A2822" s="7" t="n">
        <v>553481</v>
      </c>
      <c r="B2822" s="10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1" t="n">
        <v>6</v>
      </c>
      <c r="G2822" s="11" t="n">
        <v>23</v>
      </c>
      <c r="H2822" s="8" t="n">
        <v>10.2681</v>
      </c>
      <c r="I2822" s="8" t="n">
        <v>8.754799999999999</v>
      </c>
      <c r="J2822" s="8" t="n"/>
      <c r="K2822" s="7" t="inlineStr">
        <is>
          <t>SEM COTAÇÃO</t>
        </is>
      </c>
      <c r="L2822" s="8" t="n"/>
      <c r="M2822" s="12" t="n"/>
      <c r="N2822" s="7" t="inlineStr"/>
      <c r="O2822" s="7" t="inlineStr"/>
    </row>
    <row r="2823">
      <c r="A2823" s="7" t="n">
        <v>79381</v>
      </c>
      <c r="B2823" s="10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1" t="n">
        <v>1</v>
      </c>
      <c r="G2823" s="11" t="n">
        <v>2</v>
      </c>
      <c r="H2823" s="8" t="n">
        <v>9.779299999999999</v>
      </c>
      <c r="I2823" s="8" t="n">
        <v>8.995799999999999</v>
      </c>
      <c r="J2823" s="8" t="n"/>
      <c r="K2823" s="7" t="inlineStr">
        <is>
          <t>SEM COTAÇÃO</t>
        </is>
      </c>
      <c r="L2823" s="8" t="n"/>
      <c r="M2823" s="12" t="n"/>
      <c r="N2823" s="7" t="inlineStr"/>
      <c r="O2823" s="7" t="inlineStr"/>
    </row>
    <row r="2824">
      <c r="A2824" s="7" t="n">
        <v>5403</v>
      </c>
      <c r="B2824" s="10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1" t="n">
        <v>1</v>
      </c>
      <c r="G2824" s="11" t="n">
        <v>1</v>
      </c>
      <c r="H2824" s="8" t="n">
        <v>19.99</v>
      </c>
      <c r="I2824" s="8" t="n">
        <v>19.99</v>
      </c>
      <c r="J2824" s="8" t="n"/>
      <c r="K2824" s="7" t="inlineStr">
        <is>
          <t>SEM COTAÇÃO</t>
        </is>
      </c>
      <c r="L2824" s="8" t="n"/>
      <c r="M2824" s="12" t="n"/>
      <c r="N2824" s="7" t="inlineStr"/>
      <c r="O2824" s="7" t="inlineStr"/>
    </row>
    <row r="2825">
      <c r="A2825" s="7" t="n">
        <v>650351</v>
      </c>
      <c r="B2825" s="10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1" t="n">
        <v>1</v>
      </c>
      <c r="G2825" s="11" t="n">
        <v>1</v>
      </c>
      <c r="H2825" s="8" t="n">
        <v>22.26</v>
      </c>
      <c r="I2825" s="8" t="n">
        <v>22.26</v>
      </c>
      <c r="J2825" s="8" t="n"/>
      <c r="K2825" s="7" t="inlineStr">
        <is>
          <t>SEM COTAÇÃO</t>
        </is>
      </c>
      <c r="L2825" s="8" t="n"/>
      <c r="M2825" s="12" t="n"/>
      <c r="N2825" s="7" t="inlineStr"/>
      <c r="O2825" s="7" t="inlineStr"/>
    </row>
    <row r="2826">
      <c r="A2826" s="7" t="n">
        <v>634531</v>
      </c>
      <c r="B2826" s="10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1" t="n">
        <v>2</v>
      </c>
      <c r="G2826" s="11" t="n">
        <v>2</v>
      </c>
      <c r="H2826" s="8" t="n">
        <v>23.98</v>
      </c>
      <c r="I2826" s="8" t="n">
        <v>23.98</v>
      </c>
      <c r="J2826" s="8" t="n"/>
      <c r="K2826" s="7" t="inlineStr">
        <is>
          <t>SEM COTAÇÃO</t>
        </is>
      </c>
      <c r="L2826" s="8" t="n"/>
      <c r="M2826" s="12" t="n"/>
      <c r="N2826" s="7" t="inlineStr"/>
      <c r="O2826" s="7" t="inlineStr"/>
    </row>
    <row r="2827">
      <c r="A2827" s="7" t="n">
        <v>606901</v>
      </c>
      <c r="B2827" s="10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1" t="n">
        <v>6</v>
      </c>
      <c r="G2827" s="11" t="n">
        <v>6</v>
      </c>
      <c r="H2827" s="8" t="n">
        <v>15.98</v>
      </c>
      <c r="I2827" s="8" t="n">
        <v>15.49</v>
      </c>
      <c r="J2827" s="8" t="n"/>
      <c r="K2827" s="7" t="inlineStr">
        <is>
          <t>SEM COTAÇÃO</t>
        </is>
      </c>
      <c r="L2827" s="8" t="n"/>
      <c r="M2827" s="12" t="n"/>
      <c r="N2827" s="7" t="inlineStr"/>
      <c r="O2827" s="7" t="inlineStr"/>
    </row>
    <row r="2828">
      <c r="A2828" s="7" t="n">
        <v>5303</v>
      </c>
      <c r="B2828" s="10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1" t="n">
        <v>1</v>
      </c>
      <c r="G2828" s="11" t="n">
        <v>1</v>
      </c>
      <c r="H2828" s="8" t="n">
        <v>21.04</v>
      </c>
      <c r="I2828" s="8" t="n">
        <v>21.04</v>
      </c>
      <c r="J2828" s="8" t="n"/>
      <c r="K2828" s="7" t="inlineStr">
        <is>
          <t>SEM COTAÇÃO</t>
        </is>
      </c>
      <c r="L2828" s="8" t="n"/>
      <c r="M2828" s="12" t="n"/>
      <c r="N2828" s="7" t="inlineStr"/>
      <c r="O2828" s="7" t="inlineStr"/>
    </row>
    <row r="2829">
      <c r="A2829" s="7" t="n">
        <v>591291</v>
      </c>
      <c r="B2829" s="10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1" t="n">
        <v>8</v>
      </c>
      <c r="G2829" s="11" t="n">
        <v>8</v>
      </c>
      <c r="H2829" s="8" t="n">
        <v>15.98</v>
      </c>
      <c r="I2829" s="8" t="n">
        <v>13.84</v>
      </c>
      <c r="J2829" s="13" t="n">
        <v>15.98</v>
      </c>
      <c r="K2829" s="7" t="inlineStr">
        <is>
          <t>DIMEC</t>
        </is>
      </c>
      <c r="L2829" s="8" t="n">
        <v>15.98</v>
      </c>
      <c r="M2829" s="12">
        <f>L2829/H2829-1</f>
        <v/>
      </c>
      <c r="N2829" s="15" t="inlineStr">
        <is>
          <t>OK (≤ últ. compra)</t>
        </is>
      </c>
      <c r="O2829" s="7" t="inlineStr"/>
    </row>
    <row r="2830">
      <c r="A2830" s="7" t="n">
        <v>659161</v>
      </c>
      <c r="B2830" s="10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1" t="n">
        <v>3</v>
      </c>
      <c r="G2830" s="11" t="n">
        <v>3</v>
      </c>
      <c r="H2830" s="8" t="n">
        <v>16.89</v>
      </c>
      <c r="I2830" s="8" t="n">
        <v>16.89</v>
      </c>
      <c r="J2830" s="8" t="n"/>
      <c r="K2830" s="7" t="inlineStr">
        <is>
          <t>SEM COTAÇÃO</t>
        </is>
      </c>
      <c r="L2830" s="8" t="n"/>
      <c r="M2830" s="12" t="n"/>
      <c r="N2830" s="7" t="inlineStr"/>
      <c r="O2830" s="7" t="inlineStr"/>
    </row>
    <row r="2831">
      <c r="A2831" s="7" t="n">
        <v>654951</v>
      </c>
      <c r="B2831" s="10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1" t="n">
        <v>4</v>
      </c>
      <c r="G2831" s="11" t="n">
        <v>4</v>
      </c>
      <c r="H2831" s="8" t="n">
        <v>13.83</v>
      </c>
      <c r="I2831" s="8" t="n">
        <v>13.83</v>
      </c>
      <c r="J2831" s="8" t="n"/>
      <c r="K2831" s="7" t="inlineStr">
        <is>
          <t>SEM COTAÇÃO</t>
        </is>
      </c>
      <c r="L2831" s="8" t="n"/>
      <c r="M2831" s="12" t="n"/>
      <c r="N2831" s="7" t="inlineStr"/>
      <c r="O2831" s="7" t="inlineStr"/>
    </row>
    <row r="2832">
      <c r="A2832" s="7" t="n">
        <v>664751</v>
      </c>
      <c r="B2832" s="10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1" t="n">
        <v>6</v>
      </c>
      <c r="G2832" s="11" t="n">
        <v>6</v>
      </c>
      <c r="H2832" s="8" t="n"/>
      <c r="I2832" s="8" t="n"/>
      <c r="J2832" s="8" t="n"/>
      <c r="K2832" s="7" t="inlineStr">
        <is>
          <t>SEM COTAÇÃO</t>
        </is>
      </c>
      <c r="L2832" s="8" t="n"/>
      <c r="M2832" s="12" t="n"/>
      <c r="N2832" s="7" t="inlineStr"/>
      <c r="O2832" s="7" t="inlineStr"/>
    </row>
    <row r="2833">
      <c r="A2833" s="7" t="n">
        <v>56761</v>
      </c>
      <c r="B2833" s="10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1" t="n">
        <v>20</v>
      </c>
      <c r="G2833" s="11" t="n">
        <v>20</v>
      </c>
      <c r="H2833" s="8" t="n">
        <v>5.1</v>
      </c>
      <c r="I2833" s="8" t="n">
        <v>5.1</v>
      </c>
      <c r="J2833" s="13" t="n">
        <v>4.68</v>
      </c>
      <c r="K2833" s="7" t="inlineStr">
        <is>
          <t>DIMEC</t>
        </is>
      </c>
      <c r="L2833" s="8" t="n">
        <v>4.68</v>
      </c>
      <c r="M2833" s="12">
        <f>L2833/H2833-1</f>
        <v/>
      </c>
      <c r="N2833" s="15" t="inlineStr">
        <is>
          <t>OK (≤ menor hist.)</t>
        </is>
      </c>
      <c r="O2833" s="7" t="inlineStr"/>
    </row>
    <row r="2834">
      <c r="A2834" s="7" t="n">
        <v>512521</v>
      </c>
      <c r="B2834" s="10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1" t="n">
        <v>19</v>
      </c>
      <c r="G2834" s="11" t="n">
        <v>19</v>
      </c>
      <c r="H2834" s="8" t="n">
        <v>1.89</v>
      </c>
      <c r="I2834" s="8" t="n">
        <v>1.69</v>
      </c>
      <c r="J2834" s="8" t="n"/>
      <c r="K2834" s="7" t="inlineStr">
        <is>
          <t>SEM COTAÇÃO</t>
        </is>
      </c>
      <c r="L2834" s="8" t="n"/>
      <c r="M2834" s="12" t="n"/>
      <c r="N2834" s="7" t="inlineStr"/>
      <c r="O2834" s="7" t="inlineStr"/>
    </row>
    <row r="2835">
      <c r="A2835" s="7" t="n">
        <v>334461</v>
      </c>
      <c r="B2835" s="10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1" t="n">
        <v>1</v>
      </c>
      <c r="G2835" s="11" t="n">
        <v>1</v>
      </c>
      <c r="H2835" s="8" t="n">
        <v>2.08</v>
      </c>
      <c r="I2835" s="8" t="n">
        <v>2.08</v>
      </c>
      <c r="J2835" s="8" t="n"/>
      <c r="K2835" s="7" t="inlineStr">
        <is>
          <t>SEM COTAÇÃO</t>
        </is>
      </c>
      <c r="L2835" s="8" t="n"/>
      <c r="M2835" s="12" t="n"/>
      <c r="N2835" s="7" t="inlineStr"/>
      <c r="O2835" s="7" t="inlineStr"/>
    </row>
    <row r="2836">
      <c r="A2836" s="7" t="n">
        <v>334821</v>
      </c>
      <c r="B2836" s="10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1" t="n">
        <v>6</v>
      </c>
      <c r="G2836" s="11" t="n">
        <v>6</v>
      </c>
      <c r="H2836" s="8" t="n">
        <v>2.39</v>
      </c>
      <c r="I2836" s="8" t="n">
        <v>2.39</v>
      </c>
      <c r="J2836" s="8" t="n"/>
      <c r="K2836" s="7" t="inlineStr">
        <is>
          <t>SEM COTAÇÃO</t>
        </is>
      </c>
      <c r="L2836" s="8" t="n"/>
      <c r="M2836" s="12" t="n"/>
      <c r="N2836" s="7" t="inlineStr"/>
      <c r="O2836" s="7" t="inlineStr"/>
    </row>
    <row r="2837">
      <c r="A2837" s="7" t="n">
        <v>334841</v>
      </c>
      <c r="B2837" s="10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1" t="n">
        <v>4</v>
      </c>
      <c r="G2837" s="11" t="n">
        <v>4</v>
      </c>
      <c r="H2837" s="8" t="n">
        <v>3.09</v>
      </c>
      <c r="I2837" s="8" t="n">
        <v>3.09</v>
      </c>
      <c r="J2837" s="8" t="n"/>
      <c r="K2837" s="7" t="inlineStr">
        <is>
          <t>SEM COTAÇÃO</t>
        </is>
      </c>
      <c r="L2837" s="8" t="n"/>
      <c r="M2837" s="12" t="n"/>
      <c r="N2837" s="7" t="inlineStr"/>
      <c r="O2837" s="7" t="inlineStr"/>
    </row>
    <row r="2838">
      <c r="A2838" s="7" t="n">
        <v>512501</v>
      </c>
      <c r="B2838" s="10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1" t="n">
        <v>26</v>
      </c>
      <c r="G2838" s="11" t="n">
        <v>26</v>
      </c>
      <c r="H2838" s="8" t="n">
        <v>2.35</v>
      </c>
      <c r="I2838" s="8" t="n">
        <v>2.23</v>
      </c>
      <c r="J2838" s="13" t="n">
        <v>2.86</v>
      </c>
      <c r="K2838" s="7" t="inlineStr">
        <is>
          <t>DIMEC</t>
        </is>
      </c>
      <c r="L2838" s="8" t="n">
        <v>2.86</v>
      </c>
      <c r="M2838" s="12">
        <f>L2838/H2838-1</f>
        <v/>
      </c>
      <c r="N2838" s="14" t="inlineStr">
        <is>
          <t>ACIMA +21.7%</t>
        </is>
      </c>
      <c r="O2838" s="7" t="inlineStr"/>
    </row>
    <row r="2839">
      <c r="A2839" s="7" t="n">
        <v>334801</v>
      </c>
      <c r="B2839" s="10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1" t="n">
        <v>3</v>
      </c>
      <c r="G2839" s="11" t="n">
        <v>3</v>
      </c>
      <c r="H2839" s="8" t="n">
        <v>2.18</v>
      </c>
      <c r="I2839" s="8" t="n">
        <v>2.18</v>
      </c>
      <c r="J2839" s="8" t="n"/>
      <c r="K2839" s="7" t="inlineStr">
        <is>
          <t>SEM COTAÇÃO</t>
        </is>
      </c>
      <c r="L2839" s="8" t="n"/>
      <c r="M2839" s="12" t="n"/>
      <c r="N2839" s="7" t="inlineStr"/>
      <c r="O2839" s="7" t="inlineStr"/>
    </row>
    <row r="2840">
      <c r="A2840" s="7" t="n">
        <v>336001</v>
      </c>
      <c r="B2840" s="10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1" t="n">
        <v>1</v>
      </c>
      <c r="G2840" s="11" t="n">
        <v>1</v>
      </c>
      <c r="H2840" s="8" t="n">
        <v>33.8</v>
      </c>
      <c r="I2840" s="8" t="n">
        <v>31.95</v>
      </c>
      <c r="J2840" s="13" t="n">
        <v>35.44</v>
      </c>
      <c r="K2840" s="7" t="inlineStr">
        <is>
          <t>DIMEC</t>
        </is>
      </c>
      <c r="L2840" s="8" t="n">
        <v>35.44</v>
      </c>
      <c r="M2840" s="12">
        <f>L2840/H2840-1</f>
        <v/>
      </c>
      <c r="N2840" s="14" t="inlineStr">
        <is>
          <t>ACIMA +4.9%</t>
        </is>
      </c>
      <c r="O2840" s="7" t="inlineStr"/>
    </row>
    <row r="2841">
      <c r="A2841" s="7" t="n">
        <v>449941</v>
      </c>
      <c r="B2841" s="10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1" t="n">
        <v>1</v>
      </c>
      <c r="G2841" s="11" t="n">
        <v>1</v>
      </c>
      <c r="H2841" s="8" t="n">
        <v>27.715</v>
      </c>
      <c r="I2841" s="8" t="n">
        <v>27.715</v>
      </c>
      <c r="J2841" s="8" t="n"/>
      <c r="K2841" s="7" t="inlineStr">
        <is>
          <t>SEM COTAÇÃO</t>
        </is>
      </c>
      <c r="L2841" s="8" t="n"/>
      <c r="M2841" s="12" t="n"/>
      <c r="N2841" s="7" t="inlineStr"/>
      <c r="O2841" s="7" t="inlineStr"/>
    </row>
    <row r="2842">
      <c r="A2842" s="7" t="n">
        <v>464261</v>
      </c>
      <c r="B2842" s="10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1" t="n">
        <v>2</v>
      </c>
      <c r="G2842" s="11" t="n">
        <v>2</v>
      </c>
      <c r="H2842" s="8" t="n">
        <v>33.4333</v>
      </c>
      <c r="I2842" s="8" t="n">
        <v>32.015</v>
      </c>
      <c r="J2842" s="8" t="n"/>
      <c r="K2842" s="7" t="inlineStr">
        <is>
          <t>SEM COTAÇÃO</t>
        </is>
      </c>
      <c r="L2842" s="8" t="n"/>
      <c r="M2842" s="12" t="n"/>
      <c r="N2842" s="7" t="inlineStr"/>
      <c r="O2842" s="7" t="inlineStr"/>
    </row>
    <row r="2843">
      <c r="A2843" s="7" t="n">
        <v>654211</v>
      </c>
      <c r="B2843" s="10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1" t="n">
        <v>3</v>
      </c>
      <c r="G2843" s="11" t="n">
        <v>3</v>
      </c>
      <c r="H2843" s="8" t="n">
        <v>13.26</v>
      </c>
      <c r="I2843" s="8" t="n">
        <v>13.26</v>
      </c>
      <c r="J2843" s="8" t="n"/>
      <c r="K2843" s="7" t="inlineStr">
        <is>
          <t>SEM COTAÇÃO</t>
        </is>
      </c>
      <c r="L2843" s="8" t="n"/>
      <c r="M2843" s="12" t="n"/>
      <c r="N2843" s="7" t="inlineStr"/>
      <c r="O2843" s="7" t="inlineStr"/>
    </row>
    <row r="2844">
      <c r="A2844" s="7" t="n">
        <v>654241</v>
      </c>
      <c r="B2844" s="10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1" t="n">
        <v>1</v>
      </c>
      <c r="G2844" s="11" t="n">
        <v>1</v>
      </c>
      <c r="H2844" s="8" t="n">
        <v>16.725</v>
      </c>
      <c r="I2844" s="8" t="n">
        <v>16.725</v>
      </c>
      <c r="J2844" s="8" t="n"/>
      <c r="K2844" s="7" t="inlineStr">
        <is>
          <t>SEM COTAÇÃO</t>
        </is>
      </c>
      <c r="L2844" s="8" t="n"/>
      <c r="M2844" s="12" t="n"/>
      <c r="N2844" s="7" t="inlineStr"/>
      <c r="O2844" s="7" t="inlineStr"/>
    </row>
    <row r="2845">
      <c r="A2845" s="7" t="n">
        <v>653561</v>
      </c>
      <c r="B2845" s="10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1" t="n">
        <v>3</v>
      </c>
      <c r="G2845" s="11" t="n">
        <v>3</v>
      </c>
      <c r="H2845" s="8" t="n">
        <v>17.17</v>
      </c>
      <c r="I2845" s="8" t="n">
        <v>17.17</v>
      </c>
      <c r="J2845" s="8" t="n"/>
      <c r="K2845" s="7" t="inlineStr">
        <is>
          <t>SEM COTAÇÃO</t>
        </is>
      </c>
      <c r="L2845" s="8" t="n"/>
      <c r="M2845" s="12" t="n"/>
      <c r="N2845" s="7" t="inlineStr"/>
      <c r="O2845" s="7" t="inlineStr"/>
    </row>
    <row r="2846">
      <c r="A2846" s="7" t="n">
        <v>653541</v>
      </c>
      <c r="B2846" s="10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1" t="n">
        <v>2</v>
      </c>
      <c r="G2846" s="11" t="n">
        <v>2</v>
      </c>
      <c r="H2846" s="8" t="n">
        <v>12.71</v>
      </c>
      <c r="I2846" s="8" t="n">
        <v>12.71</v>
      </c>
      <c r="J2846" s="8" t="n"/>
      <c r="K2846" s="7" t="inlineStr">
        <is>
          <t>SEM COTAÇÃO</t>
        </is>
      </c>
      <c r="L2846" s="8" t="n"/>
      <c r="M2846" s="12" t="n"/>
      <c r="N2846" s="7" t="inlineStr"/>
      <c r="O2846" s="7" t="inlineStr"/>
    </row>
    <row r="2847">
      <c r="A2847" s="7" t="n">
        <v>38003</v>
      </c>
      <c r="B2847" s="10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1" t="n">
        <v>8</v>
      </c>
      <c r="G2847" s="11" t="n">
        <v>8</v>
      </c>
      <c r="H2847" s="8" t="n">
        <v>7.69</v>
      </c>
      <c r="I2847" s="8" t="n">
        <v>7.69</v>
      </c>
      <c r="J2847" s="8" t="n"/>
      <c r="K2847" s="7" t="inlineStr">
        <is>
          <t>SEM COTAÇÃO</t>
        </is>
      </c>
      <c r="L2847" s="8" t="n"/>
      <c r="M2847" s="12" t="n"/>
      <c r="N2847" s="7" t="inlineStr"/>
      <c r="O2847" s="7" t="inlineStr"/>
    </row>
    <row r="2848">
      <c r="A2848" s="7" t="n">
        <v>37903</v>
      </c>
      <c r="B2848" s="10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1" t="n">
        <v>3</v>
      </c>
      <c r="G2848" s="11" t="n">
        <v>3</v>
      </c>
      <c r="H2848" s="8" t="n">
        <v>7.69</v>
      </c>
      <c r="I2848" s="8" t="n">
        <v>7.69</v>
      </c>
      <c r="J2848" s="8" t="n"/>
      <c r="K2848" s="7" t="inlineStr">
        <is>
          <t>SEM COTAÇÃO</t>
        </is>
      </c>
      <c r="L2848" s="8" t="n"/>
      <c r="M2848" s="12" t="n"/>
      <c r="N2848" s="7" t="inlineStr"/>
      <c r="O2848" s="7" t="inlineStr"/>
    </row>
    <row r="2849">
      <c r="A2849" s="7" t="n">
        <v>671231</v>
      </c>
      <c r="B2849" s="10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1" t="n">
        <v>1</v>
      </c>
      <c r="G2849" s="11" t="n">
        <v>1</v>
      </c>
      <c r="H2849" s="8" t="n">
        <v>27.73</v>
      </c>
      <c r="I2849" s="8" t="n">
        <v>27.73</v>
      </c>
      <c r="J2849" s="8" t="n"/>
      <c r="K2849" s="7" t="inlineStr">
        <is>
          <t>SEM COTAÇÃO</t>
        </is>
      </c>
      <c r="L2849" s="8" t="n"/>
      <c r="M2849" s="12" t="n"/>
      <c r="N2849" s="7" t="inlineStr"/>
      <c r="O2849" s="7" t="inlineStr"/>
    </row>
    <row r="2850">
      <c r="A2850" s="7" t="n">
        <v>671041</v>
      </c>
      <c r="B2850" s="10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1" t="n">
        <v>1</v>
      </c>
      <c r="G2850" s="11" t="n">
        <v>1</v>
      </c>
      <c r="H2850" s="8" t="n">
        <v>27.73</v>
      </c>
      <c r="I2850" s="8" t="n">
        <v>27.73</v>
      </c>
      <c r="J2850" s="8" t="n"/>
      <c r="K2850" s="7" t="inlineStr">
        <is>
          <t>SEM COTAÇÃO</t>
        </is>
      </c>
      <c r="L2850" s="8" t="n"/>
      <c r="M2850" s="12" t="n"/>
      <c r="N2850" s="7" t="inlineStr"/>
      <c r="O2850" s="7" t="inlineStr"/>
    </row>
    <row r="2851">
      <c r="A2851" s="7" t="n">
        <v>660001</v>
      </c>
      <c r="B2851" s="10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1" t="n">
        <v>1</v>
      </c>
      <c r="G2851" s="11" t="n">
        <v>1</v>
      </c>
      <c r="H2851" s="8" t="n">
        <v>8.609999999999999</v>
      </c>
      <c r="I2851" s="8" t="n">
        <v>8.609999999999999</v>
      </c>
      <c r="J2851" s="8" t="n"/>
      <c r="K2851" s="7" t="inlineStr">
        <is>
          <t>SEM COTAÇÃO</t>
        </is>
      </c>
      <c r="L2851" s="8" t="n"/>
      <c r="M2851" s="12" t="n"/>
      <c r="N2851" s="7" t="inlineStr"/>
      <c r="O2851" s="7" t="inlineStr"/>
    </row>
    <row r="2852">
      <c r="A2852" s="7" t="n">
        <v>651861</v>
      </c>
      <c r="B2852" s="10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1" t="n">
        <v>46</v>
      </c>
      <c r="G2852" s="11" t="n">
        <v>46</v>
      </c>
      <c r="H2852" s="8" t="n">
        <v>1.62</v>
      </c>
      <c r="I2852" s="8" t="n">
        <v>1.55</v>
      </c>
      <c r="J2852" s="8" t="n"/>
      <c r="K2852" s="7" t="inlineStr">
        <is>
          <t>SEM COTAÇÃO</t>
        </is>
      </c>
      <c r="L2852" s="8" t="n"/>
      <c r="M2852" s="12" t="n"/>
      <c r="N2852" s="7" t="inlineStr"/>
      <c r="O2852" s="7" t="inlineStr"/>
    </row>
    <row r="2853">
      <c r="A2853" s="7" t="n">
        <v>671241</v>
      </c>
      <c r="B2853" s="10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1" t="n">
        <v>1</v>
      </c>
      <c r="G2853" s="11" t="n">
        <v>8</v>
      </c>
      <c r="H2853" s="8" t="n">
        <v>3.5315</v>
      </c>
      <c r="I2853" s="8" t="n">
        <v>3.5315</v>
      </c>
      <c r="J2853" s="8" t="n"/>
      <c r="K2853" s="7" t="inlineStr">
        <is>
          <t>SEM COTAÇÃO</t>
        </is>
      </c>
      <c r="L2853" s="8" t="n"/>
      <c r="M2853" s="12" t="n"/>
      <c r="N2853" s="7" t="inlineStr"/>
      <c r="O2853" s="7" t="inlineStr"/>
    </row>
    <row r="2854">
      <c r="A2854" s="7" t="n">
        <v>652061</v>
      </c>
      <c r="B2854" s="10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1" t="n">
        <v>1</v>
      </c>
      <c r="G2854" s="11" t="n">
        <v>1</v>
      </c>
      <c r="H2854" s="8" t="n">
        <v>40.97</v>
      </c>
      <c r="I2854" s="8" t="n">
        <v>40.97</v>
      </c>
      <c r="J2854" s="8" t="n"/>
      <c r="K2854" s="7" t="inlineStr">
        <is>
          <t>SEM COTAÇÃO</t>
        </is>
      </c>
      <c r="L2854" s="8" t="n"/>
      <c r="M2854" s="12" t="n"/>
      <c r="N2854" s="7" t="inlineStr"/>
      <c r="O2854" s="7" t="inlineStr"/>
    </row>
    <row r="2855">
      <c r="A2855" s="7" t="n">
        <v>687801</v>
      </c>
      <c r="B2855" s="10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1" t="n">
        <v>1</v>
      </c>
      <c r="G2855" s="11" t="n">
        <v>1</v>
      </c>
      <c r="H2855" s="8" t="n">
        <v>1.1917</v>
      </c>
      <c r="I2855" s="8" t="n">
        <v>1.1917</v>
      </c>
      <c r="J2855" s="8" t="n"/>
      <c r="K2855" s="7" t="inlineStr">
        <is>
          <t>SEM COTAÇÃO</t>
        </is>
      </c>
      <c r="L2855" s="8" t="n"/>
      <c r="M2855" s="12" t="n"/>
      <c r="N2855" s="7" t="inlineStr"/>
      <c r="O2855" s="7" t="inlineStr"/>
    </row>
    <row r="2856">
      <c r="A2856" s="7" t="n">
        <v>605911</v>
      </c>
      <c r="B2856" s="10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1" t="n">
        <v>1</v>
      </c>
      <c r="G2856" s="11" t="n">
        <v>1</v>
      </c>
      <c r="H2856" s="8" t="n">
        <v>11.9433</v>
      </c>
      <c r="I2856" s="8" t="n">
        <v>10.92</v>
      </c>
      <c r="J2856" s="8" t="n"/>
      <c r="K2856" s="7" t="inlineStr">
        <is>
          <t>SEM COTAÇÃO</t>
        </is>
      </c>
      <c r="L2856" s="8" t="n"/>
      <c r="M2856" s="12" t="n"/>
      <c r="N2856" s="7" t="inlineStr"/>
      <c r="O2856" s="7" t="inlineStr"/>
    </row>
    <row r="2857">
      <c r="A2857" s="7" t="n">
        <v>534681</v>
      </c>
      <c r="B2857" s="10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1" t="n">
        <v>5</v>
      </c>
      <c r="G2857" s="11" t="n">
        <v>5</v>
      </c>
      <c r="H2857" s="8" t="n">
        <v>2.12</v>
      </c>
      <c r="I2857" s="8" t="n">
        <v>2.12</v>
      </c>
      <c r="J2857" s="8" t="n"/>
      <c r="K2857" s="7" t="inlineStr">
        <is>
          <t>SEM COTAÇÃO</t>
        </is>
      </c>
      <c r="L2857" s="8" t="n"/>
      <c r="M2857" s="12" t="n"/>
      <c r="N2857" s="7" t="inlineStr"/>
      <c r="O2857" s="7" t="inlineStr"/>
    </row>
    <row r="2858">
      <c r="A2858" s="7" t="n">
        <v>534661</v>
      </c>
      <c r="B2858" s="10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1" t="n">
        <v>11</v>
      </c>
      <c r="G2858" s="11" t="n">
        <v>11</v>
      </c>
      <c r="H2858" s="8" t="n">
        <v>1.8</v>
      </c>
      <c r="I2858" s="8" t="n">
        <v>1.8</v>
      </c>
      <c r="J2858" s="8" t="n"/>
      <c r="K2858" s="7" t="inlineStr">
        <is>
          <t>SEM COTAÇÃO</t>
        </is>
      </c>
      <c r="L2858" s="8" t="n"/>
      <c r="M2858" s="12" t="n"/>
      <c r="N2858" s="7" t="inlineStr"/>
      <c r="O2858" s="7" t="inlineStr"/>
    </row>
    <row r="2859">
      <c r="A2859" s="7" t="n">
        <v>640581</v>
      </c>
      <c r="B2859" s="10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1" t="n">
        <v>2</v>
      </c>
      <c r="G2859" s="11" t="n">
        <v>2</v>
      </c>
      <c r="H2859" s="8" t="n">
        <v>42.61</v>
      </c>
      <c r="I2859" s="8" t="n">
        <v>42.605</v>
      </c>
      <c r="J2859" s="8" t="n"/>
      <c r="K2859" s="7" t="inlineStr">
        <is>
          <t>SEM COTAÇÃO</t>
        </is>
      </c>
      <c r="L2859" s="8" t="n"/>
      <c r="M2859" s="12" t="n"/>
      <c r="N2859" s="7" t="inlineStr"/>
      <c r="O2859" s="7" t="inlineStr"/>
    </row>
    <row r="2860">
      <c r="A2860" s="7" t="n">
        <v>550821</v>
      </c>
      <c r="B2860" s="10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1" t="n">
        <v>3</v>
      </c>
      <c r="G2860" s="11" t="n">
        <v>3</v>
      </c>
      <c r="H2860" s="8" t="n">
        <v>38.41</v>
      </c>
      <c r="I2860" s="8" t="n">
        <v>34.369</v>
      </c>
      <c r="J2860" s="8" t="n"/>
      <c r="K2860" s="7" t="inlineStr">
        <is>
          <t>SEM COTAÇÃO</t>
        </is>
      </c>
      <c r="L2860" s="8" t="n"/>
      <c r="M2860" s="12" t="n"/>
      <c r="N2860" s="7" t="inlineStr"/>
      <c r="O2860" s="7" t="inlineStr"/>
    </row>
    <row r="2861">
      <c r="A2861" s="7" t="n">
        <v>640591</v>
      </c>
      <c r="B2861" s="10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1" t="n">
        <v>1</v>
      </c>
      <c r="G2861" s="11" t="n">
        <v>1</v>
      </c>
      <c r="H2861" s="8" t="n">
        <v>41.6</v>
      </c>
      <c r="I2861" s="8" t="n">
        <v>37.585</v>
      </c>
      <c r="J2861" s="8" t="n"/>
      <c r="K2861" s="7" t="inlineStr">
        <is>
          <t>SEM COTAÇÃO</t>
        </is>
      </c>
      <c r="L2861" s="8" t="n"/>
      <c r="M2861" s="12" t="n"/>
      <c r="N2861" s="7" t="inlineStr"/>
      <c r="O2861" s="7" t="inlineStr"/>
    </row>
    <row r="2862">
      <c r="A2862" s="7" t="n">
        <v>653761</v>
      </c>
      <c r="B2862" s="10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1" t="n">
        <v>1</v>
      </c>
      <c r="G2862" s="11" t="n">
        <v>1</v>
      </c>
      <c r="H2862" s="8" t="n">
        <v>33.8425</v>
      </c>
      <c r="I2862" s="8" t="n">
        <v>33.8425</v>
      </c>
      <c r="J2862" s="8" t="n"/>
      <c r="K2862" s="7" t="inlineStr">
        <is>
          <t>SEM COTAÇÃO</t>
        </is>
      </c>
      <c r="L2862" s="8" t="n"/>
      <c r="M2862" s="12" t="n"/>
      <c r="N2862" s="7" t="inlineStr"/>
      <c r="O2862" s="7" t="inlineStr"/>
    </row>
    <row r="2863">
      <c r="A2863" s="7" t="n">
        <v>653771</v>
      </c>
      <c r="B2863" s="10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1" t="n">
        <v>1</v>
      </c>
      <c r="G2863" s="11" t="n">
        <v>1</v>
      </c>
      <c r="H2863" s="8" t="n">
        <v>52.78</v>
      </c>
      <c r="I2863" s="8" t="n">
        <v>52.78</v>
      </c>
      <c r="J2863" s="8" t="n"/>
      <c r="K2863" s="7" t="inlineStr">
        <is>
          <t>SEM COTAÇÃO</t>
        </is>
      </c>
      <c r="L2863" s="8" t="n"/>
      <c r="M2863" s="12" t="n"/>
      <c r="N2863" s="7" t="inlineStr"/>
      <c r="O2863" s="7" t="inlineStr"/>
    </row>
    <row r="2864">
      <c r="A2864" s="7" t="n">
        <v>120461</v>
      </c>
      <c r="B2864" s="10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1" t="n">
        <v>1</v>
      </c>
      <c r="G2864" s="11" t="n">
        <v>1</v>
      </c>
      <c r="H2864" s="8" t="n">
        <v>40.65</v>
      </c>
      <c r="I2864" s="8" t="n">
        <v>40.65</v>
      </c>
      <c r="J2864" s="8" t="n"/>
      <c r="K2864" s="7" t="inlineStr">
        <is>
          <t>SEM COTAÇÃO</t>
        </is>
      </c>
      <c r="L2864" s="8" t="n"/>
      <c r="M2864" s="12" t="n"/>
      <c r="N2864" s="7" t="inlineStr"/>
      <c r="O2864" s="7" t="inlineStr"/>
    </row>
    <row r="2865">
      <c r="A2865" s="7" t="n">
        <v>478621</v>
      </c>
      <c r="B2865" s="10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1" t="n">
        <v>1</v>
      </c>
      <c r="G2865" s="11" t="n">
        <v>1</v>
      </c>
      <c r="H2865" s="8" t="n">
        <v>8.550000000000001</v>
      </c>
      <c r="I2865" s="8" t="n">
        <v>7.5633</v>
      </c>
      <c r="J2865" s="8" t="n"/>
      <c r="K2865" s="7" t="inlineStr">
        <is>
          <t>SEM COTAÇÃO</t>
        </is>
      </c>
      <c r="L2865" s="8" t="n"/>
      <c r="M2865" s="12" t="n"/>
      <c r="N2865" s="7" t="inlineStr"/>
      <c r="O2865" s="7" t="inlineStr"/>
    </row>
    <row r="2866">
      <c r="A2866" s="7" t="n">
        <v>620741</v>
      </c>
      <c r="B2866" s="10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1" t="n">
        <v>1</v>
      </c>
      <c r="G2866" s="11" t="n">
        <v>1</v>
      </c>
      <c r="H2866" s="8" t="n">
        <v>38.85</v>
      </c>
      <c r="I2866" s="8" t="n">
        <v>38.85</v>
      </c>
      <c r="J2866" s="8" t="n"/>
      <c r="K2866" s="7" t="inlineStr">
        <is>
          <t>SEM COTAÇÃO</t>
        </is>
      </c>
      <c r="L2866" s="8" t="n"/>
      <c r="M2866" s="12" t="n"/>
      <c r="N2866" s="7" t="inlineStr"/>
      <c r="O2866" s="7" t="inlineStr"/>
    </row>
    <row r="2867">
      <c r="A2867" s="7" t="n">
        <v>622701</v>
      </c>
      <c r="B2867" s="10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1" t="n">
        <v>1</v>
      </c>
      <c r="G2867" s="11" t="n">
        <v>1</v>
      </c>
      <c r="H2867" s="8" t="n">
        <v>24.34</v>
      </c>
      <c r="I2867" s="8" t="n">
        <v>24.34</v>
      </c>
      <c r="J2867" s="8" t="n"/>
      <c r="K2867" s="7" t="inlineStr">
        <is>
          <t>SEM COTAÇÃO</t>
        </is>
      </c>
      <c r="L2867" s="8" t="n"/>
      <c r="M2867" s="12" t="n"/>
      <c r="N2867" s="7" t="inlineStr"/>
      <c r="O2867" s="7" t="inlineStr"/>
    </row>
    <row r="2868">
      <c r="A2868" s="7" t="n">
        <v>622721</v>
      </c>
      <c r="B2868" s="10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1" t="n">
        <v>1</v>
      </c>
      <c r="G2868" s="11" t="n">
        <v>1</v>
      </c>
      <c r="H2868" s="8" t="n">
        <v>24.34</v>
      </c>
      <c r="I2868" s="8" t="n">
        <v>24.34</v>
      </c>
      <c r="J2868" s="8" t="n"/>
      <c r="K2868" s="7" t="inlineStr">
        <is>
          <t>SEM COTAÇÃO</t>
        </is>
      </c>
      <c r="L2868" s="8" t="n"/>
      <c r="M2868" s="12" t="n"/>
      <c r="N2868" s="7" t="inlineStr"/>
      <c r="O2868" s="7" t="inlineStr"/>
    </row>
    <row r="2869">
      <c r="A2869" s="7" t="n">
        <v>667221</v>
      </c>
      <c r="B2869" s="10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1" t="n">
        <v>1</v>
      </c>
      <c r="G2869" s="11" t="n">
        <v>1</v>
      </c>
      <c r="H2869" s="8" t="n"/>
      <c r="I2869" s="8" t="n"/>
      <c r="J2869" s="8" t="n"/>
      <c r="K2869" s="7" t="inlineStr">
        <is>
          <t>SEM COTAÇÃO</t>
        </is>
      </c>
      <c r="L2869" s="8" t="n"/>
      <c r="M2869" s="12" t="n"/>
      <c r="N2869" s="7" t="inlineStr"/>
      <c r="O2869" s="7" t="inlineStr"/>
    </row>
    <row r="2870">
      <c r="A2870" s="7" t="n">
        <v>615911</v>
      </c>
      <c r="B2870" s="10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1" t="n">
        <v>1</v>
      </c>
      <c r="G2870" s="11" t="n">
        <v>1</v>
      </c>
      <c r="H2870" s="8" t="n">
        <v>9.779999999999999</v>
      </c>
      <c r="I2870" s="8" t="n">
        <v>9.779999999999999</v>
      </c>
      <c r="J2870" s="8" t="n"/>
      <c r="K2870" s="7" t="inlineStr">
        <is>
          <t>SEM COTAÇÃO</t>
        </is>
      </c>
      <c r="L2870" s="8" t="n"/>
      <c r="M2870" s="12" t="n"/>
      <c r="N2870" s="7" t="inlineStr"/>
      <c r="O2870" s="7" t="inlineStr"/>
    </row>
    <row r="2871">
      <c r="A2871" s="7" t="n">
        <v>615921</v>
      </c>
      <c r="B2871" s="10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1" t="n">
        <v>1</v>
      </c>
      <c r="G2871" s="11" t="n">
        <v>1</v>
      </c>
      <c r="H2871" s="8" t="n">
        <v>28.62</v>
      </c>
      <c r="I2871" s="8" t="n">
        <v>28.62</v>
      </c>
      <c r="J2871" s="8" t="n"/>
      <c r="K2871" s="7" t="inlineStr">
        <is>
          <t>SEM COTAÇÃO</t>
        </is>
      </c>
      <c r="L2871" s="8" t="n"/>
      <c r="M2871" s="12" t="n"/>
      <c r="N2871" s="7" t="inlineStr"/>
      <c r="O2871" s="7" t="inlineStr"/>
    </row>
    <row r="2872">
      <c r="A2872" s="7" t="n">
        <v>615951</v>
      </c>
      <c r="B2872" s="10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1" t="n">
        <v>2</v>
      </c>
      <c r="G2872" s="11" t="n">
        <v>2</v>
      </c>
      <c r="H2872" s="8" t="n">
        <v>24.8</v>
      </c>
      <c r="I2872" s="8" t="n">
        <v>24.8</v>
      </c>
      <c r="J2872" s="8" t="n"/>
      <c r="K2872" s="7" t="inlineStr">
        <is>
          <t>SEM COTAÇÃO</t>
        </is>
      </c>
      <c r="L2872" s="8" t="n"/>
      <c r="M2872" s="12" t="n"/>
      <c r="N2872" s="7" t="inlineStr"/>
      <c r="O2872" s="7" t="inlineStr"/>
    </row>
    <row r="2873">
      <c r="A2873" s="7" t="n">
        <v>615961</v>
      </c>
      <c r="B2873" s="10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1" t="n">
        <v>2</v>
      </c>
      <c r="G2873" s="11" t="n">
        <v>2</v>
      </c>
      <c r="H2873" s="8" t="n">
        <v>24.8</v>
      </c>
      <c r="I2873" s="8" t="n">
        <v>24.8</v>
      </c>
      <c r="J2873" s="8" t="n"/>
      <c r="K2873" s="7" t="inlineStr">
        <is>
          <t>SEM COTAÇÃO</t>
        </is>
      </c>
      <c r="L2873" s="8" t="n"/>
      <c r="M2873" s="12" t="n"/>
      <c r="N2873" s="7" t="inlineStr"/>
      <c r="O2873" s="7" t="inlineStr"/>
    </row>
    <row r="2874">
      <c r="A2874" s="7" t="n">
        <v>659581</v>
      </c>
      <c r="B2874" s="10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1" t="n">
        <v>1</v>
      </c>
      <c r="G2874" s="11" t="n">
        <v>1</v>
      </c>
      <c r="H2874" s="8" t="n">
        <v>26.58</v>
      </c>
      <c r="I2874" s="8" t="n">
        <v>26.58</v>
      </c>
      <c r="J2874" s="8" t="n"/>
      <c r="K2874" s="7" t="inlineStr">
        <is>
          <t>SEM COTAÇÃO</t>
        </is>
      </c>
      <c r="L2874" s="8" t="n"/>
      <c r="M2874" s="12" t="n"/>
      <c r="N2874" s="7" t="inlineStr"/>
      <c r="O2874" s="7" t="inlineStr"/>
    </row>
    <row r="2875">
      <c r="A2875" s="7" t="n">
        <v>659601</v>
      </c>
      <c r="B2875" s="10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1" t="n">
        <v>2</v>
      </c>
      <c r="G2875" s="11" t="n">
        <v>2</v>
      </c>
      <c r="H2875" s="8" t="n">
        <v>26.58</v>
      </c>
      <c r="I2875" s="8" t="n">
        <v>26.58</v>
      </c>
      <c r="J2875" s="8" t="n"/>
      <c r="K2875" s="7" t="inlineStr">
        <is>
          <t>SEM COTAÇÃO</t>
        </is>
      </c>
      <c r="L2875" s="8" t="n"/>
      <c r="M2875" s="12" t="n"/>
      <c r="N2875" s="7" t="inlineStr"/>
      <c r="O2875" s="7" t="inlineStr"/>
    </row>
    <row r="2876">
      <c r="A2876" s="7" t="n">
        <v>659611</v>
      </c>
      <c r="B2876" s="10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1" t="n">
        <v>1</v>
      </c>
      <c r="G2876" s="11" t="n">
        <v>1</v>
      </c>
      <c r="H2876" s="8" t="n">
        <v>29.94</v>
      </c>
      <c r="I2876" s="8" t="n">
        <v>29.94</v>
      </c>
      <c r="J2876" s="8" t="n"/>
      <c r="K2876" s="7" t="inlineStr">
        <is>
          <t>SEM COTAÇÃO</t>
        </is>
      </c>
      <c r="L2876" s="8" t="n"/>
      <c r="M2876" s="12" t="n"/>
      <c r="N2876" s="7" t="inlineStr"/>
      <c r="O2876" s="7" t="inlineStr"/>
    </row>
    <row r="2877">
      <c r="A2877" s="7" t="n">
        <v>659571</v>
      </c>
      <c r="B2877" s="10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1" t="n">
        <v>2</v>
      </c>
      <c r="G2877" s="11" t="n">
        <v>2</v>
      </c>
      <c r="H2877" s="8" t="n">
        <v>26.58</v>
      </c>
      <c r="I2877" s="8" t="n">
        <v>26.58</v>
      </c>
      <c r="J2877" s="8" t="n"/>
      <c r="K2877" s="7" t="inlineStr">
        <is>
          <t>SEM COTAÇÃO</t>
        </is>
      </c>
      <c r="L2877" s="8" t="n"/>
      <c r="M2877" s="12" t="n"/>
      <c r="N2877" s="7" t="inlineStr"/>
      <c r="O2877" s="7" t="inlineStr"/>
    </row>
    <row r="2878">
      <c r="A2878" s="7" t="n">
        <v>663151</v>
      </c>
      <c r="B2878" s="10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1" t="n">
        <v>1</v>
      </c>
      <c r="G2878" s="11" t="n">
        <v>1</v>
      </c>
      <c r="H2878" s="8" t="n">
        <v>12.03</v>
      </c>
      <c r="I2878" s="8" t="n">
        <v>12.03</v>
      </c>
      <c r="J2878" s="8" t="n"/>
      <c r="K2878" s="7" t="inlineStr">
        <is>
          <t>SEM COTAÇÃO</t>
        </is>
      </c>
      <c r="L2878" s="8" t="n"/>
      <c r="M2878" s="12" t="n"/>
      <c r="N2878" s="7" t="inlineStr"/>
      <c r="O2878" s="7" t="inlineStr"/>
    </row>
    <row r="2879">
      <c r="A2879" s="7" t="n">
        <v>663171</v>
      </c>
      <c r="B2879" s="10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1" t="n">
        <v>1</v>
      </c>
      <c r="G2879" s="11" t="n">
        <v>1</v>
      </c>
      <c r="H2879" s="8" t="n">
        <v>10.92</v>
      </c>
      <c r="I2879" s="8" t="n">
        <v>10.92</v>
      </c>
      <c r="J2879" s="8" t="n"/>
      <c r="K2879" s="7" t="inlineStr">
        <is>
          <t>SEM COTAÇÃO</t>
        </is>
      </c>
      <c r="L2879" s="8" t="n"/>
      <c r="M2879" s="12" t="n"/>
      <c r="N2879" s="7" t="inlineStr"/>
      <c r="O2879" s="7" t="inlineStr"/>
    </row>
    <row r="2880">
      <c r="A2880" s="7" t="n">
        <v>660541</v>
      </c>
      <c r="B2880" s="10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1" t="n">
        <v>1</v>
      </c>
      <c r="G2880" s="11" t="n">
        <v>1</v>
      </c>
      <c r="H2880" s="8" t="n">
        <v>17.97</v>
      </c>
      <c r="I2880" s="8" t="n">
        <v>17.97</v>
      </c>
      <c r="J2880" s="8" t="n"/>
      <c r="K2880" s="7" t="inlineStr">
        <is>
          <t>SEM COTAÇÃO</t>
        </is>
      </c>
      <c r="L2880" s="8" t="n"/>
      <c r="M2880" s="12" t="n"/>
      <c r="N2880" s="7" t="inlineStr"/>
      <c r="O2880" s="7" t="inlineStr"/>
    </row>
    <row r="2881">
      <c r="A2881" s="7" t="n">
        <v>650111</v>
      </c>
      <c r="B2881" s="10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1" t="n">
        <v>2</v>
      </c>
      <c r="G2881" s="11" t="n">
        <v>2</v>
      </c>
      <c r="H2881" s="8" t="n">
        <v>17.54</v>
      </c>
      <c r="I2881" s="8" t="n">
        <v>16.5133</v>
      </c>
      <c r="J2881" s="8" t="n"/>
      <c r="K2881" s="7" t="inlineStr">
        <is>
          <t>SEM COTAÇÃO</t>
        </is>
      </c>
      <c r="L2881" s="8" t="n"/>
      <c r="M2881" s="12" t="n"/>
      <c r="N2881" s="7" t="inlineStr"/>
      <c r="O2881" s="7" t="inlineStr"/>
    </row>
    <row r="2882">
      <c r="A2882" s="7" t="n">
        <v>658201</v>
      </c>
      <c r="B2882" s="10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1" t="n">
        <v>1</v>
      </c>
      <c r="G2882" s="11" t="n">
        <v>1</v>
      </c>
      <c r="H2882" s="8" t="n">
        <v>26.4</v>
      </c>
      <c r="I2882" s="8" t="n">
        <v>26.4</v>
      </c>
      <c r="J2882" s="8" t="n"/>
      <c r="K2882" s="7" t="inlineStr">
        <is>
          <t>SEM COTAÇÃO</t>
        </is>
      </c>
      <c r="L2882" s="8" t="n"/>
      <c r="M2882" s="12" t="n"/>
      <c r="N2882" s="7" t="inlineStr"/>
      <c r="O2882" s="7" t="inlineStr"/>
    </row>
    <row r="2883">
      <c r="A2883" s="7" t="n">
        <v>664491</v>
      </c>
      <c r="B2883" s="10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1" t="n">
        <v>2</v>
      </c>
      <c r="G2883" s="11" t="n">
        <v>2</v>
      </c>
      <c r="H2883" s="8" t="n">
        <v>18.16</v>
      </c>
      <c r="I2883" s="8" t="n">
        <v>18.16</v>
      </c>
      <c r="J2883" s="8" t="n"/>
      <c r="K2883" s="7" t="inlineStr">
        <is>
          <t>SEM COTAÇÃO</t>
        </is>
      </c>
      <c r="L2883" s="8" t="n"/>
      <c r="M2883" s="12" t="n"/>
      <c r="N2883" s="7" t="inlineStr"/>
      <c r="O2883" s="7" t="inlineStr"/>
    </row>
    <row r="2884">
      <c r="A2884" s="7" t="n">
        <v>603981</v>
      </c>
      <c r="B2884" s="10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1" t="n">
        <v>1</v>
      </c>
      <c r="G2884" s="11" t="n">
        <v>1</v>
      </c>
      <c r="H2884" s="8" t="n">
        <v>5.62</v>
      </c>
      <c r="I2884" s="8" t="n">
        <v>5.62</v>
      </c>
      <c r="J2884" s="8" t="n"/>
      <c r="K2884" s="7" t="inlineStr">
        <is>
          <t>SEM COTAÇÃO</t>
        </is>
      </c>
      <c r="L2884" s="8" t="n"/>
      <c r="M2884" s="12" t="n"/>
      <c r="N2884" s="7" t="inlineStr"/>
      <c r="O2884" s="7" t="inlineStr"/>
    </row>
    <row r="2885">
      <c r="A2885" s="7" t="n">
        <v>545761</v>
      </c>
      <c r="B2885" s="10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1" t="n">
        <v>1</v>
      </c>
      <c r="G2885" s="11" t="n">
        <v>1</v>
      </c>
      <c r="H2885" s="8" t="n"/>
      <c r="I2885" s="8" t="n"/>
      <c r="J2885" s="8" t="n"/>
      <c r="K2885" s="7" t="inlineStr">
        <is>
          <t>SEM COTAÇÃO</t>
        </is>
      </c>
      <c r="L2885" s="8" t="n"/>
      <c r="M2885" s="12" t="n"/>
      <c r="N2885" s="7" t="inlineStr"/>
      <c r="O2885" s="7" t="inlineStr"/>
    </row>
    <row r="2886">
      <c r="A2886" s="7" t="n">
        <v>659441</v>
      </c>
      <c r="B2886" s="10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1" t="n">
        <v>1</v>
      </c>
      <c r="G2886" s="11" t="n">
        <v>1</v>
      </c>
      <c r="H2886" s="8" t="n">
        <v>27.82</v>
      </c>
      <c r="I2886" s="8" t="n">
        <v>27.82</v>
      </c>
      <c r="J2886" s="8" t="n"/>
      <c r="K2886" s="7" t="inlineStr">
        <is>
          <t>SEM COTAÇÃO</t>
        </is>
      </c>
      <c r="L2886" s="8" t="n"/>
      <c r="M2886" s="12" t="n"/>
      <c r="N2886" s="7" t="inlineStr"/>
      <c r="O2886" s="7" t="inlineStr"/>
    </row>
    <row r="2887">
      <c r="A2887" s="7" t="n">
        <v>173</v>
      </c>
      <c r="B2887" s="10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1" t="n">
        <v>1</v>
      </c>
      <c r="G2887" s="11" t="n">
        <v>1</v>
      </c>
      <c r="H2887" s="8" t="n">
        <v>20.21</v>
      </c>
      <c r="I2887" s="8" t="n">
        <v>20.21</v>
      </c>
      <c r="J2887" s="8" t="n"/>
      <c r="K2887" s="7" t="inlineStr">
        <is>
          <t>SEM COTAÇÃO</t>
        </is>
      </c>
      <c r="L2887" s="8" t="n"/>
      <c r="M2887" s="12" t="n"/>
      <c r="N2887" s="7" t="inlineStr"/>
      <c r="O2887" s="7" t="inlineStr"/>
    </row>
    <row r="2888">
      <c r="A2888" s="7" t="n">
        <v>593051</v>
      </c>
      <c r="B2888" s="10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1" t="n">
        <v>1</v>
      </c>
      <c r="G2888" s="11" t="n">
        <v>1</v>
      </c>
      <c r="H2888" s="8" t="n">
        <v>20.21</v>
      </c>
      <c r="I2888" s="8" t="n">
        <v>20.21</v>
      </c>
      <c r="J2888" s="8" t="n"/>
      <c r="K2888" s="7" t="inlineStr">
        <is>
          <t>SEM COTAÇÃO</t>
        </is>
      </c>
      <c r="L2888" s="8" t="n"/>
      <c r="M2888" s="12" t="n"/>
      <c r="N2888" s="7" t="inlineStr"/>
      <c r="O2888" s="7" t="inlineStr"/>
    </row>
    <row r="2889">
      <c r="A2889" s="7" t="n">
        <v>662401</v>
      </c>
      <c r="B2889" s="10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1" t="n">
        <v>1</v>
      </c>
      <c r="G2889" s="11" t="n">
        <v>1</v>
      </c>
      <c r="H2889" s="8" t="n">
        <v>32.85</v>
      </c>
      <c r="I2889" s="8" t="n">
        <v>32.85</v>
      </c>
      <c r="J2889" s="8" t="n"/>
      <c r="K2889" s="7" t="inlineStr">
        <is>
          <t>SEM COTAÇÃO</t>
        </is>
      </c>
      <c r="L2889" s="8" t="n"/>
      <c r="M2889" s="12" t="n"/>
      <c r="N2889" s="7" t="inlineStr"/>
      <c r="O2889" s="7" t="inlineStr"/>
    </row>
    <row r="2890">
      <c r="A2890" s="7" t="n">
        <v>600031</v>
      </c>
      <c r="B2890" s="10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1" t="n">
        <v>1</v>
      </c>
      <c r="G2890" s="11" t="n">
        <v>1</v>
      </c>
      <c r="H2890" s="8" t="n">
        <v>27.07</v>
      </c>
      <c r="I2890" s="8" t="n">
        <v>27.07</v>
      </c>
      <c r="J2890" s="8" t="n"/>
      <c r="K2890" s="7" t="inlineStr">
        <is>
          <t>SEM COTAÇÃO</t>
        </is>
      </c>
      <c r="L2890" s="8" t="n"/>
      <c r="M2890" s="12" t="n"/>
      <c r="N2890" s="7" t="inlineStr"/>
      <c r="O2890" s="7" t="inlineStr"/>
    </row>
    <row r="2891">
      <c r="A2891" s="7" t="n">
        <v>582081</v>
      </c>
      <c r="B2891" s="10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1" t="n">
        <v>1</v>
      </c>
      <c r="G2891" s="11" t="n">
        <v>1</v>
      </c>
      <c r="H2891" s="8" t="n">
        <v>26.4</v>
      </c>
      <c r="I2891" s="8" t="n">
        <v>26.4</v>
      </c>
      <c r="J2891" s="8" t="n"/>
      <c r="K2891" s="7" t="inlineStr">
        <is>
          <t>SEM COTAÇÃO</t>
        </is>
      </c>
      <c r="L2891" s="8" t="n"/>
      <c r="M2891" s="12" t="n"/>
      <c r="N2891" s="7" t="inlineStr"/>
      <c r="O2891" s="7" t="inlineStr"/>
    </row>
    <row r="2892">
      <c r="A2892" s="7" t="n">
        <v>581881</v>
      </c>
      <c r="B2892" s="10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1" t="n">
        <v>1</v>
      </c>
      <c r="G2892" s="11" t="n">
        <v>1</v>
      </c>
      <c r="H2892" s="8" t="n">
        <v>26.4</v>
      </c>
      <c r="I2892" s="8" t="n">
        <v>26.4</v>
      </c>
      <c r="J2892" s="8" t="n"/>
      <c r="K2892" s="7" t="inlineStr">
        <is>
          <t>SEM COTAÇÃO</t>
        </is>
      </c>
      <c r="L2892" s="8" t="n"/>
      <c r="M2892" s="12" t="n"/>
      <c r="N2892" s="7" t="inlineStr"/>
      <c r="O2892" s="7" t="inlineStr"/>
    </row>
    <row r="2893">
      <c r="A2893" s="7" t="n">
        <v>592931</v>
      </c>
      <c r="B2893" s="10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1" t="n">
        <v>2</v>
      </c>
      <c r="G2893" s="11" t="n">
        <v>2</v>
      </c>
      <c r="H2893" s="8" t="n">
        <v>6</v>
      </c>
      <c r="I2893" s="8" t="n">
        <v>6</v>
      </c>
      <c r="J2893" s="8" t="n"/>
      <c r="K2893" s="7" t="inlineStr">
        <is>
          <t>SEM COTAÇÃO</t>
        </is>
      </c>
      <c r="L2893" s="8" t="n"/>
      <c r="M2893" s="12" t="n"/>
      <c r="N2893" s="7" t="inlineStr"/>
      <c r="O2893" s="7" t="inlineStr"/>
    </row>
    <row r="2894">
      <c r="A2894" s="7" t="n">
        <v>581701</v>
      </c>
      <c r="B2894" s="10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1" t="n">
        <v>2</v>
      </c>
      <c r="G2894" s="11" t="n">
        <v>2</v>
      </c>
      <c r="H2894" s="8" t="n">
        <v>26.4</v>
      </c>
      <c r="I2894" s="8" t="n">
        <v>26.4</v>
      </c>
      <c r="J2894" s="8" t="n"/>
      <c r="K2894" s="7" t="inlineStr">
        <is>
          <t>SEM COTAÇÃO</t>
        </is>
      </c>
      <c r="L2894" s="8" t="n"/>
      <c r="M2894" s="12" t="n"/>
      <c r="N2894" s="7" t="inlineStr"/>
      <c r="O2894" s="7" t="inlineStr"/>
    </row>
    <row r="2895">
      <c r="A2895" s="7" t="n">
        <v>603331</v>
      </c>
      <c r="B2895" s="10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1" t="n">
        <v>1</v>
      </c>
      <c r="G2895" s="11" t="n">
        <v>1</v>
      </c>
      <c r="H2895" s="8" t="n">
        <v>19.23</v>
      </c>
      <c r="I2895" s="8" t="n">
        <v>19.23</v>
      </c>
      <c r="J2895" s="8" t="n"/>
      <c r="K2895" s="7" t="inlineStr">
        <is>
          <t>SEM COTAÇÃO</t>
        </is>
      </c>
      <c r="L2895" s="8" t="n"/>
      <c r="M2895" s="12" t="n"/>
      <c r="N2895" s="7" t="inlineStr"/>
      <c r="O2895" s="7" t="inlineStr"/>
    </row>
    <row r="2896">
      <c r="A2896" s="7" t="n">
        <v>589651</v>
      </c>
      <c r="B2896" s="10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1" t="n">
        <v>1</v>
      </c>
      <c r="G2896" s="11" t="n">
        <v>1</v>
      </c>
      <c r="H2896" s="8" t="n">
        <v>41.28</v>
      </c>
      <c r="I2896" s="8" t="n">
        <v>41.28</v>
      </c>
      <c r="J2896" s="8" t="n"/>
      <c r="K2896" s="7" t="inlineStr">
        <is>
          <t>SEM COTAÇÃO</t>
        </is>
      </c>
      <c r="L2896" s="8" t="n"/>
      <c r="M2896" s="12" t="n"/>
      <c r="N2896" s="7" t="inlineStr"/>
      <c r="O2896" s="7" t="inlineStr"/>
    </row>
    <row r="2897">
      <c r="A2897" s="7" t="n">
        <v>609951</v>
      </c>
      <c r="B2897" s="10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1" t="n">
        <v>2</v>
      </c>
      <c r="G2897" s="11" t="n">
        <v>2</v>
      </c>
      <c r="H2897" s="8" t="n">
        <v>17.72</v>
      </c>
      <c r="I2897" s="8" t="n">
        <v>17.72</v>
      </c>
      <c r="J2897" s="8" t="n"/>
      <c r="K2897" s="7" t="inlineStr">
        <is>
          <t>SEM COTAÇÃO</t>
        </is>
      </c>
      <c r="L2897" s="8" t="n"/>
      <c r="M2897" s="12" t="n"/>
      <c r="N2897" s="7" t="inlineStr"/>
      <c r="O2897" s="7" t="inlineStr"/>
    </row>
    <row r="2898">
      <c r="A2898" s="7" t="n">
        <v>609941</v>
      </c>
      <c r="B2898" s="10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1" t="n">
        <v>2</v>
      </c>
      <c r="G2898" s="11" t="n">
        <v>2</v>
      </c>
      <c r="H2898" s="8" t="n">
        <v>16.61</v>
      </c>
      <c r="I2898" s="8" t="n">
        <v>16.61</v>
      </c>
      <c r="J2898" s="8" t="n"/>
      <c r="K2898" s="7" t="inlineStr">
        <is>
          <t>SEM COTAÇÃO</t>
        </is>
      </c>
      <c r="L2898" s="8" t="n"/>
      <c r="M2898" s="12" t="n"/>
      <c r="N2898" s="7" t="inlineStr"/>
      <c r="O2898" s="7" t="inlineStr"/>
    </row>
    <row r="2899">
      <c r="A2899" s="7" t="n">
        <v>555821</v>
      </c>
      <c r="B2899" s="10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1" t="n">
        <v>1</v>
      </c>
      <c r="G2899" s="11" t="n">
        <v>1</v>
      </c>
      <c r="H2899" s="8" t="n">
        <v>9.83</v>
      </c>
      <c r="I2899" s="8" t="n">
        <v>9.83</v>
      </c>
      <c r="J2899" s="8" t="n"/>
      <c r="K2899" s="7" t="inlineStr">
        <is>
          <t>SEM COTAÇÃO</t>
        </is>
      </c>
      <c r="L2899" s="8" t="n"/>
      <c r="M2899" s="12" t="n"/>
      <c r="N2899" s="7" t="inlineStr"/>
      <c r="O2899" s="7" t="inlineStr"/>
    </row>
    <row r="2900">
      <c r="A2900" s="7" t="n">
        <v>536821</v>
      </c>
      <c r="B2900" s="10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1" t="n">
        <v>38</v>
      </c>
      <c r="G2900" s="11" t="n">
        <v>38</v>
      </c>
      <c r="H2900" s="8" t="n"/>
      <c r="I2900" s="8" t="n"/>
      <c r="J2900" s="8" t="n"/>
      <c r="K2900" s="7" t="inlineStr">
        <is>
          <t>SEM COTAÇÃO</t>
        </is>
      </c>
      <c r="L2900" s="8" t="n"/>
      <c r="M2900" s="12" t="n"/>
      <c r="N2900" s="7" t="inlineStr"/>
      <c r="O2900" s="7" t="inlineStr"/>
    </row>
    <row r="2901">
      <c r="A2901" s="7" t="n">
        <v>673371</v>
      </c>
      <c r="B2901" s="10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1" t="n">
        <v>1</v>
      </c>
      <c r="G2901" s="11" t="n">
        <v>1</v>
      </c>
      <c r="H2901" s="8" t="n">
        <v>93.20999999999999</v>
      </c>
      <c r="I2901" s="8" t="n">
        <v>86.75</v>
      </c>
      <c r="J2901" s="8" t="n"/>
      <c r="K2901" s="7" t="inlineStr">
        <is>
          <t>SEM COTAÇÃO</t>
        </is>
      </c>
      <c r="L2901" s="8" t="n"/>
      <c r="M2901" s="12" t="n"/>
      <c r="N2901" s="7" t="inlineStr"/>
      <c r="O2901" s="7" t="inlineStr"/>
    </row>
    <row r="2902">
      <c r="A2902" s="7" t="n">
        <v>664741</v>
      </c>
      <c r="B2902" s="10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1" t="n">
        <v>1</v>
      </c>
      <c r="G2902" s="11" t="n">
        <v>1</v>
      </c>
      <c r="H2902" s="8" t="n">
        <v>62.74</v>
      </c>
      <c r="I2902" s="8" t="n">
        <v>62.74</v>
      </c>
      <c r="J2902" s="8" t="n"/>
      <c r="K2902" s="7" t="inlineStr">
        <is>
          <t>SEM COTAÇÃO</t>
        </is>
      </c>
      <c r="L2902" s="8" t="n"/>
      <c r="M2902" s="12" t="n"/>
      <c r="N2902" s="7" t="inlineStr"/>
      <c r="O2902" s="7" t="inlineStr"/>
    </row>
    <row r="2903">
      <c r="A2903" s="7" t="n">
        <v>667521</v>
      </c>
      <c r="B2903" s="10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1" t="n">
        <v>1</v>
      </c>
      <c r="G2903" s="11" t="n">
        <v>1</v>
      </c>
      <c r="H2903" s="8" t="n">
        <v>104.56</v>
      </c>
      <c r="I2903" s="8" t="n">
        <v>104.56</v>
      </c>
      <c r="J2903" s="8" t="n"/>
      <c r="K2903" s="7" t="inlineStr">
        <is>
          <t>SEM COTAÇÃO</t>
        </is>
      </c>
      <c r="L2903" s="8" t="n"/>
      <c r="M2903" s="12" t="n"/>
      <c r="N2903" s="7" t="inlineStr"/>
      <c r="O2903" s="7" t="inlineStr"/>
    </row>
    <row r="2904">
      <c r="A2904" s="7" t="n">
        <v>632031</v>
      </c>
      <c r="B2904" s="10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1" t="n">
        <v>1</v>
      </c>
      <c r="G2904" s="11" t="n">
        <v>1</v>
      </c>
      <c r="H2904" s="8" t="n">
        <v>1.41</v>
      </c>
      <c r="I2904" s="8" t="n">
        <v>1.41</v>
      </c>
      <c r="J2904" s="8" t="n"/>
      <c r="K2904" s="7" t="inlineStr">
        <is>
          <t>SEM COTAÇÃO</t>
        </is>
      </c>
      <c r="L2904" s="8" t="n"/>
      <c r="M2904" s="12" t="n"/>
      <c r="N2904" s="7" t="inlineStr"/>
      <c r="O2904" s="7" t="inlineStr"/>
    </row>
    <row r="2905">
      <c r="A2905" s="7" t="n">
        <v>632041</v>
      </c>
      <c r="B2905" s="10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1" t="n">
        <v>11</v>
      </c>
      <c r="G2905" s="11" t="n">
        <v>11</v>
      </c>
      <c r="H2905" s="8" t="n">
        <v>1.6</v>
      </c>
      <c r="I2905" s="8" t="n">
        <v>1.41</v>
      </c>
      <c r="J2905" s="8" t="n"/>
      <c r="K2905" s="7" t="inlineStr">
        <is>
          <t>SEM COTAÇÃO</t>
        </is>
      </c>
      <c r="L2905" s="8" t="n"/>
      <c r="M2905" s="12" t="n"/>
      <c r="N2905" s="7" t="inlineStr"/>
      <c r="O2905" s="7" t="inlineStr"/>
    </row>
    <row r="2906">
      <c r="A2906" s="7" t="n">
        <v>206681</v>
      </c>
      <c r="B2906" s="10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1" t="n">
        <v>18</v>
      </c>
      <c r="G2906" s="11" t="n">
        <v>18</v>
      </c>
      <c r="H2906" s="8" t="n">
        <v>8.23</v>
      </c>
      <c r="I2906" s="8" t="n">
        <v>7.8167</v>
      </c>
      <c r="J2906" s="8" t="n"/>
      <c r="K2906" s="7" t="inlineStr">
        <is>
          <t>SEM COTAÇÃO</t>
        </is>
      </c>
      <c r="L2906" s="8" t="n"/>
      <c r="M2906" s="12" t="n"/>
      <c r="N2906" s="7" t="inlineStr"/>
      <c r="O2906" s="7" t="inlineStr"/>
    </row>
    <row r="2907">
      <c r="A2907" s="7" t="n">
        <v>588701</v>
      </c>
      <c r="B2907" s="10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1" t="n">
        <v>1</v>
      </c>
      <c r="G2907" s="11" t="n">
        <v>1</v>
      </c>
      <c r="H2907" s="8" t="n">
        <v>85.77</v>
      </c>
      <c r="I2907" s="8" t="n">
        <v>85.77</v>
      </c>
      <c r="J2907" s="8" t="n"/>
      <c r="K2907" s="7" t="inlineStr">
        <is>
          <t>SEM COTAÇÃO</t>
        </is>
      </c>
      <c r="L2907" s="8" t="n"/>
      <c r="M2907" s="12" t="n"/>
      <c r="N2907" s="7" t="inlineStr"/>
      <c r="O2907" s="7" t="inlineStr"/>
    </row>
    <row r="2908">
      <c r="A2908" s="7" t="n">
        <v>337441</v>
      </c>
      <c r="B2908" s="10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1" t="n">
        <v>2</v>
      </c>
      <c r="G2908" s="11" t="n">
        <v>2</v>
      </c>
      <c r="H2908" s="8" t="n">
        <v>2.65</v>
      </c>
      <c r="I2908" s="8" t="n">
        <v>2.54</v>
      </c>
      <c r="J2908" s="8" t="n"/>
      <c r="K2908" s="7" t="inlineStr">
        <is>
          <t>SEM COTAÇÃO</t>
        </is>
      </c>
      <c r="L2908" s="8" t="n"/>
      <c r="M2908" s="12" t="n"/>
      <c r="N2908" s="7" t="inlineStr"/>
      <c r="O2908" s="7" t="inlineStr"/>
    </row>
    <row r="2909">
      <c r="A2909" s="7" t="n">
        <v>337721</v>
      </c>
      <c r="B2909" s="10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1" t="n">
        <v>11</v>
      </c>
      <c r="G2909" s="11" t="n">
        <v>11</v>
      </c>
      <c r="H2909" s="8" t="n">
        <v>21.26</v>
      </c>
      <c r="I2909" s="8" t="n">
        <v>21.037</v>
      </c>
      <c r="J2909" s="8" t="n"/>
      <c r="K2909" s="7" t="inlineStr">
        <is>
          <t>SEM COTAÇÃO</t>
        </is>
      </c>
      <c r="L2909" s="8" t="n"/>
      <c r="M2909" s="12" t="n"/>
      <c r="N2909" s="7" t="inlineStr"/>
      <c r="O2909" s="7" t="inlineStr"/>
    </row>
    <row r="2910">
      <c r="A2910" s="7" t="n">
        <v>346381</v>
      </c>
      <c r="B2910" s="10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1" t="n">
        <v>1</v>
      </c>
      <c r="G2910" s="11" t="n">
        <v>1</v>
      </c>
      <c r="H2910" s="8" t="n">
        <v>7.08</v>
      </c>
      <c r="I2910" s="8" t="n">
        <v>7.08</v>
      </c>
      <c r="J2910" s="13" t="n">
        <v>7.35</v>
      </c>
      <c r="K2910" s="7" t="inlineStr">
        <is>
          <t>DIMEC</t>
        </is>
      </c>
      <c r="L2910" s="8" t="n">
        <v>7.35</v>
      </c>
      <c r="M2910" s="12">
        <f>L2910/H2910-1</f>
        <v/>
      </c>
      <c r="N2910" s="14" t="inlineStr">
        <is>
          <t>ACIMA +3.8%</t>
        </is>
      </c>
      <c r="O2910" s="7" t="inlineStr"/>
    </row>
    <row r="2911">
      <c r="A2911" s="7" t="n">
        <v>640331</v>
      </c>
      <c r="B2911" s="10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1" t="n">
        <v>1</v>
      </c>
      <c r="G2911" s="11" t="n">
        <v>1</v>
      </c>
      <c r="H2911" s="8" t="n">
        <v>8.4</v>
      </c>
      <c r="I2911" s="8" t="n">
        <v>8.4</v>
      </c>
      <c r="J2911" s="8" t="n"/>
      <c r="K2911" s="7" t="inlineStr">
        <is>
          <t>SEM COTAÇÃO</t>
        </is>
      </c>
      <c r="L2911" s="8" t="n"/>
      <c r="M2911" s="12" t="n"/>
      <c r="N2911" s="7" t="inlineStr"/>
      <c r="O2911" s="7" t="inlineStr"/>
    </row>
    <row r="2912">
      <c r="A2912" s="7" t="n">
        <v>615701</v>
      </c>
      <c r="B2912" s="10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1" t="n">
        <v>1</v>
      </c>
      <c r="G2912" s="11" t="n">
        <v>1</v>
      </c>
      <c r="H2912" s="8" t="n">
        <v>120</v>
      </c>
      <c r="I2912" s="8" t="n">
        <v>120</v>
      </c>
      <c r="J2912" s="8" t="n"/>
      <c r="K2912" s="7" t="inlineStr">
        <is>
          <t>SEM COTAÇÃO</t>
        </is>
      </c>
      <c r="L2912" s="8" t="n"/>
      <c r="M2912" s="12" t="n"/>
      <c r="N2912" s="7" t="inlineStr"/>
      <c r="O2912" s="7" t="inlineStr"/>
    </row>
    <row r="2913">
      <c r="A2913" s="7" t="n">
        <v>602121</v>
      </c>
      <c r="B2913" s="10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1" t="n">
        <v>1</v>
      </c>
      <c r="G2913" s="11" t="n">
        <v>1</v>
      </c>
      <c r="H2913" s="8" t="n">
        <v>53.97</v>
      </c>
      <c r="I2913" s="8" t="n">
        <v>53.97</v>
      </c>
      <c r="J2913" s="8" t="n"/>
      <c r="K2913" s="7" t="inlineStr">
        <is>
          <t>SEM COTAÇÃO</t>
        </is>
      </c>
      <c r="L2913" s="8" t="n"/>
      <c r="M2913" s="12" t="n"/>
      <c r="N2913" s="7" t="inlineStr"/>
      <c r="O2913" s="7" t="inlineStr"/>
    </row>
    <row r="2914">
      <c r="A2914" s="7" t="n">
        <v>602111</v>
      </c>
      <c r="B2914" s="10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1" t="n">
        <v>1</v>
      </c>
      <c r="G2914" s="11" t="n">
        <v>1</v>
      </c>
      <c r="H2914" s="8" t="n">
        <v>59.56</v>
      </c>
      <c r="I2914" s="8" t="n">
        <v>59.56</v>
      </c>
      <c r="J2914" s="8" t="n"/>
      <c r="K2914" s="7" t="inlineStr">
        <is>
          <t>SEM COTAÇÃO</t>
        </is>
      </c>
      <c r="L2914" s="8" t="n"/>
      <c r="M2914" s="12" t="n"/>
      <c r="N2914" s="7" t="inlineStr"/>
      <c r="O2914" s="7" t="inlineStr"/>
    </row>
    <row r="2915">
      <c r="A2915" s="7" t="n">
        <v>659561</v>
      </c>
      <c r="B2915" s="10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1" t="n">
        <v>1</v>
      </c>
      <c r="G2915" s="11" t="n">
        <v>1</v>
      </c>
      <c r="H2915" s="8" t="n">
        <v>9.539999999999999</v>
      </c>
      <c r="I2915" s="8" t="n">
        <v>9.539999999999999</v>
      </c>
      <c r="J2915" s="8" t="n"/>
      <c r="K2915" s="7" t="inlineStr">
        <is>
          <t>SEM COTAÇÃO</t>
        </is>
      </c>
      <c r="L2915" s="8" t="n"/>
      <c r="M2915" s="12" t="n"/>
      <c r="N2915" s="7" t="inlineStr"/>
      <c r="O2915" s="7" t="inlineStr"/>
    </row>
    <row r="2916">
      <c r="A2916" s="7" t="n">
        <v>639251</v>
      </c>
      <c r="B2916" s="10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1" t="n">
        <v>1</v>
      </c>
      <c r="G2916" s="11" t="n">
        <v>1</v>
      </c>
      <c r="H2916" s="8" t="n">
        <v>55.31</v>
      </c>
      <c r="I2916" s="8" t="n">
        <v>55.31</v>
      </c>
      <c r="J2916" s="8" t="n"/>
      <c r="K2916" s="7" t="inlineStr">
        <is>
          <t>SEM COTAÇÃO</t>
        </is>
      </c>
      <c r="L2916" s="8" t="n"/>
      <c r="M2916" s="12" t="n"/>
      <c r="N2916" s="7" t="inlineStr"/>
      <c r="O2916" s="7" t="inlineStr"/>
    </row>
    <row r="2917">
      <c r="A2917" s="7" t="n">
        <v>639261</v>
      </c>
      <c r="B2917" s="10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1" t="n">
        <v>1</v>
      </c>
      <c r="G2917" s="11" t="n">
        <v>1</v>
      </c>
      <c r="H2917" s="8" t="n">
        <v>55.31</v>
      </c>
      <c r="I2917" s="8" t="n">
        <v>55.31</v>
      </c>
      <c r="J2917" s="8" t="n"/>
      <c r="K2917" s="7" t="inlineStr">
        <is>
          <t>SEM COTAÇÃO</t>
        </is>
      </c>
      <c r="L2917" s="8" t="n"/>
      <c r="M2917" s="12" t="n"/>
      <c r="N2917" s="7" t="inlineStr"/>
      <c r="O2917" s="7" t="inlineStr"/>
    </row>
    <row r="2918">
      <c r="A2918" s="7" t="n">
        <v>639291</v>
      </c>
      <c r="B2918" s="10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1" t="n">
        <v>1</v>
      </c>
      <c r="G2918" s="11" t="n">
        <v>1</v>
      </c>
      <c r="H2918" s="8" t="n">
        <v>41.97</v>
      </c>
      <c r="I2918" s="8" t="n">
        <v>41.97</v>
      </c>
      <c r="J2918" s="8" t="n"/>
      <c r="K2918" s="7" t="inlineStr">
        <is>
          <t>SEM COTAÇÃO</t>
        </is>
      </c>
      <c r="L2918" s="8" t="n"/>
      <c r="M2918" s="12" t="n"/>
      <c r="N2918" s="7" t="inlineStr"/>
      <c r="O2918" s="7" t="inlineStr"/>
    </row>
    <row r="2919">
      <c r="A2919" s="7" t="n">
        <v>639301</v>
      </c>
      <c r="B2919" s="10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1" t="n">
        <v>1</v>
      </c>
      <c r="G2919" s="11" t="n">
        <v>1</v>
      </c>
      <c r="H2919" s="8" t="n">
        <v>41.97</v>
      </c>
      <c r="I2919" s="8" t="n">
        <v>41.97</v>
      </c>
      <c r="J2919" s="8" t="n"/>
      <c r="K2919" s="7" t="inlineStr">
        <is>
          <t>SEM COTAÇÃO</t>
        </is>
      </c>
      <c r="L2919" s="8" t="n"/>
      <c r="M2919" s="12" t="n"/>
      <c r="N2919" s="7" t="inlineStr"/>
      <c r="O2919" s="7" t="inlineStr"/>
    </row>
    <row r="2920">
      <c r="A2920" s="7" t="n">
        <v>675141</v>
      </c>
      <c r="B2920" s="10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1" t="n">
        <v>4</v>
      </c>
      <c r="G2920" s="11" t="n">
        <v>4</v>
      </c>
      <c r="H2920" s="8" t="n"/>
      <c r="I2920" s="8" t="n"/>
      <c r="J2920" s="8" t="n"/>
      <c r="K2920" s="7" t="inlineStr">
        <is>
          <t>SEM COTAÇÃO</t>
        </is>
      </c>
      <c r="L2920" s="8" t="n"/>
      <c r="M2920" s="12" t="n"/>
      <c r="N2920" s="7" t="inlineStr"/>
      <c r="O2920" s="7" t="inlineStr"/>
    </row>
    <row r="2921">
      <c r="A2921" s="7" t="n">
        <v>602931</v>
      </c>
      <c r="B2921" s="10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1" t="n">
        <v>3</v>
      </c>
      <c r="G2921" s="11" t="n">
        <v>3</v>
      </c>
      <c r="H2921" s="8" t="n">
        <v>11.47</v>
      </c>
      <c r="I2921" s="8" t="n">
        <v>11.47</v>
      </c>
      <c r="J2921" s="13" t="n">
        <v>12.76</v>
      </c>
      <c r="K2921" s="7" t="inlineStr">
        <is>
          <t>DIMEC</t>
        </is>
      </c>
      <c r="L2921" s="8" t="n">
        <v>12.76</v>
      </c>
      <c r="M2921" s="12">
        <f>L2921/H2921-1</f>
        <v/>
      </c>
      <c r="N2921" s="14" t="inlineStr">
        <is>
          <t>ACIMA +11.2%</t>
        </is>
      </c>
      <c r="O2921" s="7" t="inlineStr"/>
    </row>
    <row r="2922">
      <c r="A2922" s="7" t="n">
        <v>665751</v>
      </c>
      <c r="B2922" s="10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1" t="n">
        <v>2</v>
      </c>
      <c r="G2922" s="11" t="n">
        <v>2</v>
      </c>
      <c r="H2922" s="8" t="n">
        <v>10.54</v>
      </c>
      <c r="I2922" s="8" t="n">
        <v>9.43</v>
      </c>
      <c r="J2922" s="13" t="n">
        <v>10.61</v>
      </c>
      <c r="K2922" s="7" t="inlineStr">
        <is>
          <t>DIMEC</t>
        </is>
      </c>
      <c r="L2922" s="8" t="n">
        <v>10.61</v>
      </c>
      <c r="M2922" s="12">
        <f>L2922/H2922-1</f>
        <v/>
      </c>
      <c r="N2922" s="14" t="inlineStr">
        <is>
          <t>ACIMA +0.7%</t>
        </is>
      </c>
      <c r="O2922" s="7" t="inlineStr"/>
    </row>
    <row r="2923">
      <c r="A2923" s="7" t="n">
        <v>569961</v>
      </c>
      <c r="B2923" s="10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1" t="n">
        <v>1</v>
      </c>
      <c r="G2923" s="11" t="n">
        <v>1</v>
      </c>
      <c r="H2923" s="8" t="n">
        <v>6.75</v>
      </c>
      <c r="I2923" s="8" t="n">
        <v>6.75</v>
      </c>
      <c r="J2923" s="13" t="n">
        <v>7.52</v>
      </c>
      <c r="K2923" s="7" t="inlineStr">
        <is>
          <t>DIMEC</t>
        </is>
      </c>
      <c r="L2923" s="8" t="n">
        <v>7.52</v>
      </c>
      <c r="M2923" s="12">
        <f>L2923/H2923-1</f>
        <v/>
      </c>
      <c r="N2923" s="14" t="inlineStr">
        <is>
          <t>ACIMA +11.4%</t>
        </is>
      </c>
      <c r="O2923" s="7" t="inlineStr"/>
    </row>
    <row r="2924">
      <c r="A2924" s="7" t="n">
        <v>643651</v>
      </c>
      <c r="B2924" s="10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1" t="n">
        <v>2</v>
      </c>
      <c r="G2924" s="11" t="n">
        <v>2</v>
      </c>
      <c r="H2924" s="8" t="n">
        <v>6.72</v>
      </c>
      <c r="I2924" s="8" t="n">
        <v>5.38</v>
      </c>
      <c r="J2924" s="8" t="n"/>
      <c r="K2924" s="7" t="inlineStr">
        <is>
          <t>SEM COTAÇÃO</t>
        </is>
      </c>
      <c r="L2924" s="8" t="n"/>
      <c r="M2924" s="12" t="n"/>
      <c r="N2924" s="7" t="inlineStr"/>
      <c r="O2924" s="7" t="inlineStr"/>
    </row>
    <row r="2925">
      <c r="A2925" s="7" t="n">
        <v>540981</v>
      </c>
      <c r="B2925" s="10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1" t="n">
        <v>5</v>
      </c>
      <c r="G2925" s="11" t="n">
        <v>5</v>
      </c>
      <c r="H2925" s="8" t="n">
        <v>4.98</v>
      </c>
      <c r="I2925" s="8" t="n">
        <v>4.98</v>
      </c>
      <c r="J2925" s="8" t="n"/>
      <c r="K2925" s="7" t="inlineStr">
        <is>
          <t>SEM COTAÇÃO</t>
        </is>
      </c>
      <c r="L2925" s="8" t="n"/>
      <c r="M2925" s="12" t="n"/>
      <c r="N2925" s="7" t="inlineStr"/>
      <c r="O2925" s="7" t="inlineStr"/>
    </row>
    <row r="2926">
      <c r="A2926" s="7" t="n">
        <v>673191</v>
      </c>
      <c r="B2926" s="10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1" t="n">
        <v>3</v>
      </c>
      <c r="G2926" s="11" t="n">
        <v>3</v>
      </c>
      <c r="H2926" s="8" t="n">
        <v>16.5517</v>
      </c>
      <c r="I2926" s="8" t="n">
        <v>13.14</v>
      </c>
      <c r="J2926" s="13" t="n">
        <v>14.78</v>
      </c>
      <c r="K2926" s="7" t="inlineStr">
        <is>
          <t>DIMEC</t>
        </is>
      </c>
      <c r="L2926" s="8" t="n">
        <v>14.78</v>
      </c>
      <c r="M2926" s="12">
        <f>L2926/H2926-1</f>
        <v/>
      </c>
      <c r="N2926" s="15" t="inlineStr">
        <is>
          <t>OK (≤ últ. compra)</t>
        </is>
      </c>
      <c r="O2926" s="7" t="inlineStr"/>
    </row>
    <row r="2927">
      <c r="A2927" s="7" t="n">
        <v>3223</v>
      </c>
      <c r="B2927" s="10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1" t="n">
        <v>2</v>
      </c>
      <c r="G2927" s="11" t="n">
        <v>2</v>
      </c>
      <c r="H2927" s="8" t="n">
        <v>21.72</v>
      </c>
      <c r="I2927" s="8" t="n">
        <v>18.02</v>
      </c>
      <c r="J2927" s="13" t="n">
        <v>13.22</v>
      </c>
      <c r="K2927" s="7" t="inlineStr">
        <is>
          <t>DIMEC</t>
        </is>
      </c>
      <c r="L2927" s="8" t="n">
        <v>13.22</v>
      </c>
      <c r="M2927" s="12">
        <f>L2927/H2927-1</f>
        <v/>
      </c>
      <c r="N2927" s="15" t="inlineStr">
        <is>
          <t>OK (≤ menor hist.)</t>
        </is>
      </c>
      <c r="O2927" s="7" t="inlineStr"/>
    </row>
    <row r="2928">
      <c r="A2928" s="7" t="n">
        <v>627701</v>
      </c>
      <c r="B2928" s="10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1" t="n">
        <v>2</v>
      </c>
      <c r="G2928" s="11" t="n">
        <v>2</v>
      </c>
      <c r="H2928" s="8" t="n">
        <v>14.76</v>
      </c>
      <c r="I2928" s="8" t="n">
        <v>14.34</v>
      </c>
      <c r="J2928" s="8" t="n"/>
      <c r="K2928" s="7" t="inlineStr">
        <is>
          <t>SEM COTAÇÃO</t>
        </is>
      </c>
      <c r="L2928" s="8" t="n"/>
      <c r="M2928" s="12" t="n"/>
      <c r="N2928" s="7" t="inlineStr"/>
      <c r="O2928" s="7" t="inlineStr"/>
    </row>
    <row r="2929">
      <c r="A2929" s="7" t="n">
        <v>548221</v>
      </c>
      <c r="B2929" s="10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1" t="n">
        <v>3</v>
      </c>
      <c r="G2929" s="11" t="n">
        <v>3</v>
      </c>
      <c r="H2929" s="8" t="n">
        <v>35.31</v>
      </c>
      <c r="I2929" s="8" t="n">
        <v>14.77</v>
      </c>
      <c r="J2929" s="13" t="n">
        <v>15.82</v>
      </c>
      <c r="K2929" s="7" t="inlineStr">
        <is>
          <t>DIMEC</t>
        </is>
      </c>
      <c r="L2929" s="8" t="n">
        <v>15.82</v>
      </c>
      <c r="M2929" s="12">
        <f>L2929/H2929-1</f>
        <v/>
      </c>
      <c r="N2929" s="15" t="inlineStr">
        <is>
          <t>OK (≤ últ. compra)</t>
        </is>
      </c>
      <c r="O2929" s="7" t="inlineStr">
        <is>
          <t>DIMEC: conferir emb.</t>
        </is>
      </c>
    </row>
    <row r="2930">
      <c r="A2930" s="7" t="n">
        <v>3573</v>
      </c>
      <c r="B2930" s="10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1" t="n">
        <v>6</v>
      </c>
      <c r="G2930" s="11" t="n">
        <v>6</v>
      </c>
      <c r="H2930" s="8" t="n">
        <v>10.65</v>
      </c>
      <c r="I2930" s="8" t="n">
        <v>8.57</v>
      </c>
      <c r="J2930" s="13" t="n">
        <v>10.65</v>
      </c>
      <c r="K2930" s="7" t="inlineStr">
        <is>
          <t>DIMEC</t>
        </is>
      </c>
      <c r="L2930" s="8" t="n">
        <v>10.65</v>
      </c>
      <c r="M2930" s="12">
        <f>L2930/H2930-1</f>
        <v/>
      </c>
      <c r="N2930" s="15" t="inlineStr">
        <is>
          <t>OK (≤ últ. compra)</t>
        </is>
      </c>
      <c r="O2930" s="7" t="inlineStr"/>
    </row>
    <row r="2931">
      <c r="A2931" s="7" t="n">
        <v>655031</v>
      </c>
      <c r="B2931" s="10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1" t="n">
        <v>1</v>
      </c>
      <c r="G2931" s="11" t="n">
        <v>1</v>
      </c>
      <c r="H2931" s="8" t="n">
        <v>31.61</v>
      </c>
      <c r="I2931" s="8" t="n">
        <v>31.61</v>
      </c>
      <c r="J2931" s="8" t="n"/>
      <c r="K2931" s="7" t="inlineStr">
        <is>
          <t>SEM COTAÇÃO</t>
        </is>
      </c>
      <c r="L2931" s="8" t="n"/>
      <c r="M2931" s="12" t="n"/>
      <c r="N2931" s="7" t="inlineStr"/>
      <c r="O2931" s="7" t="inlineStr"/>
    </row>
    <row r="2932">
      <c r="A2932" s="7" t="n">
        <v>655001</v>
      </c>
      <c r="B2932" s="10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1" t="n">
        <v>2</v>
      </c>
      <c r="G2932" s="11" t="n">
        <v>2</v>
      </c>
      <c r="H2932" s="8" t="n">
        <v>13.83</v>
      </c>
      <c r="I2932" s="8" t="n">
        <v>13.83</v>
      </c>
      <c r="J2932" s="8" t="n"/>
      <c r="K2932" s="7" t="inlineStr">
        <is>
          <t>SEM COTAÇÃO</t>
        </is>
      </c>
      <c r="L2932" s="8" t="n"/>
      <c r="M2932" s="12" t="n"/>
      <c r="N2932" s="7" t="inlineStr"/>
      <c r="O2932" s="7" t="inlineStr"/>
    </row>
    <row r="2933">
      <c r="A2933" s="7" t="n">
        <v>626141</v>
      </c>
      <c r="B2933" s="10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1" t="n">
        <v>2</v>
      </c>
      <c r="G2933" s="11" t="n">
        <v>2</v>
      </c>
      <c r="H2933" s="8" t="n">
        <v>34.7333</v>
      </c>
      <c r="I2933" s="8" t="n">
        <v>34.7333</v>
      </c>
      <c r="J2933" s="8" t="n"/>
      <c r="K2933" s="7" t="inlineStr">
        <is>
          <t>SEM COTAÇÃO</t>
        </is>
      </c>
      <c r="L2933" s="8" t="n"/>
      <c r="M2933" s="12" t="n"/>
      <c r="N2933" s="7" t="inlineStr"/>
      <c r="O2933" s="7" t="inlineStr"/>
    </row>
    <row r="2934">
      <c r="A2934" s="7" t="n">
        <v>338541</v>
      </c>
      <c r="B2934" s="10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1" t="n">
        <v>6</v>
      </c>
      <c r="G2934" s="11" t="n">
        <v>6</v>
      </c>
      <c r="H2934" s="8" t="n"/>
      <c r="I2934" s="8" t="n"/>
      <c r="J2934" s="8" t="n"/>
      <c r="K2934" s="7" t="inlineStr">
        <is>
          <t>SEM COTAÇÃO</t>
        </is>
      </c>
      <c r="L2934" s="8" t="n"/>
      <c r="M2934" s="12" t="n"/>
      <c r="N2934" s="7" t="inlineStr"/>
      <c r="O2934" s="7" t="inlineStr"/>
    </row>
    <row r="2935">
      <c r="A2935" s="7" t="n">
        <v>339301</v>
      </c>
      <c r="B2935" s="10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1" t="n">
        <v>1</v>
      </c>
      <c r="G2935" s="11" t="n">
        <v>1</v>
      </c>
      <c r="H2935" s="8" t="n">
        <v>2.18</v>
      </c>
      <c r="I2935" s="8" t="n">
        <v>1.99</v>
      </c>
      <c r="J2935" s="8" t="n"/>
      <c r="K2935" s="7" t="inlineStr">
        <is>
          <t>SEM COTAÇÃO</t>
        </is>
      </c>
      <c r="L2935" s="8" t="n"/>
      <c r="M2935" s="12" t="n"/>
      <c r="N2935" s="7" t="inlineStr"/>
      <c r="O2935" s="7" t="inlineStr"/>
    </row>
    <row r="2936">
      <c r="A2936" s="7" t="n">
        <v>339161</v>
      </c>
      <c r="B2936" s="10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1" t="n">
        <v>1</v>
      </c>
      <c r="G2936" s="11" t="n">
        <v>1</v>
      </c>
      <c r="H2936" s="8" t="n">
        <v>3.5</v>
      </c>
      <c r="I2936" s="8" t="n">
        <v>3.5</v>
      </c>
      <c r="J2936" s="8" t="n"/>
      <c r="K2936" s="7" t="inlineStr">
        <is>
          <t>SEM COTAÇÃO</t>
        </is>
      </c>
      <c r="L2936" s="8" t="n"/>
      <c r="M2936" s="12" t="n"/>
      <c r="N2936" s="7" t="inlineStr"/>
      <c r="O2936" s="7" t="inlineStr"/>
    </row>
    <row r="2937">
      <c r="A2937" s="7" t="n">
        <v>654551</v>
      </c>
      <c r="B2937" s="10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1" t="n">
        <v>1</v>
      </c>
      <c r="G2937" s="11" t="n">
        <v>1</v>
      </c>
      <c r="H2937" s="8" t="n">
        <v>14.79</v>
      </c>
      <c r="I2937" s="8" t="n">
        <v>14.79</v>
      </c>
      <c r="J2937" s="8" t="n"/>
      <c r="K2937" s="7" t="inlineStr">
        <is>
          <t>SEM COTAÇÃO</t>
        </is>
      </c>
      <c r="L2937" s="8" t="n"/>
      <c r="M2937" s="12" t="n"/>
      <c r="N2937" s="7" t="inlineStr"/>
      <c r="O2937" s="7" t="inlineStr"/>
    </row>
    <row r="2938">
      <c r="A2938" s="7" t="n">
        <v>656151</v>
      </c>
      <c r="B2938" s="10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1" t="n">
        <v>1</v>
      </c>
      <c r="G2938" s="11" t="n">
        <v>11</v>
      </c>
      <c r="H2938" s="8" t="n">
        <v>2.1875</v>
      </c>
      <c r="I2938" s="8" t="n">
        <v>2.1875</v>
      </c>
      <c r="J2938" s="8" t="n"/>
      <c r="K2938" s="7" t="inlineStr">
        <is>
          <t>SEM COTAÇÃO</t>
        </is>
      </c>
      <c r="L2938" s="8" t="n"/>
      <c r="M2938" s="12" t="n"/>
      <c r="N2938" s="7" t="inlineStr"/>
      <c r="O2938" s="7" t="inlineStr"/>
    </row>
    <row r="2939">
      <c r="A2939" s="7" t="n">
        <v>591571</v>
      </c>
      <c r="B2939" s="10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1" t="n">
        <v>1</v>
      </c>
      <c r="G2939" s="11" t="n">
        <v>12</v>
      </c>
      <c r="H2939" s="8" t="n">
        <v>1.7707</v>
      </c>
      <c r="I2939" s="8" t="n">
        <v>1.75</v>
      </c>
      <c r="J2939" s="8" t="n"/>
      <c r="K2939" s="7" t="inlineStr">
        <is>
          <t>SEM COTAÇÃO</t>
        </is>
      </c>
      <c r="L2939" s="8" t="n"/>
      <c r="M2939" s="12" t="n"/>
      <c r="N2939" s="7" t="inlineStr"/>
      <c r="O2939" s="7" t="inlineStr"/>
    </row>
    <row r="2940">
      <c r="A2940" s="7" t="n">
        <v>654131</v>
      </c>
      <c r="B2940" s="10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1" t="n">
        <v>1</v>
      </c>
      <c r="G2940" s="11" t="n">
        <v>7</v>
      </c>
      <c r="H2940" s="8" t="n">
        <v>2.2133</v>
      </c>
      <c r="I2940" s="8" t="n">
        <v>2.1875</v>
      </c>
      <c r="J2940" s="8" t="n"/>
      <c r="K2940" s="7" t="inlineStr">
        <is>
          <t>SEM COTAÇÃO</t>
        </is>
      </c>
      <c r="L2940" s="8" t="n"/>
      <c r="M2940" s="12" t="n"/>
      <c r="N2940" s="7" t="inlineStr"/>
      <c r="O2940" s="7" t="inlineStr"/>
    </row>
    <row r="2941">
      <c r="A2941" s="7" t="n">
        <v>584221</v>
      </c>
      <c r="B2941" s="10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1" t="n">
        <v>1</v>
      </c>
      <c r="G2941" s="11" t="n">
        <v>3</v>
      </c>
      <c r="H2941" s="8" t="n">
        <v>10.39</v>
      </c>
      <c r="I2941" s="8" t="n">
        <v>10.39</v>
      </c>
      <c r="J2941" s="8" t="n"/>
      <c r="K2941" s="7" t="inlineStr">
        <is>
          <t>SEM COTAÇÃO</t>
        </is>
      </c>
      <c r="L2941" s="8" t="n"/>
      <c r="M2941" s="12" t="n"/>
      <c r="N2941" s="7" t="inlineStr"/>
      <c r="O2941" s="7" t="inlineStr"/>
    </row>
    <row r="2942">
      <c r="A2942" s="7" t="n">
        <v>599341</v>
      </c>
      <c r="B2942" s="10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1" t="n">
        <v>1</v>
      </c>
      <c r="G2942" s="11" t="n">
        <v>2</v>
      </c>
      <c r="H2942" s="8" t="n"/>
      <c r="I2942" s="8" t="n"/>
      <c r="J2942" s="8" t="n"/>
      <c r="K2942" s="7" t="inlineStr">
        <is>
          <t>SEM COTAÇÃO</t>
        </is>
      </c>
      <c r="L2942" s="8" t="n"/>
      <c r="M2942" s="12" t="n"/>
      <c r="N2942" s="7" t="inlineStr"/>
      <c r="O2942" s="7" t="inlineStr"/>
    </row>
    <row r="2943">
      <c r="A2943" s="7" t="n">
        <v>644061</v>
      </c>
      <c r="B2943" s="10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1" t="n">
        <v>2</v>
      </c>
      <c r="G2943" s="11" t="n">
        <v>18</v>
      </c>
      <c r="H2943" s="8" t="n">
        <v>1.815</v>
      </c>
      <c r="I2943" s="8" t="n">
        <v>1.7042</v>
      </c>
      <c r="J2943" s="8" t="n"/>
      <c r="K2943" s="7" t="inlineStr">
        <is>
          <t>SEM COTAÇÃO</t>
        </is>
      </c>
      <c r="L2943" s="8" t="n"/>
      <c r="M2943" s="12" t="n"/>
      <c r="N2943" s="7" t="inlineStr"/>
      <c r="O2943" s="7" t="inlineStr"/>
    </row>
    <row r="2944">
      <c r="A2944" s="7" t="n">
        <v>640811</v>
      </c>
      <c r="B2944" s="10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1" t="n">
        <v>1</v>
      </c>
      <c r="G2944" s="11" t="n">
        <v>13</v>
      </c>
      <c r="H2944" s="8" t="n">
        <v>0.363</v>
      </c>
      <c r="I2944" s="8" t="n">
        <v>0.363</v>
      </c>
      <c r="J2944" s="8" t="n"/>
      <c r="K2944" s="7" t="inlineStr">
        <is>
          <t>SEM COTAÇÃO</t>
        </is>
      </c>
      <c r="L2944" s="8" t="n"/>
      <c r="M2944" s="12" t="n"/>
      <c r="N2944" s="7" t="inlineStr"/>
      <c r="O2944" s="7" t="inlineStr"/>
    </row>
    <row r="2945">
      <c r="A2945" s="7" t="n">
        <v>612581</v>
      </c>
      <c r="B2945" s="10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1" t="n">
        <v>2</v>
      </c>
      <c r="G2945" s="11" t="n">
        <v>2</v>
      </c>
      <c r="H2945" s="8" t="n">
        <v>40.64</v>
      </c>
      <c r="I2945" s="8" t="n">
        <v>40.64</v>
      </c>
      <c r="J2945" s="8" t="n"/>
      <c r="K2945" s="7" t="inlineStr">
        <is>
          <t>SEM COTAÇÃO</t>
        </is>
      </c>
      <c r="L2945" s="8" t="n"/>
      <c r="M2945" s="12" t="n"/>
      <c r="N2945" s="7" t="inlineStr"/>
      <c r="O2945" s="7" t="inlineStr"/>
    </row>
    <row r="2946">
      <c r="A2946" s="7" t="n">
        <v>616501</v>
      </c>
      <c r="B2946" s="10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1" t="n">
        <v>1</v>
      </c>
      <c r="G2946" s="11" t="n">
        <v>1</v>
      </c>
      <c r="H2946" s="8" t="n">
        <v>1.2917</v>
      </c>
      <c r="I2946" s="8" t="n">
        <v>1.2917</v>
      </c>
      <c r="J2946" s="8" t="n"/>
      <c r="K2946" s="7" t="inlineStr">
        <is>
          <t>SEM COTAÇÃO</t>
        </is>
      </c>
      <c r="L2946" s="8" t="n"/>
      <c r="M2946" s="12" t="n"/>
      <c r="N2946" s="7" t="inlineStr"/>
      <c r="O2946" s="7" t="inlineStr"/>
    </row>
    <row r="2947">
      <c r="A2947" s="7" t="n">
        <v>578961</v>
      </c>
      <c r="B2947" s="10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1" t="n">
        <v>1</v>
      </c>
      <c r="G2947" s="11" t="n">
        <v>2</v>
      </c>
      <c r="H2947" s="8" t="n">
        <v>0.3009</v>
      </c>
      <c r="I2947" s="8" t="n">
        <v>0.3009</v>
      </c>
      <c r="J2947" s="8" t="n"/>
      <c r="K2947" s="7" t="inlineStr">
        <is>
          <t>SEM COTAÇÃO</t>
        </is>
      </c>
      <c r="L2947" s="8" t="n"/>
      <c r="M2947" s="12" t="n"/>
      <c r="N2947" s="7" t="inlineStr"/>
      <c r="O2947" s="7" t="inlineStr"/>
    </row>
    <row r="2948">
      <c r="A2948" s="7" t="n">
        <v>606991</v>
      </c>
      <c r="B2948" s="10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1" t="n">
        <v>1</v>
      </c>
      <c r="G2948" s="11" t="n">
        <v>10</v>
      </c>
      <c r="H2948" s="8" t="n">
        <v>2.2219</v>
      </c>
      <c r="I2948" s="8" t="n">
        <v>2.2219</v>
      </c>
      <c r="J2948" s="8" t="n"/>
      <c r="K2948" s="7" t="inlineStr">
        <is>
          <t>SEM COTAÇÃO</t>
        </is>
      </c>
      <c r="L2948" s="8" t="n"/>
      <c r="M2948" s="12" t="n"/>
      <c r="N2948" s="7" t="inlineStr"/>
      <c r="O2948" s="7" t="inlineStr"/>
    </row>
    <row r="2949">
      <c r="A2949" s="7" t="n">
        <v>672451</v>
      </c>
      <c r="B2949" s="10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1" t="n">
        <v>1</v>
      </c>
      <c r="G2949" s="11" t="n">
        <v>10</v>
      </c>
      <c r="H2949" s="8" t="n">
        <v>2.248</v>
      </c>
      <c r="I2949" s="8" t="n">
        <v>2.248</v>
      </c>
      <c r="J2949" s="8" t="n"/>
      <c r="K2949" s="7" t="inlineStr">
        <is>
          <t>SEM COTAÇÃO</t>
        </is>
      </c>
      <c r="L2949" s="8" t="n"/>
      <c r="M2949" s="12" t="n"/>
      <c r="N2949" s="7" t="inlineStr"/>
      <c r="O2949" s="7" t="inlineStr"/>
    </row>
    <row r="2950">
      <c r="A2950" s="7" t="n">
        <v>643101</v>
      </c>
      <c r="B2950" s="10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1" t="n">
        <v>1</v>
      </c>
      <c r="G2950" s="11" t="n">
        <v>1</v>
      </c>
      <c r="H2950" s="8" t="n">
        <v>7.48</v>
      </c>
      <c r="I2950" s="8" t="n">
        <v>7.48</v>
      </c>
      <c r="J2950" s="8" t="n"/>
      <c r="K2950" s="7" t="inlineStr">
        <is>
          <t>SEM COTAÇÃO</t>
        </is>
      </c>
      <c r="L2950" s="8" t="n"/>
      <c r="M2950" s="12" t="n"/>
      <c r="N2950" s="7" t="inlineStr"/>
      <c r="O2950" s="7" t="inlineStr"/>
    </row>
    <row r="2951">
      <c r="A2951" s="7" t="n">
        <v>663861</v>
      </c>
      <c r="B2951" s="10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1" t="n">
        <v>6</v>
      </c>
      <c r="G2951" s="11" t="n">
        <v>6</v>
      </c>
      <c r="H2951" s="8" t="n">
        <v>35.54</v>
      </c>
      <c r="I2951" s="8" t="n">
        <v>29.545</v>
      </c>
      <c r="J2951" s="8" t="n"/>
      <c r="K2951" s="7" t="inlineStr">
        <is>
          <t>SEM COTAÇÃO</t>
        </is>
      </c>
      <c r="L2951" s="8" t="n"/>
      <c r="M2951" s="12" t="n"/>
      <c r="N2951" s="7" t="inlineStr"/>
      <c r="O2951" s="7" t="inlineStr"/>
    </row>
    <row r="2952">
      <c r="A2952" s="7" t="n">
        <v>665551</v>
      </c>
      <c r="B2952" s="10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1" t="n">
        <v>1</v>
      </c>
      <c r="G2952" s="11" t="n">
        <v>1</v>
      </c>
      <c r="H2952" s="8" t="n">
        <v>101.27</v>
      </c>
      <c r="I2952" s="8" t="n">
        <v>82.09</v>
      </c>
      <c r="J2952" s="8" t="n"/>
      <c r="K2952" s="7" t="inlineStr">
        <is>
          <t>SEM COTAÇÃO</t>
        </is>
      </c>
      <c r="L2952" s="8" t="n"/>
      <c r="M2952" s="12" t="n"/>
      <c r="N2952" s="7" t="inlineStr"/>
      <c r="O2952" s="7" t="inlineStr"/>
    </row>
    <row r="2953">
      <c r="A2953" s="7" t="n">
        <v>637361</v>
      </c>
      <c r="B2953" s="10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1" t="n">
        <v>3</v>
      </c>
      <c r="G2953" s="11" t="n">
        <v>3</v>
      </c>
      <c r="H2953" s="8" t="n">
        <v>21.52</v>
      </c>
      <c r="I2953" s="8" t="n">
        <v>21.52</v>
      </c>
      <c r="J2953" s="8" t="n"/>
      <c r="K2953" s="7" t="inlineStr">
        <is>
          <t>SEM COTAÇÃO</t>
        </is>
      </c>
      <c r="L2953" s="8" t="n"/>
      <c r="M2953" s="12" t="n"/>
      <c r="N2953" s="7" t="inlineStr"/>
      <c r="O2953" s="7" t="inlineStr"/>
    </row>
    <row r="2954">
      <c r="A2954" s="7" t="n">
        <v>639011</v>
      </c>
      <c r="B2954" s="10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1" t="n">
        <v>1</v>
      </c>
      <c r="G2954" s="11" t="n">
        <v>1</v>
      </c>
      <c r="H2954" s="8" t="n">
        <v>8.26</v>
      </c>
      <c r="I2954" s="8" t="n">
        <v>7.88</v>
      </c>
      <c r="J2954" s="13" t="n">
        <v>8.26</v>
      </c>
      <c r="K2954" s="7" t="inlineStr">
        <is>
          <t>DIMEC</t>
        </is>
      </c>
      <c r="L2954" s="8" t="n">
        <v>8.26</v>
      </c>
      <c r="M2954" s="12">
        <f>L2954/H2954-1</f>
        <v/>
      </c>
      <c r="N2954" s="15" t="inlineStr">
        <is>
          <t>OK (≤ últ. compra)</t>
        </is>
      </c>
      <c r="O2954" s="7" t="inlineStr"/>
    </row>
    <row r="2955">
      <c r="A2955" s="7" t="n">
        <v>345701</v>
      </c>
      <c r="B2955" s="10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1" t="n">
        <v>7</v>
      </c>
      <c r="G2955" s="11" t="n">
        <v>7</v>
      </c>
      <c r="H2955" s="8" t="n">
        <v>24.8467</v>
      </c>
      <c r="I2955" s="8" t="n">
        <v>20.995</v>
      </c>
      <c r="J2955" s="8" t="n"/>
      <c r="K2955" s="7" t="inlineStr">
        <is>
          <t>SEM COTAÇÃO</t>
        </is>
      </c>
      <c r="L2955" s="8" t="n"/>
      <c r="M2955" s="12" t="n"/>
      <c r="N2955" s="7" t="inlineStr"/>
      <c r="O2955" s="7" t="inlineStr"/>
    </row>
    <row r="2956">
      <c r="A2956" s="7" t="n">
        <v>605891</v>
      </c>
      <c r="B2956" s="10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1" t="n">
        <v>3</v>
      </c>
      <c r="G2956" s="11" t="n">
        <v>3</v>
      </c>
      <c r="H2956" s="8" t="n">
        <v>10.3</v>
      </c>
      <c r="I2956" s="8" t="n">
        <v>10.3</v>
      </c>
      <c r="J2956" s="13" t="n">
        <v>10.3</v>
      </c>
      <c r="K2956" s="7" t="inlineStr">
        <is>
          <t>DIMEC</t>
        </is>
      </c>
      <c r="L2956" s="8" t="n">
        <v>10.3</v>
      </c>
      <c r="M2956" s="12">
        <f>L2956/H2956-1</f>
        <v/>
      </c>
      <c r="N2956" s="15" t="inlineStr">
        <is>
          <t>OK (≤ menor hist.)</t>
        </is>
      </c>
      <c r="O2956" s="7" t="inlineStr"/>
    </row>
    <row r="2957">
      <c r="A2957" s="7" t="n">
        <v>461901</v>
      </c>
      <c r="B2957" s="10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1" t="n">
        <v>1</v>
      </c>
      <c r="G2957" s="11" t="n">
        <v>1</v>
      </c>
      <c r="H2957" s="8" t="n">
        <v>8.960000000000001</v>
      </c>
      <c r="I2957" s="8" t="n">
        <v>8.960000000000001</v>
      </c>
      <c r="J2957" s="8" t="n"/>
      <c r="K2957" s="7" t="inlineStr">
        <is>
          <t>SEM COTAÇÃO</t>
        </is>
      </c>
      <c r="L2957" s="8" t="n"/>
      <c r="M2957" s="12" t="n"/>
      <c r="N2957" s="7" t="inlineStr"/>
      <c r="O2957" s="7" t="inlineStr"/>
    </row>
    <row r="2958">
      <c r="A2958" s="7" t="n">
        <v>650411</v>
      </c>
      <c r="B2958" s="10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1" t="n">
        <v>3</v>
      </c>
      <c r="G2958" s="11" t="n">
        <v>3</v>
      </c>
      <c r="H2958" s="8" t="n">
        <v>5.32</v>
      </c>
      <c r="I2958" s="8" t="n">
        <v>5.27</v>
      </c>
      <c r="J2958" s="8" t="n"/>
      <c r="K2958" s="7" t="inlineStr">
        <is>
          <t>SEM COTAÇÃO</t>
        </is>
      </c>
      <c r="L2958" s="8" t="n"/>
      <c r="M2958" s="12" t="n"/>
      <c r="N2958" s="7" t="inlineStr"/>
      <c r="O2958" s="7" t="inlineStr"/>
    </row>
    <row r="2959">
      <c r="A2959" s="7" t="n">
        <v>650421</v>
      </c>
      <c r="B2959" s="10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1" t="n">
        <v>7</v>
      </c>
      <c r="G2959" s="11" t="n">
        <v>7</v>
      </c>
      <c r="H2959" s="8" t="n">
        <v>4.0517</v>
      </c>
      <c r="I2959" s="8" t="n">
        <v>3.83</v>
      </c>
      <c r="J2959" s="8" t="n"/>
      <c r="K2959" s="7" t="inlineStr">
        <is>
          <t>SEM COTAÇÃO</t>
        </is>
      </c>
      <c r="L2959" s="8" t="n"/>
      <c r="M2959" s="12" t="n"/>
      <c r="N2959" s="7" t="inlineStr"/>
      <c r="O2959" s="7" t="inlineStr"/>
    </row>
    <row r="2960">
      <c r="A2960" s="7" t="n">
        <v>225321</v>
      </c>
      <c r="B2960" s="10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1" t="n">
        <v>1</v>
      </c>
      <c r="G2960" s="11" t="n">
        <v>1</v>
      </c>
      <c r="H2960" s="8" t="n">
        <v>12.36</v>
      </c>
      <c r="I2960" s="8" t="n">
        <v>12.36</v>
      </c>
      <c r="J2960" s="8" t="n"/>
      <c r="K2960" s="7" t="inlineStr">
        <is>
          <t>SEM COTAÇÃO</t>
        </is>
      </c>
      <c r="L2960" s="8" t="n"/>
      <c r="M2960" s="12" t="n"/>
      <c r="N2960" s="7" t="inlineStr"/>
      <c r="O2960" s="7" t="inlineStr"/>
    </row>
    <row r="2961">
      <c r="A2961" s="7" t="n">
        <v>621241</v>
      </c>
      <c r="B2961" s="10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1" t="n">
        <v>4</v>
      </c>
      <c r="G2961" s="11" t="n">
        <v>4</v>
      </c>
      <c r="H2961" s="8" t="n">
        <v>21.33</v>
      </c>
      <c r="I2961" s="8" t="n">
        <v>21.33</v>
      </c>
      <c r="J2961" s="13" t="n">
        <v>26.484262</v>
      </c>
      <c r="K2961" s="7" t="inlineStr">
        <is>
          <t>DIMEC</t>
        </is>
      </c>
      <c r="L2961" s="8" t="n">
        <v>26.484262</v>
      </c>
      <c r="M2961" s="12">
        <f>L2961/H2961-1</f>
        <v/>
      </c>
      <c r="N2961" s="14" t="inlineStr">
        <is>
          <t>ACIMA +24.2%</t>
        </is>
      </c>
      <c r="O2961" s="7" t="inlineStr"/>
    </row>
    <row r="2962">
      <c r="A2962" s="7" t="n">
        <v>557961</v>
      </c>
      <c r="B2962" s="10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1" t="n">
        <v>6</v>
      </c>
      <c r="G2962" s="11" t="n">
        <v>6</v>
      </c>
      <c r="H2962" s="8" t="n">
        <v>37.65</v>
      </c>
      <c r="I2962" s="8" t="n">
        <v>34.22</v>
      </c>
      <c r="J2962" s="13" t="n">
        <v>42.609678</v>
      </c>
      <c r="K2962" s="7" t="inlineStr">
        <is>
          <t>DIMEC</t>
        </is>
      </c>
      <c r="L2962" s="8" t="n">
        <v>42.609678</v>
      </c>
      <c r="M2962" s="12">
        <f>L2962/H2962-1</f>
        <v/>
      </c>
      <c r="N2962" s="14" t="inlineStr">
        <is>
          <t>ACIMA +13.2%</t>
        </is>
      </c>
      <c r="O2962" s="7" t="inlineStr"/>
    </row>
    <row r="2963">
      <c r="A2963" s="7" t="n">
        <v>670841</v>
      </c>
      <c r="B2963" s="10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1" t="n">
        <v>1</v>
      </c>
      <c r="G2963" s="11" t="n">
        <v>1</v>
      </c>
      <c r="H2963" s="8" t="n">
        <v>8.59</v>
      </c>
      <c r="I2963" s="8" t="n">
        <v>8.59</v>
      </c>
      <c r="J2963" s="8" t="n"/>
      <c r="K2963" s="7" t="inlineStr">
        <is>
          <t>SEM COTAÇÃO</t>
        </is>
      </c>
      <c r="L2963" s="8" t="n"/>
      <c r="M2963" s="12" t="n"/>
      <c r="N2963" s="7" t="inlineStr"/>
      <c r="O2963" s="7" t="inlineStr"/>
    </row>
    <row r="2964">
      <c r="A2964" s="7" t="n">
        <v>670851</v>
      </c>
      <c r="B2964" s="10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1" t="n">
        <v>1</v>
      </c>
      <c r="G2964" s="11" t="n">
        <v>1</v>
      </c>
      <c r="H2964" s="8" t="n">
        <v>8.59</v>
      </c>
      <c r="I2964" s="8" t="n">
        <v>8.59</v>
      </c>
      <c r="J2964" s="8" t="n"/>
      <c r="K2964" s="7" t="inlineStr">
        <is>
          <t>SEM COTAÇÃO</t>
        </is>
      </c>
      <c r="L2964" s="8" t="n"/>
      <c r="M2964" s="12" t="n"/>
      <c r="N2964" s="7" t="inlineStr"/>
      <c r="O2964" s="7" t="inlineStr"/>
    </row>
    <row r="2965">
      <c r="A2965" s="7" t="n">
        <v>670861</v>
      </c>
      <c r="B2965" s="10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1" t="n">
        <v>1</v>
      </c>
      <c r="G2965" s="11" t="n">
        <v>1</v>
      </c>
      <c r="H2965" s="8" t="n">
        <v>8.59</v>
      </c>
      <c r="I2965" s="8" t="n">
        <v>8.59</v>
      </c>
      <c r="J2965" s="8" t="n"/>
      <c r="K2965" s="7" t="inlineStr">
        <is>
          <t>SEM COTAÇÃO</t>
        </is>
      </c>
      <c r="L2965" s="8" t="n"/>
      <c r="M2965" s="12" t="n"/>
      <c r="N2965" s="7" t="inlineStr"/>
      <c r="O2965" s="7" t="inlineStr"/>
    </row>
    <row r="2966">
      <c r="A2966" s="7" t="n">
        <v>657541</v>
      </c>
      <c r="B2966" s="10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1" t="n">
        <v>1</v>
      </c>
      <c r="G2966" s="11" t="n">
        <v>1</v>
      </c>
      <c r="H2966" s="8" t="n">
        <v>26.99</v>
      </c>
      <c r="I2966" s="8" t="n">
        <v>26.99</v>
      </c>
      <c r="J2966" s="8" t="n"/>
      <c r="K2966" s="7" t="inlineStr">
        <is>
          <t>SEM COTAÇÃO</t>
        </is>
      </c>
      <c r="L2966" s="8" t="n"/>
      <c r="M2966" s="12" t="n"/>
      <c r="N2966" s="7" t="inlineStr"/>
      <c r="O2966" s="7" t="inlineStr"/>
    </row>
    <row r="2967">
      <c r="A2967" s="7" t="n">
        <v>613121</v>
      </c>
      <c r="B2967" s="10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1" t="n">
        <v>3</v>
      </c>
      <c r="G2967" s="11" t="n">
        <v>3</v>
      </c>
      <c r="H2967" s="8" t="n">
        <v>1.04</v>
      </c>
      <c r="I2967" s="8" t="n">
        <v>1.04</v>
      </c>
      <c r="J2967" s="8" t="n"/>
      <c r="K2967" s="7" t="inlineStr">
        <is>
          <t>SEM COTAÇÃO</t>
        </is>
      </c>
      <c r="L2967" s="8" t="n"/>
      <c r="M2967" s="12" t="n"/>
      <c r="N2967" s="7" t="inlineStr"/>
      <c r="O2967" s="7" t="inlineStr"/>
    </row>
    <row r="2968">
      <c r="A2968" s="7" t="n">
        <v>625821</v>
      </c>
      <c r="B2968" s="10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1" t="n">
        <v>3</v>
      </c>
      <c r="G2968" s="11" t="n">
        <v>3</v>
      </c>
      <c r="H2968" s="8" t="n">
        <v>4.75</v>
      </c>
      <c r="I2968" s="8" t="n">
        <v>4.75</v>
      </c>
      <c r="J2968" s="8" t="n"/>
      <c r="K2968" s="7" t="inlineStr">
        <is>
          <t>SEM COTAÇÃO</t>
        </is>
      </c>
      <c r="L2968" s="8" t="n"/>
      <c r="M2968" s="12" t="n"/>
      <c r="N2968" s="7" t="inlineStr"/>
      <c r="O2968" s="7" t="inlineStr"/>
    </row>
    <row r="2969">
      <c r="A2969" s="7" t="n">
        <v>619251</v>
      </c>
      <c r="B2969" s="10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1" t="n">
        <v>1</v>
      </c>
      <c r="G2969" s="11" t="n">
        <v>1</v>
      </c>
      <c r="H2969" s="8" t="n">
        <v>14.25</v>
      </c>
      <c r="I2969" s="8" t="n">
        <v>14.25</v>
      </c>
      <c r="J2969" s="8" t="n"/>
      <c r="K2969" s="7" t="inlineStr">
        <is>
          <t>SEM COTAÇÃO</t>
        </is>
      </c>
      <c r="L2969" s="8" t="n"/>
      <c r="M2969" s="12" t="n"/>
      <c r="N2969" s="7" t="inlineStr"/>
      <c r="O2969" s="7" t="inlineStr"/>
    </row>
    <row r="2970">
      <c r="A2970" s="7" t="n">
        <v>582261</v>
      </c>
      <c r="B2970" s="10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1" t="n">
        <v>6</v>
      </c>
      <c r="G2970" s="11" t="n">
        <v>6</v>
      </c>
      <c r="H2970" s="8" t="n">
        <v>6.3571</v>
      </c>
      <c r="I2970" s="8" t="n">
        <v>5.5567</v>
      </c>
      <c r="J2970" s="8" t="n"/>
      <c r="K2970" s="7" t="inlineStr">
        <is>
          <t>SEM COTAÇÃO</t>
        </is>
      </c>
      <c r="L2970" s="8" t="n"/>
      <c r="M2970" s="12" t="n"/>
      <c r="N2970" s="7" t="inlineStr"/>
      <c r="O2970" s="7" t="inlineStr"/>
    </row>
    <row r="2971">
      <c r="A2971" s="7" t="n">
        <v>622791</v>
      </c>
      <c r="B2971" s="10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1" t="n">
        <v>1</v>
      </c>
      <c r="G2971" s="11" t="n">
        <v>1</v>
      </c>
      <c r="H2971" s="8" t="n">
        <v>44.4967</v>
      </c>
      <c r="I2971" s="8" t="n">
        <v>38.8975</v>
      </c>
      <c r="J2971" s="8" t="n"/>
      <c r="K2971" s="7" t="inlineStr">
        <is>
          <t>SEM COTAÇÃO</t>
        </is>
      </c>
      <c r="L2971" s="8" t="n"/>
      <c r="M2971" s="12" t="n"/>
      <c r="N2971" s="7" t="inlineStr"/>
      <c r="O2971" s="7" t="inlineStr"/>
    </row>
    <row r="2972">
      <c r="A2972" s="7" t="n">
        <v>103201</v>
      </c>
      <c r="B2972" s="10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1" t="n">
        <v>1</v>
      </c>
      <c r="G2972" s="11" t="n">
        <v>1</v>
      </c>
      <c r="H2972" s="8" t="n">
        <v>5.87</v>
      </c>
      <c r="I2972" s="8" t="n">
        <v>5.87</v>
      </c>
      <c r="J2972" s="8" t="n"/>
      <c r="K2972" s="7" t="inlineStr">
        <is>
          <t>SEM COTAÇÃO</t>
        </is>
      </c>
      <c r="L2972" s="8" t="n"/>
      <c r="M2972" s="12" t="n"/>
      <c r="N2972" s="7" t="inlineStr"/>
      <c r="O2972" s="7" t="inlineStr"/>
    </row>
    <row r="2973">
      <c r="A2973" s="7" t="n">
        <v>133581</v>
      </c>
      <c r="B2973" s="10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1" t="n">
        <v>3</v>
      </c>
      <c r="G2973" s="11" t="n">
        <v>3</v>
      </c>
      <c r="H2973" s="8" t="n">
        <v>12.4417</v>
      </c>
      <c r="I2973" s="8" t="n">
        <v>9.375</v>
      </c>
      <c r="J2973" s="8" t="n"/>
      <c r="K2973" s="7" t="inlineStr">
        <is>
          <t>SEM COTAÇÃO</t>
        </is>
      </c>
      <c r="L2973" s="8" t="n"/>
      <c r="M2973" s="12" t="n"/>
      <c r="N2973" s="7" t="inlineStr"/>
      <c r="O2973" s="7" t="inlineStr"/>
    </row>
    <row r="2974">
      <c r="A2974" s="7" t="n">
        <v>134741</v>
      </c>
      <c r="B2974" s="10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1" t="n">
        <v>1</v>
      </c>
      <c r="G2974" s="11" t="n">
        <v>1</v>
      </c>
      <c r="H2974" s="8" t="n">
        <v>25.27</v>
      </c>
      <c r="I2974" s="8" t="n">
        <v>21.505</v>
      </c>
      <c r="J2974" s="8" t="n"/>
      <c r="K2974" s="7" t="inlineStr">
        <is>
          <t>SEM COTAÇÃO</t>
        </is>
      </c>
      <c r="L2974" s="8" t="n"/>
      <c r="M2974" s="12" t="n"/>
      <c r="N2974" s="7" t="inlineStr"/>
      <c r="O2974" s="7" t="inlineStr"/>
    </row>
    <row r="2975">
      <c r="A2975" s="7" t="n">
        <v>134701</v>
      </c>
      <c r="B2975" s="10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1" t="n">
        <v>4</v>
      </c>
      <c r="G2975" s="11" t="n">
        <v>4</v>
      </c>
      <c r="H2975" s="8" t="n">
        <v>22.71</v>
      </c>
      <c r="I2975" s="8" t="n">
        <v>19.3267</v>
      </c>
      <c r="J2975" s="8" t="n"/>
      <c r="K2975" s="7" t="inlineStr">
        <is>
          <t>SEM COTAÇÃO</t>
        </is>
      </c>
      <c r="L2975" s="8" t="n"/>
      <c r="M2975" s="12" t="n"/>
      <c r="N2975" s="7" t="inlineStr"/>
      <c r="O2975" s="7" t="inlineStr"/>
    </row>
    <row r="2976">
      <c r="A2976" s="7" t="n">
        <v>293561</v>
      </c>
      <c r="B2976" s="10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1" t="n">
        <v>1</v>
      </c>
      <c r="G2976" s="11" t="n">
        <v>1</v>
      </c>
      <c r="H2976" s="8" t="n">
        <v>19.8</v>
      </c>
      <c r="I2976" s="8" t="n">
        <v>18.33</v>
      </c>
      <c r="J2976" s="8" t="n"/>
      <c r="K2976" s="7" t="inlineStr">
        <is>
          <t>SEM COTAÇÃO</t>
        </is>
      </c>
      <c r="L2976" s="8" t="n"/>
      <c r="M2976" s="12" t="n"/>
      <c r="N2976" s="7" t="inlineStr"/>
      <c r="O2976" s="7" t="inlineStr"/>
    </row>
    <row r="2977">
      <c r="A2977" s="7" t="n">
        <v>642341</v>
      </c>
      <c r="B2977" s="10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1" t="n">
        <v>1</v>
      </c>
      <c r="G2977" s="11" t="n">
        <v>6</v>
      </c>
      <c r="H2977" s="8" t="n">
        <v>4.2383</v>
      </c>
      <c r="I2977" s="8" t="n">
        <v>4.2383</v>
      </c>
      <c r="J2977" s="8" t="n"/>
      <c r="K2977" s="7" t="inlineStr">
        <is>
          <t>SEM COTAÇÃO</t>
        </is>
      </c>
      <c r="L2977" s="8" t="n"/>
      <c r="M2977" s="12" t="n"/>
      <c r="N2977" s="7" t="inlineStr"/>
      <c r="O2977" s="7" t="inlineStr"/>
    </row>
    <row r="2978">
      <c r="A2978" s="7" t="n">
        <v>533921</v>
      </c>
      <c r="B2978" s="10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1" t="n">
        <v>1</v>
      </c>
      <c r="G2978" s="11" t="n">
        <v>1</v>
      </c>
      <c r="H2978" s="8" t="n">
        <v>7.38</v>
      </c>
      <c r="I2978" s="8" t="n">
        <v>7.38</v>
      </c>
      <c r="J2978" s="8" t="n"/>
      <c r="K2978" s="7" t="inlineStr">
        <is>
          <t>SEM COTAÇÃO</t>
        </is>
      </c>
      <c r="L2978" s="8" t="n"/>
      <c r="M2978" s="12" t="n"/>
      <c r="N2978" s="7" t="inlineStr"/>
      <c r="O2978" s="7" t="inlineStr"/>
    </row>
    <row r="2979">
      <c r="A2979" s="7" t="n">
        <v>534001</v>
      </c>
      <c r="B2979" s="10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1" t="n">
        <v>1</v>
      </c>
      <c r="G2979" s="11" t="n">
        <v>1</v>
      </c>
      <c r="H2979" s="8" t="n">
        <v>9.93</v>
      </c>
      <c r="I2979" s="8" t="n">
        <v>9.93</v>
      </c>
      <c r="J2979" s="8" t="n"/>
      <c r="K2979" s="7" t="inlineStr">
        <is>
          <t>SEM COTAÇÃO</t>
        </is>
      </c>
      <c r="L2979" s="8" t="n"/>
      <c r="M2979" s="12" t="n"/>
      <c r="N2979" s="7" t="inlineStr"/>
      <c r="O2979" s="7" t="inlineStr"/>
    </row>
    <row r="2980">
      <c r="A2980" s="7" t="n">
        <v>533901</v>
      </c>
      <c r="B2980" s="10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1" t="n">
        <v>1</v>
      </c>
      <c r="G2980" s="11" t="n">
        <v>1</v>
      </c>
      <c r="H2980" s="8" t="n">
        <v>7.38</v>
      </c>
      <c r="I2980" s="8" t="n">
        <v>7.38</v>
      </c>
      <c r="J2980" s="8" t="n"/>
      <c r="K2980" s="7" t="inlineStr">
        <is>
          <t>SEM COTAÇÃO</t>
        </is>
      </c>
      <c r="L2980" s="8" t="n"/>
      <c r="M2980" s="12" t="n"/>
      <c r="N2980" s="7" t="inlineStr"/>
      <c r="O2980" s="7" t="inlineStr"/>
    </row>
    <row r="2981">
      <c r="A2981" s="7" t="n">
        <v>533801</v>
      </c>
      <c r="B2981" s="10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1" t="n">
        <v>1</v>
      </c>
      <c r="G2981" s="11" t="n">
        <v>1</v>
      </c>
      <c r="H2981" s="8" t="n">
        <v>9.77</v>
      </c>
      <c r="I2981" s="8" t="n">
        <v>9.77</v>
      </c>
      <c r="J2981" s="8" t="n"/>
      <c r="K2981" s="7" t="inlineStr">
        <is>
          <t>SEM COTAÇÃO</t>
        </is>
      </c>
      <c r="L2981" s="8" t="n"/>
      <c r="M2981" s="12" t="n"/>
      <c r="N2981" s="7" t="inlineStr"/>
      <c r="O2981" s="7" t="inlineStr"/>
    </row>
    <row r="2982">
      <c r="A2982" s="7" t="n">
        <v>533841</v>
      </c>
      <c r="B2982" s="10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1" t="n">
        <v>1</v>
      </c>
      <c r="G2982" s="11" t="n">
        <v>1</v>
      </c>
      <c r="H2982" s="8" t="n">
        <v>8.06</v>
      </c>
      <c r="I2982" s="8" t="n">
        <v>8.050000000000001</v>
      </c>
      <c r="J2982" s="8" t="n"/>
      <c r="K2982" s="7" t="inlineStr">
        <is>
          <t>SEM COTAÇÃO</t>
        </is>
      </c>
      <c r="L2982" s="8" t="n"/>
      <c r="M2982" s="12" t="n"/>
      <c r="N2982" s="7" t="inlineStr"/>
      <c r="O2982" s="7" t="inlineStr"/>
    </row>
    <row r="2983">
      <c r="A2983" s="7" t="n">
        <v>351361</v>
      </c>
      <c r="B2983" s="10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1" t="n">
        <v>1</v>
      </c>
      <c r="G2983" s="11" t="n">
        <v>1</v>
      </c>
      <c r="H2983" s="8" t="n">
        <v>25.57</v>
      </c>
      <c r="I2983" s="8" t="n">
        <v>25.57</v>
      </c>
      <c r="J2983" s="8" t="n"/>
      <c r="K2983" s="7" t="inlineStr">
        <is>
          <t>SEM COTAÇÃO</t>
        </is>
      </c>
      <c r="L2983" s="8" t="n"/>
      <c r="M2983" s="12" t="n"/>
      <c r="N2983" s="7" t="inlineStr"/>
      <c r="O2983" s="7" t="inlineStr"/>
    </row>
    <row r="2984">
      <c r="A2984" s="7" t="n">
        <v>3733</v>
      </c>
      <c r="B2984" s="10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1" t="n">
        <v>1</v>
      </c>
      <c r="G2984" s="11" t="n">
        <v>1</v>
      </c>
      <c r="H2984" s="8" t="n">
        <v>9.58</v>
      </c>
      <c r="I2984" s="8" t="n">
        <v>9.58</v>
      </c>
      <c r="J2984" s="8" t="n"/>
      <c r="K2984" s="7" t="inlineStr">
        <is>
          <t>SEM COTAÇÃO</t>
        </is>
      </c>
      <c r="L2984" s="8" t="n"/>
      <c r="M2984" s="12" t="n"/>
      <c r="N2984" s="7" t="inlineStr"/>
      <c r="O2984" s="7" t="inlineStr"/>
    </row>
    <row r="2985">
      <c r="A2985" s="7" t="n">
        <v>3713</v>
      </c>
      <c r="B2985" s="10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1" t="n">
        <v>1</v>
      </c>
      <c r="G2985" s="11" t="n">
        <v>1</v>
      </c>
      <c r="H2985" s="8" t="n">
        <v>9.58</v>
      </c>
      <c r="I2985" s="8" t="n">
        <v>9.58</v>
      </c>
      <c r="J2985" s="8" t="n"/>
      <c r="K2985" s="7" t="inlineStr">
        <is>
          <t>SEM COTAÇÃO</t>
        </is>
      </c>
      <c r="L2985" s="8" t="n"/>
      <c r="M2985" s="12" t="n"/>
      <c r="N2985" s="7" t="inlineStr"/>
      <c r="O2985" s="7" t="inlineStr"/>
    </row>
    <row r="2986">
      <c r="A2986" s="7" t="n">
        <v>4203</v>
      </c>
      <c r="B2986" s="10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1" t="n">
        <v>1</v>
      </c>
      <c r="G2986" s="11" t="n">
        <v>1</v>
      </c>
      <c r="H2986" s="8" t="n">
        <v>9.5806</v>
      </c>
      <c r="I2986" s="8" t="n">
        <v>9.5806</v>
      </c>
      <c r="J2986" s="8" t="n"/>
      <c r="K2986" s="7" t="inlineStr">
        <is>
          <t>SEM COTAÇÃO</t>
        </is>
      </c>
      <c r="L2986" s="8" t="n"/>
      <c r="M2986" s="12" t="n"/>
      <c r="N2986" s="7" t="inlineStr"/>
      <c r="O2986" s="7" t="inlineStr"/>
    </row>
    <row r="2987">
      <c r="A2987" s="7" t="n">
        <v>2703</v>
      </c>
      <c r="B2987" s="10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1" t="n">
        <v>1</v>
      </c>
      <c r="G2987" s="11" t="n">
        <v>1</v>
      </c>
      <c r="H2987" s="8" t="n"/>
      <c r="I2987" s="8" t="n"/>
      <c r="J2987" s="8" t="n"/>
      <c r="K2987" s="7" t="inlineStr">
        <is>
          <t>SEM COTAÇÃO</t>
        </is>
      </c>
      <c r="L2987" s="8" t="n"/>
      <c r="M2987" s="12" t="n"/>
      <c r="N2987" s="7" t="inlineStr"/>
      <c r="O2987" s="7" t="inlineStr"/>
    </row>
    <row r="2988">
      <c r="A2988" s="7" t="n">
        <v>583681</v>
      </c>
      <c r="B2988" s="10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1" t="n">
        <v>15</v>
      </c>
      <c r="G2988" s="11" t="n">
        <v>15</v>
      </c>
      <c r="H2988" s="8" t="n">
        <v>8.2883</v>
      </c>
      <c r="I2988" s="8" t="n">
        <v>7.9722</v>
      </c>
      <c r="J2988" s="8" t="n"/>
      <c r="K2988" s="7" t="inlineStr">
        <is>
          <t>SEM COTAÇÃO</t>
        </is>
      </c>
      <c r="L2988" s="8" t="n"/>
      <c r="M2988" s="12" t="n"/>
      <c r="N2988" s="7" t="inlineStr"/>
      <c r="O2988" s="7" t="inlineStr"/>
    </row>
    <row r="2989">
      <c r="A2989" s="7" t="n">
        <v>637831</v>
      </c>
      <c r="B2989" s="10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1" t="n">
        <v>21</v>
      </c>
      <c r="G2989" s="11" t="n">
        <v>21</v>
      </c>
      <c r="H2989" s="8" t="n">
        <v>8.2883</v>
      </c>
      <c r="I2989" s="8" t="n">
        <v>7.9722</v>
      </c>
      <c r="J2989" s="8" t="n"/>
      <c r="K2989" s="7" t="inlineStr">
        <is>
          <t>SEM COTAÇÃO</t>
        </is>
      </c>
      <c r="L2989" s="8" t="n"/>
      <c r="M2989" s="12" t="n"/>
      <c r="N2989" s="7" t="inlineStr"/>
      <c r="O2989" s="7" t="inlineStr"/>
    </row>
    <row r="2990">
      <c r="A2990" s="7" t="n">
        <v>1433</v>
      </c>
      <c r="B2990" s="10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1" t="n">
        <v>31</v>
      </c>
      <c r="G2990" s="11" t="n">
        <v>31</v>
      </c>
      <c r="H2990" s="8" t="n">
        <v>8.2883</v>
      </c>
      <c r="I2990" s="8" t="n">
        <v>7.9742</v>
      </c>
      <c r="J2990" s="8" t="n"/>
      <c r="K2990" s="7" t="inlineStr">
        <is>
          <t>SEM COTAÇÃO</t>
        </is>
      </c>
      <c r="L2990" s="8" t="n"/>
      <c r="M2990" s="12" t="n"/>
      <c r="N2990" s="7" t="inlineStr"/>
      <c r="O2990" s="7" t="inlineStr"/>
    </row>
    <row r="2991">
      <c r="A2991" s="7" t="n">
        <v>624431</v>
      </c>
      <c r="B2991" s="10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1" t="n">
        <v>1</v>
      </c>
      <c r="G2991" s="11" t="n">
        <v>1</v>
      </c>
      <c r="H2991" s="8" t="n">
        <v>7.59</v>
      </c>
      <c r="I2991" s="8" t="n">
        <v>7.59</v>
      </c>
      <c r="J2991" s="8" t="n"/>
      <c r="K2991" s="7" t="inlineStr">
        <is>
          <t>SEM COTAÇÃO</t>
        </is>
      </c>
      <c r="L2991" s="8" t="n"/>
      <c r="M2991" s="12" t="n"/>
      <c r="N2991" s="7" t="inlineStr"/>
      <c r="O2991" s="7" t="inlineStr"/>
    </row>
    <row r="2992">
      <c r="A2992" s="7" t="n">
        <v>2693</v>
      </c>
      <c r="B2992" s="10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1" t="n">
        <v>1</v>
      </c>
      <c r="G2992" s="11" t="n">
        <v>1</v>
      </c>
      <c r="H2992" s="8" t="n"/>
      <c r="I2992" s="8" t="n"/>
      <c r="J2992" s="8" t="n"/>
      <c r="K2992" s="7" t="inlineStr">
        <is>
          <t>SEM COTAÇÃO</t>
        </is>
      </c>
      <c r="L2992" s="8" t="n"/>
      <c r="M2992" s="12" t="n"/>
      <c r="N2992" s="7" t="inlineStr"/>
      <c r="O2992" s="7" t="inlineStr"/>
    </row>
    <row r="2993">
      <c r="A2993" s="7" t="n">
        <v>615761</v>
      </c>
      <c r="B2993" s="10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1" t="n">
        <v>18</v>
      </c>
      <c r="G2993" s="11" t="n">
        <v>18</v>
      </c>
      <c r="H2993" s="8" t="n">
        <v>7.975</v>
      </c>
      <c r="I2993" s="8" t="n">
        <v>7.9722</v>
      </c>
      <c r="J2993" s="8" t="n"/>
      <c r="K2993" s="7" t="inlineStr">
        <is>
          <t>SEM COTAÇÃO</t>
        </is>
      </c>
      <c r="L2993" s="8" t="n"/>
      <c r="M2993" s="12" t="n"/>
      <c r="N2993" s="7" t="inlineStr"/>
      <c r="O2993" s="7" t="inlineStr"/>
    </row>
    <row r="2994">
      <c r="A2994" s="7" t="n">
        <v>615771</v>
      </c>
      <c r="B2994" s="10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1" t="n">
        <v>1</v>
      </c>
      <c r="G2994" s="11" t="n">
        <v>1</v>
      </c>
      <c r="H2994" s="8" t="n">
        <v>7.59</v>
      </c>
      <c r="I2994" s="8" t="n">
        <v>7.59</v>
      </c>
      <c r="J2994" s="8" t="n"/>
      <c r="K2994" s="7" t="inlineStr">
        <is>
          <t>SEM COTAÇÃO</t>
        </is>
      </c>
      <c r="L2994" s="8" t="n"/>
      <c r="M2994" s="12" t="n"/>
      <c r="N2994" s="7" t="inlineStr"/>
      <c r="O2994" s="7" t="inlineStr"/>
    </row>
    <row r="2995">
      <c r="A2995" s="7" t="n">
        <v>256161</v>
      </c>
      <c r="B2995" s="10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1" t="n">
        <v>1</v>
      </c>
      <c r="G2995" s="11" t="n">
        <v>1</v>
      </c>
      <c r="H2995" s="8" t="n">
        <v>69.98999999999999</v>
      </c>
      <c r="I2995" s="8" t="n">
        <v>48.905</v>
      </c>
      <c r="J2995" s="8" t="n"/>
      <c r="K2995" s="7" t="inlineStr">
        <is>
          <t>SEM COTAÇÃO</t>
        </is>
      </c>
      <c r="L2995" s="8" t="n"/>
      <c r="M2995" s="12" t="n"/>
      <c r="N2995" s="7" t="inlineStr"/>
      <c r="O2995" s="7" t="inlineStr"/>
    </row>
    <row r="2996">
      <c r="A2996" s="7" t="n">
        <v>256181</v>
      </c>
      <c r="B2996" s="10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1" t="n">
        <v>1</v>
      </c>
      <c r="G2996" s="11" t="n">
        <v>1</v>
      </c>
      <c r="H2996" s="8" t="n">
        <v>55.0288</v>
      </c>
      <c r="I2996" s="8" t="n">
        <v>47.835</v>
      </c>
      <c r="J2996" s="8" t="n"/>
      <c r="K2996" s="7" t="inlineStr">
        <is>
          <t>SEM COTAÇÃO</t>
        </is>
      </c>
      <c r="L2996" s="8" t="n"/>
      <c r="M2996" s="12" t="n"/>
      <c r="N2996" s="7" t="inlineStr"/>
      <c r="O2996" s="7" t="inlineStr"/>
    </row>
    <row r="2997">
      <c r="A2997" s="7" t="n">
        <v>674691</v>
      </c>
      <c r="B2997" s="10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1" t="n">
        <v>1</v>
      </c>
      <c r="G2997" s="11" t="n">
        <v>1</v>
      </c>
      <c r="H2997" s="8" t="n">
        <v>10.18</v>
      </c>
      <c r="I2997" s="8" t="n">
        <v>10.18</v>
      </c>
      <c r="J2997" s="8" t="n"/>
      <c r="K2997" s="7" t="inlineStr">
        <is>
          <t>SEM COTAÇÃO</t>
        </is>
      </c>
      <c r="L2997" s="8" t="n"/>
      <c r="M2997" s="12" t="n"/>
      <c r="N2997" s="7" t="inlineStr"/>
      <c r="O2997" s="7" t="inlineStr"/>
    </row>
    <row r="2998">
      <c r="A2998" s="7" t="n">
        <v>632221</v>
      </c>
      <c r="B2998" s="10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1" t="n">
        <v>1</v>
      </c>
      <c r="G2998" s="11" t="n">
        <v>1</v>
      </c>
      <c r="H2998" s="8" t="n">
        <v>14.42</v>
      </c>
      <c r="I2998" s="8" t="n">
        <v>14.42</v>
      </c>
      <c r="J2998" s="8" t="n"/>
      <c r="K2998" s="7" t="inlineStr">
        <is>
          <t>SEM COTAÇÃO</t>
        </is>
      </c>
      <c r="L2998" s="8" t="n"/>
      <c r="M2998" s="12" t="n"/>
      <c r="N2998" s="7" t="inlineStr"/>
      <c r="O2998" s="7" t="inlineStr"/>
    </row>
    <row r="2999">
      <c r="A2999" s="7" t="n">
        <v>659981</v>
      </c>
      <c r="B2999" s="10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1" t="n">
        <v>1</v>
      </c>
      <c r="G2999" s="11" t="n">
        <v>1</v>
      </c>
      <c r="H2999" s="8" t="n">
        <v>6.49</v>
      </c>
      <c r="I2999" s="8" t="n">
        <v>5.04</v>
      </c>
      <c r="J2999" s="8" t="n"/>
      <c r="K2999" s="7" t="inlineStr">
        <is>
          <t>SEM COTAÇÃO</t>
        </is>
      </c>
      <c r="L2999" s="8" t="n"/>
      <c r="M2999" s="12" t="n"/>
      <c r="N2999" s="7" t="inlineStr"/>
      <c r="O2999" s="7" t="inlineStr"/>
    </row>
    <row r="3000">
      <c r="A3000" s="7" t="n">
        <v>229001</v>
      </c>
      <c r="B3000" s="10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1" t="n">
        <v>5</v>
      </c>
      <c r="G3000" s="11" t="n">
        <v>5</v>
      </c>
      <c r="H3000" s="8" t="n">
        <v>28.63</v>
      </c>
      <c r="I3000" s="8" t="n">
        <v>27.02</v>
      </c>
      <c r="J3000" s="8" t="n"/>
      <c r="K3000" s="7" t="inlineStr">
        <is>
          <t>SEM COTAÇÃO</t>
        </is>
      </c>
      <c r="L3000" s="8" t="n"/>
      <c r="M3000" s="12" t="n"/>
      <c r="N3000" s="7" t="inlineStr"/>
      <c r="O3000" s="7" t="inlineStr"/>
    </row>
    <row r="3001">
      <c r="A3001" s="7" t="n">
        <v>663471</v>
      </c>
      <c r="B3001" s="10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1" t="n">
        <v>1</v>
      </c>
      <c r="G3001" s="11" t="n">
        <v>1</v>
      </c>
      <c r="H3001" s="8" t="n">
        <v>16.57</v>
      </c>
      <c r="I3001" s="8" t="n">
        <v>16.57</v>
      </c>
      <c r="J3001" s="8" t="n"/>
      <c r="K3001" s="7" t="inlineStr">
        <is>
          <t>SEM COTAÇÃO</t>
        </is>
      </c>
      <c r="L3001" s="8" t="n"/>
      <c r="M3001" s="12" t="n"/>
      <c r="N3001" s="7" t="inlineStr"/>
      <c r="O3001" s="7" t="inlineStr"/>
    </row>
    <row r="3002">
      <c r="A3002" s="7" t="n">
        <v>654541</v>
      </c>
      <c r="B3002" s="10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1" t="n">
        <v>1</v>
      </c>
      <c r="G3002" s="11" t="n">
        <v>1</v>
      </c>
      <c r="H3002" s="8" t="n">
        <v>13.98</v>
      </c>
      <c r="I3002" s="8" t="n">
        <v>13.98</v>
      </c>
      <c r="J3002" s="8" t="n"/>
      <c r="K3002" s="7" t="inlineStr">
        <is>
          <t>SEM COTAÇÃO</t>
        </is>
      </c>
      <c r="L3002" s="8" t="n"/>
      <c r="M3002" s="12" t="n"/>
      <c r="N3002" s="7" t="inlineStr"/>
      <c r="O3002" s="7" t="inlineStr"/>
    </row>
    <row r="3003">
      <c r="A3003" s="7" t="n">
        <v>654531</v>
      </c>
      <c r="B3003" s="10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1" t="n">
        <v>1</v>
      </c>
      <c r="G3003" s="11" t="n">
        <v>1</v>
      </c>
      <c r="H3003" s="8" t="n">
        <v>13.98</v>
      </c>
      <c r="I3003" s="8" t="n">
        <v>13.98</v>
      </c>
      <c r="J3003" s="8" t="n"/>
      <c r="K3003" s="7" t="inlineStr">
        <is>
          <t>SEM COTAÇÃO</t>
        </is>
      </c>
      <c r="L3003" s="8" t="n"/>
      <c r="M3003" s="12" t="n"/>
      <c r="N3003" s="7" t="inlineStr"/>
      <c r="O3003" s="7" t="inlineStr"/>
    </row>
    <row r="3004">
      <c r="A3004" s="7" t="n">
        <v>663931</v>
      </c>
      <c r="B3004" s="10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1" t="n">
        <v>1</v>
      </c>
      <c r="G3004" s="11" t="n">
        <v>1</v>
      </c>
      <c r="H3004" s="8" t="n">
        <v>14.0028</v>
      </c>
      <c r="I3004" s="8" t="n">
        <v>14.0028</v>
      </c>
      <c r="J3004" s="8" t="n"/>
      <c r="K3004" s="7" t="inlineStr">
        <is>
          <t>SEM COTAÇÃO</t>
        </is>
      </c>
      <c r="L3004" s="8" t="n"/>
      <c r="M3004" s="12" t="n"/>
      <c r="N3004" s="7" t="inlineStr"/>
      <c r="O3004" s="7" t="inlineStr"/>
    </row>
    <row r="3005">
      <c r="A3005" s="7" t="n">
        <v>597231</v>
      </c>
      <c r="B3005" s="10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1" t="n">
        <v>1</v>
      </c>
      <c r="G3005" s="11" t="n">
        <v>5</v>
      </c>
      <c r="H3005" s="8" t="n">
        <v>5.6725</v>
      </c>
      <c r="I3005" s="8" t="n">
        <v>5.6725</v>
      </c>
      <c r="J3005" s="8" t="n"/>
      <c r="K3005" s="7" t="inlineStr">
        <is>
          <t>SEM COTAÇÃO</t>
        </is>
      </c>
      <c r="L3005" s="8" t="n"/>
      <c r="M3005" s="12" t="n"/>
      <c r="N3005" s="7" t="inlineStr"/>
      <c r="O3005" s="7" t="inlineStr"/>
    </row>
    <row r="3006">
      <c r="A3006" s="7" t="n">
        <v>590331</v>
      </c>
      <c r="B3006" s="10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1" t="n">
        <v>1</v>
      </c>
      <c r="G3006" s="11" t="n">
        <v>1</v>
      </c>
      <c r="H3006" s="8" t="n">
        <v>6.74</v>
      </c>
      <c r="I3006" s="8" t="n">
        <v>6.0358</v>
      </c>
      <c r="J3006" s="8" t="n"/>
      <c r="K3006" s="7" t="inlineStr">
        <is>
          <t>SEM COTAÇÃO</t>
        </is>
      </c>
      <c r="L3006" s="8" t="n"/>
      <c r="M3006" s="12" t="n"/>
      <c r="N3006" s="7" t="inlineStr"/>
      <c r="O3006" s="7" t="inlineStr"/>
    </row>
    <row r="3007">
      <c r="A3007" s="7" t="n">
        <v>672781</v>
      </c>
      <c r="B3007" s="10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1" t="n">
        <v>1</v>
      </c>
      <c r="G3007" s="11" t="n">
        <v>1</v>
      </c>
      <c r="H3007" s="8" t="n">
        <v>6.1883</v>
      </c>
      <c r="I3007" s="8" t="n">
        <v>6.0358</v>
      </c>
      <c r="J3007" s="8" t="n"/>
      <c r="K3007" s="7" t="inlineStr">
        <is>
          <t>SEM COTAÇÃO</t>
        </is>
      </c>
      <c r="L3007" s="8" t="n"/>
      <c r="M3007" s="12" t="n"/>
      <c r="N3007" s="7" t="inlineStr"/>
      <c r="O3007" s="7" t="inlineStr"/>
    </row>
    <row r="3008">
      <c r="A3008" s="7" t="n">
        <v>590091</v>
      </c>
      <c r="B3008" s="10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1" t="n">
        <v>2</v>
      </c>
      <c r="G3008" s="11" t="n">
        <v>2</v>
      </c>
      <c r="H3008" s="8" t="n">
        <v>14.0717</v>
      </c>
      <c r="I3008" s="8" t="n">
        <v>14.0717</v>
      </c>
      <c r="J3008" s="8" t="n"/>
      <c r="K3008" s="7" t="inlineStr">
        <is>
          <t>SEM COTAÇÃO</t>
        </is>
      </c>
      <c r="L3008" s="8" t="n"/>
      <c r="M3008" s="12" t="n"/>
      <c r="N3008" s="7" t="inlineStr"/>
      <c r="O3008" s="7" t="inlineStr"/>
    </row>
    <row r="3009">
      <c r="A3009" s="7" t="n">
        <v>653801</v>
      </c>
      <c r="B3009" s="10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1" t="n">
        <v>1</v>
      </c>
      <c r="G3009" s="11" t="n">
        <v>1</v>
      </c>
      <c r="H3009" s="8" t="n">
        <v>10.7444</v>
      </c>
      <c r="I3009" s="8" t="n">
        <v>10.7444</v>
      </c>
      <c r="J3009" s="8" t="n"/>
      <c r="K3009" s="7" t="inlineStr">
        <is>
          <t>SEM COTAÇÃO</t>
        </is>
      </c>
      <c r="L3009" s="8" t="n"/>
      <c r="M3009" s="12" t="n"/>
      <c r="N3009" s="7" t="inlineStr"/>
      <c r="O3009" s="7" t="inlineStr"/>
    </row>
    <row r="3010">
      <c r="A3010" s="7" t="n">
        <v>590141</v>
      </c>
      <c r="B3010" s="10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1" t="n">
        <v>1</v>
      </c>
      <c r="G3010" s="11" t="n">
        <v>5</v>
      </c>
      <c r="H3010" s="8" t="n">
        <v>19.5189</v>
      </c>
      <c r="I3010" s="8" t="n">
        <v>18.7089</v>
      </c>
      <c r="J3010" s="8" t="n"/>
      <c r="K3010" s="7" t="inlineStr">
        <is>
          <t>SEM COTAÇÃO</t>
        </is>
      </c>
      <c r="L3010" s="8" t="n"/>
      <c r="M3010" s="12" t="n"/>
      <c r="N3010" s="7" t="inlineStr"/>
      <c r="O3010" s="7" t="inlineStr"/>
    </row>
    <row r="3011">
      <c r="A3011" s="7" t="n">
        <v>609671</v>
      </c>
      <c r="B3011" s="10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1" t="n">
        <v>1</v>
      </c>
      <c r="G3011" s="11" t="n">
        <v>1</v>
      </c>
      <c r="H3011" s="8" t="n">
        <v>4.28</v>
      </c>
      <c r="I3011" s="8" t="n">
        <v>4.28</v>
      </c>
      <c r="J3011" s="8" t="n"/>
      <c r="K3011" s="7" t="inlineStr">
        <is>
          <t>SEM COTAÇÃO</t>
        </is>
      </c>
      <c r="L3011" s="8" t="n"/>
      <c r="M3011" s="12" t="n"/>
      <c r="N3011" s="7" t="inlineStr"/>
      <c r="O3011" s="7" t="inlineStr"/>
    </row>
    <row r="3012">
      <c r="A3012" s="7" t="n">
        <v>597311</v>
      </c>
      <c r="B3012" s="10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1" t="n">
        <v>1</v>
      </c>
      <c r="G3012" s="11" t="n">
        <v>3</v>
      </c>
      <c r="H3012" s="8" t="n">
        <v>3.9213</v>
      </c>
      <c r="I3012" s="8" t="n">
        <v>3.9213</v>
      </c>
      <c r="J3012" s="8" t="n"/>
      <c r="K3012" s="7" t="inlineStr">
        <is>
          <t>SEM COTAÇÃO</t>
        </is>
      </c>
      <c r="L3012" s="8" t="n"/>
      <c r="M3012" s="12" t="n"/>
      <c r="N3012" s="7" t="inlineStr"/>
      <c r="O3012" s="7" t="inlineStr"/>
    </row>
    <row r="3013">
      <c r="A3013" s="7" t="n">
        <v>671881</v>
      </c>
      <c r="B3013" s="10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1" t="n">
        <v>1</v>
      </c>
      <c r="G3013" s="11" t="n">
        <v>1</v>
      </c>
      <c r="H3013" s="8" t="n">
        <v>6.0886</v>
      </c>
      <c r="I3013" s="8" t="n">
        <v>6.0886</v>
      </c>
      <c r="J3013" s="8" t="n"/>
      <c r="K3013" s="7" t="inlineStr">
        <is>
          <t>SEM COTAÇÃO</t>
        </is>
      </c>
      <c r="L3013" s="8" t="n"/>
      <c r="M3013" s="12" t="n"/>
      <c r="N3013" s="7" t="inlineStr"/>
      <c r="O3013" s="7" t="inlineStr"/>
    </row>
    <row r="3014">
      <c r="A3014" s="7" t="n">
        <v>531621</v>
      </c>
      <c r="B3014" s="10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1" t="n">
        <v>3</v>
      </c>
      <c r="G3014" s="11" t="n">
        <v>3</v>
      </c>
      <c r="H3014" s="8" t="n">
        <v>2.53</v>
      </c>
      <c r="I3014" s="8" t="n">
        <v>2.53</v>
      </c>
      <c r="J3014" s="13" t="n">
        <v>2.9</v>
      </c>
      <c r="K3014" s="7" t="inlineStr">
        <is>
          <t>DIMEC</t>
        </is>
      </c>
      <c r="L3014" s="8" t="n">
        <v>2.9</v>
      </c>
      <c r="M3014" s="12">
        <f>L3014/H3014-1</f>
        <v/>
      </c>
      <c r="N3014" s="14" t="inlineStr">
        <is>
          <t>ACIMA +14.6%</t>
        </is>
      </c>
      <c r="O3014" s="7" t="inlineStr"/>
    </row>
    <row r="3015">
      <c r="A3015" s="7" t="n">
        <v>661281</v>
      </c>
      <c r="B3015" s="10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1" t="n">
        <v>1</v>
      </c>
      <c r="G3015" s="11" t="n">
        <v>1</v>
      </c>
      <c r="H3015" s="8" t="n">
        <v>18.75</v>
      </c>
      <c r="I3015" s="8" t="n">
        <v>18.75</v>
      </c>
      <c r="J3015" s="8" t="n"/>
      <c r="K3015" s="7" t="inlineStr">
        <is>
          <t>SEM COTAÇÃO</t>
        </is>
      </c>
      <c r="L3015" s="8" t="n"/>
      <c r="M3015" s="12" t="n"/>
      <c r="N3015" s="7" t="inlineStr"/>
      <c r="O3015" s="7" t="inlineStr"/>
    </row>
    <row r="3016">
      <c r="A3016" s="7" t="n">
        <v>661311</v>
      </c>
      <c r="B3016" s="10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1" t="n">
        <v>1</v>
      </c>
      <c r="G3016" s="11" t="n">
        <v>1</v>
      </c>
      <c r="H3016" s="8" t="n">
        <v>18.31</v>
      </c>
      <c r="I3016" s="8" t="n">
        <v>18.31</v>
      </c>
      <c r="J3016" s="8" t="n"/>
      <c r="K3016" s="7" t="inlineStr">
        <is>
          <t>SEM COTAÇÃO</t>
        </is>
      </c>
      <c r="L3016" s="8" t="n"/>
      <c r="M3016" s="12" t="n"/>
      <c r="N3016" s="7" t="inlineStr"/>
      <c r="O3016" s="7" t="inlineStr"/>
    </row>
    <row r="3017">
      <c r="A3017" s="7" t="n">
        <v>42103</v>
      </c>
      <c r="B3017" s="10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1" t="n">
        <v>7</v>
      </c>
      <c r="G3017" s="11" t="n">
        <v>7</v>
      </c>
      <c r="H3017" s="8" t="n">
        <v>6.39</v>
      </c>
      <c r="I3017" s="8" t="n">
        <v>6.39</v>
      </c>
      <c r="J3017" s="8" t="n"/>
      <c r="K3017" s="7" t="inlineStr">
        <is>
          <t>SEM COTAÇÃO</t>
        </is>
      </c>
      <c r="L3017" s="8" t="n"/>
      <c r="M3017" s="12" t="n"/>
      <c r="N3017" s="7" t="inlineStr"/>
      <c r="O3017" s="7" t="inlineStr"/>
    </row>
    <row r="3018">
      <c r="A3018" s="7" t="n">
        <v>4493</v>
      </c>
      <c r="B3018" s="10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1" t="n">
        <v>1</v>
      </c>
      <c r="G3018" s="11" t="n">
        <v>1</v>
      </c>
      <c r="H3018" s="8" t="n"/>
      <c r="I3018" s="8" t="n"/>
      <c r="J3018" s="8" t="n"/>
      <c r="K3018" s="7" t="inlineStr">
        <is>
          <t>SEM COTAÇÃO</t>
        </is>
      </c>
      <c r="L3018" s="8" t="n"/>
      <c r="M3018" s="12" t="n"/>
      <c r="N3018" s="7" t="inlineStr"/>
      <c r="O3018" s="7" t="inlineStr"/>
    </row>
    <row r="3019">
      <c r="A3019" s="7" t="n">
        <v>4483</v>
      </c>
      <c r="B3019" s="10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1" t="n">
        <v>1</v>
      </c>
      <c r="G3019" s="11" t="n">
        <v>1</v>
      </c>
      <c r="H3019" s="8" t="n"/>
      <c r="I3019" s="8" t="n"/>
      <c r="J3019" s="8" t="n"/>
      <c r="K3019" s="7" t="inlineStr">
        <is>
          <t>SEM COTAÇÃO</t>
        </is>
      </c>
      <c r="L3019" s="8" t="n"/>
      <c r="M3019" s="12" t="n"/>
      <c r="N3019" s="7" t="inlineStr"/>
      <c r="O3019" s="7" t="inlineStr"/>
    </row>
    <row r="3020">
      <c r="A3020" s="7" t="n">
        <v>586421</v>
      </c>
      <c r="B3020" s="10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1" t="n">
        <v>1</v>
      </c>
      <c r="G3020" s="11" t="n">
        <v>1</v>
      </c>
      <c r="H3020" s="8" t="n">
        <v>13.69</v>
      </c>
      <c r="I3020" s="8" t="n">
        <v>13.69</v>
      </c>
      <c r="J3020" s="8" t="n"/>
      <c r="K3020" s="7" t="inlineStr">
        <is>
          <t>SEM COTAÇÃO</t>
        </is>
      </c>
      <c r="L3020" s="8" t="n"/>
      <c r="M3020" s="12" t="n"/>
      <c r="N3020" s="7" t="inlineStr"/>
      <c r="O3020" s="7" t="inlineStr"/>
    </row>
    <row r="3021">
      <c r="A3021" s="7" t="n">
        <v>575161</v>
      </c>
      <c r="B3021" s="10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1" t="n">
        <v>1</v>
      </c>
      <c r="G3021" s="11" t="n">
        <v>1</v>
      </c>
      <c r="H3021" s="8" t="n">
        <v>13.69</v>
      </c>
      <c r="I3021" s="8" t="n">
        <v>13.69</v>
      </c>
      <c r="J3021" s="8" t="n"/>
      <c r="K3021" s="7" t="inlineStr">
        <is>
          <t>SEM COTAÇÃO</t>
        </is>
      </c>
      <c r="L3021" s="8" t="n"/>
      <c r="M3021" s="12" t="n"/>
      <c r="N3021" s="7" t="inlineStr"/>
      <c r="O3021" s="7" t="inlineStr"/>
    </row>
    <row r="3022">
      <c r="A3022" s="7" t="n">
        <v>596291</v>
      </c>
      <c r="B3022" s="10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1" t="n">
        <v>1</v>
      </c>
      <c r="G3022" s="11" t="n">
        <v>1</v>
      </c>
      <c r="H3022" s="8" t="n">
        <v>8.029999999999999</v>
      </c>
      <c r="I3022" s="8" t="n">
        <v>8.029999999999999</v>
      </c>
      <c r="J3022" s="8" t="n"/>
      <c r="K3022" s="7" t="inlineStr">
        <is>
          <t>SEM COTAÇÃO</t>
        </is>
      </c>
      <c r="L3022" s="8" t="n"/>
      <c r="M3022" s="12" t="n"/>
      <c r="N3022" s="7" t="inlineStr"/>
      <c r="O3022" s="7" t="inlineStr"/>
    </row>
    <row r="3023">
      <c r="A3023" s="7" t="n">
        <v>575101</v>
      </c>
      <c r="B3023" s="10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1" t="n">
        <v>1</v>
      </c>
      <c r="G3023" s="11" t="n">
        <v>1</v>
      </c>
      <c r="H3023" s="8" t="n">
        <v>10.01</v>
      </c>
      <c r="I3023" s="8" t="n">
        <v>10.01</v>
      </c>
      <c r="J3023" s="8" t="n"/>
      <c r="K3023" s="7" t="inlineStr">
        <is>
          <t>SEM COTAÇÃO</t>
        </is>
      </c>
      <c r="L3023" s="8" t="n"/>
      <c r="M3023" s="12" t="n"/>
      <c r="N3023" s="7" t="inlineStr"/>
      <c r="O3023" s="7" t="inlineStr"/>
    </row>
    <row r="3024">
      <c r="A3024" s="7" t="n">
        <v>575121</v>
      </c>
      <c r="B3024" s="10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1" t="n">
        <v>1</v>
      </c>
      <c r="G3024" s="11" t="n">
        <v>1</v>
      </c>
      <c r="H3024" s="8" t="n">
        <v>10.25</v>
      </c>
      <c r="I3024" s="8" t="n">
        <v>10.25</v>
      </c>
      <c r="J3024" s="8" t="n"/>
      <c r="K3024" s="7" t="inlineStr">
        <is>
          <t>SEM COTAÇÃO</t>
        </is>
      </c>
      <c r="L3024" s="8" t="n"/>
      <c r="M3024" s="12" t="n"/>
      <c r="N3024" s="7" t="inlineStr"/>
      <c r="O3024" s="7" t="inlineStr"/>
    </row>
    <row r="3025">
      <c r="A3025" s="7" t="n">
        <v>586401</v>
      </c>
      <c r="B3025" s="10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1" t="n">
        <v>1</v>
      </c>
      <c r="G3025" s="11" t="n">
        <v>1</v>
      </c>
      <c r="H3025" s="8" t="n">
        <v>9.49</v>
      </c>
      <c r="I3025" s="8" t="n">
        <v>9.49</v>
      </c>
      <c r="J3025" s="8" t="n"/>
      <c r="K3025" s="7" t="inlineStr">
        <is>
          <t>SEM COTAÇÃO</t>
        </is>
      </c>
      <c r="L3025" s="8" t="n"/>
      <c r="M3025" s="12" t="n"/>
      <c r="N3025" s="7" t="inlineStr"/>
      <c r="O3025" s="7" t="inlineStr"/>
    </row>
    <row r="3026">
      <c r="A3026" s="7" t="n">
        <v>608171</v>
      </c>
      <c r="B3026" s="10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1" t="n">
        <v>1</v>
      </c>
      <c r="G3026" s="11" t="n">
        <v>1</v>
      </c>
      <c r="H3026" s="8" t="n">
        <v>9.699999999999999</v>
      </c>
      <c r="I3026" s="8" t="n">
        <v>9.699999999999999</v>
      </c>
      <c r="J3026" s="8" t="n"/>
      <c r="K3026" s="7" t="inlineStr">
        <is>
          <t>SEM COTAÇÃO</t>
        </is>
      </c>
      <c r="L3026" s="8" t="n"/>
      <c r="M3026" s="12" t="n"/>
      <c r="N3026" s="7" t="inlineStr"/>
      <c r="O3026" s="7" t="inlineStr"/>
    </row>
    <row r="3027">
      <c r="A3027" s="7" t="n">
        <v>621821</v>
      </c>
      <c r="B3027" s="10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1" t="n">
        <v>1</v>
      </c>
      <c r="G3027" s="11" t="n">
        <v>1</v>
      </c>
      <c r="H3027" s="8" t="n">
        <v>15.92</v>
      </c>
      <c r="I3027" s="8" t="n">
        <v>15.92</v>
      </c>
      <c r="J3027" s="8" t="n"/>
      <c r="K3027" s="7" t="inlineStr">
        <is>
          <t>SEM COTAÇÃO</t>
        </is>
      </c>
      <c r="L3027" s="8" t="n"/>
      <c r="M3027" s="12" t="n"/>
      <c r="N3027" s="7" t="inlineStr"/>
      <c r="O3027" s="7" t="inlineStr"/>
    </row>
    <row r="3028">
      <c r="A3028" s="7" t="n">
        <v>589161</v>
      </c>
      <c r="B3028" s="10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1" t="n">
        <v>1</v>
      </c>
      <c r="G3028" s="11" t="n">
        <v>1</v>
      </c>
      <c r="H3028" s="8" t="n">
        <v>15.92</v>
      </c>
      <c r="I3028" s="8" t="n">
        <v>15.92</v>
      </c>
      <c r="J3028" s="8" t="n"/>
      <c r="K3028" s="7" t="inlineStr">
        <is>
          <t>SEM COTAÇÃO</t>
        </is>
      </c>
      <c r="L3028" s="8" t="n"/>
      <c r="M3028" s="12" t="n"/>
      <c r="N3028" s="7" t="inlineStr"/>
      <c r="O3028" s="7" t="inlineStr"/>
    </row>
    <row r="3029">
      <c r="A3029" s="7" t="n">
        <v>589181</v>
      </c>
      <c r="B3029" s="10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1" t="n">
        <v>1</v>
      </c>
      <c r="G3029" s="11" t="n">
        <v>1</v>
      </c>
      <c r="H3029" s="8" t="n">
        <v>17.3</v>
      </c>
      <c r="I3029" s="8" t="n">
        <v>17.3</v>
      </c>
      <c r="J3029" s="8" t="n"/>
      <c r="K3029" s="7" t="inlineStr">
        <is>
          <t>SEM COTAÇÃO</t>
        </is>
      </c>
      <c r="L3029" s="8" t="n"/>
      <c r="M3029" s="12" t="n"/>
      <c r="N3029" s="7" t="inlineStr"/>
      <c r="O3029" s="7" t="inlineStr"/>
    </row>
    <row r="3030">
      <c r="A3030" s="7" t="n">
        <v>133441</v>
      </c>
      <c r="B3030" s="10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1" t="n">
        <v>4</v>
      </c>
      <c r="G3030" s="11" t="n">
        <v>4</v>
      </c>
      <c r="H3030" s="8" t="n">
        <v>16.48</v>
      </c>
      <c r="I3030" s="8" t="n">
        <v>15.595</v>
      </c>
      <c r="J3030" s="8" t="n"/>
      <c r="K3030" s="7" t="inlineStr">
        <is>
          <t>SEM COTAÇÃO</t>
        </is>
      </c>
      <c r="L3030" s="8" t="n"/>
      <c r="M3030" s="12" t="n"/>
      <c r="N3030" s="7" t="inlineStr"/>
      <c r="O3030" s="7" t="inlineStr"/>
    </row>
    <row r="3031">
      <c r="A3031" s="7" t="n">
        <v>328301</v>
      </c>
      <c r="B3031" s="10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1" t="n">
        <v>5</v>
      </c>
      <c r="G3031" s="11" t="n">
        <v>5</v>
      </c>
      <c r="H3031" s="8" t="n">
        <v>55.41</v>
      </c>
      <c r="I3031" s="8" t="n">
        <v>43.93</v>
      </c>
      <c r="J3031" s="8" t="n"/>
      <c r="K3031" s="7" t="inlineStr">
        <is>
          <t>SEM COTAÇÃO</t>
        </is>
      </c>
      <c r="L3031" s="8" t="n"/>
      <c r="M3031" s="12" t="n"/>
      <c r="N3031" s="7" t="inlineStr"/>
      <c r="O3031" s="7" t="inlineStr"/>
    </row>
    <row r="3032">
      <c r="A3032" s="7" t="n">
        <v>661351</v>
      </c>
      <c r="B3032" s="10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1" t="n">
        <v>2</v>
      </c>
      <c r="G3032" s="11" t="n">
        <v>2</v>
      </c>
      <c r="H3032" s="8" t="n">
        <v>110.68</v>
      </c>
      <c r="I3032" s="8" t="n">
        <v>87.3</v>
      </c>
      <c r="J3032" s="8" t="n"/>
      <c r="K3032" s="7" t="inlineStr">
        <is>
          <t>SEM COTAÇÃO</t>
        </is>
      </c>
      <c r="L3032" s="8" t="n"/>
      <c r="M3032" s="12" t="n"/>
      <c r="N3032" s="7" t="inlineStr"/>
      <c r="O3032" s="7" t="inlineStr"/>
    </row>
    <row r="3033">
      <c r="A3033" s="7" t="n">
        <v>606001</v>
      </c>
      <c r="B3033" s="10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1" t="n">
        <v>1</v>
      </c>
      <c r="G3033" s="11" t="n">
        <v>1</v>
      </c>
      <c r="H3033" s="8" t="n">
        <v>87.3</v>
      </c>
      <c r="I3033" s="8" t="n">
        <v>87.3</v>
      </c>
      <c r="J3033" s="8" t="n"/>
      <c r="K3033" s="7" t="inlineStr">
        <is>
          <t>SEM COTAÇÃO</t>
        </is>
      </c>
      <c r="L3033" s="8" t="n"/>
      <c r="M3033" s="12" t="n"/>
      <c r="N3033" s="7" t="inlineStr"/>
      <c r="O3033" s="7" t="inlineStr"/>
    </row>
    <row r="3034">
      <c r="A3034" s="7" t="n">
        <v>602101</v>
      </c>
      <c r="B3034" s="10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1" t="n">
        <v>1</v>
      </c>
      <c r="G3034" s="11" t="n">
        <v>1</v>
      </c>
      <c r="H3034" s="8" t="n">
        <v>88.23</v>
      </c>
      <c r="I3034" s="8" t="n">
        <v>88.23</v>
      </c>
      <c r="J3034" s="8" t="n"/>
      <c r="K3034" s="7" t="inlineStr">
        <is>
          <t>SEM COTAÇÃO</t>
        </is>
      </c>
      <c r="L3034" s="8" t="n"/>
      <c r="M3034" s="12" t="n"/>
      <c r="N3034" s="7" t="inlineStr"/>
      <c r="O3034" s="7" t="inlineStr"/>
    </row>
    <row r="3035">
      <c r="A3035" s="7" t="n">
        <v>672951</v>
      </c>
      <c r="B3035" s="10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1" t="n">
        <v>2</v>
      </c>
      <c r="G3035" s="11" t="n">
        <v>2</v>
      </c>
      <c r="H3035" s="8" t="n">
        <v>7.91</v>
      </c>
      <c r="I3035" s="8" t="n">
        <v>7.91</v>
      </c>
      <c r="J3035" s="8" t="n"/>
      <c r="K3035" s="7" t="inlineStr">
        <is>
          <t>SEM COTAÇÃO</t>
        </is>
      </c>
      <c r="L3035" s="8" t="n"/>
      <c r="M3035" s="12" t="n"/>
      <c r="N3035" s="7" t="inlineStr"/>
      <c r="O3035" s="7" t="inlineStr"/>
    </row>
    <row r="3036">
      <c r="A3036" s="7" t="n">
        <v>655881</v>
      </c>
      <c r="B3036" s="10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1" t="n">
        <v>1</v>
      </c>
      <c r="G3036" s="11" t="n">
        <v>1</v>
      </c>
      <c r="H3036" s="8" t="n">
        <v>8.99</v>
      </c>
      <c r="I3036" s="8" t="n">
        <v>8.99</v>
      </c>
      <c r="J3036" s="8" t="n"/>
      <c r="K3036" s="7" t="inlineStr">
        <is>
          <t>SEM COTAÇÃO</t>
        </is>
      </c>
      <c r="L3036" s="8" t="n"/>
      <c r="M3036" s="12" t="n"/>
      <c r="N3036" s="7" t="inlineStr"/>
      <c r="O3036" s="7" t="inlineStr"/>
    </row>
    <row r="3037">
      <c r="A3037" s="7" t="n">
        <v>618881</v>
      </c>
      <c r="B3037" s="10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1" t="n">
        <v>1</v>
      </c>
      <c r="G3037" s="11" t="n">
        <v>1</v>
      </c>
      <c r="H3037" s="8" t="n">
        <v>8.99</v>
      </c>
      <c r="I3037" s="8" t="n">
        <v>8.99</v>
      </c>
      <c r="J3037" s="8" t="n"/>
      <c r="K3037" s="7" t="inlineStr">
        <is>
          <t>SEM COTAÇÃO</t>
        </is>
      </c>
      <c r="L3037" s="8" t="n"/>
      <c r="M3037" s="12" t="n"/>
      <c r="N3037" s="7" t="inlineStr"/>
      <c r="O3037" s="7" t="inlineStr"/>
    </row>
    <row r="3038">
      <c r="A3038" s="7" t="n">
        <v>602081</v>
      </c>
      <c r="B3038" s="10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1" t="n">
        <v>1</v>
      </c>
      <c r="G3038" s="11" t="n">
        <v>1</v>
      </c>
      <c r="H3038" s="8" t="n">
        <v>7.91</v>
      </c>
      <c r="I3038" s="8" t="n">
        <v>7.91</v>
      </c>
      <c r="J3038" s="8" t="n"/>
      <c r="K3038" s="7" t="inlineStr">
        <is>
          <t>SEM COTAÇÃO</t>
        </is>
      </c>
      <c r="L3038" s="8" t="n"/>
      <c r="M3038" s="12" t="n"/>
      <c r="N3038" s="7" t="inlineStr"/>
      <c r="O3038" s="7" t="inlineStr"/>
    </row>
    <row r="3039">
      <c r="A3039" s="7" t="n">
        <v>602071</v>
      </c>
      <c r="B3039" s="10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1" t="n">
        <v>1</v>
      </c>
      <c r="G3039" s="11" t="n">
        <v>1</v>
      </c>
      <c r="H3039" s="8" t="n">
        <v>8.539999999999999</v>
      </c>
      <c r="I3039" s="8" t="n">
        <v>8.539999999999999</v>
      </c>
      <c r="J3039" s="8" t="n"/>
      <c r="K3039" s="7" t="inlineStr">
        <is>
          <t>SEM COTAÇÃO</t>
        </is>
      </c>
      <c r="L3039" s="8" t="n"/>
      <c r="M3039" s="12" t="n"/>
      <c r="N3039" s="7" t="inlineStr"/>
      <c r="O3039" s="7" t="inlineStr"/>
    </row>
    <row r="3040">
      <c r="A3040" s="7" t="n">
        <v>434881</v>
      </c>
      <c r="B3040" s="10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1" t="n">
        <v>8</v>
      </c>
      <c r="G3040" s="11" t="n">
        <v>8</v>
      </c>
      <c r="H3040" s="8" t="n">
        <v>44.04</v>
      </c>
      <c r="I3040" s="8" t="n">
        <v>39.865</v>
      </c>
      <c r="J3040" s="8" t="n"/>
      <c r="K3040" s="7" t="inlineStr">
        <is>
          <t>SEM COTAÇÃO</t>
        </is>
      </c>
      <c r="L3040" s="8" t="n"/>
      <c r="M3040" s="12" t="n"/>
      <c r="N3040" s="7" t="inlineStr"/>
      <c r="O3040" s="7" t="inlineStr"/>
    </row>
    <row r="3041">
      <c r="A3041" s="7" t="n">
        <v>344</v>
      </c>
      <c r="B3041" s="10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1" t="n">
        <v>5</v>
      </c>
      <c r="G3041" s="11" t="n">
        <v>5</v>
      </c>
      <c r="H3041" s="8" t="n"/>
      <c r="I3041" s="8" t="n"/>
      <c r="J3041" s="8" t="n"/>
      <c r="K3041" s="7" t="inlineStr">
        <is>
          <t>SEM COTAÇÃO</t>
        </is>
      </c>
      <c r="L3041" s="8" t="n"/>
      <c r="M3041" s="12" t="n"/>
      <c r="N3041" s="7" t="inlineStr"/>
      <c r="O3041" s="7" t="inlineStr"/>
    </row>
    <row r="3042">
      <c r="A3042" s="7" t="n">
        <v>652141</v>
      </c>
      <c r="B3042" s="10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1" t="n">
        <v>1</v>
      </c>
      <c r="G3042" s="11" t="n">
        <v>1</v>
      </c>
      <c r="H3042" s="8" t="n">
        <v>25.4125</v>
      </c>
      <c r="I3042" s="8" t="n">
        <v>25.4125</v>
      </c>
      <c r="J3042" s="8" t="n"/>
      <c r="K3042" s="7" t="inlineStr">
        <is>
          <t>SEM COTAÇÃO</t>
        </is>
      </c>
      <c r="L3042" s="8" t="n"/>
      <c r="M3042" s="12" t="n"/>
      <c r="N3042" s="7" t="inlineStr"/>
      <c r="O3042" s="7" t="inlineStr"/>
    </row>
    <row r="3043">
      <c r="A3043" s="7" t="n">
        <v>652151</v>
      </c>
      <c r="B3043" s="10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1" t="n">
        <v>2</v>
      </c>
      <c r="G3043" s="11" t="n">
        <v>2</v>
      </c>
      <c r="H3043" s="8" t="n">
        <v>27.3308</v>
      </c>
      <c r="I3043" s="8" t="n">
        <v>27.3308</v>
      </c>
      <c r="J3043" s="8" t="n"/>
      <c r="K3043" s="7" t="inlineStr">
        <is>
          <t>SEM COTAÇÃO</t>
        </is>
      </c>
      <c r="L3043" s="8" t="n"/>
      <c r="M3043" s="12" t="n"/>
      <c r="N3043" s="7" t="inlineStr"/>
      <c r="O3043" s="7" t="inlineStr"/>
    </row>
    <row r="3044">
      <c r="A3044" s="7" t="n">
        <v>611031</v>
      </c>
      <c r="B3044" s="10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1" t="n">
        <v>1</v>
      </c>
      <c r="G3044" s="11" t="n">
        <v>1</v>
      </c>
      <c r="H3044" s="8" t="n">
        <v>29.16</v>
      </c>
      <c r="I3044" s="8" t="n">
        <v>29.16</v>
      </c>
      <c r="J3044" s="8" t="n"/>
      <c r="K3044" s="7" t="inlineStr">
        <is>
          <t>SEM COTAÇÃO</t>
        </is>
      </c>
      <c r="L3044" s="8" t="n"/>
      <c r="M3044" s="12" t="n"/>
      <c r="N3044" s="7" t="inlineStr"/>
      <c r="O3044" s="7" t="inlineStr"/>
    </row>
    <row r="3045">
      <c r="A3045" s="7" t="n">
        <v>656271</v>
      </c>
      <c r="B3045" s="10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1" t="n">
        <v>1</v>
      </c>
      <c r="G3045" s="11" t="n">
        <v>1</v>
      </c>
      <c r="H3045" s="8" t="n">
        <v>99.98999999999999</v>
      </c>
      <c r="I3045" s="8" t="n">
        <v>99.98999999999999</v>
      </c>
      <c r="J3045" s="8" t="n"/>
      <c r="K3045" s="7" t="inlineStr">
        <is>
          <t>SEM COTAÇÃO</t>
        </is>
      </c>
      <c r="L3045" s="8" t="n"/>
      <c r="M3045" s="12" t="n"/>
      <c r="N3045" s="7" t="inlineStr"/>
      <c r="O3045" s="7" t="inlineStr"/>
    </row>
    <row r="3046">
      <c r="A3046" s="7" t="n">
        <v>651901</v>
      </c>
      <c r="B3046" s="10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1" t="n">
        <v>1</v>
      </c>
      <c r="G3046" s="11" t="n">
        <v>1</v>
      </c>
      <c r="H3046" s="8" t="n">
        <v>0.92</v>
      </c>
      <c r="I3046" s="8" t="n">
        <v>0.92</v>
      </c>
      <c r="J3046" s="13" t="n">
        <v>1.03</v>
      </c>
      <c r="K3046" s="7" t="inlineStr">
        <is>
          <t>DIMEC</t>
        </is>
      </c>
      <c r="L3046" s="8" t="n">
        <v>1.03</v>
      </c>
      <c r="M3046" s="12">
        <f>L3046/H3046-1</f>
        <v/>
      </c>
      <c r="N3046" s="14" t="inlineStr">
        <is>
          <t>ACIMA +12.0%</t>
        </is>
      </c>
      <c r="O3046" s="7" t="inlineStr"/>
    </row>
    <row r="3047">
      <c r="A3047" s="7" t="n">
        <v>661291</v>
      </c>
      <c r="B3047" s="10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1" t="n">
        <v>1</v>
      </c>
      <c r="G3047" s="11" t="n">
        <v>1</v>
      </c>
      <c r="H3047" s="8" t="n">
        <v>23.18</v>
      </c>
      <c r="I3047" s="8" t="n">
        <v>23.18</v>
      </c>
      <c r="J3047" s="8" t="n"/>
      <c r="K3047" s="7" t="inlineStr">
        <is>
          <t>SEM COTAÇÃO</t>
        </is>
      </c>
      <c r="L3047" s="8" t="n"/>
      <c r="M3047" s="12" t="n"/>
      <c r="N3047" s="7" t="inlineStr"/>
      <c r="O3047" s="7" t="inlineStr"/>
    </row>
    <row r="3048">
      <c r="A3048" s="7" t="n">
        <v>652181</v>
      </c>
      <c r="B3048" s="10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1" t="n">
        <v>1</v>
      </c>
      <c r="G3048" s="11" t="n">
        <v>1</v>
      </c>
      <c r="H3048" s="8" t="n">
        <v>16.255</v>
      </c>
      <c r="I3048" s="8" t="n">
        <v>16.255</v>
      </c>
      <c r="J3048" s="8" t="n"/>
      <c r="K3048" s="7" t="inlineStr">
        <is>
          <t>SEM COTAÇÃO</t>
        </is>
      </c>
      <c r="L3048" s="8" t="n"/>
      <c r="M3048" s="12" t="n"/>
      <c r="N3048" s="7" t="inlineStr"/>
      <c r="O3048" s="7" t="inlineStr"/>
    </row>
    <row r="3049">
      <c r="A3049" s="7" t="n">
        <v>652171</v>
      </c>
      <c r="B3049" s="10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1" t="n">
        <v>1</v>
      </c>
      <c r="G3049" s="11" t="n">
        <v>1</v>
      </c>
      <c r="H3049" s="8" t="n">
        <v>60.755</v>
      </c>
      <c r="I3049" s="8" t="n">
        <v>60.755</v>
      </c>
      <c r="J3049" s="8" t="n"/>
      <c r="K3049" s="7" t="inlineStr">
        <is>
          <t>SEM COTAÇÃO</t>
        </is>
      </c>
      <c r="L3049" s="8" t="n"/>
      <c r="M3049" s="12" t="n"/>
      <c r="N3049" s="7" t="inlineStr"/>
      <c r="O3049" s="7" t="inlineStr"/>
    </row>
    <row r="3050">
      <c r="A3050" s="7" t="n">
        <v>669941</v>
      </c>
      <c r="B3050" s="10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1" t="n">
        <v>1</v>
      </c>
      <c r="G3050" s="11" t="n">
        <v>1</v>
      </c>
      <c r="H3050" s="8" t="n">
        <v>37.43</v>
      </c>
      <c r="I3050" s="8" t="n">
        <v>37.43</v>
      </c>
      <c r="J3050" s="8" t="n"/>
      <c r="K3050" s="7" t="inlineStr">
        <is>
          <t>SEM COTAÇÃO</t>
        </is>
      </c>
      <c r="L3050" s="8" t="n"/>
      <c r="M3050" s="12" t="n"/>
      <c r="N3050" s="7" t="inlineStr"/>
      <c r="O3050" s="7" t="inlineStr"/>
    </row>
    <row r="3051">
      <c r="A3051" s="7" t="n">
        <v>663251</v>
      </c>
      <c r="B3051" s="10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1" t="n">
        <v>2</v>
      </c>
      <c r="G3051" s="11" t="n">
        <v>2</v>
      </c>
      <c r="H3051" s="8" t="n">
        <v>7.63</v>
      </c>
      <c r="I3051" s="8" t="n">
        <v>7.63</v>
      </c>
      <c r="J3051" s="8" t="n"/>
      <c r="K3051" s="7" t="inlineStr">
        <is>
          <t>SEM COTAÇÃO</t>
        </is>
      </c>
      <c r="L3051" s="8" t="n"/>
      <c r="M3051" s="12" t="n"/>
      <c r="N3051" s="7" t="inlineStr"/>
      <c r="O3051" s="7" t="inlineStr"/>
    </row>
    <row r="3052">
      <c r="A3052" s="7" t="n">
        <v>598381</v>
      </c>
      <c r="B3052" s="10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1" t="n">
        <v>5</v>
      </c>
      <c r="G3052" s="11" t="n">
        <v>5</v>
      </c>
      <c r="H3052" s="8" t="n">
        <v>9.215</v>
      </c>
      <c r="I3052" s="8" t="n">
        <v>9.215</v>
      </c>
      <c r="J3052" s="8" t="n"/>
      <c r="K3052" s="7" t="inlineStr">
        <is>
          <t>SEM COTAÇÃO</t>
        </is>
      </c>
      <c r="L3052" s="8" t="n"/>
      <c r="M3052" s="12" t="n"/>
      <c r="N3052" s="7" t="inlineStr"/>
      <c r="O3052" s="7" t="inlineStr"/>
    </row>
    <row r="3053">
      <c r="A3053" s="7" t="n">
        <v>579461</v>
      </c>
      <c r="B3053" s="10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1" t="n">
        <v>1</v>
      </c>
      <c r="G3053" s="11" t="n">
        <v>2</v>
      </c>
      <c r="H3053" s="8" t="n">
        <v>6.967</v>
      </c>
      <c r="I3053" s="8" t="n">
        <v>6.8011</v>
      </c>
      <c r="J3053" s="8" t="n"/>
      <c r="K3053" s="7" t="inlineStr">
        <is>
          <t>SEM COTAÇÃO</t>
        </is>
      </c>
      <c r="L3053" s="8" t="n"/>
      <c r="M3053" s="12" t="n"/>
      <c r="N3053" s="7" t="inlineStr"/>
      <c r="O3053" s="7" t="inlineStr"/>
    </row>
    <row r="3054">
      <c r="A3054" s="7" t="n">
        <v>666171</v>
      </c>
      <c r="B3054" s="10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1" t="n">
        <v>3</v>
      </c>
      <c r="G3054" s="11" t="n">
        <v>3</v>
      </c>
      <c r="H3054" s="8" t="n">
        <v>67.94499999999999</v>
      </c>
      <c r="I3054" s="8" t="n">
        <v>66.08499999999999</v>
      </c>
      <c r="J3054" s="8" t="n"/>
      <c r="K3054" s="7" t="inlineStr">
        <is>
          <t>SEM COTAÇÃO</t>
        </is>
      </c>
      <c r="L3054" s="8" t="n"/>
      <c r="M3054" s="12" t="n"/>
      <c r="N3054" s="7" t="inlineStr"/>
      <c r="O3054" s="7" t="inlineStr"/>
    </row>
    <row r="3055">
      <c r="A3055" s="7" t="n">
        <v>567341</v>
      </c>
      <c r="B3055" s="10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1" t="n">
        <v>1</v>
      </c>
      <c r="G3055" s="11" t="n">
        <v>4</v>
      </c>
      <c r="H3055" s="8" t="n">
        <v>42.0842</v>
      </c>
      <c r="I3055" s="8" t="n">
        <v>39.1167</v>
      </c>
      <c r="J3055" s="8" t="n"/>
      <c r="K3055" s="7" t="inlineStr">
        <is>
          <t>SEM COTAÇÃO</t>
        </is>
      </c>
      <c r="L3055" s="8" t="n"/>
      <c r="M3055" s="12" t="n"/>
      <c r="N3055" s="7" t="inlineStr"/>
      <c r="O3055" s="7" t="inlineStr"/>
    </row>
    <row r="3056">
      <c r="A3056" s="7" t="n">
        <v>590161</v>
      </c>
      <c r="B3056" s="10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1" t="n">
        <v>2</v>
      </c>
      <c r="G3056" s="11" t="n">
        <v>2</v>
      </c>
      <c r="H3056" s="8" t="n">
        <v>68.3433</v>
      </c>
      <c r="I3056" s="8" t="n">
        <v>68.3433</v>
      </c>
      <c r="J3056" s="8" t="n"/>
      <c r="K3056" s="7" t="inlineStr">
        <is>
          <t>SEM COTAÇÃO</t>
        </is>
      </c>
      <c r="L3056" s="8" t="n"/>
      <c r="M3056" s="12" t="n"/>
      <c r="N3056" s="7" t="inlineStr"/>
      <c r="O3056" s="7" t="inlineStr"/>
    </row>
    <row r="3057">
      <c r="A3057" s="7" t="n">
        <v>666161</v>
      </c>
      <c r="B3057" s="10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1" t="n">
        <v>2</v>
      </c>
      <c r="G3057" s="11" t="n">
        <v>8</v>
      </c>
      <c r="H3057" s="8" t="n">
        <v>73.84</v>
      </c>
      <c r="I3057" s="8" t="n">
        <v>66.08499999999999</v>
      </c>
      <c r="J3057" s="8" t="n"/>
      <c r="K3057" s="7" t="inlineStr">
        <is>
          <t>SEM COTAÇÃO</t>
        </is>
      </c>
      <c r="L3057" s="8" t="n"/>
      <c r="M3057" s="12" t="n"/>
      <c r="N3057" s="7" t="inlineStr"/>
      <c r="O3057" s="7" t="inlineStr"/>
    </row>
    <row r="3058">
      <c r="A3058" s="7" t="n">
        <v>590371</v>
      </c>
      <c r="B3058" s="10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1" t="n">
        <v>1</v>
      </c>
      <c r="G3058" s="11" t="n">
        <v>1</v>
      </c>
      <c r="H3058" s="8" t="n">
        <v>57.655</v>
      </c>
      <c r="I3058" s="8" t="n">
        <v>57.655</v>
      </c>
      <c r="J3058" s="8" t="n"/>
      <c r="K3058" s="7" t="inlineStr">
        <is>
          <t>SEM COTAÇÃO</t>
        </is>
      </c>
      <c r="L3058" s="8" t="n"/>
      <c r="M3058" s="12" t="n"/>
      <c r="N3058" s="7" t="inlineStr"/>
      <c r="O3058" s="7" t="inlineStr"/>
    </row>
    <row r="3059">
      <c r="A3059" s="7" t="n">
        <v>416901</v>
      </c>
      <c r="B3059" s="10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1" t="n">
        <v>1</v>
      </c>
      <c r="G3059" s="11" t="n">
        <v>1</v>
      </c>
      <c r="H3059" s="8" t="n">
        <v>58.95</v>
      </c>
      <c r="I3059" s="8" t="n">
        <v>58.95</v>
      </c>
      <c r="J3059" s="8" t="n"/>
      <c r="K3059" s="7" t="inlineStr">
        <is>
          <t>SEM COTAÇÃO</t>
        </is>
      </c>
      <c r="L3059" s="8" t="n"/>
      <c r="M3059" s="12" t="n"/>
      <c r="N3059" s="7" t="inlineStr"/>
      <c r="O3059" s="7" t="inlineStr"/>
    </row>
    <row r="3060">
      <c r="A3060" s="7" t="n">
        <v>290881</v>
      </c>
      <c r="B3060" s="10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1" t="n">
        <v>1</v>
      </c>
      <c r="G3060" s="11" t="n">
        <v>1</v>
      </c>
      <c r="H3060" s="8" t="n">
        <v>55.03</v>
      </c>
      <c r="I3060" s="8" t="n">
        <v>55.03</v>
      </c>
      <c r="J3060" s="8" t="n"/>
      <c r="K3060" s="7" t="inlineStr">
        <is>
          <t>SEM COTAÇÃO</t>
        </is>
      </c>
      <c r="L3060" s="8" t="n"/>
      <c r="M3060" s="12" t="n"/>
      <c r="N3060" s="7" t="inlineStr"/>
      <c r="O3060" s="7" t="inlineStr"/>
    </row>
    <row r="3061">
      <c r="A3061" s="7" t="n">
        <v>161061</v>
      </c>
      <c r="B3061" s="10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1" t="n">
        <v>42</v>
      </c>
      <c r="G3061" s="11" t="n">
        <v>42</v>
      </c>
      <c r="H3061" s="8" t="n">
        <v>2.09</v>
      </c>
      <c r="I3061" s="8" t="n">
        <v>2.09</v>
      </c>
      <c r="J3061" s="8" t="n"/>
      <c r="K3061" s="7" t="inlineStr">
        <is>
          <t>SEM COTAÇÃO</t>
        </is>
      </c>
      <c r="L3061" s="8" t="n"/>
      <c r="M3061" s="12" t="n"/>
      <c r="N3061" s="7" t="inlineStr"/>
      <c r="O3061" s="7" t="inlineStr"/>
    </row>
    <row r="3062">
      <c r="A3062" s="7" t="n">
        <v>582301</v>
      </c>
      <c r="B3062" s="10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1" t="n">
        <v>3</v>
      </c>
      <c r="G3062" s="11" t="n">
        <v>3</v>
      </c>
      <c r="H3062" s="8" t="n">
        <v>37.12</v>
      </c>
      <c r="I3062" s="8" t="n">
        <v>33.325</v>
      </c>
      <c r="J3062" s="8" t="n"/>
      <c r="K3062" s="7" t="inlineStr">
        <is>
          <t>SEM COTAÇÃO</t>
        </is>
      </c>
      <c r="L3062" s="8" t="n"/>
      <c r="M3062" s="12" t="n"/>
      <c r="N3062" s="7" t="inlineStr"/>
      <c r="O3062" s="7" t="inlineStr"/>
    </row>
    <row r="3063">
      <c r="A3063" s="7" t="n">
        <v>237461</v>
      </c>
      <c r="B3063" s="10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1" t="n">
        <v>3</v>
      </c>
      <c r="G3063" s="11" t="n">
        <v>3</v>
      </c>
      <c r="H3063" s="8" t="n">
        <v>58.3</v>
      </c>
      <c r="I3063" s="8" t="n">
        <v>54.075</v>
      </c>
      <c r="J3063" s="8" t="n"/>
      <c r="K3063" s="7" t="inlineStr">
        <is>
          <t>SEM COTAÇÃO</t>
        </is>
      </c>
      <c r="L3063" s="8" t="n"/>
      <c r="M3063" s="12" t="n"/>
      <c r="N3063" s="7" t="inlineStr"/>
      <c r="O3063" s="7" t="inlineStr"/>
    </row>
    <row r="3064">
      <c r="A3064" s="7" t="n">
        <v>589301</v>
      </c>
      <c r="B3064" s="10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1" t="n">
        <v>1</v>
      </c>
      <c r="G3064" s="11" t="n">
        <v>1</v>
      </c>
      <c r="H3064" s="8" t="n">
        <v>10.23</v>
      </c>
      <c r="I3064" s="8" t="n">
        <v>10.23</v>
      </c>
      <c r="J3064" s="8" t="n"/>
      <c r="K3064" s="7" t="inlineStr">
        <is>
          <t>SEM COTAÇÃO</t>
        </is>
      </c>
      <c r="L3064" s="8" t="n"/>
      <c r="M3064" s="12" t="n"/>
      <c r="N3064" s="7" t="inlineStr"/>
      <c r="O3064" s="7" t="inlineStr"/>
    </row>
    <row r="3065">
      <c r="A3065" s="7" t="n">
        <v>628551</v>
      </c>
      <c r="B3065" s="10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1" t="n">
        <v>2</v>
      </c>
      <c r="G3065" s="11" t="n">
        <v>2</v>
      </c>
      <c r="H3065" s="8" t="n">
        <v>7.61</v>
      </c>
      <c r="I3065" s="8" t="n">
        <v>7.61</v>
      </c>
      <c r="J3065" s="8" t="n"/>
      <c r="K3065" s="7" t="inlineStr">
        <is>
          <t>SEM COTAÇÃO</t>
        </is>
      </c>
      <c r="L3065" s="8" t="n"/>
      <c r="M3065" s="12" t="n"/>
      <c r="N3065" s="7" t="inlineStr"/>
      <c r="O3065" s="7" t="inlineStr"/>
    </row>
    <row r="3066">
      <c r="A3066" s="7" t="n">
        <v>604781</v>
      </c>
      <c r="B3066" s="10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1" t="n">
        <v>3</v>
      </c>
      <c r="G3066" s="11" t="n">
        <v>3</v>
      </c>
      <c r="H3066" s="8" t="n">
        <v>1.71</v>
      </c>
      <c r="I3066" s="8" t="n">
        <v>1.71</v>
      </c>
      <c r="J3066" s="8" t="n"/>
      <c r="K3066" s="7" t="inlineStr">
        <is>
          <t>SEM COTAÇÃO</t>
        </is>
      </c>
      <c r="L3066" s="8" t="n"/>
      <c r="M3066" s="12" t="n"/>
      <c r="N3066" s="7" t="inlineStr"/>
      <c r="O3066" s="7" t="inlineStr"/>
    </row>
    <row r="3067">
      <c r="A3067" s="7" t="n">
        <v>359461</v>
      </c>
      <c r="B3067" s="10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1" t="n">
        <v>2</v>
      </c>
      <c r="G3067" s="11" t="n">
        <v>2</v>
      </c>
      <c r="H3067" s="8" t="n">
        <v>42.51</v>
      </c>
      <c r="I3067" s="8" t="n">
        <v>40.91</v>
      </c>
      <c r="J3067" s="8" t="n"/>
      <c r="K3067" s="7" t="inlineStr">
        <is>
          <t>SEM COTAÇÃO</t>
        </is>
      </c>
      <c r="L3067" s="8" t="n"/>
      <c r="M3067" s="12" t="n"/>
      <c r="N3067" s="7" t="inlineStr"/>
      <c r="O3067" s="7" t="inlineStr"/>
    </row>
    <row r="3068">
      <c r="A3068" s="7" t="n">
        <v>660211</v>
      </c>
      <c r="B3068" s="10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1" t="n">
        <v>1</v>
      </c>
      <c r="G3068" s="11" t="n">
        <v>1</v>
      </c>
      <c r="H3068" s="8" t="n">
        <v>79.98999999999999</v>
      </c>
      <c r="I3068" s="8" t="n">
        <v>79.98999999999999</v>
      </c>
      <c r="J3068" s="8" t="n"/>
      <c r="K3068" s="7" t="inlineStr">
        <is>
          <t>SEM COTAÇÃO</t>
        </is>
      </c>
      <c r="L3068" s="8" t="n"/>
      <c r="M3068" s="12" t="n"/>
      <c r="N3068" s="7" t="inlineStr"/>
      <c r="O3068" s="7" t="inlineStr"/>
    </row>
    <row r="3069">
      <c r="A3069" s="7" t="n">
        <v>629611</v>
      </c>
      <c r="B3069" s="10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1" t="n">
        <v>1</v>
      </c>
      <c r="G3069" s="11" t="n">
        <v>19</v>
      </c>
      <c r="H3069" s="8" t="n">
        <v>2.2736</v>
      </c>
      <c r="I3069" s="8" t="n">
        <v>2.2736</v>
      </c>
      <c r="J3069" s="8" t="n"/>
      <c r="K3069" s="7" t="inlineStr">
        <is>
          <t>SEM COTAÇÃO</t>
        </is>
      </c>
      <c r="L3069" s="8" t="n"/>
      <c r="M3069" s="12" t="n"/>
      <c r="N3069" s="7" t="inlineStr"/>
      <c r="O3069" s="7" t="inlineStr"/>
    </row>
    <row r="3070">
      <c r="A3070" s="7" t="n">
        <v>631631</v>
      </c>
      <c r="B3070" s="10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1" t="n">
        <v>11</v>
      </c>
      <c r="G3070" s="11" t="n">
        <v>11</v>
      </c>
      <c r="H3070" s="8" t="n">
        <v>1.7793</v>
      </c>
      <c r="I3070" s="8" t="n">
        <v>1.7793</v>
      </c>
      <c r="J3070" s="8" t="n"/>
      <c r="K3070" s="7" t="inlineStr">
        <is>
          <t>SEM COTAÇÃO</t>
        </is>
      </c>
      <c r="L3070" s="8" t="n"/>
      <c r="M3070" s="12" t="n"/>
      <c r="N3070" s="7" t="inlineStr"/>
      <c r="O3070" s="7" t="inlineStr"/>
    </row>
    <row r="3071">
      <c r="A3071" s="7" t="n">
        <v>626541</v>
      </c>
      <c r="B3071" s="10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1" t="n">
        <v>1</v>
      </c>
      <c r="G3071" s="11" t="n">
        <v>7</v>
      </c>
      <c r="H3071" s="8" t="n">
        <v>3.9333</v>
      </c>
      <c r="I3071" s="8" t="n">
        <v>3.9333</v>
      </c>
      <c r="J3071" s="8" t="n"/>
      <c r="K3071" s="7" t="inlineStr">
        <is>
          <t>SEM COTAÇÃO</t>
        </is>
      </c>
      <c r="L3071" s="8" t="n"/>
      <c r="M3071" s="12" t="n"/>
      <c r="N3071" s="7" t="inlineStr"/>
      <c r="O3071" s="7" t="inlineStr"/>
    </row>
    <row r="3072">
      <c r="A3072" s="7" t="n">
        <v>35503</v>
      </c>
      <c r="B3072" s="10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1" t="n">
        <v>1</v>
      </c>
      <c r="G3072" s="11" t="n">
        <v>1</v>
      </c>
      <c r="H3072" s="8" t="n">
        <v>11.43</v>
      </c>
      <c r="I3072" s="8" t="n">
        <v>11.43</v>
      </c>
      <c r="J3072" s="8" t="n"/>
      <c r="K3072" s="7" t="inlineStr">
        <is>
          <t>SEM COTAÇÃO</t>
        </is>
      </c>
      <c r="L3072" s="8" t="n"/>
      <c r="M3072" s="12" t="n"/>
      <c r="N3072" s="7" t="inlineStr"/>
      <c r="O3072" s="7" t="inlineStr"/>
    </row>
    <row r="3073">
      <c r="A3073" s="7" t="n">
        <v>35403</v>
      </c>
      <c r="B3073" s="10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1" t="n">
        <v>1</v>
      </c>
      <c r="G3073" s="11" t="n">
        <v>1</v>
      </c>
      <c r="H3073" s="8" t="n">
        <v>11.05</v>
      </c>
      <c r="I3073" s="8" t="n">
        <v>11.05</v>
      </c>
      <c r="J3073" s="8" t="n"/>
      <c r="K3073" s="7" t="inlineStr">
        <is>
          <t>SEM COTAÇÃO</t>
        </is>
      </c>
      <c r="L3073" s="8" t="n"/>
      <c r="M3073" s="12" t="n"/>
      <c r="N3073" s="7" t="inlineStr"/>
      <c r="O3073" s="7" t="inlineStr"/>
    </row>
    <row r="3074">
      <c r="A3074" s="7" t="n">
        <v>451361</v>
      </c>
      <c r="B3074" s="10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1" t="n">
        <v>4</v>
      </c>
      <c r="G3074" s="11" t="n">
        <v>4</v>
      </c>
      <c r="H3074" s="8" t="n">
        <v>3.85</v>
      </c>
      <c r="I3074" s="8" t="n">
        <v>3.45</v>
      </c>
      <c r="J3074" s="8" t="n"/>
      <c r="K3074" s="7" t="inlineStr">
        <is>
          <t>SEM COTAÇÃO</t>
        </is>
      </c>
      <c r="L3074" s="8" t="n"/>
      <c r="M3074" s="12" t="n"/>
      <c r="N3074" s="7" t="inlineStr"/>
      <c r="O3074" s="7" t="inlineStr"/>
    </row>
    <row r="3075">
      <c r="A3075" s="7" t="n">
        <v>644711</v>
      </c>
      <c r="B3075" s="10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1" t="n">
        <v>1</v>
      </c>
      <c r="G3075" s="11" t="n">
        <v>1</v>
      </c>
      <c r="H3075" s="8" t="n">
        <v>82.5275</v>
      </c>
      <c r="I3075" s="8" t="n">
        <v>82.5275</v>
      </c>
      <c r="J3075" s="8" t="n"/>
      <c r="K3075" s="7" t="inlineStr">
        <is>
          <t>SEM COTAÇÃO</t>
        </is>
      </c>
      <c r="L3075" s="8" t="n"/>
      <c r="M3075" s="12" t="n"/>
      <c r="N3075" s="7" t="inlineStr"/>
      <c r="O3075" s="7" t="inlineStr"/>
    </row>
    <row r="3076">
      <c r="A3076" s="7" t="n">
        <v>644791</v>
      </c>
      <c r="B3076" s="10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1" t="n">
        <v>2</v>
      </c>
      <c r="G3076" s="11" t="n">
        <v>2</v>
      </c>
      <c r="H3076" s="8" t="n">
        <v>126.85</v>
      </c>
      <c r="I3076" s="8" t="n">
        <v>126.85</v>
      </c>
      <c r="J3076" s="8" t="n"/>
      <c r="K3076" s="7" t="inlineStr">
        <is>
          <t>SEM COTAÇÃO</t>
        </is>
      </c>
      <c r="L3076" s="8" t="n"/>
      <c r="M3076" s="12" t="n"/>
      <c r="N3076" s="7" t="inlineStr"/>
      <c r="O3076" s="7" t="inlineStr"/>
    </row>
    <row r="3077">
      <c r="A3077" s="7" t="n">
        <v>669601</v>
      </c>
      <c r="B3077" s="10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1" t="n">
        <v>1</v>
      </c>
      <c r="G3077" s="11" t="n">
        <v>1</v>
      </c>
      <c r="H3077" s="8" t="n">
        <v>81.84</v>
      </c>
      <c r="I3077" s="8" t="n">
        <v>81.84</v>
      </c>
      <c r="J3077" s="8" t="n"/>
      <c r="K3077" s="7" t="inlineStr">
        <is>
          <t>SEM COTAÇÃO</t>
        </is>
      </c>
      <c r="L3077" s="8" t="n"/>
      <c r="M3077" s="12" t="n"/>
      <c r="N3077" s="7" t="inlineStr"/>
      <c r="O3077" s="7" t="inlineStr"/>
    </row>
    <row r="3078">
      <c r="A3078" s="7" t="n">
        <v>556401</v>
      </c>
      <c r="B3078" s="10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1" t="n">
        <v>5</v>
      </c>
      <c r="G3078" s="11" t="n">
        <v>5</v>
      </c>
      <c r="H3078" s="8" t="n">
        <v>31.33</v>
      </c>
      <c r="I3078" s="8" t="n">
        <v>22.32</v>
      </c>
      <c r="J3078" s="13" t="n">
        <v>30.46</v>
      </c>
      <c r="K3078" s="7" t="inlineStr">
        <is>
          <t>DIMEC</t>
        </is>
      </c>
      <c r="L3078" s="8" t="n">
        <v>30.46</v>
      </c>
      <c r="M3078" s="12">
        <f>L3078/H3078-1</f>
        <v/>
      </c>
      <c r="N3078" s="15" t="inlineStr">
        <is>
          <t>OK (≤ últ. compra)</t>
        </is>
      </c>
      <c r="O3078" s="7" t="inlineStr"/>
    </row>
    <row r="3079">
      <c r="A3079" s="7" t="n">
        <v>653821</v>
      </c>
      <c r="B3079" s="10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1" t="n">
        <v>1</v>
      </c>
      <c r="G3079" s="11" t="n">
        <v>1</v>
      </c>
      <c r="H3079" s="8" t="n">
        <v>5.8217</v>
      </c>
      <c r="I3079" s="8" t="n">
        <v>5.8217</v>
      </c>
      <c r="J3079" s="8" t="n"/>
      <c r="K3079" s="7" t="inlineStr">
        <is>
          <t>SEM COTAÇÃO</t>
        </is>
      </c>
      <c r="L3079" s="8" t="n"/>
      <c r="M3079" s="12" t="n"/>
      <c r="N3079" s="7" t="inlineStr"/>
      <c r="O3079" s="7" t="inlineStr"/>
    </row>
    <row r="3080">
      <c r="A3080" s="7" t="n">
        <v>653841</v>
      </c>
      <c r="B3080" s="10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1" t="n">
        <v>1</v>
      </c>
      <c r="G3080" s="11" t="n">
        <v>3</v>
      </c>
      <c r="H3080" s="8" t="n">
        <v>5.6858</v>
      </c>
      <c r="I3080" s="8" t="n">
        <v>5.6858</v>
      </c>
      <c r="J3080" s="8" t="n"/>
      <c r="K3080" s="7" t="inlineStr">
        <is>
          <t>SEM COTAÇÃO</t>
        </is>
      </c>
      <c r="L3080" s="8" t="n"/>
      <c r="M3080" s="12" t="n"/>
      <c r="N3080" s="7" t="inlineStr"/>
      <c r="O3080" s="7" t="inlineStr"/>
    </row>
    <row r="3081">
      <c r="A3081" s="7" t="n">
        <v>705601</v>
      </c>
      <c r="B3081" s="10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1" t="n">
        <v>4</v>
      </c>
      <c r="G3081" s="11" t="n">
        <v>4</v>
      </c>
      <c r="H3081" s="8" t="n">
        <v>8.0442</v>
      </c>
      <c r="I3081" s="8" t="n">
        <v>8.0442</v>
      </c>
      <c r="J3081" s="8" t="n"/>
      <c r="K3081" s="7" t="inlineStr">
        <is>
          <t>SEM COTAÇÃO</t>
        </is>
      </c>
      <c r="L3081" s="8" t="n"/>
      <c r="M3081" s="12" t="n"/>
      <c r="N3081" s="7" t="inlineStr"/>
      <c r="O3081" s="7" t="inlineStr"/>
    </row>
    <row r="3082">
      <c r="A3082" s="7" t="n">
        <v>595131</v>
      </c>
      <c r="B3082" s="10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1" t="n">
        <v>8</v>
      </c>
      <c r="G3082" s="11" t="n">
        <v>8</v>
      </c>
      <c r="H3082" s="8" t="n">
        <v>2.4633</v>
      </c>
      <c r="I3082" s="8" t="n">
        <v>2.4159</v>
      </c>
      <c r="J3082" s="8" t="n"/>
      <c r="K3082" s="7" t="inlineStr">
        <is>
          <t>SEM COTAÇÃO</t>
        </is>
      </c>
      <c r="L3082" s="8" t="n"/>
      <c r="M3082" s="12" t="n"/>
      <c r="N3082" s="7" t="inlineStr"/>
      <c r="O3082" s="7" t="inlineStr"/>
    </row>
    <row r="3083">
      <c r="A3083" s="7" t="n">
        <v>595071</v>
      </c>
      <c r="B3083" s="10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1" t="n">
        <v>14</v>
      </c>
      <c r="G3083" s="11" t="n">
        <v>14</v>
      </c>
      <c r="H3083" s="8" t="n">
        <v>7.8908</v>
      </c>
      <c r="I3083" s="8" t="n">
        <v>7.8908</v>
      </c>
      <c r="J3083" s="8" t="n"/>
      <c r="K3083" s="7" t="inlineStr">
        <is>
          <t>SEM COTAÇÃO</t>
        </is>
      </c>
      <c r="L3083" s="8" t="n"/>
      <c r="M3083" s="12" t="n"/>
      <c r="N3083" s="7" t="inlineStr"/>
      <c r="O3083" s="7" t="inlineStr"/>
    </row>
    <row r="3084">
      <c r="A3084" s="7" t="n">
        <v>592101</v>
      </c>
      <c r="B3084" s="10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1" t="n">
        <v>6</v>
      </c>
      <c r="G3084" s="11" t="n">
        <v>6</v>
      </c>
      <c r="H3084" s="8" t="n">
        <v>5.6858</v>
      </c>
      <c r="I3084" s="8" t="n">
        <v>5.24</v>
      </c>
      <c r="J3084" s="8" t="n"/>
      <c r="K3084" s="7" t="inlineStr">
        <is>
          <t>SEM COTAÇÃO</t>
        </is>
      </c>
      <c r="L3084" s="8" t="n"/>
      <c r="M3084" s="12" t="n"/>
      <c r="N3084" s="7" t="inlineStr"/>
      <c r="O3084" s="7" t="inlineStr"/>
    </row>
    <row r="3085">
      <c r="A3085" s="7" t="n">
        <v>611141</v>
      </c>
      <c r="B3085" s="10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1" t="n">
        <v>1</v>
      </c>
      <c r="G3085" s="11" t="n">
        <v>1</v>
      </c>
      <c r="H3085" s="8" t="n">
        <v>6.8442</v>
      </c>
      <c r="I3085" s="8" t="n">
        <v>6.8442</v>
      </c>
      <c r="J3085" s="8" t="n"/>
      <c r="K3085" s="7" t="inlineStr">
        <is>
          <t>SEM COTAÇÃO</t>
        </is>
      </c>
      <c r="L3085" s="8" t="n"/>
      <c r="M3085" s="12" t="n"/>
      <c r="N3085" s="7" t="inlineStr"/>
      <c r="O3085" s="7" t="inlineStr"/>
    </row>
    <row r="3086">
      <c r="A3086" s="7" t="n">
        <v>623371</v>
      </c>
      <c r="B3086" s="10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1" t="n">
        <v>1</v>
      </c>
      <c r="G3086" s="11" t="n">
        <v>1</v>
      </c>
      <c r="H3086" s="8" t="n">
        <v>2.7117</v>
      </c>
      <c r="I3086" s="8" t="n">
        <v>2.7117</v>
      </c>
      <c r="J3086" s="8" t="n"/>
      <c r="K3086" s="7" t="inlineStr">
        <is>
          <t>SEM COTAÇÃO</t>
        </is>
      </c>
      <c r="L3086" s="8" t="n"/>
      <c r="M3086" s="12" t="n"/>
      <c r="N3086" s="7" t="inlineStr"/>
      <c r="O3086" s="7" t="inlineStr"/>
    </row>
    <row r="3087">
      <c r="A3087" s="7" t="n">
        <v>705701</v>
      </c>
      <c r="B3087" s="10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1" t="n">
        <v>8</v>
      </c>
      <c r="G3087" s="11" t="n">
        <v>8</v>
      </c>
      <c r="H3087" s="8" t="n">
        <v>6.6733</v>
      </c>
      <c r="I3087" s="8" t="n">
        <v>6.6733</v>
      </c>
      <c r="J3087" s="8" t="n"/>
      <c r="K3087" s="7" t="inlineStr">
        <is>
          <t>SEM COTAÇÃO</t>
        </is>
      </c>
      <c r="L3087" s="8" t="n"/>
      <c r="M3087" s="12" t="n"/>
      <c r="N3087" s="7" t="inlineStr"/>
      <c r="O3087" s="7" t="inlineStr"/>
    </row>
    <row r="3088">
      <c r="A3088" s="7" t="n">
        <v>623361</v>
      </c>
      <c r="B3088" s="10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1" t="n">
        <v>2</v>
      </c>
      <c r="G3088" s="11" t="n">
        <v>2</v>
      </c>
      <c r="H3088" s="8" t="n">
        <v>3.1567</v>
      </c>
      <c r="I3088" s="8" t="n">
        <v>3.1567</v>
      </c>
      <c r="J3088" s="8" t="n"/>
      <c r="K3088" s="7" t="inlineStr">
        <is>
          <t>SEM COTAÇÃO</t>
        </is>
      </c>
      <c r="L3088" s="8" t="n"/>
      <c r="M3088" s="12" t="n"/>
      <c r="N3088" s="7" t="inlineStr"/>
      <c r="O3088" s="7" t="inlineStr"/>
    </row>
    <row r="3089">
      <c r="A3089" s="7" t="n">
        <v>629571</v>
      </c>
      <c r="B3089" s="10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1" t="n">
        <v>2</v>
      </c>
      <c r="G3089" s="11" t="n">
        <v>2</v>
      </c>
      <c r="H3089" s="8" t="n">
        <v>2.7117</v>
      </c>
      <c r="I3089" s="8" t="n">
        <v>2.7117</v>
      </c>
      <c r="J3089" s="8" t="n"/>
      <c r="K3089" s="7" t="inlineStr">
        <is>
          <t>SEM COTAÇÃO</t>
        </is>
      </c>
      <c r="L3089" s="8" t="n"/>
      <c r="M3089" s="12" t="n"/>
      <c r="N3089" s="7" t="inlineStr"/>
      <c r="O3089" s="7" t="inlineStr"/>
    </row>
    <row r="3090">
      <c r="A3090" s="7" t="n">
        <v>655661</v>
      </c>
      <c r="B3090" s="10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1" t="n">
        <v>1</v>
      </c>
      <c r="G3090" s="11" t="n">
        <v>1</v>
      </c>
      <c r="H3090" s="8" t="n">
        <v>3.2183</v>
      </c>
      <c r="I3090" s="8" t="n">
        <v>3.1525</v>
      </c>
      <c r="J3090" s="8" t="n"/>
      <c r="K3090" s="7" t="inlineStr">
        <is>
          <t>SEM COTAÇÃO</t>
        </is>
      </c>
      <c r="L3090" s="8" t="n"/>
      <c r="M3090" s="12" t="n"/>
      <c r="N3090" s="7" t="inlineStr"/>
      <c r="O3090" s="7" t="inlineStr"/>
    </row>
    <row r="3091">
      <c r="A3091" s="7" t="n">
        <v>592131</v>
      </c>
      <c r="B3091" s="10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1" t="n">
        <v>5</v>
      </c>
      <c r="G3091" s="11" t="n">
        <v>5</v>
      </c>
      <c r="H3091" s="8" t="n">
        <v>2.515</v>
      </c>
      <c r="I3091" s="8" t="n">
        <v>2.463</v>
      </c>
      <c r="J3091" s="8" t="n"/>
      <c r="K3091" s="7" t="inlineStr">
        <is>
          <t>SEM COTAÇÃO</t>
        </is>
      </c>
      <c r="L3091" s="8" t="n"/>
      <c r="M3091" s="12" t="n"/>
      <c r="N3091" s="7" t="inlineStr"/>
      <c r="O3091" s="7" t="inlineStr"/>
    </row>
    <row r="3092">
      <c r="A3092" s="7" t="n">
        <v>705801</v>
      </c>
      <c r="B3092" s="10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1" t="n">
        <v>1</v>
      </c>
      <c r="G3092" s="11" t="n">
        <v>5</v>
      </c>
      <c r="H3092" s="8" t="n">
        <v>2.0075</v>
      </c>
      <c r="I3092" s="8" t="n">
        <v>2.0075</v>
      </c>
      <c r="J3092" s="8" t="n"/>
      <c r="K3092" s="7" t="inlineStr">
        <is>
          <t>SEM COTAÇÃO</t>
        </is>
      </c>
      <c r="L3092" s="8" t="n"/>
      <c r="M3092" s="12" t="n"/>
      <c r="N3092" s="7" t="inlineStr"/>
      <c r="O3092" s="7" t="inlineStr"/>
    </row>
    <row r="3093">
      <c r="A3093" s="7" t="n">
        <v>669201</v>
      </c>
      <c r="B3093" s="10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1" t="n">
        <v>2</v>
      </c>
      <c r="G3093" s="11" t="n">
        <v>2</v>
      </c>
      <c r="H3093" s="8" t="n">
        <v>6.0795</v>
      </c>
      <c r="I3093" s="8" t="n">
        <v>6.0795</v>
      </c>
      <c r="J3093" s="8" t="n"/>
      <c r="K3093" s="7" t="inlineStr">
        <is>
          <t>SEM COTAÇÃO</t>
        </is>
      </c>
      <c r="L3093" s="8" t="n"/>
      <c r="M3093" s="12" t="n"/>
      <c r="N3093" s="7" t="inlineStr"/>
      <c r="O3093" s="7" t="inlineStr"/>
    </row>
    <row r="3094">
      <c r="A3094" s="7" t="n">
        <v>609961</v>
      </c>
      <c r="B3094" s="10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1" t="n">
        <v>2</v>
      </c>
      <c r="G3094" s="11" t="n">
        <v>20</v>
      </c>
      <c r="H3094" s="8" t="n">
        <v>7.1533</v>
      </c>
      <c r="I3094" s="8" t="n">
        <v>7.1533</v>
      </c>
      <c r="J3094" s="8" t="n"/>
      <c r="K3094" s="7" t="inlineStr">
        <is>
          <t>SEM COTAÇÃO</t>
        </is>
      </c>
      <c r="L3094" s="8" t="n"/>
      <c r="M3094" s="12" t="n"/>
      <c r="N3094" s="7" t="inlineStr"/>
      <c r="O3094" s="7" t="inlineStr"/>
    </row>
    <row r="3095">
      <c r="A3095" s="7" t="n">
        <v>587441</v>
      </c>
      <c r="B3095" s="10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1" t="n">
        <v>2</v>
      </c>
      <c r="G3095" s="11" t="n">
        <v>24</v>
      </c>
      <c r="H3095" s="8" t="n">
        <v>7.0694</v>
      </c>
      <c r="I3095" s="8" t="n">
        <v>7.0694</v>
      </c>
      <c r="J3095" s="8" t="n"/>
      <c r="K3095" s="7" t="inlineStr">
        <is>
          <t>SEM COTAÇÃO</t>
        </is>
      </c>
      <c r="L3095" s="8" t="n"/>
      <c r="M3095" s="12" t="n"/>
      <c r="N3095" s="7" t="inlineStr"/>
      <c r="O3095" s="7" t="inlineStr"/>
    </row>
    <row r="3096">
      <c r="A3096" s="7" t="n">
        <v>666211</v>
      </c>
      <c r="B3096" s="10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1" t="n">
        <v>1</v>
      </c>
      <c r="G3096" s="11" t="n">
        <v>12</v>
      </c>
      <c r="H3096" s="8" t="n">
        <v>11.7782</v>
      </c>
      <c r="I3096" s="8" t="n">
        <v>11.6605</v>
      </c>
      <c r="J3096" s="8" t="n"/>
      <c r="K3096" s="7" t="inlineStr">
        <is>
          <t>SEM COTAÇÃO</t>
        </is>
      </c>
      <c r="L3096" s="8" t="n"/>
      <c r="M3096" s="12" t="n"/>
      <c r="N3096" s="7" t="inlineStr"/>
      <c r="O3096" s="7" t="inlineStr"/>
    </row>
    <row r="3097">
      <c r="A3097" s="7" t="n">
        <v>595111</v>
      </c>
      <c r="B3097" s="10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1" t="n">
        <v>1</v>
      </c>
      <c r="G3097" s="11" t="n">
        <v>9</v>
      </c>
      <c r="H3097" s="8" t="n">
        <v>11.7782</v>
      </c>
      <c r="I3097" s="8" t="n">
        <v>11.6605</v>
      </c>
      <c r="J3097" s="8" t="n"/>
      <c r="K3097" s="7" t="inlineStr">
        <is>
          <t>SEM COTAÇÃO</t>
        </is>
      </c>
      <c r="L3097" s="8" t="n"/>
      <c r="M3097" s="12" t="n"/>
      <c r="N3097" s="7" t="inlineStr"/>
      <c r="O3097" s="7" t="inlineStr"/>
    </row>
    <row r="3098">
      <c r="A3098" s="7" t="n">
        <v>595121</v>
      </c>
      <c r="B3098" s="10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1" t="n">
        <v>2</v>
      </c>
      <c r="G3098" s="11" t="n">
        <v>2</v>
      </c>
      <c r="H3098" s="8" t="n">
        <v>11.4844</v>
      </c>
      <c r="I3098" s="8" t="n">
        <v>11.4844</v>
      </c>
      <c r="J3098" s="8" t="n"/>
      <c r="K3098" s="7" t="inlineStr">
        <is>
          <t>SEM COTAÇÃO</t>
        </is>
      </c>
      <c r="L3098" s="8" t="n"/>
      <c r="M3098" s="12" t="n"/>
      <c r="N3098" s="7" t="inlineStr"/>
      <c r="O3098" s="7" t="inlineStr"/>
    </row>
    <row r="3099">
      <c r="A3099" s="7" t="n">
        <v>588721</v>
      </c>
      <c r="B3099" s="10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1" t="n">
        <v>5</v>
      </c>
      <c r="G3099" s="11" t="n">
        <v>5</v>
      </c>
      <c r="H3099" s="8" t="n">
        <v>58.1583</v>
      </c>
      <c r="I3099" s="8" t="n">
        <v>50.575</v>
      </c>
      <c r="J3099" s="8" t="n"/>
      <c r="K3099" s="7" t="inlineStr">
        <is>
          <t>SEM COTAÇÃO</t>
        </is>
      </c>
      <c r="L3099" s="8" t="n"/>
      <c r="M3099" s="12" t="n"/>
      <c r="N3099" s="7" t="inlineStr"/>
      <c r="O3099" s="7" t="inlineStr"/>
    </row>
    <row r="3100">
      <c r="A3100" s="7" t="n">
        <v>567381</v>
      </c>
      <c r="B3100" s="10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1" t="n">
        <v>2</v>
      </c>
      <c r="G3100" s="11" t="n">
        <v>13</v>
      </c>
      <c r="H3100" s="8" t="n">
        <v>34.68</v>
      </c>
      <c r="I3100" s="8" t="n">
        <v>28.8158</v>
      </c>
      <c r="J3100" s="8" t="n"/>
      <c r="K3100" s="7" t="inlineStr">
        <is>
          <t>SEM COTAÇÃO</t>
        </is>
      </c>
      <c r="L3100" s="8" t="n"/>
      <c r="M3100" s="12" t="n"/>
      <c r="N3100" s="7" t="inlineStr"/>
      <c r="O3100" s="7" t="inlineStr"/>
    </row>
    <row r="3101">
      <c r="A3101" s="7" t="n">
        <v>592121</v>
      </c>
      <c r="B3101" s="10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1" t="n">
        <v>1</v>
      </c>
      <c r="G3101" s="11" t="n">
        <v>5</v>
      </c>
      <c r="H3101" s="8" t="n">
        <v>56.435</v>
      </c>
      <c r="I3101" s="8" t="n">
        <v>49.5933</v>
      </c>
      <c r="J3101" s="8" t="n"/>
      <c r="K3101" s="7" t="inlineStr">
        <is>
          <t>SEM COTAÇÃO</t>
        </is>
      </c>
      <c r="L3101" s="8" t="n"/>
      <c r="M3101" s="12" t="n"/>
      <c r="N3101" s="7" t="inlineStr"/>
      <c r="O3101" s="7" t="inlineStr"/>
    </row>
    <row r="3102">
      <c r="A3102" s="7" t="n">
        <v>567401</v>
      </c>
      <c r="B3102" s="10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1" t="n">
        <v>5</v>
      </c>
      <c r="G3102" s="11" t="n">
        <v>5</v>
      </c>
      <c r="H3102" s="8" t="n">
        <v>34.67</v>
      </c>
      <c r="I3102" s="8" t="n">
        <v>28.66</v>
      </c>
      <c r="J3102" s="8" t="n"/>
      <c r="K3102" s="7" t="inlineStr">
        <is>
          <t>SEM COTAÇÃO</t>
        </is>
      </c>
      <c r="L3102" s="8" t="n"/>
      <c r="M3102" s="12" t="n"/>
      <c r="N3102" s="7" t="inlineStr"/>
      <c r="O3102" s="7" t="inlineStr"/>
    </row>
    <row r="3103">
      <c r="A3103" s="7" t="n">
        <v>592061</v>
      </c>
      <c r="B3103" s="10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1" t="n">
        <v>3</v>
      </c>
      <c r="G3103" s="11" t="n">
        <v>3</v>
      </c>
      <c r="H3103" s="8" t="n">
        <v>5.5167</v>
      </c>
      <c r="I3103" s="8" t="n">
        <v>5.4117</v>
      </c>
      <c r="J3103" s="8" t="n"/>
      <c r="K3103" s="7" t="inlineStr">
        <is>
          <t>SEM COTAÇÃO</t>
        </is>
      </c>
      <c r="L3103" s="8" t="n"/>
      <c r="M3103" s="12" t="n"/>
      <c r="N3103" s="7" t="inlineStr"/>
      <c r="O3103" s="7" t="inlineStr"/>
    </row>
    <row r="3104">
      <c r="A3104" s="7" t="n">
        <v>540201</v>
      </c>
      <c r="B3104" s="10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1" t="n">
        <v>1</v>
      </c>
      <c r="G3104" s="11" t="n">
        <v>2</v>
      </c>
      <c r="H3104" s="8" t="n">
        <v>5.4675</v>
      </c>
      <c r="I3104" s="8" t="n">
        <v>5.4675</v>
      </c>
      <c r="J3104" s="8" t="n"/>
      <c r="K3104" s="7" t="inlineStr">
        <is>
          <t>SEM COTAÇÃO</t>
        </is>
      </c>
      <c r="L3104" s="8" t="n"/>
      <c r="M3104" s="12" t="n"/>
      <c r="N3104" s="7" t="inlineStr"/>
      <c r="O3104" s="7" t="inlineStr"/>
    </row>
    <row r="3105">
      <c r="A3105" s="7" t="n">
        <v>613781</v>
      </c>
      <c r="B3105" s="10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1" t="n">
        <v>1</v>
      </c>
      <c r="G3105" s="11" t="n">
        <v>1</v>
      </c>
      <c r="H3105" s="8" t="n">
        <v>76.9183</v>
      </c>
      <c r="I3105" s="8" t="n">
        <v>76.9183</v>
      </c>
      <c r="J3105" s="8" t="n"/>
      <c r="K3105" s="7" t="inlineStr">
        <is>
          <t>SEM COTAÇÃO</t>
        </is>
      </c>
      <c r="L3105" s="8" t="n"/>
      <c r="M3105" s="12" t="n"/>
      <c r="N3105" s="7" t="inlineStr"/>
      <c r="O3105" s="7" t="inlineStr"/>
    </row>
    <row r="3106">
      <c r="A3106" s="7" t="n">
        <v>358281</v>
      </c>
      <c r="B3106" s="10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1" t="n">
        <v>3</v>
      </c>
      <c r="G3106" s="11" t="n">
        <v>3</v>
      </c>
      <c r="H3106" s="8" t="n">
        <v>26.435</v>
      </c>
      <c r="I3106" s="8" t="n">
        <v>24.29</v>
      </c>
      <c r="J3106" s="8" t="n"/>
      <c r="K3106" s="7" t="inlineStr">
        <is>
          <t>SEM COTAÇÃO</t>
        </is>
      </c>
      <c r="L3106" s="8" t="n"/>
      <c r="M3106" s="12" t="n"/>
      <c r="N3106" s="7" t="inlineStr"/>
      <c r="O3106" s="7" t="inlineStr"/>
    </row>
    <row r="3107">
      <c r="A3107" s="7" t="n">
        <v>358341</v>
      </c>
      <c r="B3107" s="10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1" t="n">
        <v>2</v>
      </c>
      <c r="G3107" s="11" t="n">
        <v>2</v>
      </c>
      <c r="H3107" s="8" t="n">
        <v>46.96</v>
      </c>
      <c r="I3107" s="8" t="n">
        <v>44.3433</v>
      </c>
      <c r="J3107" s="8" t="n"/>
      <c r="K3107" s="7" t="inlineStr">
        <is>
          <t>SEM COTAÇÃO</t>
        </is>
      </c>
      <c r="L3107" s="8" t="n"/>
      <c r="M3107" s="12" t="n"/>
      <c r="N3107" s="7" t="inlineStr"/>
      <c r="O3107" s="7" t="inlineStr"/>
    </row>
    <row r="3108">
      <c r="A3108" s="7" t="n">
        <v>358321</v>
      </c>
      <c r="B3108" s="10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1" t="n">
        <v>3</v>
      </c>
      <c r="G3108" s="11" t="n">
        <v>3</v>
      </c>
      <c r="H3108" s="8" t="n">
        <v>45.04</v>
      </c>
      <c r="I3108" s="8" t="n">
        <v>44.905</v>
      </c>
      <c r="J3108" s="8" t="n"/>
      <c r="K3108" s="7" t="inlineStr">
        <is>
          <t>SEM COTAÇÃO</t>
        </is>
      </c>
      <c r="L3108" s="8" t="n"/>
      <c r="M3108" s="12" t="n"/>
      <c r="N3108" s="7" t="inlineStr"/>
      <c r="O3108" s="7" t="inlineStr"/>
    </row>
    <row r="3109">
      <c r="A3109" s="7" t="n">
        <v>358301</v>
      </c>
      <c r="B3109" s="10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1" t="n">
        <v>4</v>
      </c>
      <c r="G3109" s="11" t="n">
        <v>4</v>
      </c>
      <c r="H3109" s="8" t="n">
        <v>67.05</v>
      </c>
      <c r="I3109" s="8" t="n">
        <v>66.84999999999999</v>
      </c>
      <c r="J3109" s="8" t="n"/>
      <c r="K3109" s="7" t="inlineStr">
        <is>
          <t>SEM COTAÇÃO</t>
        </is>
      </c>
      <c r="L3109" s="8" t="n"/>
      <c r="M3109" s="12" t="n"/>
      <c r="N3109" s="7" t="inlineStr"/>
      <c r="O3109" s="7" t="inlineStr"/>
    </row>
    <row r="3110">
      <c r="A3110" s="7" t="n">
        <v>606961</v>
      </c>
      <c r="B3110" s="10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1" t="n">
        <v>1</v>
      </c>
      <c r="G3110" s="11" t="n">
        <v>1</v>
      </c>
      <c r="H3110" s="8" t="n">
        <v>87.68000000000001</v>
      </c>
      <c r="I3110" s="8" t="n">
        <v>71.28</v>
      </c>
      <c r="J3110" s="8" t="n"/>
      <c r="K3110" s="7" t="inlineStr">
        <is>
          <t>SEM COTAÇÃO</t>
        </is>
      </c>
      <c r="L3110" s="8" t="n"/>
      <c r="M3110" s="12" t="n"/>
      <c r="N3110" s="7" t="inlineStr"/>
      <c r="O3110" s="7" t="inlineStr"/>
    </row>
    <row r="3111">
      <c r="A3111" s="7" t="n">
        <v>16441</v>
      </c>
      <c r="B3111" s="10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1" t="n">
        <v>1</v>
      </c>
      <c r="G3111" s="11" t="n">
        <v>1</v>
      </c>
      <c r="H3111" s="8" t="n">
        <v>34.74</v>
      </c>
      <c r="I3111" s="8" t="n">
        <v>34.355</v>
      </c>
      <c r="J3111" s="8" t="n"/>
      <c r="K3111" s="7" t="inlineStr">
        <is>
          <t>SEM COTAÇÃO</t>
        </is>
      </c>
      <c r="L3111" s="8" t="n"/>
      <c r="M3111" s="12" t="n"/>
      <c r="N3111" s="7" t="inlineStr"/>
      <c r="O3111" s="7" t="inlineStr"/>
    </row>
    <row r="3112">
      <c r="A3112" s="7" t="n">
        <v>443</v>
      </c>
      <c r="B3112" s="10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1" t="n">
        <v>1</v>
      </c>
      <c r="G3112" s="11" t="n">
        <v>1</v>
      </c>
      <c r="H3112" s="8" t="n">
        <v>33.105</v>
      </c>
      <c r="I3112" s="8" t="n">
        <v>33.105</v>
      </c>
      <c r="J3112" s="8" t="n"/>
      <c r="K3112" s="7" t="inlineStr">
        <is>
          <t>SEM COTAÇÃO</t>
        </is>
      </c>
      <c r="L3112" s="8" t="n"/>
      <c r="M3112" s="12" t="n"/>
      <c r="N3112" s="7" t="inlineStr"/>
      <c r="O3112" s="7" t="inlineStr"/>
    </row>
    <row r="3113">
      <c r="A3113" s="7" t="n">
        <v>473</v>
      </c>
      <c r="B3113" s="10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1" t="n">
        <v>1</v>
      </c>
      <c r="G3113" s="11" t="n">
        <v>1</v>
      </c>
      <c r="H3113" s="8" t="n">
        <v>17.1617</v>
      </c>
      <c r="I3113" s="8" t="n">
        <v>17.1617</v>
      </c>
      <c r="J3113" s="8" t="n"/>
      <c r="K3113" s="7" t="inlineStr">
        <is>
          <t>SEM COTAÇÃO</t>
        </is>
      </c>
      <c r="L3113" s="8" t="n"/>
      <c r="M3113" s="12" t="n"/>
      <c r="N3113" s="7" t="inlineStr"/>
      <c r="O3113" s="7" t="inlineStr"/>
    </row>
    <row r="3114">
      <c r="A3114" s="7" t="n">
        <v>648801</v>
      </c>
      <c r="B3114" s="10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1" t="n">
        <v>1</v>
      </c>
      <c r="G3114" s="11" t="n">
        <v>1</v>
      </c>
      <c r="H3114" s="8" t="n">
        <v>10.72</v>
      </c>
      <c r="I3114" s="8" t="n">
        <v>10.72</v>
      </c>
      <c r="J3114" s="8" t="n"/>
      <c r="K3114" s="7" t="inlineStr">
        <is>
          <t>SEM COTAÇÃO</t>
        </is>
      </c>
      <c r="L3114" s="8" t="n"/>
      <c r="M3114" s="12" t="n"/>
      <c r="N3114" s="7" t="inlineStr"/>
      <c r="O3114" s="7" t="inlineStr"/>
    </row>
    <row r="3115">
      <c r="A3115" s="7" t="n">
        <v>649641</v>
      </c>
      <c r="B3115" s="10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1" t="n">
        <v>2</v>
      </c>
      <c r="G3115" s="11" t="n">
        <v>2</v>
      </c>
      <c r="H3115" s="8" t="n">
        <v>15.67</v>
      </c>
      <c r="I3115" s="8" t="n">
        <v>15.67</v>
      </c>
      <c r="J3115" s="8" t="n"/>
      <c r="K3115" s="7" t="inlineStr">
        <is>
          <t>SEM COTAÇÃO</t>
        </is>
      </c>
      <c r="L3115" s="8" t="n"/>
      <c r="M3115" s="12" t="n"/>
      <c r="N3115" s="7" t="inlineStr"/>
      <c r="O3115" s="7" t="inlineStr"/>
    </row>
    <row r="3116">
      <c r="A3116" s="7" t="n">
        <v>666971</v>
      </c>
      <c r="B3116" s="10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1" t="n">
        <v>1</v>
      </c>
      <c r="G3116" s="11" t="n">
        <v>1</v>
      </c>
      <c r="H3116" s="8" t="n">
        <v>14.5</v>
      </c>
      <c r="I3116" s="8" t="n">
        <v>14.5</v>
      </c>
      <c r="J3116" s="8" t="n"/>
      <c r="K3116" s="7" t="inlineStr">
        <is>
          <t>SEM COTAÇÃO</t>
        </is>
      </c>
      <c r="L3116" s="8" t="n"/>
      <c r="M3116" s="12" t="n"/>
      <c r="N3116" s="7" t="inlineStr"/>
      <c r="O3116" s="7" t="inlineStr"/>
    </row>
    <row r="3117">
      <c r="A3117" s="7" t="n">
        <v>360361</v>
      </c>
      <c r="B3117" s="10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1" t="n">
        <v>9</v>
      </c>
      <c r="G3117" s="11" t="n">
        <v>9</v>
      </c>
      <c r="H3117" s="8" t="n">
        <v>6.22</v>
      </c>
      <c r="I3117" s="8" t="n">
        <v>6.22</v>
      </c>
      <c r="J3117" s="8" t="n"/>
      <c r="K3117" s="7" t="inlineStr">
        <is>
          <t>SEM COTAÇÃO</t>
        </is>
      </c>
      <c r="L3117" s="8" t="n"/>
      <c r="M3117" s="12" t="n"/>
      <c r="N3117" s="7" t="inlineStr"/>
      <c r="O3117" s="7" t="inlineStr"/>
    </row>
    <row r="3118">
      <c r="A3118" s="7" t="n">
        <v>485261</v>
      </c>
      <c r="B3118" s="10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1" t="n">
        <v>11</v>
      </c>
      <c r="G3118" s="11" t="n">
        <v>11</v>
      </c>
      <c r="H3118" s="8" t="n">
        <v>1.1</v>
      </c>
      <c r="I3118" s="8" t="n">
        <v>1.1</v>
      </c>
      <c r="J3118" s="13" t="n">
        <v>1.37</v>
      </c>
      <c r="K3118" s="7" t="inlineStr">
        <is>
          <t>DIMEC</t>
        </is>
      </c>
      <c r="L3118" s="8" t="n">
        <v>1.37</v>
      </c>
      <c r="M3118" s="12">
        <f>L3118/H3118-1</f>
        <v/>
      </c>
      <c r="N3118" s="14" t="inlineStr">
        <is>
          <t>ACIMA +24.5%</t>
        </is>
      </c>
      <c r="O3118" s="7" t="inlineStr"/>
    </row>
    <row r="3119">
      <c r="A3119" s="7" t="n">
        <v>361801</v>
      </c>
      <c r="B3119" s="10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1" t="n">
        <v>1</v>
      </c>
      <c r="G3119" s="11" t="n">
        <v>1</v>
      </c>
      <c r="H3119" s="8" t="n">
        <v>1.29</v>
      </c>
      <c r="I3119" s="8" t="n">
        <v>1.29</v>
      </c>
      <c r="J3119" s="8" t="n"/>
      <c r="K3119" s="7" t="inlineStr">
        <is>
          <t>SEM COTAÇÃO</t>
        </is>
      </c>
      <c r="L3119" s="8" t="n"/>
      <c r="M3119" s="12" t="n"/>
      <c r="N3119" s="7" t="inlineStr"/>
      <c r="O3119" s="7" t="inlineStr"/>
    </row>
    <row r="3120">
      <c r="A3120" s="7" t="n">
        <v>361981</v>
      </c>
      <c r="B3120" s="10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1" t="n">
        <v>7</v>
      </c>
      <c r="G3120" s="11" t="n">
        <v>7</v>
      </c>
      <c r="H3120" s="8" t="n">
        <v>2.19</v>
      </c>
      <c r="I3120" s="8" t="n">
        <v>2.09</v>
      </c>
      <c r="J3120" s="8" t="n"/>
      <c r="K3120" s="7" t="inlineStr">
        <is>
          <t>SEM COTAÇÃO</t>
        </is>
      </c>
      <c r="L3120" s="8" t="n"/>
      <c r="M3120" s="12" t="n"/>
      <c r="N3120" s="7" t="inlineStr"/>
      <c r="O3120" s="7" t="inlineStr"/>
    </row>
    <row r="3121">
      <c r="A3121" s="7" t="n">
        <v>577281</v>
      </c>
      <c r="B3121" s="10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1" t="n">
        <v>1</v>
      </c>
      <c r="G3121" s="11" t="n">
        <v>4</v>
      </c>
      <c r="H3121" s="8" t="n">
        <v>45.0808</v>
      </c>
      <c r="I3121" s="8" t="n">
        <v>40.55</v>
      </c>
      <c r="J3121" s="8" t="n"/>
      <c r="K3121" s="7" t="inlineStr">
        <is>
          <t>SEM COTAÇÃO</t>
        </is>
      </c>
      <c r="L3121" s="8" t="n"/>
      <c r="M3121" s="12" t="n"/>
      <c r="N3121" s="7" t="inlineStr"/>
      <c r="O3121" s="7" t="inlineStr"/>
    </row>
    <row r="3122">
      <c r="A3122" s="7" t="n">
        <v>637571</v>
      </c>
      <c r="B3122" s="10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1" t="n">
        <v>114</v>
      </c>
      <c r="G3122" s="11" t="n">
        <v>114</v>
      </c>
      <c r="H3122" s="8" t="n">
        <v>16.99</v>
      </c>
      <c r="I3122" s="8" t="n">
        <v>16.99</v>
      </c>
      <c r="J3122" s="8" t="n"/>
      <c r="K3122" s="7" t="inlineStr">
        <is>
          <t>SEM COTAÇÃO</t>
        </is>
      </c>
      <c r="L3122" s="8" t="n"/>
      <c r="M3122" s="12" t="n"/>
      <c r="N3122" s="7" t="inlineStr"/>
      <c r="O3122" s="7" t="inlineStr"/>
    </row>
    <row r="3123">
      <c r="A3123" s="7" t="n">
        <v>580781</v>
      </c>
      <c r="B3123" s="10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1" t="n">
        <v>58</v>
      </c>
      <c r="G3123" s="11" t="n">
        <v>58</v>
      </c>
      <c r="H3123" s="8" t="n">
        <v>16.79</v>
      </c>
      <c r="I3123" s="8" t="n">
        <v>16.79</v>
      </c>
      <c r="J3123" s="8" t="n"/>
      <c r="K3123" s="7" t="inlineStr">
        <is>
          <t>SEM COTAÇÃO</t>
        </is>
      </c>
      <c r="L3123" s="8" t="n"/>
      <c r="M3123" s="12" t="n"/>
      <c r="N3123" s="7" t="inlineStr"/>
      <c r="O3123" s="7" t="inlineStr"/>
    </row>
    <row r="3124">
      <c r="A3124" s="7" t="n">
        <v>642291</v>
      </c>
      <c r="B3124" s="10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1" t="n">
        <v>23</v>
      </c>
      <c r="G3124" s="11" t="n">
        <v>23</v>
      </c>
      <c r="H3124" s="8" t="n">
        <v>21.84</v>
      </c>
      <c r="I3124" s="8" t="n">
        <v>21.84</v>
      </c>
      <c r="J3124" s="8" t="n"/>
      <c r="K3124" s="7" t="inlineStr">
        <is>
          <t>SEM COTAÇÃO</t>
        </is>
      </c>
      <c r="L3124" s="8" t="n"/>
      <c r="M3124" s="12" t="n"/>
      <c r="N3124" s="7" t="inlineStr"/>
      <c r="O3124" s="7" t="inlineStr"/>
    </row>
    <row r="3125">
      <c r="A3125" s="7" t="n">
        <v>642301</v>
      </c>
      <c r="B3125" s="10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1" t="n">
        <v>1</v>
      </c>
      <c r="G3125" s="11" t="n">
        <v>4</v>
      </c>
      <c r="H3125" s="8" t="n">
        <v>7.2216</v>
      </c>
      <c r="I3125" s="8" t="n">
        <v>7.2216</v>
      </c>
      <c r="J3125" s="8" t="n"/>
      <c r="K3125" s="7" t="inlineStr">
        <is>
          <t>SEM COTAÇÃO</t>
        </is>
      </c>
      <c r="L3125" s="8" t="n"/>
      <c r="M3125" s="12" t="n"/>
      <c r="N3125" s="7" t="inlineStr"/>
      <c r="O3125" s="7" t="inlineStr"/>
    </row>
    <row r="3126">
      <c r="A3126" s="7" t="n">
        <v>611051</v>
      </c>
      <c r="B3126" s="10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1" t="n">
        <v>1</v>
      </c>
      <c r="G3126" s="11" t="n">
        <v>2</v>
      </c>
      <c r="H3126" s="8" t="n">
        <v>40.7683</v>
      </c>
      <c r="I3126" s="8" t="n">
        <v>40.7683</v>
      </c>
      <c r="J3126" s="8" t="n"/>
      <c r="K3126" s="7" t="inlineStr">
        <is>
          <t>SEM COTAÇÃO</t>
        </is>
      </c>
      <c r="L3126" s="8" t="n"/>
      <c r="M3126" s="12" t="n"/>
      <c r="N3126" s="7" t="inlineStr"/>
      <c r="O3126" s="7" t="inlineStr"/>
    </row>
    <row r="3127">
      <c r="A3127" s="7" t="n">
        <v>660411</v>
      </c>
      <c r="B3127" s="10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1" t="n">
        <v>1</v>
      </c>
      <c r="G3127" s="11" t="n">
        <v>1</v>
      </c>
      <c r="H3127" s="8" t="n">
        <v>19.5042</v>
      </c>
      <c r="I3127" s="8" t="n">
        <v>19.5042</v>
      </c>
      <c r="J3127" s="8" t="n"/>
      <c r="K3127" s="7" t="inlineStr">
        <is>
          <t>SEM COTAÇÃO</t>
        </is>
      </c>
      <c r="L3127" s="8" t="n"/>
      <c r="M3127" s="12" t="n"/>
      <c r="N3127" s="7" t="inlineStr"/>
      <c r="O3127" s="7" t="inlineStr"/>
    </row>
    <row r="3128">
      <c r="A3128" s="7" t="n">
        <v>643061</v>
      </c>
      <c r="B3128" s="10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1" t="n">
        <v>3</v>
      </c>
      <c r="G3128" s="11" t="n">
        <v>3</v>
      </c>
      <c r="H3128" s="8" t="n">
        <v>16.84</v>
      </c>
      <c r="I3128" s="8" t="n">
        <v>16.84</v>
      </c>
      <c r="J3128" s="8" t="n"/>
      <c r="K3128" s="7" t="inlineStr">
        <is>
          <t>SEM COTAÇÃO</t>
        </is>
      </c>
      <c r="L3128" s="8" t="n"/>
      <c r="M3128" s="12" t="n"/>
      <c r="N3128" s="7" t="inlineStr"/>
      <c r="O3128" s="7" t="inlineStr"/>
    </row>
    <row r="3129">
      <c r="A3129" s="7" t="n">
        <v>643071</v>
      </c>
      <c r="B3129" s="10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1" t="n">
        <v>1</v>
      </c>
      <c r="G3129" s="11" t="n">
        <v>1</v>
      </c>
      <c r="H3129" s="8" t="n">
        <v>13.1</v>
      </c>
      <c r="I3129" s="8" t="n">
        <v>13.1</v>
      </c>
      <c r="J3129" s="8" t="n"/>
      <c r="K3129" s="7" t="inlineStr">
        <is>
          <t>SEM COTAÇÃO</t>
        </is>
      </c>
      <c r="L3129" s="8" t="n"/>
      <c r="M3129" s="12" t="n"/>
      <c r="N3129" s="7" t="inlineStr"/>
      <c r="O3129" s="7" t="inlineStr"/>
    </row>
    <row r="3130">
      <c r="A3130" s="7" t="n">
        <v>362441</v>
      </c>
      <c r="B3130" s="10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1" t="n">
        <v>9</v>
      </c>
      <c r="G3130" s="11" t="n">
        <v>9</v>
      </c>
      <c r="H3130" s="8" t="n">
        <v>9.878</v>
      </c>
      <c r="I3130" s="8" t="n">
        <v>8.788</v>
      </c>
      <c r="J3130" s="8" t="n"/>
      <c r="K3130" s="7" t="inlineStr">
        <is>
          <t>SEM COTAÇÃO</t>
        </is>
      </c>
      <c r="L3130" s="8" t="n"/>
      <c r="M3130" s="12" t="n"/>
      <c r="N3130" s="7" t="inlineStr"/>
      <c r="O3130" s="7" t="inlineStr"/>
    </row>
    <row r="3131">
      <c r="A3131" s="7" t="n">
        <v>613381</v>
      </c>
      <c r="B3131" s="10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1" t="n">
        <v>7</v>
      </c>
      <c r="G3131" s="11" t="n">
        <v>7</v>
      </c>
      <c r="H3131" s="8" t="n">
        <v>12.23</v>
      </c>
      <c r="I3131" s="8" t="n">
        <v>12.23</v>
      </c>
      <c r="J3131" s="13" t="n">
        <v>15.42</v>
      </c>
      <c r="K3131" s="7" t="inlineStr">
        <is>
          <t>DIMEC</t>
        </is>
      </c>
      <c r="L3131" s="8" t="n">
        <v>15.42</v>
      </c>
      <c r="M3131" s="12">
        <f>L3131/H3131-1</f>
        <v/>
      </c>
      <c r="N3131" s="14" t="inlineStr">
        <is>
          <t>ACIMA +26.1%</t>
        </is>
      </c>
      <c r="O3131" s="7" t="inlineStr"/>
    </row>
    <row r="3132">
      <c r="A3132" s="7" t="n">
        <v>610201</v>
      </c>
      <c r="B3132" s="10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1" t="n">
        <v>11</v>
      </c>
      <c r="G3132" s="11" t="n">
        <v>11</v>
      </c>
      <c r="H3132" s="8" t="n">
        <v>6.62</v>
      </c>
      <c r="I3132" s="8" t="n">
        <v>6.62</v>
      </c>
      <c r="J3132" s="13" t="n">
        <v>7.82</v>
      </c>
      <c r="K3132" s="7" t="inlineStr">
        <is>
          <t>DIMEC</t>
        </is>
      </c>
      <c r="L3132" s="8" t="n">
        <v>7.82</v>
      </c>
      <c r="M3132" s="12">
        <f>L3132/H3132-1</f>
        <v/>
      </c>
      <c r="N3132" s="14" t="inlineStr">
        <is>
          <t>ACIMA +18.1%</t>
        </is>
      </c>
      <c r="O3132" s="7" t="inlineStr"/>
    </row>
    <row r="3133">
      <c r="A3133" s="7" t="n">
        <v>363861</v>
      </c>
      <c r="B3133" s="10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1" t="n">
        <v>5</v>
      </c>
      <c r="G3133" s="11" t="n">
        <v>5</v>
      </c>
      <c r="H3133" s="8" t="n">
        <v>12.98</v>
      </c>
      <c r="I3133" s="8" t="n">
        <v>12.98</v>
      </c>
      <c r="J3133" s="13" t="n">
        <v>14.89</v>
      </c>
      <c r="K3133" s="7" t="inlineStr">
        <is>
          <t>DIMEC</t>
        </is>
      </c>
      <c r="L3133" s="8" t="n">
        <v>14.89</v>
      </c>
      <c r="M3133" s="12">
        <f>L3133/H3133-1</f>
        <v/>
      </c>
      <c r="N3133" s="14" t="inlineStr">
        <is>
          <t>ACIMA +14.7%</t>
        </is>
      </c>
      <c r="O3133" s="7" t="inlineStr"/>
    </row>
    <row r="3134">
      <c r="A3134" s="7" t="n">
        <v>641681</v>
      </c>
      <c r="B3134" s="10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1" t="n">
        <v>5</v>
      </c>
      <c r="G3134" s="11" t="n">
        <v>5</v>
      </c>
      <c r="H3134" s="8" t="n">
        <v>4.25</v>
      </c>
      <c r="I3134" s="8" t="n">
        <v>3.99</v>
      </c>
      <c r="J3134" s="8" t="n"/>
      <c r="K3134" s="7" t="inlineStr">
        <is>
          <t>SEM COTAÇÃO</t>
        </is>
      </c>
      <c r="L3134" s="8" t="n"/>
      <c r="M3134" s="12" t="n"/>
      <c r="N3134" s="7" t="inlineStr"/>
      <c r="O3134" s="7" t="inlineStr"/>
    </row>
    <row r="3135">
      <c r="A3135" s="7" t="n">
        <v>619451</v>
      </c>
      <c r="B3135" s="10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1" t="n">
        <v>6</v>
      </c>
      <c r="G3135" s="11" t="n">
        <v>6</v>
      </c>
      <c r="H3135" s="8" t="n">
        <v>4.69</v>
      </c>
      <c r="I3135" s="8" t="n">
        <v>3.89</v>
      </c>
      <c r="J3135" s="8" t="n"/>
      <c r="K3135" s="7" t="inlineStr">
        <is>
          <t>SEM COTAÇÃO</t>
        </is>
      </c>
      <c r="L3135" s="8" t="n"/>
      <c r="M3135" s="12" t="n"/>
      <c r="N3135" s="7" t="inlineStr"/>
      <c r="O3135" s="7" t="inlineStr"/>
    </row>
    <row r="3136">
      <c r="A3136" s="7" t="n">
        <v>652631</v>
      </c>
      <c r="B3136" s="10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1" t="n">
        <v>4</v>
      </c>
      <c r="G3136" s="11" t="n">
        <v>4</v>
      </c>
      <c r="H3136" s="8" t="n">
        <v>17.055</v>
      </c>
      <c r="I3136" s="8" t="n">
        <v>17</v>
      </c>
      <c r="J3136" s="8" t="n"/>
      <c r="K3136" s="7" t="inlineStr">
        <is>
          <t>SEM COTAÇÃO</t>
        </is>
      </c>
      <c r="L3136" s="8" t="n"/>
      <c r="M3136" s="12" t="n"/>
      <c r="N3136" s="7" t="inlineStr"/>
      <c r="O3136" s="7" t="inlineStr"/>
    </row>
    <row r="3137">
      <c r="A3137" s="7" t="n">
        <v>652651</v>
      </c>
      <c r="B3137" s="10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1" t="n">
        <v>1</v>
      </c>
      <c r="G3137" s="11" t="n">
        <v>1</v>
      </c>
      <c r="H3137" s="8" t="n">
        <v>50.02</v>
      </c>
      <c r="I3137" s="8" t="n">
        <v>50.02</v>
      </c>
      <c r="J3137" s="8" t="n"/>
      <c r="K3137" s="7" t="inlineStr">
        <is>
          <t>SEM COTAÇÃO</t>
        </is>
      </c>
      <c r="L3137" s="8" t="n"/>
      <c r="M3137" s="12" t="n"/>
      <c r="N3137" s="7" t="inlineStr"/>
      <c r="O3137" s="7" t="inlineStr"/>
    </row>
    <row r="3138">
      <c r="A3138" s="7" t="n">
        <v>69161</v>
      </c>
      <c r="B3138" s="10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1" t="n">
        <v>1</v>
      </c>
      <c r="G3138" s="11" t="n">
        <v>1</v>
      </c>
      <c r="H3138" s="8" t="n">
        <v>22.75</v>
      </c>
      <c r="I3138" s="8" t="n">
        <v>22.75</v>
      </c>
      <c r="J3138" s="8" t="n"/>
      <c r="K3138" s="7" t="inlineStr">
        <is>
          <t>SEM COTAÇÃO</t>
        </is>
      </c>
      <c r="L3138" s="8" t="n"/>
      <c r="M3138" s="12" t="n"/>
      <c r="N3138" s="7" t="inlineStr"/>
      <c r="O3138" s="7" t="inlineStr"/>
    </row>
    <row r="3139">
      <c r="A3139" s="7" t="n">
        <v>69181</v>
      </c>
      <c r="B3139" s="10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1" t="n">
        <v>2</v>
      </c>
      <c r="G3139" s="11" t="n">
        <v>2</v>
      </c>
      <c r="H3139" s="8" t="n">
        <v>57.73</v>
      </c>
      <c r="I3139" s="8" t="n">
        <v>53.3</v>
      </c>
      <c r="J3139" s="8" t="n"/>
      <c r="K3139" s="7" t="inlineStr">
        <is>
          <t>SEM COTAÇÃO</t>
        </is>
      </c>
      <c r="L3139" s="8" t="n"/>
      <c r="M3139" s="12" t="n"/>
      <c r="N3139" s="7" t="inlineStr"/>
      <c r="O3139" s="7" t="inlineStr"/>
    </row>
    <row r="3140">
      <c r="A3140" s="7" t="n">
        <v>652331</v>
      </c>
      <c r="B3140" s="10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1" t="n">
        <v>1</v>
      </c>
      <c r="G3140" s="11" t="n">
        <v>1</v>
      </c>
      <c r="H3140" s="8" t="n">
        <v>16.94</v>
      </c>
      <c r="I3140" s="8" t="n">
        <v>10.385</v>
      </c>
      <c r="J3140" s="8" t="n"/>
      <c r="K3140" s="7" t="inlineStr">
        <is>
          <t>SEM COTAÇÃO</t>
        </is>
      </c>
      <c r="L3140" s="8" t="n"/>
      <c r="M3140" s="12" t="n"/>
      <c r="N3140" s="7" t="inlineStr"/>
      <c r="O3140" s="7" t="inlineStr"/>
    </row>
    <row r="3141">
      <c r="A3141" s="7" t="n">
        <v>231981</v>
      </c>
      <c r="B3141" s="10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1" t="n">
        <v>7</v>
      </c>
      <c r="G3141" s="11" t="n">
        <v>7</v>
      </c>
      <c r="H3141" s="8" t="n">
        <v>15.765</v>
      </c>
      <c r="I3141" s="8" t="n">
        <v>15.765</v>
      </c>
      <c r="J3141" s="8" t="n"/>
      <c r="K3141" s="7" t="inlineStr">
        <is>
          <t>SEM COTAÇÃO</t>
        </is>
      </c>
      <c r="L3141" s="8" t="n"/>
      <c r="M3141" s="12" t="n"/>
      <c r="N3141" s="7" t="inlineStr"/>
      <c r="O3141" s="7" t="inlineStr"/>
    </row>
    <row r="3142">
      <c r="A3142" s="7" t="n">
        <v>368161</v>
      </c>
      <c r="B3142" s="10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1" t="n">
        <v>4</v>
      </c>
      <c r="G3142" s="11" t="n">
        <v>4</v>
      </c>
      <c r="H3142" s="8" t="n"/>
      <c r="I3142" s="8" t="n"/>
      <c r="J3142" s="8" t="n"/>
      <c r="K3142" s="7" t="inlineStr">
        <is>
          <t>SEM COTAÇÃO</t>
        </is>
      </c>
      <c r="L3142" s="8" t="n"/>
      <c r="M3142" s="12" t="n"/>
      <c r="N3142" s="7" t="inlineStr"/>
      <c r="O3142" s="7" t="inlineStr"/>
    </row>
    <row r="3143">
      <c r="A3143" s="7" t="n">
        <v>368201</v>
      </c>
      <c r="B3143" s="10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1" t="n">
        <v>1</v>
      </c>
      <c r="G3143" s="11" t="n">
        <v>1</v>
      </c>
      <c r="H3143" s="8" t="n">
        <v>8.99</v>
      </c>
      <c r="I3143" s="8" t="n">
        <v>8.99</v>
      </c>
      <c r="J3143" s="8" t="n"/>
      <c r="K3143" s="7" t="inlineStr">
        <is>
          <t>SEM COTAÇÃO</t>
        </is>
      </c>
      <c r="L3143" s="8" t="n"/>
      <c r="M3143" s="12" t="n"/>
      <c r="N3143" s="7" t="inlineStr"/>
      <c r="O3143" s="7" t="inlineStr"/>
    </row>
    <row r="3144">
      <c r="A3144" s="7" t="n">
        <v>588811</v>
      </c>
      <c r="B3144" s="10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1" t="n">
        <v>6</v>
      </c>
      <c r="G3144" s="11" t="n">
        <v>6</v>
      </c>
      <c r="H3144" s="8" t="n">
        <v>54.97</v>
      </c>
      <c r="I3144" s="8" t="n">
        <v>54.97</v>
      </c>
      <c r="J3144" s="8" t="n"/>
      <c r="K3144" s="7" t="inlineStr">
        <is>
          <t>SEM COTAÇÃO</t>
        </is>
      </c>
      <c r="L3144" s="8" t="n"/>
      <c r="M3144" s="12" t="n"/>
      <c r="N3144" s="7" t="inlineStr"/>
      <c r="O3144" s="7" t="inlineStr"/>
    </row>
    <row r="3145">
      <c r="A3145" s="7" t="n">
        <v>588801</v>
      </c>
      <c r="B3145" s="10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1" t="n">
        <v>2</v>
      </c>
      <c r="G3145" s="11" t="n">
        <v>2</v>
      </c>
      <c r="H3145" s="8" t="n">
        <v>26.06</v>
      </c>
      <c r="I3145" s="8" t="n">
        <v>26.06</v>
      </c>
      <c r="J3145" s="8" t="n"/>
      <c r="K3145" s="7" t="inlineStr">
        <is>
          <t>SEM COTAÇÃO</t>
        </is>
      </c>
      <c r="L3145" s="8" t="n"/>
      <c r="M3145" s="12" t="n"/>
      <c r="N3145" s="7" t="inlineStr"/>
      <c r="O3145" s="7" t="inlineStr"/>
    </row>
    <row r="3146">
      <c r="A3146" s="7" t="n">
        <v>247481</v>
      </c>
      <c r="B3146" s="10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1" t="n">
        <v>1</v>
      </c>
      <c r="G3146" s="11" t="n">
        <v>1</v>
      </c>
      <c r="H3146" s="8" t="n">
        <v>38.21</v>
      </c>
      <c r="I3146" s="8" t="n">
        <v>34.56</v>
      </c>
      <c r="J3146" s="8" t="n"/>
      <c r="K3146" s="7" t="inlineStr">
        <is>
          <t>SEM COTAÇÃO</t>
        </is>
      </c>
      <c r="L3146" s="8" t="n"/>
      <c r="M3146" s="12" t="n"/>
      <c r="N3146" s="7" t="inlineStr"/>
      <c r="O3146" s="7" t="inlineStr"/>
    </row>
    <row r="3147">
      <c r="A3147" s="7" t="n">
        <v>601521</v>
      </c>
      <c r="B3147" s="10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1" t="n">
        <v>3</v>
      </c>
      <c r="G3147" s="11" t="n">
        <v>3</v>
      </c>
      <c r="H3147" s="8" t="n">
        <v>70.11</v>
      </c>
      <c r="I3147" s="8" t="n">
        <v>68.31</v>
      </c>
      <c r="J3147" s="8" t="n"/>
      <c r="K3147" s="7" t="inlineStr">
        <is>
          <t>SEM COTAÇÃO</t>
        </is>
      </c>
      <c r="L3147" s="8" t="n"/>
      <c r="M3147" s="12" t="n"/>
      <c r="N3147" s="7" t="inlineStr"/>
      <c r="O3147" s="7" t="inlineStr"/>
    </row>
    <row r="3148">
      <c r="A3148" s="7" t="n">
        <v>368481</v>
      </c>
      <c r="B3148" s="10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1" t="n">
        <v>1</v>
      </c>
      <c r="G3148" s="11" t="n">
        <v>1</v>
      </c>
      <c r="H3148" s="8" t="n">
        <v>7.82</v>
      </c>
      <c r="I3148" s="8" t="n">
        <v>7.82</v>
      </c>
      <c r="J3148" s="8" t="n"/>
      <c r="K3148" s="7" t="inlineStr">
        <is>
          <t>SEM COTAÇÃO</t>
        </is>
      </c>
      <c r="L3148" s="8" t="n"/>
      <c r="M3148" s="12" t="n"/>
      <c r="N3148" s="7" t="inlineStr"/>
      <c r="O3148" s="7" t="inlineStr"/>
    </row>
    <row r="3149">
      <c r="A3149" s="7" t="n">
        <v>589051</v>
      </c>
      <c r="B3149" s="10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1" t="n">
        <v>1</v>
      </c>
      <c r="G3149" s="11" t="n">
        <v>1</v>
      </c>
      <c r="H3149" s="8" t="n">
        <v>11.86</v>
      </c>
      <c r="I3149" s="8" t="n">
        <v>11.86</v>
      </c>
      <c r="J3149" s="8" t="n"/>
      <c r="K3149" s="7" t="inlineStr">
        <is>
          <t>SEM COTAÇÃO</t>
        </is>
      </c>
      <c r="L3149" s="8" t="n"/>
      <c r="M3149" s="12" t="n"/>
      <c r="N3149" s="7" t="inlineStr"/>
      <c r="O3149" s="7" t="inlineStr"/>
    </row>
    <row r="3150">
      <c r="A3150" s="7" t="n">
        <v>600101</v>
      </c>
      <c r="B3150" s="10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1" t="n">
        <v>2</v>
      </c>
      <c r="G3150" s="11" t="n">
        <v>2</v>
      </c>
      <c r="H3150" s="8" t="n">
        <v>9.300000000000001</v>
      </c>
      <c r="I3150" s="8" t="n">
        <v>7.26</v>
      </c>
      <c r="J3150" s="8" t="n"/>
      <c r="K3150" s="7" t="inlineStr">
        <is>
          <t>SEM COTAÇÃO</t>
        </is>
      </c>
      <c r="L3150" s="8" t="n"/>
      <c r="M3150" s="12" t="n"/>
      <c r="N3150" s="7" t="inlineStr"/>
      <c r="O3150" s="7" t="inlineStr"/>
    </row>
    <row r="3151">
      <c r="A3151" s="7" t="n">
        <v>589371</v>
      </c>
      <c r="B3151" s="10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1" t="n">
        <v>1</v>
      </c>
      <c r="G3151" s="11" t="n">
        <v>1</v>
      </c>
      <c r="H3151" s="8" t="n">
        <v>13.19</v>
      </c>
      <c r="I3151" s="8" t="n">
        <v>13.19</v>
      </c>
      <c r="J3151" s="8" t="n"/>
      <c r="K3151" s="7" t="inlineStr">
        <is>
          <t>SEM COTAÇÃO</t>
        </is>
      </c>
      <c r="L3151" s="8" t="n"/>
      <c r="M3151" s="12" t="n"/>
      <c r="N3151" s="7" t="inlineStr"/>
      <c r="O3151" s="7" t="inlineStr"/>
    </row>
    <row r="3152">
      <c r="A3152" s="7" t="n">
        <v>638291</v>
      </c>
      <c r="B3152" s="10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1" t="n">
        <v>1</v>
      </c>
      <c r="G3152" s="11" t="n">
        <v>1</v>
      </c>
      <c r="H3152" s="8" t="n">
        <v>38.16</v>
      </c>
      <c r="I3152" s="8" t="n">
        <v>38.16</v>
      </c>
      <c r="J3152" s="8" t="n"/>
      <c r="K3152" s="7" t="inlineStr">
        <is>
          <t>SEM COTAÇÃO</t>
        </is>
      </c>
      <c r="L3152" s="8" t="n"/>
      <c r="M3152" s="12" t="n"/>
      <c r="N3152" s="7" t="inlineStr"/>
      <c r="O3152" s="7" t="inlineStr"/>
    </row>
    <row r="3153">
      <c r="A3153" s="7" t="n">
        <v>673321</v>
      </c>
      <c r="B3153" s="10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1" t="n">
        <v>22</v>
      </c>
      <c r="G3153" s="11" t="n">
        <v>22</v>
      </c>
      <c r="H3153" s="8" t="n">
        <v>2.99</v>
      </c>
      <c r="I3153" s="8" t="n">
        <v>2.75</v>
      </c>
      <c r="J3153" s="8" t="n"/>
      <c r="K3153" s="7" t="inlineStr">
        <is>
          <t>SEM COTAÇÃO</t>
        </is>
      </c>
      <c r="L3153" s="8" t="n"/>
      <c r="M3153" s="12" t="n"/>
      <c r="N3153" s="7" t="inlineStr"/>
      <c r="O3153" s="7" t="inlineStr"/>
    </row>
    <row r="3154">
      <c r="A3154" s="7" t="n">
        <v>673331</v>
      </c>
      <c r="B3154" s="10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1" t="n">
        <v>6</v>
      </c>
      <c r="G3154" s="11" t="n">
        <v>6</v>
      </c>
      <c r="H3154" s="8" t="n">
        <v>2.75</v>
      </c>
      <c r="I3154" s="8" t="n">
        <v>2.75</v>
      </c>
      <c r="J3154" s="8" t="n"/>
      <c r="K3154" s="7" t="inlineStr">
        <is>
          <t>SEM COTAÇÃO</t>
        </is>
      </c>
      <c r="L3154" s="8" t="n"/>
      <c r="M3154" s="12" t="n"/>
      <c r="N3154" s="7" t="inlineStr"/>
      <c r="O3154" s="7" t="inlineStr"/>
    </row>
    <row r="3155">
      <c r="A3155" s="7" t="n">
        <v>605071</v>
      </c>
      <c r="B3155" s="10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1" t="n">
        <v>1</v>
      </c>
      <c r="G3155" s="11" t="n">
        <v>24</v>
      </c>
      <c r="H3155" s="8" t="n">
        <v>4.1486</v>
      </c>
      <c r="I3155" s="8" t="n">
        <v>4.1486</v>
      </c>
      <c r="J3155" s="8" t="n"/>
      <c r="K3155" s="7" t="inlineStr">
        <is>
          <t>SEM COTAÇÃO</t>
        </is>
      </c>
      <c r="L3155" s="8" t="n"/>
      <c r="M3155" s="12" t="n"/>
      <c r="N3155" s="7" t="inlineStr"/>
      <c r="O3155" s="7" t="inlineStr"/>
    </row>
    <row r="3156">
      <c r="A3156" s="7" t="n">
        <v>669611</v>
      </c>
      <c r="B3156" s="10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1" t="n">
        <v>1</v>
      </c>
      <c r="G3156" s="11" t="n">
        <v>1</v>
      </c>
      <c r="H3156" s="8" t="n">
        <v>27.21</v>
      </c>
      <c r="I3156" s="8" t="n">
        <v>16.6</v>
      </c>
      <c r="J3156" s="8" t="n"/>
      <c r="K3156" s="7" t="inlineStr">
        <is>
          <t>SEM COTAÇÃO</t>
        </is>
      </c>
      <c r="L3156" s="8" t="n"/>
      <c r="M3156" s="12" t="n"/>
      <c r="N3156" s="7" t="inlineStr"/>
      <c r="O3156" s="7" t="inlineStr"/>
    </row>
    <row r="3157">
      <c r="A3157" s="7" t="n">
        <v>597291</v>
      </c>
      <c r="B3157" s="10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1" t="n">
        <v>1</v>
      </c>
      <c r="G3157" s="11" t="n">
        <v>1</v>
      </c>
      <c r="H3157" s="8" t="n">
        <v>77.842</v>
      </c>
      <c r="I3157" s="8" t="n">
        <v>77.842</v>
      </c>
      <c r="J3157" s="8" t="n"/>
      <c r="K3157" s="7" t="inlineStr">
        <is>
          <t>SEM COTAÇÃO</t>
        </is>
      </c>
      <c r="L3157" s="8" t="n"/>
      <c r="M3157" s="12" t="n"/>
      <c r="N3157" s="7" t="inlineStr"/>
      <c r="O3157" s="7" t="inlineStr"/>
    </row>
    <row r="3158">
      <c r="A3158" s="7" t="n">
        <v>606041</v>
      </c>
      <c r="B3158" s="10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1" t="n">
        <v>1</v>
      </c>
      <c r="G3158" s="11" t="n">
        <v>3</v>
      </c>
      <c r="H3158" s="8" t="n">
        <v>74.3008</v>
      </c>
      <c r="I3158" s="8" t="n">
        <v>74.3008</v>
      </c>
      <c r="J3158" s="8" t="n"/>
      <c r="K3158" s="7" t="inlineStr">
        <is>
          <t>SEM COTAÇÃO</t>
        </is>
      </c>
      <c r="L3158" s="8" t="n"/>
      <c r="M3158" s="12" t="n"/>
      <c r="N3158" s="7" t="inlineStr"/>
      <c r="O3158" s="7" t="inlineStr"/>
    </row>
    <row r="3159">
      <c r="A3159" s="7" t="n">
        <v>602061</v>
      </c>
      <c r="B3159" s="10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1" t="n">
        <v>1</v>
      </c>
      <c r="G3159" s="11" t="n">
        <v>1</v>
      </c>
      <c r="H3159" s="8" t="n">
        <v>60.28</v>
      </c>
      <c r="I3159" s="8" t="n">
        <v>59.9</v>
      </c>
      <c r="J3159" s="8" t="n"/>
      <c r="K3159" s="7" t="inlineStr">
        <is>
          <t>SEM COTAÇÃO</t>
        </is>
      </c>
      <c r="L3159" s="8" t="n"/>
      <c r="M3159" s="12" t="n"/>
      <c r="N3159" s="7" t="inlineStr"/>
      <c r="O3159" s="7" t="inlineStr"/>
    </row>
    <row r="3160">
      <c r="A3160" s="7" t="n">
        <v>602051</v>
      </c>
      <c r="B3160" s="10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1" t="n">
        <v>2</v>
      </c>
      <c r="G3160" s="11" t="n">
        <v>2</v>
      </c>
      <c r="H3160" s="8" t="n">
        <v>66.11</v>
      </c>
      <c r="I3160" s="8" t="n">
        <v>59.9</v>
      </c>
      <c r="J3160" s="8" t="n"/>
      <c r="K3160" s="7" t="inlineStr">
        <is>
          <t>SEM COTAÇÃO</t>
        </is>
      </c>
      <c r="L3160" s="8" t="n"/>
      <c r="M3160" s="12" t="n"/>
      <c r="N3160" s="7" t="inlineStr"/>
      <c r="O3160" s="7" t="inlineStr"/>
    </row>
    <row r="3161">
      <c r="A3161" s="7" t="n">
        <v>9103</v>
      </c>
      <c r="B3161" s="10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1" t="n">
        <v>1</v>
      </c>
      <c r="G3161" s="11" t="n">
        <v>1</v>
      </c>
      <c r="H3161" s="8" t="n">
        <v>66.11</v>
      </c>
      <c r="I3161" s="8" t="n">
        <v>66.11</v>
      </c>
      <c r="J3161" s="8" t="n"/>
      <c r="K3161" s="7" t="inlineStr">
        <is>
          <t>SEM COTAÇÃO</t>
        </is>
      </c>
      <c r="L3161" s="8" t="n"/>
      <c r="M3161" s="12" t="n"/>
      <c r="N3161" s="7" t="inlineStr"/>
      <c r="O3161" s="7" t="inlineStr"/>
    </row>
    <row r="3162">
      <c r="A3162" s="7" t="n">
        <v>606011</v>
      </c>
      <c r="B3162" s="10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1" t="n">
        <v>1</v>
      </c>
      <c r="G3162" s="11" t="n">
        <v>1</v>
      </c>
      <c r="H3162" s="8" t="n">
        <v>60.49</v>
      </c>
      <c r="I3162" s="8" t="n">
        <v>60.49</v>
      </c>
      <c r="J3162" s="8" t="n"/>
      <c r="K3162" s="7" t="inlineStr">
        <is>
          <t>SEM COTAÇÃO</t>
        </is>
      </c>
      <c r="L3162" s="8" t="n"/>
      <c r="M3162" s="12" t="n"/>
      <c r="N3162" s="7" t="inlineStr"/>
      <c r="O3162" s="7" t="inlineStr"/>
    </row>
    <row r="3163">
      <c r="A3163" s="7" t="n">
        <v>598721</v>
      </c>
      <c r="B3163" s="10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1" t="n">
        <v>1</v>
      </c>
      <c r="G3163" s="11" t="n">
        <v>1</v>
      </c>
      <c r="H3163" s="8" t="n">
        <v>6.39</v>
      </c>
      <c r="I3163" s="8" t="n">
        <v>6.39</v>
      </c>
      <c r="J3163" s="8" t="n"/>
      <c r="K3163" s="7" t="inlineStr">
        <is>
          <t>SEM COTAÇÃO</t>
        </is>
      </c>
      <c r="L3163" s="8" t="n"/>
      <c r="M3163" s="12" t="n"/>
      <c r="N3163" s="7" t="inlineStr"/>
      <c r="O3163" s="7" t="inlineStr"/>
    </row>
    <row r="3164">
      <c r="A3164" s="7" t="n">
        <v>598731</v>
      </c>
      <c r="B3164" s="10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1" t="n">
        <v>2</v>
      </c>
      <c r="G3164" s="11" t="n">
        <v>2</v>
      </c>
      <c r="H3164" s="8" t="n">
        <v>6.39</v>
      </c>
      <c r="I3164" s="8" t="n">
        <v>6.39</v>
      </c>
      <c r="J3164" s="8" t="n"/>
      <c r="K3164" s="7" t="inlineStr">
        <is>
          <t>SEM COTAÇÃO</t>
        </is>
      </c>
      <c r="L3164" s="8" t="n"/>
      <c r="M3164" s="12" t="n"/>
      <c r="N3164" s="7" t="inlineStr"/>
      <c r="O3164" s="7" t="inlineStr"/>
    </row>
    <row r="3165">
      <c r="A3165" s="7" t="n">
        <v>667341</v>
      </c>
      <c r="B3165" s="10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1" t="n">
        <v>1</v>
      </c>
      <c r="G3165" s="11" t="n">
        <v>1</v>
      </c>
      <c r="H3165" s="8" t="n">
        <v>17.05</v>
      </c>
      <c r="I3165" s="8" t="n">
        <v>17.05</v>
      </c>
      <c r="J3165" s="8" t="n"/>
      <c r="K3165" s="7" t="inlineStr">
        <is>
          <t>SEM COTAÇÃO</t>
        </is>
      </c>
      <c r="L3165" s="8" t="n"/>
      <c r="M3165" s="12" t="n"/>
      <c r="N3165" s="7" t="inlineStr"/>
      <c r="O3165" s="7" t="inlineStr"/>
    </row>
    <row r="3166">
      <c r="A3166" s="7" t="n">
        <v>3963</v>
      </c>
      <c r="B3166" s="10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1" t="n">
        <v>4</v>
      </c>
      <c r="G3166" s="11" t="n">
        <v>4</v>
      </c>
      <c r="H3166" s="8" t="n">
        <v>8.35</v>
      </c>
      <c r="I3166" s="8" t="n">
        <v>8.35</v>
      </c>
      <c r="J3166" s="8" t="n"/>
      <c r="K3166" s="7" t="inlineStr">
        <is>
          <t>SEM COTAÇÃO</t>
        </is>
      </c>
      <c r="L3166" s="8" t="n"/>
      <c r="M3166" s="12" t="n"/>
      <c r="N3166" s="7" t="inlineStr"/>
      <c r="O3166" s="7" t="inlineStr"/>
    </row>
    <row r="3167">
      <c r="A3167" s="7" t="n">
        <v>673631</v>
      </c>
      <c r="B3167" s="10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1" t="n">
        <v>8</v>
      </c>
      <c r="G3167" s="11" t="n">
        <v>8</v>
      </c>
      <c r="H3167" s="8" t="n">
        <v>12.48</v>
      </c>
      <c r="I3167" s="8" t="n">
        <v>12.15</v>
      </c>
      <c r="J3167" s="8" t="n"/>
      <c r="K3167" s="7" t="inlineStr">
        <is>
          <t>SEM COTAÇÃO</t>
        </is>
      </c>
      <c r="L3167" s="8" t="n"/>
      <c r="M3167" s="12" t="n"/>
      <c r="N3167" s="7" t="inlineStr"/>
      <c r="O3167" s="7" t="inlineStr"/>
    </row>
    <row r="3168">
      <c r="A3168" s="7" t="n">
        <v>598311</v>
      </c>
      <c r="B3168" s="10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1" t="n">
        <v>3</v>
      </c>
      <c r="G3168" s="11" t="n">
        <v>3</v>
      </c>
      <c r="H3168" s="8" t="n">
        <v>7.62</v>
      </c>
      <c r="I3168" s="8" t="n">
        <v>7.62</v>
      </c>
      <c r="J3168" s="8" t="n"/>
      <c r="K3168" s="7" t="inlineStr">
        <is>
          <t>SEM COTAÇÃO</t>
        </is>
      </c>
      <c r="L3168" s="8" t="n"/>
      <c r="M3168" s="12" t="n"/>
      <c r="N3168" s="7" t="inlineStr"/>
      <c r="O3168" s="7" t="inlineStr"/>
    </row>
    <row r="3169">
      <c r="A3169" s="7" t="n">
        <v>607491</v>
      </c>
      <c r="B3169" s="10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1" t="n">
        <v>2</v>
      </c>
      <c r="G3169" s="11" t="n">
        <v>2</v>
      </c>
      <c r="H3169" s="8" t="n">
        <v>6.51</v>
      </c>
      <c r="I3169" s="8" t="n">
        <v>6.51</v>
      </c>
      <c r="J3169" s="8" t="n"/>
      <c r="K3169" s="7" t="inlineStr">
        <is>
          <t>SEM COTAÇÃO</t>
        </is>
      </c>
      <c r="L3169" s="8" t="n"/>
      <c r="M3169" s="12" t="n"/>
      <c r="N3169" s="7" t="inlineStr"/>
      <c r="O3169" s="7" t="inlineStr"/>
    </row>
    <row r="3170">
      <c r="A3170" s="7" t="n">
        <v>607501</v>
      </c>
      <c r="B3170" s="10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1" t="n">
        <v>3</v>
      </c>
      <c r="G3170" s="11" t="n">
        <v>3</v>
      </c>
      <c r="H3170" s="8" t="n">
        <v>7.97</v>
      </c>
      <c r="I3170" s="8" t="n">
        <v>7.97</v>
      </c>
      <c r="J3170" s="8" t="n"/>
      <c r="K3170" s="7" t="inlineStr">
        <is>
          <t>SEM COTAÇÃO</t>
        </is>
      </c>
      <c r="L3170" s="8" t="n"/>
      <c r="M3170" s="12" t="n"/>
      <c r="N3170" s="7" t="inlineStr"/>
      <c r="O3170" s="7" t="inlineStr"/>
    </row>
    <row r="3171">
      <c r="A3171" s="7" t="n">
        <v>598371</v>
      </c>
      <c r="B3171" s="10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1" t="n">
        <v>2</v>
      </c>
      <c r="G3171" s="11" t="n">
        <v>2</v>
      </c>
      <c r="H3171" s="8" t="n">
        <v>4.69</v>
      </c>
      <c r="I3171" s="8" t="n">
        <v>4.69</v>
      </c>
      <c r="J3171" s="8" t="n"/>
      <c r="K3171" s="7" t="inlineStr">
        <is>
          <t>SEM COTAÇÃO</t>
        </is>
      </c>
      <c r="L3171" s="8" t="n"/>
      <c r="M3171" s="12" t="n"/>
      <c r="N3171" s="7" t="inlineStr"/>
      <c r="O3171" s="7" t="inlineStr"/>
    </row>
    <row r="3172">
      <c r="A3172" s="7" t="n">
        <v>598751</v>
      </c>
      <c r="B3172" s="10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1" t="n">
        <v>2</v>
      </c>
      <c r="G3172" s="11" t="n">
        <v>2</v>
      </c>
      <c r="H3172" s="8" t="n">
        <v>8.99</v>
      </c>
      <c r="I3172" s="8" t="n">
        <v>8.99</v>
      </c>
      <c r="J3172" s="8" t="n"/>
      <c r="K3172" s="7" t="inlineStr">
        <is>
          <t>SEM COTAÇÃO</t>
        </is>
      </c>
      <c r="L3172" s="8" t="n"/>
      <c r="M3172" s="12" t="n"/>
      <c r="N3172" s="7" t="inlineStr"/>
      <c r="O3172" s="7" t="inlineStr"/>
    </row>
    <row r="3173">
      <c r="A3173" s="7" t="n">
        <v>598771</v>
      </c>
      <c r="B3173" s="10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1" t="n">
        <v>1</v>
      </c>
      <c r="G3173" s="11" t="n">
        <v>1</v>
      </c>
      <c r="H3173" s="8" t="n">
        <v>8.99</v>
      </c>
      <c r="I3173" s="8" t="n">
        <v>8.99</v>
      </c>
      <c r="J3173" s="8" t="n"/>
      <c r="K3173" s="7" t="inlineStr">
        <is>
          <t>SEM COTAÇÃO</t>
        </is>
      </c>
      <c r="L3173" s="8" t="n"/>
      <c r="M3173" s="12" t="n"/>
      <c r="N3173" s="7" t="inlineStr"/>
      <c r="O3173" s="7" t="inlineStr"/>
    </row>
    <row r="3174">
      <c r="A3174" s="7" t="n">
        <v>674871</v>
      </c>
      <c r="B3174" s="10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1" t="n">
        <v>3</v>
      </c>
      <c r="G3174" s="11" t="n">
        <v>3</v>
      </c>
      <c r="H3174" s="8" t="n">
        <v>8.289999999999999</v>
      </c>
      <c r="I3174" s="8" t="n">
        <v>8.289999999999999</v>
      </c>
      <c r="J3174" s="8" t="n"/>
      <c r="K3174" s="7" t="inlineStr">
        <is>
          <t>SEM COTAÇÃO</t>
        </is>
      </c>
      <c r="L3174" s="8" t="n"/>
      <c r="M3174" s="12" t="n"/>
      <c r="N3174" s="7" t="inlineStr"/>
      <c r="O3174" s="7" t="inlineStr"/>
    </row>
    <row r="3175">
      <c r="A3175" s="7" t="n">
        <v>628481</v>
      </c>
      <c r="B3175" s="10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1" t="n">
        <v>1</v>
      </c>
      <c r="G3175" s="11" t="n">
        <v>1</v>
      </c>
      <c r="H3175" s="8" t="n">
        <v>7.32</v>
      </c>
      <c r="I3175" s="8" t="n">
        <v>7.32</v>
      </c>
      <c r="J3175" s="8" t="n"/>
      <c r="K3175" s="7" t="inlineStr">
        <is>
          <t>SEM COTAÇÃO</t>
        </is>
      </c>
      <c r="L3175" s="8" t="n"/>
      <c r="M3175" s="12" t="n"/>
      <c r="N3175" s="7" t="inlineStr"/>
      <c r="O3175" s="7" t="inlineStr"/>
    </row>
    <row r="3176">
      <c r="A3176" s="7" t="n">
        <v>628801</v>
      </c>
      <c r="B3176" s="10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1" t="n">
        <v>1</v>
      </c>
      <c r="G3176" s="11" t="n">
        <v>1</v>
      </c>
      <c r="H3176" s="8" t="n">
        <v>10.45</v>
      </c>
      <c r="I3176" s="8" t="n">
        <v>10.45</v>
      </c>
      <c r="J3176" s="8" t="n"/>
      <c r="K3176" s="7" t="inlineStr">
        <is>
          <t>SEM COTAÇÃO</t>
        </is>
      </c>
      <c r="L3176" s="8" t="n"/>
      <c r="M3176" s="12" t="n"/>
      <c r="N3176" s="7" t="inlineStr"/>
      <c r="O3176" s="7" t="inlineStr"/>
    </row>
    <row r="3177">
      <c r="A3177" s="7" t="n">
        <v>631741</v>
      </c>
      <c r="B3177" s="10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1" t="n">
        <v>1</v>
      </c>
      <c r="G3177" s="11" t="n">
        <v>1</v>
      </c>
      <c r="H3177" s="8" t="n">
        <v>10.45</v>
      </c>
      <c r="I3177" s="8" t="n">
        <v>10.45</v>
      </c>
      <c r="J3177" s="8" t="n"/>
      <c r="K3177" s="7" t="inlineStr">
        <is>
          <t>SEM COTAÇÃO</t>
        </is>
      </c>
      <c r="L3177" s="8" t="n"/>
      <c r="M3177" s="12" t="n"/>
      <c r="N3177" s="7" t="inlineStr"/>
      <c r="O3177" s="7" t="inlineStr"/>
    </row>
    <row r="3178">
      <c r="A3178" s="7" t="n">
        <v>625161</v>
      </c>
      <c r="B3178" s="10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1" t="n">
        <v>1</v>
      </c>
      <c r="G3178" s="11" t="n">
        <v>1</v>
      </c>
      <c r="H3178" s="8" t="n">
        <v>10.98</v>
      </c>
      <c r="I3178" s="8" t="n">
        <v>10.98</v>
      </c>
      <c r="J3178" s="8" t="n"/>
      <c r="K3178" s="7" t="inlineStr">
        <is>
          <t>SEM COTAÇÃO</t>
        </is>
      </c>
      <c r="L3178" s="8" t="n"/>
      <c r="M3178" s="12" t="n"/>
      <c r="N3178" s="7" t="inlineStr"/>
      <c r="O3178" s="7" t="inlineStr"/>
    </row>
    <row r="3179">
      <c r="A3179" s="7" t="n">
        <v>658351</v>
      </c>
      <c r="B3179" s="10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1" t="n">
        <v>2</v>
      </c>
      <c r="G3179" s="11" t="n">
        <v>2</v>
      </c>
      <c r="H3179" s="8" t="n">
        <v>24.87</v>
      </c>
      <c r="I3179" s="8" t="n">
        <v>24.87</v>
      </c>
      <c r="J3179" s="8" t="n"/>
      <c r="K3179" s="7" t="inlineStr">
        <is>
          <t>SEM COTAÇÃO</t>
        </is>
      </c>
      <c r="L3179" s="8" t="n"/>
      <c r="M3179" s="12" t="n"/>
      <c r="N3179" s="7" t="inlineStr"/>
      <c r="O3179" s="7" t="inlineStr"/>
    </row>
    <row r="3180">
      <c r="A3180" s="7" t="n">
        <v>568081</v>
      </c>
      <c r="B3180" s="10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1" t="n">
        <v>4</v>
      </c>
      <c r="G3180" s="11" t="n">
        <v>4</v>
      </c>
      <c r="H3180" s="8" t="n">
        <v>8.869999999999999</v>
      </c>
      <c r="I3180" s="8" t="n">
        <v>8.869999999999999</v>
      </c>
      <c r="J3180" s="8" t="n"/>
      <c r="K3180" s="7" t="inlineStr">
        <is>
          <t>SEM COTAÇÃO</t>
        </is>
      </c>
      <c r="L3180" s="8" t="n"/>
      <c r="M3180" s="12" t="n"/>
      <c r="N3180" s="7" t="inlineStr"/>
      <c r="O3180" s="7" t="inlineStr"/>
    </row>
    <row r="3181">
      <c r="A3181" s="7" t="n">
        <v>617331</v>
      </c>
      <c r="B3181" s="10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1" t="n">
        <v>1</v>
      </c>
      <c r="G3181" s="11" t="n">
        <v>1</v>
      </c>
      <c r="H3181" s="8" t="n">
        <v>12.42</v>
      </c>
      <c r="I3181" s="8" t="n">
        <v>12.42</v>
      </c>
      <c r="J3181" s="8" t="n"/>
      <c r="K3181" s="7" t="inlineStr">
        <is>
          <t>SEM COTAÇÃO</t>
        </is>
      </c>
      <c r="L3181" s="8" t="n"/>
      <c r="M3181" s="12" t="n"/>
      <c r="N3181" s="7" t="inlineStr"/>
      <c r="O3181" s="7" t="inlineStr"/>
    </row>
    <row r="3182">
      <c r="A3182" s="7" t="n">
        <v>3503</v>
      </c>
      <c r="B3182" s="10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1" t="n">
        <v>2</v>
      </c>
      <c r="G3182" s="11" t="n">
        <v>2</v>
      </c>
      <c r="H3182" s="8" t="n">
        <v>7.59</v>
      </c>
      <c r="I3182" s="8" t="n">
        <v>7.59</v>
      </c>
      <c r="J3182" s="13" t="n">
        <v>7.59</v>
      </c>
      <c r="K3182" s="7" t="inlineStr">
        <is>
          <t>DIMEC</t>
        </is>
      </c>
      <c r="L3182" s="8" t="n">
        <v>7.59</v>
      </c>
      <c r="M3182" s="12">
        <f>L3182/H3182-1</f>
        <v/>
      </c>
      <c r="N3182" s="15" t="inlineStr">
        <is>
          <t>OK (≤ menor hist.)</t>
        </is>
      </c>
      <c r="O3182" s="7" t="inlineStr"/>
    </row>
    <row r="3183">
      <c r="A3183" s="7" t="n">
        <v>638661</v>
      </c>
      <c r="B3183" s="10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1" t="n">
        <v>1</v>
      </c>
      <c r="G3183" s="11" t="n">
        <v>1</v>
      </c>
      <c r="H3183" s="8" t="n">
        <v>22.5</v>
      </c>
      <c r="I3183" s="8" t="n">
        <v>22.5</v>
      </c>
      <c r="J3183" s="8" t="n"/>
      <c r="K3183" s="7" t="inlineStr">
        <is>
          <t>SEM COTAÇÃO</t>
        </is>
      </c>
      <c r="L3183" s="8" t="n"/>
      <c r="M3183" s="12" t="n"/>
      <c r="N3183" s="7" t="inlineStr"/>
      <c r="O3183" s="7" t="inlineStr"/>
    </row>
    <row r="3184">
      <c r="A3184" s="7" t="n">
        <v>3523</v>
      </c>
      <c r="B3184" s="10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1" t="n">
        <v>5</v>
      </c>
      <c r="G3184" s="11" t="n">
        <v>5</v>
      </c>
      <c r="H3184" s="8" t="n">
        <v>9.99</v>
      </c>
      <c r="I3184" s="8" t="n">
        <v>9.99</v>
      </c>
      <c r="J3184" s="8" t="n"/>
      <c r="K3184" s="7" t="inlineStr">
        <is>
          <t>SEM COTAÇÃO</t>
        </is>
      </c>
      <c r="L3184" s="8" t="n"/>
      <c r="M3184" s="12" t="n"/>
      <c r="N3184" s="7" t="inlineStr"/>
      <c r="O3184" s="7" t="inlineStr"/>
    </row>
    <row r="3185">
      <c r="A3185" s="7" t="n">
        <v>565841</v>
      </c>
      <c r="B3185" s="10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1" t="n">
        <v>3</v>
      </c>
      <c r="G3185" s="11" t="n">
        <v>3</v>
      </c>
      <c r="H3185" s="8" t="n">
        <v>7.16</v>
      </c>
      <c r="I3185" s="8" t="n">
        <v>7.16</v>
      </c>
      <c r="J3185" s="13" t="n">
        <v>7.16</v>
      </c>
      <c r="K3185" s="7" t="inlineStr">
        <is>
          <t>DIMEC</t>
        </is>
      </c>
      <c r="L3185" s="8" t="n">
        <v>7.16</v>
      </c>
      <c r="M3185" s="12">
        <f>L3185/H3185-1</f>
        <v/>
      </c>
      <c r="N3185" s="15" t="inlineStr">
        <is>
          <t>OK (≤ menor hist.)</t>
        </is>
      </c>
      <c r="O3185" s="7" t="inlineStr"/>
    </row>
    <row r="3186">
      <c r="A3186" s="7" t="n">
        <v>5063</v>
      </c>
      <c r="B3186" s="10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1" t="n">
        <v>18</v>
      </c>
      <c r="G3186" s="11" t="n">
        <v>18</v>
      </c>
      <c r="H3186" s="8" t="n">
        <v>4.2</v>
      </c>
      <c r="I3186" s="8" t="n">
        <v>3.99</v>
      </c>
      <c r="J3186" s="8" t="n"/>
      <c r="K3186" s="7" t="inlineStr">
        <is>
          <t>SEM COTAÇÃO</t>
        </is>
      </c>
      <c r="L3186" s="8" t="n"/>
      <c r="M3186" s="12" t="n"/>
      <c r="N3186" s="7" t="inlineStr"/>
      <c r="O3186" s="7" t="inlineStr"/>
    </row>
    <row r="3187">
      <c r="A3187" s="7" t="n">
        <v>661631</v>
      </c>
      <c r="B3187" s="10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1" t="n">
        <v>1</v>
      </c>
      <c r="G3187" s="11" t="n">
        <v>1</v>
      </c>
      <c r="H3187" s="8" t="n">
        <v>8.65</v>
      </c>
      <c r="I3187" s="8" t="n">
        <v>8.33</v>
      </c>
      <c r="J3187" s="8" t="n"/>
      <c r="K3187" s="7" t="inlineStr">
        <is>
          <t>SEM COTAÇÃO</t>
        </is>
      </c>
      <c r="L3187" s="8" t="n"/>
      <c r="M3187" s="12" t="n"/>
      <c r="N3187" s="7" t="inlineStr"/>
      <c r="O3187" s="7" t="inlineStr"/>
    </row>
    <row r="3188">
      <c r="A3188" s="7" t="n">
        <v>4983</v>
      </c>
      <c r="B3188" s="10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1" t="n">
        <v>12</v>
      </c>
      <c r="G3188" s="11" t="n">
        <v>12</v>
      </c>
      <c r="H3188" s="8" t="n">
        <v>3.61</v>
      </c>
      <c r="I3188" s="8" t="n">
        <v>3.61</v>
      </c>
      <c r="J3188" s="13" t="n">
        <v>3.6</v>
      </c>
      <c r="K3188" s="7" t="inlineStr">
        <is>
          <t>DIMEC</t>
        </is>
      </c>
      <c r="L3188" s="8" t="n">
        <v>3.6</v>
      </c>
      <c r="M3188" s="12">
        <f>L3188/H3188-1</f>
        <v/>
      </c>
      <c r="N3188" s="15" t="inlineStr">
        <is>
          <t>OK (≤ menor hist.)</t>
        </is>
      </c>
      <c r="O3188" s="7" t="inlineStr"/>
    </row>
    <row r="3189">
      <c r="A3189" s="7" t="n">
        <v>5053</v>
      </c>
      <c r="B3189" s="10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1" t="n">
        <v>7</v>
      </c>
      <c r="G3189" s="11" t="n">
        <v>7</v>
      </c>
      <c r="H3189" s="8" t="n">
        <v>5.45</v>
      </c>
      <c r="I3189" s="8" t="n">
        <v>5.45</v>
      </c>
      <c r="J3189" s="13" t="n">
        <v>5.79</v>
      </c>
      <c r="K3189" s="7" t="inlineStr">
        <is>
          <t>DIMEC</t>
        </is>
      </c>
      <c r="L3189" s="8" t="n">
        <v>5.79</v>
      </c>
      <c r="M3189" s="12">
        <f>L3189/H3189-1</f>
        <v/>
      </c>
      <c r="N3189" s="14" t="inlineStr">
        <is>
          <t>ACIMA +6.2%</t>
        </is>
      </c>
      <c r="O3189" s="7" t="inlineStr"/>
    </row>
    <row r="3190">
      <c r="A3190" s="7" t="n">
        <v>605901</v>
      </c>
      <c r="B3190" s="10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1" t="n">
        <v>22</v>
      </c>
      <c r="G3190" s="11" t="n">
        <v>22</v>
      </c>
      <c r="H3190" s="8" t="n">
        <v>5.22</v>
      </c>
      <c r="I3190" s="8" t="n">
        <v>5.22</v>
      </c>
      <c r="J3190" s="13" t="n">
        <v>5.3</v>
      </c>
      <c r="K3190" s="7" t="inlineStr">
        <is>
          <t>DIMEC</t>
        </is>
      </c>
      <c r="L3190" s="8" t="n">
        <v>5.3</v>
      </c>
      <c r="M3190" s="12">
        <f>L3190/H3190-1</f>
        <v/>
      </c>
      <c r="N3190" s="14" t="inlineStr">
        <is>
          <t>ACIMA +1.5%</t>
        </is>
      </c>
      <c r="O3190" s="7" t="inlineStr"/>
    </row>
    <row r="3191">
      <c r="A3191" s="7" t="n">
        <v>613861</v>
      </c>
      <c r="B3191" s="10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1" t="n">
        <v>4</v>
      </c>
      <c r="G3191" s="11" t="n">
        <v>4</v>
      </c>
      <c r="H3191" s="8" t="n">
        <v>8.67</v>
      </c>
      <c r="I3191" s="8" t="n">
        <v>8.67</v>
      </c>
      <c r="J3191" s="13" t="n">
        <v>8.67</v>
      </c>
      <c r="K3191" s="7" t="inlineStr">
        <is>
          <t>DIMEC</t>
        </is>
      </c>
      <c r="L3191" s="8" t="n">
        <v>8.67</v>
      </c>
      <c r="M3191" s="12">
        <f>L3191/H3191-1</f>
        <v/>
      </c>
      <c r="N3191" s="15" t="inlineStr">
        <is>
          <t>OK (≤ menor hist.)</t>
        </is>
      </c>
      <c r="O3191" s="7" t="inlineStr"/>
    </row>
    <row r="3192">
      <c r="A3192" s="7" t="n">
        <v>37703</v>
      </c>
      <c r="B3192" s="10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1" t="n">
        <v>9</v>
      </c>
      <c r="G3192" s="11" t="n">
        <v>9</v>
      </c>
      <c r="H3192" s="8" t="n">
        <v>5.66</v>
      </c>
      <c r="I3192" s="8" t="n">
        <v>5.66</v>
      </c>
      <c r="J3192" s="13" t="n">
        <v>6.89</v>
      </c>
      <c r="K3192" s="7" t="inlineStr">
        <is>
          <t>DIMEC</t>
        </is>
      </c>
      <c r="L3192" s="8" t="n">
        <v>6.89</v>
      </c>
      <c r="M3192" s="12">
        <f>L3192/H3192-1</f>
        <v/>
      </c>
      <c r="N3192" s="14" t="inlineStr">
        <is>
          <t>ACIMA +21.7%</t>
        </is>
      </c>
      <c r="O3192" s="7" t="inlineStr"/>
    </row>
    <row r="3193">
      <c r="A3193" s="7" t="n">
        <v>690701</v>
      </c>
      <c r="B3193" s="10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1" t="n">
        <v>1</v>
      </c>
      <c r="G3193" s="11" t="n">
        <v>1</v>
      </c>
      <c r="H3193" s="8" t="n">
        <v>16.87</v>
      </c>
      <c r="I3193" s="8" t="n">
        <v>16.87</v>
      </c>
      <c r="J3193" s="8" t="n"/>
      <c r="K3193" s="7" t="inlineStr">
        <is>
          <t>SEM COTAÇÃO</t>
        </is>
      </c>
      <c r="L3193" s="8" t="n"/>
      <c r="M3193" s="12" t="n"/>
      <c r="N3193" s="7" t="inlineStr"/>
      <c r="O3193" s="7" t="inlineStr"/>
    </row>
    <row r="3194">
      <c r="A3194" s="7" t="n">
        <v>611431</v>
      </c>
      <c r="B3194" s="10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1" t="n">
        <v>5</v>
      </c>
      <c r="G3194" s="11" t="n">
        <v>5</v>
      </c>
      <c r="H3194" s="8" t="n">
        <v>4.31</v>
      </c>
      <c r="I3194" s="8" t="n">
        <v>4.31</v>
      </c>
      <c r="J3194" s="8" t="n"/>
      <c r="K3194" s="7" t="inlineStr">
        <is>
          <t>SEM COTAÇÃO</t>
        </is>
      </c>
      <c r="L3194" s="8" t="n"/>
      <c r="M3194" s="12" t="n"/>
      <c r="N3194" s="7" t="inlineStr"/>
      <c r="O3194" s="7" t="inlineStr"/>
    </row>
    <row r="3195">
      <c r="A3195" s="7" t="n">
        <v>608071</v>
      </c>
      <c r="B3195" s="10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1" t="n">
        <v>2</v>
      </c>
      <c r="G3195" s="11" t="n">
        <v>2</v>
      </c>
      <c r="H3195" s="8" t="n">
        <v>6.39</v>
      </c>
      <c r="I3195" s="8" t="n">
        <v>6.39</v>
      </c>
      <c r="J3195" s="8" t="n"/>
      <c r="K3195" s="7" t="inlineStr">
        <is>
          <t>SEM COTAÇÃO</t>
        </is>
      </c>
      <c r="L3195" s="8" t="n"/>
      <c r="M3195" s="12" t="n"/>
      <c r="N3195" s="7" t="inlineStr"/>
      <c r="O3195" s="7" t="inlineStr"/>
    </row>
    <row r="3196">
      <c r="A3196" s="7" t="n">
        <v>654761</v>
      </c>
      <c r="B3196" s="10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1" t="n">
        <v>3</v>
      </c>
      <c r="G3196" s="11" t="n">
        <v>3</v>
      </c>
      <c r="H3196" s="8" t="n">
        <v>17.49</v>
      </c>
      <c r="I3196" s="8" t="n">
        <v>17.49</v>
      </c>
      <c r="J3196" s="8" t="n"/>
      <c r="K3196" s="7" t="inlineStr">
        <is>
          <t>SEM COTAÇÃO</t>
        </is>
      </c>
      <c r="L3196" s="8" t="n"/>
      <c r="M3196" s="12" t="n"/>
      <c r="N3196" s="7" t="inlineStr"/>
      <c r="O3196" s="7" t="inlineStr"/>
    </row>
    <row r="3197">
      <c r="A3197" s="7" t="n">
        <v>587061</v>
      </c>
      <c r="B3197" s="10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1" t="n">
        <v>1</v>
      </c>
      <c r="G3197" s="11" t="n">
        <v>1</v>
      </c>
      <c r="H3197" s="8" t="n">
        <v>11.68</v>
      </c>
      <c r="I3197" s="8" t="n">
        <v>11.68</v>
      </c>
      <c r="J3197" s="8" t="n"/>
      <c r="K3197" s="7" t="inlineStr">
        <is>
          <t>SEM COTAÇÃO</t>
        </is>
      </c>
      <c r="L3197" s="8" t="n"/>
      <c r="M3197" s="12" t="n"/>
      <c r="N3197" s="7" t="inlineStr"/>
      <c r="O3197" s="7" t="inlineStr"/>
    </row>
    <row r="3198">
      <c r="A3198" s="7" t="n">
        <v>610951</v>
      </c>
      <c r="B3198" s="10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1" t="n">
        <v>1</v>
      </c>
      <c r="G3198" s="11" t="n">
        <v>1</v>
      </c>
      <c r="H3198" s="8" t="n">
        <v>9.300000000000001</v>
      </c>
      <c r="I3198" s="8" t="n">
        <v>9.300000000000001</v>
      </c>
      <c r="J3198" s="8" t="n"/>
      <c r="K3198" s="7" t="inlineStr">
        <is>
          <t>SEM COTAÇÃO</t>
        </is>
      </c>
      <c r="L3198" s="8" t="n"/>
      <c r="M3198" s="12" t="n"/>
      <c r="N3198" s="7" t="inlineStr"/>
      <c r="O3198" s="7" t="inlineStr"/>
    </row>
    <row r="3199">
      <c r="A3199" s="7" t="n">
        <v>647941</v>
      </c>
      <c r="B3199" s="10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1" t="n">
        <v>1</v>
      </c>
      <c r="G3199" s="11" t="n">
        <v>1</v>
      </c>
      <c r="H3199" s="8" t="n">
        <v>20.91</v>
      </c>
      <c r="I3199" s="8" t="n">
        <v>20.91</v>
      </c>
      <c r="J3199" s="8" t="n"/>
      <c r="K3199" s="7" t="inlineStr">
        <is>
          <t>SEM COTAÇÃO</t>
        </is>
      </c>
      <c r="L3199" s="8" t="n"/>
      <c r="M3199" s="12" t="n"/>
      <c r="N3199" s="7" t="inlineStr"/>
      <c r="O3199" s="7" t="inlineStr"/>
    </row>
    <row r="3200">
      <c r="A3200" s="7" t="n">
        <v>564341</v>
      </c>
      <c r="B3200" s="10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1" t="n">
        <v>14</v>
      </c>
      <c r="G3200" s="11" t="n">
        <v>14</v>
      </c>
      <c r="H3200" s="8" t="n">
        <v>33.88</v>
      </c>
      <c r="I3200" s="8" t="n">
        <v>33.88</v>
      </c>
      <c r="J3200" s="8" t="n"/>
      <c r="K3200" s="7" t="inlineStr">
        <is>
          <t>SEM COTAÇÃO</t>
        </is>
      </c>
      <c r="L3200" s="8" t="n"/>
      <c r="M3200" s="12" t="n"/>
      <c r="N3200" s="7" t="inlineStr"/>
      <c r="O3200" s="7" t="inlineStr"/>
    </row>
    <row r="3201">
      <c r="A3201" s="7" t="n">
        <v>656731</v>
      </c>
      <c r="B3201" s="10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1" t="n">
        <v>4</v>
      </c>
      <c r="G3201" s="11" t="n">
        <v>4</v>
      </c>
      <c r="H3201" s="8" t="n">
        <v>26.31</v>
      </c>
      <c r="I3201" s="8" t="n">
        <v>26.31</v>
      </c>
      <c r="J3201" s="8" t="n"/>
      <c r="K3201" s="7" t="inlineStr">
        <is>
          <t>SEM COTAÇÃO</t>
        </is>
      </c>
      <c r="L3201" s="8" t="n"/>
      <c r="M3201" s="12" t="n"/>
      <c r="N3201" s="7" t="inlineStr"/>
      <c r="O3201" s="7" t="inlineStr"/>
    </row>
    <row r="3202">
      <c r="A3202" s="7" t="n">
        <v>608741</v>
      </c>
      <c r="B3202" s="10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1" t="n">
        <v>5</v>
      </c>
      <c r="G3202" s="11" t="n">
        <v>5</v>
      </c>
      <c r="H3202" s="8" t="n">
        <v>5.05</v>
      </c>
      <c r="I3202" s="8" t="n">
        <v>5.05</v>
      </c>
      <c r="J3202" s="8" t="n"/>
      <c r="K3202" s="7" t="inlineStr">
        <is>
          <t>SEM COTAÇÃO</t>
        </is>
      </c>
      <c r="L3202" s="8" t="n"/>
      <c r="M3202" s="12" t="n"/>
      <c r="N3202" s="7" t="inlineStr"/>
      <c r="O3202" s="7" t="inlineStr"/>
    </row>
    <row r="3203">
      <c r="A3203" s="7" t="n">
        <v>559881</v>
      </c>
      <c r="B3203" s="10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1" t="n">
        <v>2</v>
      </c>
      <c r="G3203" s="11" t="n">
        <v>2</v>
      </c>
      <c r="H3203" s="8" t="n">
        <v>5.88</v>
      </c>
      <c r="I3203" s="8" t="n">
        <v>4.85</v>
      </c>
      <c r="J3203" s="8" t="n"/>
      <c r="K3203" s="7" t="inlineStr">
        <is>
          <t>SEM COTAÇÃO</t>
        </is>
      </c>
      <c r="L3203" s="8" t="n"/>
      <c r="M3203" s="12" t="n"/>
      <c r="N3203" s="7" t="inlineStr"/>
      <c r="O3203" s="7" t="inlineStr"/>
    </row>
    <row r="3204">
      <c r="A3204" s="7" t="n">
        <v>563181</v>
      </c>
      <c r="B3204" s="10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1" t="n">
        <v>7</v>
      </c>
      <c r="G3204" s="11" t="n">
        <v>7</v>
      </c>
      <c r="H3204" s="8" t="n">
        <v>6.99</v>
      </c>
      <c r="I3204" s="8" t="n">
        <v>6.99</v>
      </c>
      <c r="J3204" s="8" t="n"/>
      <c r="K3204" s="7" t="inlineStr">
        <is>
          <t>SEM COTAÇÃO</t>
        </is>
      </c>
      <c r="L3204" s="8" t="n"/>
      <c r="M3204" s="12" t="n"/>
      <c r="N3204" s="7" t="inlineStr"/>
      <c r="O3204" s="7" t="inlineStr"/>
    </row>
    <row r="3205">
      <c r="A3205" s="7" t="n">
        <v>617361</v>
      </c>
      <c r="B3205" s="10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1" t="n">
        <v>1</v>
      </c>
      <c r="G3205" s="11" t="n">
        <v>1</v>
      </c>
      <c r="H3205" s="8" t="n">
        <v>11.44</v>
      </c>
      <c r="I3205" s="8" t="n">
        <v>11.44</v>
      </c>
      <c r="J3205" s="8" t="n"/>
      <c r="K3205" s="7" t="inlineStr">
        <is>
          <t>SEM COTAÇÃO</t>
        </is>
      </c>
      <c r="L3205" s="8" t="n"/>
      <c r="M3205" s="12" t="n"/>
      <c r="N3205" s="7" t="inlineStr"/>
      <c r="O3205" s="7" t="inlineStr"/>
    </row>
    <row r="3206">
      <c r="A3206" s="7" t="n">
        <v>668581</v>
      </c>
      <c r="B3206" s="10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1" t="n">
        <v>1</v>
      </c>
      <c r="G3206" s="11" t="n">
        <v>1</v>
      </c>
      <c r="H3206" s="8" t="n">
        <v>18.66</v>
      </c>
      <c r="I3206" s="8" t="n">
        <v>17.26</v>
      </c>
      <c r="J3206" s="8" t="n"/>
      <c r="K3206" s="7" t="inlineStr">
        <is>
          <t>SEM COTAÇÃO</t>
        </is>
      </c>
      <c r="L3206" s="8" t="n"/>
      <c r="M3206" s="12" t="n"/>
      <c r="N3206" s="7" t="inlineStr"/>
      <c r="O3206" s="7" t="inlineStr"/>
    </row>
    <row r="3207">
      <c r="A3207" s="7" t="n">
        <v>2433</v>
      </c>
      <c r="B3207" s="10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1" t="n">
        <v>18</v>
      </c>
      <c r="G3207" s="11" t="n">
        <v>18</v>
      </c>
      <c r="H3207" s="8" t="n">
        <v>21.5</v>
      </c>
      <c r="I3207" s="8" t="n">
        <v>20.44</v>
      </c>
      <c r="J3207" s="8" t="n"/>
      <c r="K3207" s="7" t="inlineStr">
        <is>
          <t>SEM COTAÇÃO</t>
        </is>
      </c>
      <c r="L3207" s="8" t="n"/>
      <c r="M3207" s="12" t="n"/>
      <c r="N3207" s="7" t="inlineStr"/>
      <c r="O3207" s="7" t="inlineStr"/>
    </row>
    <row r="3208">
      <c r="A3208" s="7" t="n">
        <v>600211</v>
      </c>
      <c r="B3208" s="10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1" t="n">
        <v>8</v>
      </c>
      <c r="G3208" s="11" t="n">
        <v>8</v>
      </c>
      <c r="H3208" s="8" t="n">
        <v>10.95</v>
      </c>
      <c r="I3208" s="8" t="n">
        <v>9.619999999999999</v>
      </c>
      <c r="J3208" s="8" t="n"/>
      <c r="K3208" s="7" t="inlineStr">
        <is>
          <t>SEM COTAÇÃO</t>
        </is>
      </c>
      <c r="L3208" s="8" t="n"/>
      <c r="M3208" s="12" t="n"/>
      <c r="N3208" s="7" t="inlineStr"/>
      <c r="O3208" s="7" t="inlineStr"/>
    </row>
    <row r="3209">
      <c r="A3209" s="7" t="n">
        <v>608001</v>
      </c>
      <c r="B3209" s="10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1" t="n">
        <v>1</v>
      </c>
      <c r="G3209" s="11" t="n">
        <v>1</v>
      </c>
      <c r="H3209" s="8" t="n">
        <v>16.65</v>
      </c>
      <c r="I3209" s="8" t="n">
        <v>16.65</v>
      </c>
      <c r="J3209" s="8" t="n"/>
      <c r="K3209" s="7" t="inlineStr">
        <is>
          <t>SEM COTAÇÃO</t>
        </is>
      </c>
      <c r="L3209" s="8" t="n"/>
      <c r="M3209" s="12" t="n"/>
      <c r="N3209" s="7" t="inlineStr"/>
      <c r="O3209" s="7" t="inlineStr"/>
    </row>
    <row r="3210">
      <c r="A3210" s="7" t="n">
        <v>638411</v>
      </c>
      <c r="B3210" s="10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1" t="n">
        <v>3</v>
      </c>
      <c r="G3210" s="11" t="n">
        <v>3</v>
      </c>
      <c r="H3210" s="8" t="n">
        <v>39.29</v>
      </c>
      <c r="I3210" s="8" t="n">
        <v>39.29</v>
      </c>
      <c r="J3210" s="8" t="n"/>
      <c r="K3210" s="7" t="inlineStr">
        <is>
          <t>SEM COTAÇÃO</t>
        </is>
      </c>
      <c r="L3210" s="8" t="n"/>
      <c r="M3210" s="12" t="n"/>
      <c r="N3210" s="7" t="inlineStr"/>
      <c r="O3210" s="7" t="inlineStr"/>
    </row>
    <row r="3211">
      <c r="A3211" s="7" t="n">
        <v>673101</v>
      </c>
      <c r="B3211" s="10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1" t="n">
        <v>1</v>
      </c>
      <c r="G3211" s="11" t="n">
        <v>1</v>
      </c>
      <c r="H3211" s="8" t="n">
        <v>17.76</v>
      </c>
      <c r="I3211" s="8" t="n">
        <v>17.76</v>
      </c>
      <c r="J3211" s="8" t="n"/>
      <c r="K3211" s="7" t="inlineStr">
        <is>
          <t>SEM COTAÇÃO</t>
        </is>
      </c>
      <c r="L3211" s="8" t="n"/>
      <c r="M3211" s="12" t="n"/>
      <c r="N3211" s="7" t="inlineStr"/>
      <c r="O3211" s="7" t="inlineStr"/>
    </row>
    <row r="3212">
      <c r="A3212" s="7" t="n">
        <v>669931</v>
      </c>
      <c r="B3212" s="10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1" t="n">
        <v>1</v>
      </c>
      <c r="G3212" s="11" t="n">
        <v>1</v>
      </c>
      <c r="H3212" s="8" t="n">
        <v>40.63</v>
      </c>
      <c r="I3212" s="8" t="n">
        <v>40.63</v>
      </c>
      <c r="J3212" s="8" t="n"/>
      <c r="K3212" s="7" t="inlineStr">
        <is>
          <t>SEM COTAÇÃO</t>
        </is>
      </c>
      <c r="L3212" s="8" t="n"/>
      <c r="M3212" s="12" t="n"/>
      <c r="N3212" s="7" t="inlineStr"/>
      <c r="O3212" s="7" t="inlineStr"/>
    </row>
    <row r="3213">
      <c r="A3213" s="7" t="n">
        <v>629671</v>
      </c>
      <c r="B3213" s="10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1" t="n">
        <v>1</v>
      </c>
      <c r="G3213" s="11" t="n">
        <v>1</v>
      </c>
      <c r="H3213" s="8" t="n">
        <v>6.39</v>
      </c>
      <c r="I3213" s="8" t="n">
        <v>6.39</v>
      </c>
      <c r="J3213" s="8" t="n"/>
      <c r="K3213" s="7" t="inlineStr">
        <is>
          <t>SEM COTAÇÃO</t>
        </is>
      </c>
      <c r="L3213" s="8" t="n"/>
      <c r="M3213" s="12" t="n"/>
      <c r="N3213" s="7" t="inlineStr"/>
      <c r="O3213" s="7" t="inlineStr"/>
    </row>
    <row r="3214">
      <c r="A3214" s="7" t="n">
        <v>375941</v>
      </c>
      <c r="B3214" s="10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1" t="n">
        <v>3</v>
      </c>
      <c r="G3214" s="11" t="n">
        <v>3</v>
      </c>
      <c r="H3214" s="8" t="n">
        <v>11.77</v>
      </c>
      <c r="I3214" s="8" t="n">
        <v>9.99</v>
      </c>
      <c r="J3214" s="13" t="n">
        <v>14.45</v>
      </c>
      <c r="K3214" s="7" t="inlineStr">
        <is>
          <t>DIMEC</t>
        </is>
      </c>
      <c r="L3214" s="8" t="n">
        <v>14.45</v>
      </c>
      <c r="M3214" s="12">
        <f>L3214/H3214-1</f>
        <v/>
      </c>
      <c r="N3214" s="14" t="inlineStr">
        <is>
          <t>ACIMA +22.8%</t>
        </is>
      </c>
      <c r="O3214" s="7" t="inlineStr"/>
    </row>
    <row r="3215">
      <c r="A3215" s="7" t="n">
        <v>636361</v>
      </c>
      <c r="B3215" s="10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1" t="n">
        <v>4</v>
      </c>
      <c r="G3215" s="11" t="n">
        <v>4</v>
      </c>
      <c r="H3215" s="8" t="n">
        <v>15.655</v>
      </c>
      <c r="I3215" s="8" t="n">
        <v>14.2667</v>
      </c>
      <c r="J3215" s="8" t="n"/>
      <c r="K3215" s="7" t="inlineStr">
        <is>
          <t>SEM COTAÇÃO</t>
        </is>
      </c>
      <c r="L3215" s="8" t="n"/>
      <c r="M3215" s="12" t="n"/>
      <c r="N3215" s="7" t="inlineStr"/>
      <c r="O3215" s="7" t="inlineStr"/>
    </row>
    <row r="3216">
      <c r="A3216" s="7" t="n">
        <v>376061</v>
      </c>
      <c r="B3216" s="10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1" t="n">
        <v>13</v>
      </c>
      <c r="G3216" s="11" t="n">
        <v>13</v>
      </c>
      <c r="H3216" s="8" t="n">
        <v>17.13</v>
      </c>
      <c r="I3216" s="8" t="n">
        <v>14.57</v>
      </c>
      <c r="J3216" s="13" t="n">
        <v>21.08</v>
      </c>
      <c r="K3216" s="7" t="inlineStr">
        <is>
          <t>DIMEC</t>
        </is>
      </c>
      <c r="L3216" s="8" t="n">
        <v>21.08</v>
      </c>
      <c r="M3216" s="12">
        <f>L3216/H3216-1</f>
        <v/>
      </c>
      <c r="N3216" s="14" t="inlineStr">
        <is>
          <t>ACIMA +23.1%</t>
        </is>
      </c>
      <c r="O3216" s="7" t="inlineStr"/>
    </row>
    <row r="3217">
      <c r="A3217" s="7" t="n">
        <v>644201</v>
      </c>
      <c r="B3217" s="10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1" t="n">
        <v>2</v>
      </c>
      <c r="G3217" s="11" t="n">
        <v>2</v>
      </c>
      <c r="H3217" s="8" t="n">
        <v>45.45</v>
      </c>
      <c r="I3217" s="8" t="n">
        <v>45.45</v>
      </c>
      <c r="J3217" s="8" t="n"/>
      <c r="K3217" s="7" t="inlineStr">
        <is>
          <t>SEM COTAÇÃO</t>
        </is>
      </c>
      <c r="L3217" s="8" t="n"/>
      <c r="M3217" s="12" t="n"/>
      <c r="N3217" s="7" t="inlineStr"/>
      <c r="O3217" s="7" t="inlineStr"/>
    </row>
    <row r="3218">
      <c r="A3218" s="7" t="n">
        <v>290201</v>
      </c>
      <c r="B3218" s="10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1" t="n">
        <v>1</v>
      </c>
      <c r="G3218" s="11" t="n">
        <v>1</v>
      </c>
      <c r="H3218" s="8" t="n">
        <v>43.2</v>
      </c>
      <c r="I3218" s="8" t="n">
        <v>43.2</v>
      </c>
      <c r="J3218" s="8" t="n"/>
      <c r="K3218" s="7" t="inlineStr">
        <is>
          <t>SEM COTAÇÃO</t>
        </is>
      </c>
      <c r="L3218" s="8" t="n"/>
      <c r="M3218" s="12" t="n"/>
      <c r="N3218" s="7" t="inlineStr"/>
      <c r="O3218" s="7" t="inlineStr"/>
    </row>
    <row r="3219">
      <c r="A3219" s="7" t="n">
        <v>468981</v>
      </c>
      <c r="B3219" s="10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1" t="n">
        <v>8</v>
      </c>
      <c r="G3219" s="11" t="n">
        <v>8</v>
      </c>
      <c r="H3219" s="8" t="n">
        <v>18.945</v>
      </c>
      <c r="I3219" s="8" t="n">
        <v>16.8473</v>
      </c>
      <c r="J3219" s="8" t="n"/>
      <c r="K3219" s="7" t="inlineStr">
        <is>
          <t>SEM COTAÇÃO</t>
        </is>
      </c>
      <c r="L3219" s="8" t="n"/>
      <c r="M3219" s="12" t="n"/>
      <c r="N3219" s="7" t="inlineStr"/>
      <c r="O3219" s="7" t="inlineStr"/>
    </row>
    <row r="3220">
      <c r="A3220" s="7" t="n">
        <v>627711</v>
      </c>
      <c r="B3220" s="10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1" t="n">
        <v>13</v>
      </c>
      <c r="G3220" s="11" t="n">
        <v>13</v>
      </c>
      <c r="H3220" s="8" t="n">
        <v>32.02</v>
      </c>
      <c r="I3220" s="8" t="n">
        <v>27.45</v>
      </c>
      <c r="J3220" s="13" t="n">
        <v>37.44</v>
      </c>
      <c r="K3220" s="7" t="inlineStr">
        <is>
          <t>DIMEC</t>
        </is>
      </c>
      <c r="L3220" s="8" t="n">
        <v>37.44</v>
      </c>
      <c r="M3220" s="12">
        <f>L3220/H3220-1</f>
        <v/>
      </c>
      <c r="N3220" s="14" t="inlineStr">
        <is>
          <t>ACIMA +16.9%</t>
        </is>
      </c>
      <c r="O3220" s="7" t="inlineStr"/>
    </row>
    <row r="3221">
      <c r="A3221" s="7" t="n">
        <v>653711</v>
      </c>
      <c r="B3221" s="10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1" t="n">
        <v>3</v>
      </c>
      <c r="G3221" s="11" t="n">
        <v>3</v>
      </c>
      <c r="H3221" s="8" t="n">
        <v>20.09</v>
      </c>
      <c r="I3221" s="8" t="n">
        <v>20.09</v>
      </c>
      <c r="J3221" s="8" t="n"/>
      <c r="K3221" s="7" t="inlineStr">
        <is>
          <t>SEM COTAÇÃO</t>
        </is>
      </c>
      <c r="L3221" s="8" t="n"/>
      <c r="M3221" s="12" t="n"/>
      <c r="N3221" s="7" t="inlineStr"/>
      <c r="O3221" s="7" t="inlineStr"/>
    </row>
    <row r="3222">
      <c r="A3222" s="7" t="n">
        <v>655061</v>
      </c>
      <c r="B3222" s="10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1" t="n">
        <v>1</v>
      </c>
      <c r="G3222" s="11" t="n">
        <v>1</v>
      </c>
      <c r="H3222" s="8" t="n">
        <v>17.72</v>
      </c>
      <c r="I3222" s="8" t="n">
        <v>17.72</v>
      </c>
      <c r="J3222" s="8" t="n"/>
      <c r="K3222" s="7" t="inlineStr">
        <is>
          <t>SEM COTAÇÃO</t>
        </is>
      </c>
      <c r="L3222" s="8" t="n"/>
      <c r="M3222" s="12" t="n"/>
      <c r="N3222" s="7" t="inlineStr"/>
      <c r="O3222" s="7" t="inlineStr"/>
    </row>
    <row r="3223">
      <c r="A3223" s="7" t="n">
        <v>378101</v>
      </c>
      <c r="B3223" s="10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1" t="n">
        <v>14</v>
      </c>
      <c r="G3223" s="11" t="n">
        <v>14</v>
      </c>
      <c r="H3223" s="8" t="n">
        <v>2.79</v>
      </c>
      <c r="I3223" s="8" t="n">
        <v>2.65</v>
      </c>
      <c r="J3223" s="8" t="n"/>
      <c r="K3223" s="7" t="inlineStr">
        <is>
          <t>SEM COTAÇÃO</t>
        </is>
      </c>
      <c r="L3223" s="8" t="n"/>
      <c r="M3223" s="12" t="n"/>
      <c r="N3223" s="7" t="inlineStr"/>
      <c r="O3223" s="7" t="inlineStr"/>
    </row>
    <row r="3224">
      <c r="A3224" s="7" t="n">
        <v>378121</v>
      </c>
      <c r="B3224" s="10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1" t="n">
        <v>8</v>
      </c>
      <c r="G3224" s="11" t="n">
        <v>8</v>
      </c>
      <c r="H3224" s="8" t="n">
        <v>4.95</v>
      </c>
      <c r="I3224" s="8" t="n">
        <v>3.94</v>
      </c>
      <c r="J3224" s="8" t="n"/>
      <c r="K3224" s="7" t="inlineStr">
        <is>
          <t>SEM COTAÇÃO</t>
        </is>
      </c>
      <c r="L3224" s="8" t="n"/>
      <c r="M3224" s="12" t="n"/>
      <c r="N3224" s="7" t="inlineStr"/>
      <c r="O3224" s="7" t="inlineStr"/>
    </row>
    <row r="3225">
      <c r="A3225" s="7" t="n">
        <v>564781</v>
      </c>
      <c r="B3225" s="10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1" t="n">
        <v>30</v>
      </c>
      <c r="G3225" s="11" t="n">
        <v>30</v>
      </c>
      <c r="H3225" s="8" t="n">
        <v>9.619999999999999</v>
      </c>
      <c r="I3225" s="8" t="n">
        <v>5.69</v>
      </c>
      <c r="J3225" s="8" t="n"/>
      <c r="K3225" s="7" t="inlineStr">
        <is>
          <t>SEM COTAÇÃO</t>
        </is>
      </c>
      <c r="L3225" s="8" t="n"/>
      <c r="M3225" s="12" t="n"/>
      <c r="N3225" s="7" t="inlineStr"/>
      <c r="O3225" s="7" t="inlineStr"/>
    </row>
    <row r="3226">
      <c r="A3226" s="7" t="n">
        <v>378201</v>
      </c>
      <c r="B3226" s="10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1" t="n">
        <v>8</v>
      </c>
      <c r="G3226" s="11" t="n">
        <v>8</v>
      </c>
      <c r="H3226" s="8" t="n">
        <v>9.09</v>
      </c>
      <c r="I3226" s="8" t="n">
        <v>9.09</v>
      </c>
      <c r="J3226" s="8" t="n"/>
      <c r="K3226" s="7" t="inlineStr">
        <is>
          <t>SEM COTAÇÃO</t>
        </is>
      </c>
      <c r="L3226" s="8" t="n"/>
      <c r="M3226" s="12" t="n"/>
      <c r="N3226" s="7" t="inlineStr"/>
      <c r="O3226" s="7" t="inlineStr"/>
    </row>
    <row r="3227">
      <c r="A3227" s="7" t="n">
        <v>609511</v>
      </c>
      <c r="B3227" s="10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1" t="n">
        <v>1</v>
      </c>
      <c r="G3227" s="11" t="n">
        <v>1</v>
      </c>
      <c r="H3227" s="8" t="n">
        <v>81.22</v>
      </c>
      <c r="I3227" s="8" t="n">
        <v>73.28</v>
      </c>
      <c r="J3227" s="8" t="n"/>
      <c r="K3227" s="7" t="inlineStr">
        <is>
          <t>SEM COTAÇÃO</t>
        </is>
      </c>
      <c r="L3227" s="8" t="n"/>
      <c r="M3227" s="12" t="n"/>
      <c r="N3227" s="7" t="inlineStr"/>
      <c r="O3227" s="7" t="inlineStr"/>
    </row>
    <row r="3228">
      <c r="A3228" s="7" t="n">
        <v>655011</v>
      </c>
      <c r="B3228" s="10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1" t="n">
        <v>1</v>
      </c>
      <c r="G3228" s="11" t="n">
        <v>1</v>
      </c>
      <c r="H3228" s="8" t="n">
        <v>29.95</v>
      </c>
      <c r="I3228" s="8" t="n">
        <v>29.95</v>
      </c>
      <c r="J3228" s="8" t="n"/>
      <c r="K3228" s="7" t="inlineStr">
        <is>
          <t>SEM COTAÇÃO</t>
        </is>
      </c>
      <c r="L3228" s="8" t="n"/>
      <c r="M3228" s="12" t="n"/>
      <c r="N3228" s="7" t="inlineStr"/>
      <c r="O3228" s="7" t="inlineStr"/>
    </row>
    <row r="3229">
      <c r="A3229" s="7" t="n">
        <v>655021</v>
      </c>
      <c r="B3229" s="10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1" t="n">
        <v>1</v>
      </c>
      <c r="G3229" s="11" t="n">
        <v>1</v>
      </c>
      <c r="H3229" s="8" t="n">
        <v>29.95</v>
      </c>
      <c r="I3229" s="8" t="n">
        <v>29.95</v>
      </c>
      <c r="J3229" s="8" t="n"/>
      <c r="K3229" s="7" t="inlineStr">
        <is>
          <t>SEM COTAÇÃO</t>
        </is>
      </c>
      <c r="L3229" s="8" t="n"/>
      <c r="M3229" s="12" t="n"/>
      <c r="N3229" s="7" t="inlineStr"/>
      <c r="O3229" s="7" t="inlineStr"/>
    </row>
    <row r="3230">
      <c r="A3230" s="7" t="n">
        <v>575561</v>
      </c>
      <c r="B3230" s="10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1" t="n">
        <v>1</v>
      </c>
      <c r="G3230" s="11" t="n">
        <v>1</v>
      </c>
      <c r="H3230" s="8" t="n">
        <v>22.91</v>
      </c>
      <c r="I3230" s="8" t="n">
        <v>22.91</v>
      </c>
      <c r="J3230" s="8" t="n"/>
      <c r="K3230" s="7" t="inlineStr">
        <is>
          <t>SEM COTAÇÃO</t>
        </is>
      </c>
      <c r="L3230" s="8" t="n"/>
      <c r="M3230" s="12" t="n"/>
      <c r="N3230" s="7" t="inlineStr"/>
      <c r="O3230" s="7" t="inlineStr"/>
    </row>
    <row r="3231">
      <c r="A3231" s="7" t="n">
        <v>179961</v>
      </c>
      <c r="B3231" s="10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1" t="n">
        <v>1</v>
      </c>
      <c r="G3231" s="11" t="n">
        <v>1</v>
      </c>
      <c r="H3231" s="8" t="n">
        <v>27</v>
      </c>
      <c r="I3231" s="8" t="n">
        <v>24.82</v>
      </c>
      <c r="J3231" s="8" t="n"/>
      <c r="K3231" s="7" t="inlineStr">
        <is>
          <t>SEM COTAÇÃO</t>
        </is>
      </c>
      <c r="L3231" s="8" t="n"/>
      <c r="M3231" s="12" t="n"/>
      <c r="N3231" s="7" t="inlineStr"/>
      <c r="O3231" s="7" t="inlineStr"/>
    </row>
    <row r="3232">
      <c r="A3232" s="7" t="n">
        <v>321581</v>
      </c>
      <c r="B3232" s="10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1" t="n">
        <v>25</v>
      </c>
      <c r="G3232" s="11" t="n">
        <v>25</v>
      </c>
      <c r="H3232" s="8" t="n">
        <v>19.83</v>
      </c>
      <c r="I3232" s="8" t="n">
        <v>19.515</v>
      </c>
      <c r="J3232" s="8" t="n"/>
      <c r="K3232" s="7" t="inlineStr">
        <is>
          <t>SEM COTAÇÃO</t>
        </is>
      </c>
      <c r="L3232" s="8" t="n"/>
      <c r="M3232" s="12" t="n"/>
      <c r="N3232" s="7" t="inlineStr"/>
      <c r="O3232" s="7" t="inlineStr"/>
    </row>
    <row r="3233">
      <c r="A3233" s="7" t="n">
        <v>452561</v>
      </c>
      <c r="B3233" s="10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1" t="n">
        <v>4</v>
      </c>
      <c r="G3233" s="11" t="n">
        <v>4</v>
      </c>
      <c r="H3233" s="8" t="n">
        <v>11.99</v>
      </c>
      <c r="I3233" s="8" t="n">
        <v>11.9875</v>
      </c>
      <c r="J3233" s="8" t="n"/>
      <c r="K3233" s="7" t="inlineStr">
        <is>
          <t>SEM COTAÇÃO</t>
        </is>
      </c>
      <c r="L3233" s="8" t="n"/>
      <c r="M3233" s="12" t="n"/>
      <c r="N3233" s="7" t="inlineStr"/>
      <c r="O3233" s="7" t="inlineStr"/>
    </row>
    <row r="3234">
      <c r="A3234" s="7" t="n">
        <v>1833</v>
      </c>
      <c r="B3234" s="10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1" t="n">
        <v>2</v>
      </c>
      <c r="G3234" s="11" t="n">
        <v>2</v>
      </c>
      <c r="H3234" s="8" t="n">
        <v>5.97</v>
      </c>
      <c r="I3234" s="8" t="n">
        <v>5.97</v>
      </c>
      <c r="J3234" s="8" t="n"/>
      <c r="K3234" s="7" t="inlineStr">
        <is>
          <t>SEM COTAÇÃO</t>
        </is>
      </c>
      <c r="L3234" s="8" t="n"/>
      <c r="M3234" s="12" t="n"/>
      <c r="N3234" s="7" t="inlineStr"/>
      <c r="O3234" s="7" t="inlineStr"/>
    </row>
    <row r="3235">
      <c r="A3235" s="7" t="n">
        <v>666771</v>
      </c>
      <c r="B3235" s="10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1" t="n">
        <v>1</v>
      </c>
      <c r="G3235" s="11" t="n">
        <v>1</v>
      </c>
      <c r="H3235" s="8" t="n">
        <v>16.19</v>
      </c>
      <c r="I3235" s="8" t="n">
        <v>11.4133</v>
      </c>
      <c r="J3235" s="8" t="n"/>
      <c r="K3235" s="7" t="inlineStr">
        <is>
          <t>SEM COTAÇÃO</t>
        </is>
      </c>
      <c r="L3235" s="8" t="n"/>
      <c r="M3235" s="12" t="n"/>
      <c r="N3235" s="7" t="inlineStr"/>
      <c r="O3235" s="7" t="inlineStr"/>
    </row>
    <row r="3236">
      <c r="A3236" s="7" t="n">
        <v>653701</v>
      </c>
      <c r="B3236" s="10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1" t="n">
        <v>1</v>
      </c>
      <c r="G3236" s="11" t="n">
        <v>1</v>
      </c>
      <c r="H3236" s="8" t="n">
        <v>72.55</v>
      </c>
      <c r="I3236" s="8" t="n">
        <v>71.25</v>
      </c>
      <c r="J3236" s="13" t="n">
        <v>78.61</v>
      </c>
      <c r="K3236" s="7" t="inlineStr">
        <is>
          <t>DIMEC</t>
        </is>
      </c>
      <c r="L3236" s="8" t="n">
        <v>78.61</v>
      </c>
      <c r="M3236" s="12">
        <f>L3236/H3236-1</f>
        <v/>
      </c>
      <c r="N3236" s="14" t="inlineStr">
        <is>
          <t>ACIMA +8.4%</t>
        </is>
      </c>
      <c r="O3236" s="7" t="inlineStr"/>
    </row>
    <row r="3237">
      <c r="A3237" s="7" t="n">
        <v>3253</v>
      </c>
      <c r="B3237" s="10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1" t="n">
        <v>1</v>
      </c>
      <c r="G3237" s="11" t="n">
        <v>1</v>
      </c>
      <c r="H3237" s="8" t="n">
        <v>77.62</v>
      </c>
      <c r="I3237" s="8" t="n">
        <v>77.62</v>
      </c>
      <c r="J3237" s="8" t="n"/>
      <c r="K3237" s="7" t="inlineStr">
        <is>
          <t>SEM COTAÇÃO</t>
        </is>
      </c>
      <c r="L3237" s="8" t="n"/>
      <c r="M3237" s="12" t="n"/>
      <c r="N3237" s="7" t="inlineStr"/>
      <c r="O3237" s="7" t="inlineStr"/>
    </row>
    <row r="3238">
      <c r="A3238" s="7" t="n">
        <v>675081</v>
      </c>
      <c r="B3238" s="10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1" t="n">
        <v>3</v>
      </c>
      <c r="G3238" s="11" t="n">
        <v>3</v>
      </c>
      <c r="H3238" s="8" t="n">
        <v>11.1925</v>
      </c>
      <c r="I3238" s="8" t="n">
        <v>11.1925</v>
      </c>
      <c r="J3238" s="8" t="n"/>
      <c r="K3238" s="7" t="inlineStr">
        <is>
          <t>SEM COTAÇÃO</t>
        </is>
      </c>
      <c r="L3238" s="8" t="n"/>
      <c r="M3238" s="12" t="n"/>
      <c r="N3238" s="7" t="inlineStr"/>
      <c r="O3238" s="7" t="inlineStr"/>
    </row>
    <row r="3239">
      <c r="A3239" s="7" t="n">
        <v>674961</v>
      </c>
      <c r="B3239" s="10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1" t="n">
        <v>11</v>
      </c>
      <c r="G3239" s="11" t="n">
        <v>11</v>
      </c>
      <c r="H3239" s="8" t="n">
        <v>12.9008</v>
      </c>
      <c r="I3239" s="8" t="n">
        <v>12.9008</v>
      </c>
      <c r="J3239" s="8" t="n"/>
      <c r="K3239" s="7" t="inlineStr">
        <is>
          <t>SEM COTAÇÃO</t>
        </is>
      </c>
      <c r="L3239" s="8" t="n"/>
      <c r="M3239" s="12" t="n"/>
      <c r="N3239" s="7" t="inlineStr"/>
      <c r="O3239" s="7" t="inlineStr"/>
    </row>
    <row r="3240">
      <c r="A3240" s="7" t="n">
        <v>398941</v>
      </c>
      <c r="B3240" s="10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1" t="n">
        <v>9</v>
      </c>
      <c r="G3240" s="11" t="n">
        <v>9</v>
      </c>
      <c r="H3240" s="8" t="n">
        <v>31.99</v>
      </c>
      <c r="I3240" s="8" t="n">
        <v>23.0125</v>
      </c>
      <c r="J3240" s="8" t="n"/>
      <c r="K3240" s="7" t="inlineStr">
        <is>
          <t>SEM COTAÇÃO</t>
        </is>
      </c>
      <c r="L3240" s="8" t="n"/>
      <c r="M3240" s="12" t="n"/>
      <c r="N3240" s="7" t="inlineStr"/>
      <c r="O3240" s="7" t="inlineStr"/>
    </row>
    <row r="3241">
      <c r="A3241" s="7" t="n">
        <v>398921</v>
      </c>
      <c r="B3241" s="10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1" t="n">
        <v>1</v>
      </c>
      <c r="G3241" s="11" t="n">
        <v>1</v>
      </c>
      <c r="H3241" s="8" t="n">
        <v>46.6</v>
      </c>
      <c r="I3241" s="8" t="n">
        <v>41.795</v>
      </c>
      <c r="J3241" s="8" t="n"/>
      <c r="K3241" s="7" t="inlineStr">
        <is>
          <t>SEM COTAÇÃO</t>
        </is>
      </c>
      <c r="L3241" s="8" t="n"/>
      <c r="M3241" s="12" t="n"/>
      <c r="N3241" s="7" t="inlineStr"/>
      <c r="O3241" s="7" t="inlineStr"/>
    </row>
    <row r="3242">
      <c r="A3242" s="7" t="n">
        <v>644501</v>
      </c>
      <c r="B3242" s="10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1" t="n">
        <v>1</v>
      </c>
      <c r="G3242" s="11" t="n">
        <v>1</v>
      </c>
      <c r="H3242" s="8" t="n">
        <v>32.44</v>
      </c>
      <c r="I3242" s="8" t="n">
        <v>32.44</v>
      </c>
      <c r="J3242" s="8" t="n"/>
      <c r="K3242" s="7" t="inlineStr">
        <is>
          <t>SEM COTAÇÃO</t>
        </is>
      </c>
      <c r="L3242" s="8" t="n"/>
      <c r="M3242" s="12" t="n"/>
      <c r="N3242" s="7" t="inlineStr"/>
      <c r="O3242" s="7" t="inlineStr"/>
    </row>
    <row r="3243">
      <c r="A3243" s="7" t="n">
        <v>644511</v>
      </c>
      <c r="B3243" s="10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1" t="n">
        <v>1</v>
      </c>
      <c r="G3243" s="11" t="n">
        <v>1</v>
      </c>
      <c r="H3243" s="8" t="n">
        <v>18.91</v>
      </c>
      <c r="I3243" s="8" t="n">
        <v>18.91</v>
      </c>
      <c r="J3243" s="8" t="n"/>
      <c r="K3243" s="7" t="inlineStr">
        <is>
          <t>SEM COTAÇÃO</t>
        </is>
      </c>
      <c r="L3243" s="8" t="n"/>
      <c r="M3243" s="12" t="n"/>
      <c r="N3243" s="7" t="inlineStr"/>
      <c r="O3243" s="7" t="inlineStr"/>
    </row>
    <row r="3244">
      <c r="A3244" s="7" t="n">
        <v>622011</v>
      </c>
      <c r="B3244" s="10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1" t="n">
        <v>1</v>
      </c>
      <c r="G3244" s="11" t="n">
        <v>1</v>
      </c>
      <c r="H3244" s="8" t="n">
        <v>14.3</v>
      </c>
      <c r="I3244" s="8" t="n">
        <v>14.3</v>
      </c>
      <c r="J3244" s="8" t="n"/>
      <c r="K3244" s="7" t="inlineStr">
        <is>
          <t>SEM COTAÇÃO</t>
        </is>
      </c>
      <c r="L3244" s="8" t="n"/>
      <c r="M3244" s="12" t="n"/>
      <c r="N3244" s="7" t="inlineStr"/>
      <c r="O3244" s="7" t="inlineStr"/>
    </row>
    <row r="3245">
      <c r="A3245" s="7" t="n">
        <v>630421</v>
      </c>
      <c r="B3245" s="10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1" t="n">
        <v>1</v>
      </c>
      <c r="G3245" s="11" t="n">
        <v>1</v>
      </c>
      <c r="H3245" s="8" t="n">
        <v>55.96</v>
      </c>
      <c r="I3245" s="8" t="n">
        <v>55.96</v>
      </c>
      <c r="J3245" s="8" t="n"/>
      <c r="K3245" s="7" t="inlineStr">
        <is>
          <t>SEM COTAÇÃO</t>
        </is>
      </c>
      <c r="L3245" s="8" t="n"/>
      <c r="M3245" s="12" t="n"/>
      <c r="N3245" s="7" t="inlineStr"/>
      <c r="O3245" s="7" t="inlineStr"/>
    </row>
    <row r="3246">
      <c r="A3246" s="7" t="n">
        <v>657831</v>
      </c>
      <c r="B3246" s="10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1" t="n">
        <v>1</v>
      </c>
      <c r="G3246" s="11" t="n">
        <v>1</v>
      </c>
      <c r="H3246" s="8" t="n">
        <v>103.58</v>
      </c>
      <c r="I3246" s="8" t="n">
        <v>103.58</v>
      </c>
      <c r="J3246" s="8" t="n"/>
      <c r="K3246" s="7" t="inlineStr">
        <is>
          <t>SEM COTAÇÃO</t>
        </is>
      </c>
      <c r="L3246" s="8" t="n"/>
      <c r="M3246" s="12" t="n"/>
      <c r="N3246" s="7" t="inlineStr"/>
      <c r="O3246" s="7" t="inlineStr"/>
    </row>
    <row r="3247">
      <c r="A3247" s="7" t="n">
        <v>657811</v>
      </c>
      <c r="B3247" s="10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1" t="n">
        <v>1</v>
      </c>
      <c r="G3247" s="11" t="n">
        <v>1</v>
      </c>
      <c r="H3247" s="8" t="n">
        <v>103.58</v>
      </c>
      <c r="I3247" s="8" t="n">
        <v>103.58</v>
      </c>
      <c r="J3247" s="8" t="n"/>
      <c r="K3247" s="7" t="inlineStr">
        <is>
          <t>SEM COTAÇÃO</t>
        </is>
      </c>
      <c r="L3247" s="8" t="n"/>
      <c r="M3247" s="12" t="n"/>
      <c r="N3247" s="7" t="inlineStr"/>
      <c r="O3247" s="7" t="inlineStr"/>
    </row>
    <row r="3248">
      <c r="A3248" s="7" t="n">
        <v>638311</v>
      </c>
      <c r="B3248" s="10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1" t="n">
        <v>1</v>
      </c>
      <c r="G3248" s="11" t="n">
        <v>1</v>
      </c>
      <c r="H3248" s="8" t="n">
        <v>62.61</v>
      </c>
      <c r="I3248" s="8" t="n">
        <v>62.61</v>
      </c>
      <c r="J3248" s="8" t="n"/>
      <c r="K3248" s="7" t="inlineStr">
        <is>
          <t>SEM COTAÇÃO</t>
        </is>
      </c>
      <c r="L3248" s="8" t="n"/>
      <c r="M3248" s="12" t="n"/>
      <c r="N3248" s="7" t="inlineStr"/>
      <c r="O3248" s="7" t="inlineStr"/>
    </row>
    <row r="3249">
      <c r="A3249" s="7" t="n">
        <v>589541</v>
      </c>
      <c r="B3249" s="10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1" t="n">
        <v>3</v>
      </c>
      <c r="G3249" s="11" t="n">
        <v>3</v>
      </c>
      <c r="H3249" s="8" t="n">
        <v>14.14</v>
      </c>
      <c r="I3249" s="8" t="n">
        <v>11.27</v>
      </c>
      <c r="J3249" s="8" t="n"/>
      <c r="K3249" s="7" t="inlineStr">
        <is>
          <t>SEM COTAÇÃO</t>
        </is>
      </c>
      <c r="L3249" s="8" t="n"/>
      <c r="M3249" s="12" t="n"/>
      <c r="N3249" s="7" t="inlineStr"/>
      <c r="O3249" s="7" t="inlineStr"/>
    </row>
    <row r="3250">
      <c r="A3250" s="7" t="n">
        <v>392681</v>
      </c>
      <c r="B3250" s="10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1" t="n">
        <v>1</v>
      </c>
      <c r="G3250" s="11" t="n">
        <v>1</v>
      </c>
      <c r="H3250" s="8" t="n">
        <v>15.83</v>
      </c>
      <c r="I3250" s="8" t="n">
        <v>15.83</v>
      </c>
      <c r="J3250" s="8" t="n"/>
      <c r="K3250" s="7" t="inlineStr">
        <is>
          <t>SEM COTAÇÃO</t>
        </is>
      </c>
      <c r="L3250" s="8" t="n"/>
      <c r="M3250" s="12" t="n"/>
      <c r="N3250" s="7" t="inlineStr"/>
      <c r="O3250" s="7" t="inlineStr"/>
    </row>
    <row r="3251">
      <c r="A3251" s="7" t="n">
        <v>391441</v>
      </c>
      <c r="B3251" s="10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1" t="n">
        <v>60</v>
      </c>
      <c r="G3251" s="11" t="n">
        <v>60</v>
      </c>
      <c r="H3251" s="8" t="n">
        <v>3.13</v>
      </c>
      <c r="I3251" s="8" t="n">
        <v>3.01</v>
      </c>
      <c r="J3251" s="8" t="n"/>
      <c r="K3251" s="7" t="inlineStr">
        <is>
          <t>SEM COTAÇÃO</t>
        </is>
      </c>
      <c r="L3251" s="8" t="n"/>
      <c r="M3251" s="12" t="n"/>
      <c r="N3251" s="7" t="inlineStr"/>
      <c r="O3251" s="7" t="inlineStr"/>
    </row>
    <row r="3252">
      <c r="A3252" s="7" t="n">
        <v>388861</v>
      </c>
      <c r="B3252" s="10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1" t="n">
        <v>1</v>
      </c>
      <c r="G3252" s="11" t="n">
        <v>1</v>
      </c>
      <c r="H3252" s="8" t="n">
        <v>6.5</v>
      </c>
      <c r="I3252" s="8" t="n">
        <v>6.38</v>
      </c>
      <c r="J3252" s="8" t="n"/>
      <c r="K3252" s="7" t="inlineStr">
        <is>
          <t>SEM COTAÇÃO</t>
        </is>
      </c>
      <c r="L3252" s="8" t="n"/>
      <c r="M3252" s="12" t="n"/>
      <c r="N3252" s="7" t="inlineStr"/>
      <c r="O3252" s="7" t="inlineStr"/>
    </row>
    <row r="3253">
      <c r="A3253" s="7" t="n">
        <v>670391</v>
      </c>
      <c r="B3253" s="10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1" t="n">
        <v>15</v>
      </c>
      <c r="G3253" s="11" t="n">
        <v>15</v>
      </c>
      <c r="H3253" s="8" t="n">
        <v>6.23</v>
      </c>
      <c r="I3253" s="8" t="n">
        <v>6.23</v>
      </c>
      <c r="J3253" s="8" t="n"/>
      <c r="K3253" s="7" t="inlineStr">
        <is>
          <t>SEM COTAÇÃO</t>
        </is>
      </c>
      <c r="L3253" s="8" t="n"/>
      <c r="M3253" s="12" t="n"/>
      <c r="N3253" s="7" t="inlineStr"/>
      <c r="O3253" s="7" t="inlineStr"/>
    </row>
    <row r="3254">
      <c r="A3254" s="7" t="n">
        <v>391481</v>
      </c>
      <c r="B3254" s="10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1" t="n">
        <v>8</v>
      </c>
      <c r="G3254" s="11" t="n">
        <v>8</v>
      </c>
      <c r="H3254" s="8" t="n">
        <v>5.97</v>
      </c>
      <c r="I3254" s="8" t="n">
        <v>5.97</v>
      </c>
      <c r="J3254" s="8" t="n"/>
      <c r="K3254" s="7" t="inlineStr">
        <is>
          <t>SEM COTAÇÃO</t>
        </is>
      </c>
      <c r="L3254" s="8" t="n"/>
      <c r="M3254" s="12" t="n"/>
      <c r="N3254" s="7" t="inlineStr"/>
      <c r="O3254" s="7" t="inlineStr"/>
    </row>
    <row r="3255">
      <c r="A3255" s="7" t="n">
        <v>493261</v>
      </c>
      <c r="B3255" s="10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1" t="n">
        <v>10</v>
      </c>
      <c r="G3255" s="11" t="n">
        <v>10</v>
      </c>
      <c r="H3255" s="8" t="n">
        <v>3.99</v>
      </c>
      <c r="I3255" s="8" t="n">
        <v>3.99</v>
      </c>
      <c r="J3255" s="8" t="n"/>
      <c r="K3255" s="7" t="inlineStr">
        <is>
          <t>SEM COTAÇÃO</t>
        </is>
      </c>
      <c r="L3255" s="8" t="n"/>
      <c r="M3255" s="12" t="n"/>
      <c r="N3255" s="7" t="inlineStr"/>
      <c r="O3255" s="7" t="inlineStr"/>
    </row>
    <row r="3256">
      <c r="A3256" s="7" t="n">
        <v>541621</v>
      </c>
      <c r="B3256" s="10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1" t="n">
        <v>1</v>
      </c>
      <c r="G3256" s="11" t="n">
        <v>1</v>
      </c>
      <c r="H3256" s="8" t="n"/>
      <c r="I3256" s="8" t="n"/>
      <c r="J3256" s="8" t="n"/>
      <c r="K3256" s="7" t="inlineStr">
        <is>
          <t>SEM COTAÇÃO</t>
        </is>
      </c>
      <c r="L3256" s="8" t="n"/>
      <c r="M3256" s="12" t="n"/>
      <c r="N3256" s="7" t="inlineStr"/>
      <c r="O3256" s="7" t="inlineStr"/>
    </row>
    <row r="3257">
      <c r="A3257" s="7" t="n">
        <v>664791</v>
      </c>
      <c r="B3257" s="10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1" t="n">
        <v>19</v>
      </c>
      <c r="G3257" s="11" t="n">
        <v>19</v>
      </c>
      <c r="H3257" s="8" t="n">
        <v>3.39</v>
      </c>
      <c r="I3257" s="8" t="n">
        <v>3.39</v>
      </c>
      <c r="J3257" s="8" t="n"/>
      <c r="K3257" s="7" t="inlineStr">
        <is>
          <t>SEM COTAÇÃO</t>
        </is>
      </c>
      <c r="L3257" s="8" t="n"/>
      <c r="M3257" s="12" t="n"/>
      <c r="N3257" s="7" t="inlineStr"/>
      <c r="O3257" s="7" t="inlineStr"/>
    </row>
    <row r="3258">
      <c r="A3258" s="7" t="n">
        <v>647881</v>
      </c>
      <c r="B3258" s="10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1" t="n">
        <v>2</v>
      </c>
      <c r="G3258" s="11" t="n">
        <v>2</v>
      </c>
      <c r="H3258" s="8" t="n">
        <v>16.31</v>
      </c>
      <c r="I3258" s="8" t="n">
        <v>16.31</v>
      </c>
      <c r="J3258" s="8" t="n"/>
      <c r="K3258" s="7" t="inlineStr">
        <is>
          <t>SEM COTAÇÃO</t>
        </is>
      </c>
      <c r="L3258" s="8" t="n"/>
      <c r="M3258" s="12" t="n"/>
      <c r="N3258" s="7" t="inlineStr"/>
      <c r="O3258" s="7" t="inlineStr"/>
    </row>
    <row r="3259">
      <c r="A3259" s="7" t="n">
        <v>647631</v>
      </c>
      <c r="B3259" s="10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1" t="n">
        <v>2</v>
      </c>
      <c r="G3259" s="11" t="n">
        <v>2</v>
      </c>
      <c r="H3259" s="8" t="n">
        <v>11.6</v>
      </c>
      <c r="I3259" s="8" t="n">
        <v>11.6</v>
      </c>
      <c r="J3259" s="8" t="n"/>
      <c r="K3259" s="7" t="inlineStr">
        <is>
          <t>SEM COTAÇÃO</t>
        </is>
      </c>
      <c r="L3259" s="8" t="n"/>
      <c r="M3259" s="12" t="n"/>
      <c r="N3259" s="7" t="inlineStr"/>
      <c r="O3259" s="7" t="inlineStr"/>
    </row>
    <row r="3260">
      <c r="A3260" s="7" t="n">
        <v>198381</v>
      </c>
      <c r="B3260" s="10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1" t="n">
        <v>1</v>
      </c>
      <c r="G3260" s="11" t="n">
        <v>1</v>
      </c>
      <c r="H3260" s="8" t="n">
        <v>40.2</v>
      </c>
      <c r="I3260" s="8" t="n">
        <v>40.2</v>
      </c>
      <c r="J3260" s="8" t="n"/>
      <c r="K3260" s="7" t="inlineStr">
        <is>
          <t>SEM COTAÇÃO</t>
        </is>
      </c>
      <c r="L3260" s="8" t="n"/>
      <c r="M3260" s="12" t="n"/>
      <c r="N3260" s="7" t="inlineStr"/>
      <c r="O3260" s="7" t="inlineStr"/>
    </row>
    <row r="3261">
      <c r="A3261" s="7" t="n">
        <v>1763</v>
      </c>
      <c r="B3261" s="10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1" t="n">
        <v>3</v>
      </c>
      <c r="G3261" s="11" t="n">
        <v>3</v>
      </c>
      <c r="H3261" s="8" t="n">
        <v>2.6073</v>
      </c>
      <c r="I3261" s="8" t="n">
        <v>2.6073</v>
      </c>
      <c r="J3261" s="8" t="n"/>
      <c r="K3261" s="7" t="inlineStr">
        <is>
          <t>SEM COTAÇÃO</t>
        </is>
      </c>
      <c r="L3261" s="8" t="n"/>
      <c r="M3261" s="12" t="n"/>
      <c r="N3261" s="7" t="inlineStr"/>
      <c r="O3261" s="7" t="inlineStr"/>
    </row>
    <row r="3262">
      <c r="A3262" s="7" t="n">
        <v>623351</v>
      </c>
      <c r="B3262" s="10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1" t="n">
        <v>1</v>
      </c>
      <c r="G3262" s="11" t="n">
        <v>8</v>
      </c>
      <c r="H3262" s="8" t="n">
        <v>3.4859</v>
      </c>
      <c r="I3262" s="8" t="n">
        <v>3.4859</v>
      </c>
      <c r="J3262" s="8" t="n"/>
      <c r="K3262" s="7" t="inlineStr">
        <is>
          <t>SEM COTAÇÃO</t>
        </is>
      </c>
      <c r="L3262" s="8" t="n"/>
      <c r="M3262" s="12" t="n"/>
      <c r="N3262" s="7" t="inlineStr"/>
      <c r="O3262" s="7" t="inlineStr"/>
    </row>
    <row r="3263">
      <c r="A3263" s="7" t="n">
        <v>531661</v>
      </c>
      <c r="B3263" s="10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1" t="n">
        <v>12</v>
      </c>
      <c r="G3263" s="11" t="n">
        <v>12</v>
      </c>
      <c r="H3263" s="8" t="n">
        <v>6.28</v>
      </c>
      <c r="I3263" s="8" t="n">
        <v>6.13</v>
      </c>
      <c r="J3263" s="13" t="n">
        <v>6.28</v>
      </c>
      <c r="K3263" s="7" t="inlineStr">
        <is>
          <t>DIMEC</t>
        </is>
      </c>
      <c r="L3263" s="8" t="n">
        <v>6.28</v>
      </c>
      <c r="M3263" s="12">
        <f>L3263/H3263-1</f>
        <v/>
      </c>
      <c r="N3263" s="15" t="inlineStr">
        <is>
          <t>OK (≤ últ. compra)</t>
        </is>
      </c>
      <c r="O3263" s="7" t="inlineStr"/>
    </row>
    <row r="3264">
      <c r="A3264" s="7" t="n">
        <v>691101</v>
      </c>
      <c r="B3264" s="10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1" t="n">
        <v>8</v>
      </c>
      <c r="G3264" s="11" t="n">
        <v>8</v>
      </c>
      <c r="H3264" s="8" t="n">
        <v>5.65</v>
      </c>
      <c r="I3264" s="8" t="n">
        <v>5.65</v>
      </c>
      <c r="J3264" s="8" t="n"/>
      <c r="K3264" s="7" t="inlineStr">
        <is>
          <t>SEM COTAÇÃO</t>
        </is>
      </c>
      <c r="L3264" s="8" t="n"/>
      <c r="M3264" s="12" t="n"/>
      <c r="N3264" s="7" t="inlineStr"/>
      <c r="O3264" s="7" t="inlineStr"/>
    </row>
    <row r="3265">
      <c r="A3265" s="7" t="n">
        <v>4063</v>
      </c>
      <c r="B3265" s="10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1" t="n">
        <v>3</v>
      </c>
      <c r="G3265" s="11" t="n">
        <v>3</v>
      </c>
      <c r="H3265" s="8" t="n">
        <v>7.74</v>
      </c>
      <c r="I3265" s="8" t="n">
        <v>7.57</v>
      </c>
      <c r="J3265" s="13" t="n">
        <v>7.74</v>
      </c>
      <c r="K3265" s="7" t="inlineStr">
        <is>
          <t>DIMEC</t>
        </is>
      </c>
      <c r="L3265" s="8" t="n">
        <v>7.74</v>
      </c>
      <c r="M3265" s="12">
        <f>L3265/H3265-1</f>
        <v/>
      </c>
      <c r="N3265" s="15" t="inlineStr">
        <is>
          <t>OK (≤ últ. compra)</t>
        </is>
      </c>
      <c r="O3265" s="7" t="inlineStr"/>
    </row>
    <row r="3266">
      <c r="A3266" s="7" t="n">
        <v>602041</v>
      </c>
      <c r="B3266" s="10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1" t="n">
        <v>2</v>
      </c>
      <c r="G3266" s="11" t="n">
        <v>2</v>
      </c>
      <c r="H3266" s="8" t="n">
        <v>25.81</v>
      </c>
      <c r="I3266" s="8" t="n">
        <v>20.81</v>
      </c>
      <c r="J3266" s="8" t="n"/>
      <c r="K3266" s="7" t="inlineStr">
        <is>
          <t>SEM COTAÇÃO</t>
        </is>
      </c>
      <c r="L3266" s="8" t="n"/>
      <c r="M3266" s="12" t="n"/>
      <c r="N3266" s="7" t="inlineStr"/>
      <c r="O3266" s="7" t="inlineStr"/>
    </row>
    <row r="3267">
      <c r="A3267" s="7" t="n">
        <v>584261</v>
      </c>
      <c r="B3267" s="10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1" t="n">
        <v>1</v>
      </c>
      <c r="G3267" s="11" t="n">
        <v>28</v>
      </c>
      <c r="H3267" s="8" t="n">
        <v>0.8718</v>
      </c>
      <c r="I3267" s="8" t="n">
        <v>0.8462</v>
      </c>
      <c r="J3267" s="8" t="n"/>
      <c r="K3267" s="7" t="inlineStr">
        <is>
          <t>SEM COTAÇÃO</t>
        </is>
      </c>
      <c r="L3267" s="8" t="n"/>
      <c r="M3267" s="12" t="n"/>
      <c r="N3267" s="7" t="inlineStr"/>
      <c r="O3267" s="7" t="inlineStr"/>
    </row>
    <row r="3268">
      <c r="A3268" s="7" t="n">
        <v>565041</v>
      </c>
      <c r="B3268" s="10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1" t="n">
        <v>1</v>
      </c>
      <c r="G3268" s="11" t="n">
        <v>1</v>
      </c>
      <c r="H3268" s="8" t="n">
        <v>4.7158</v>
      </c>
      <c r="I3268" s="8" t="n">
        <v>4.6233</v>
      </c>
      <c r="J3268" s="8" t="n"/>
      <c r="K3268" s="7" t="inlineStr">
        <is>
          <t>SEM COTAÇÃO</t>
        </is>
      </c>
      <c r="L3268" s="8" t="n"/>
      <c r="M3268" s="12" t="n"/>
      <c r="N3268" s="7" t="inlineStr"/>
      <c r="O3268" s="7" t="inlineStr"/>
    </row>
    <row r="3269">
      <c r="A3269" s="7" t="n">
        <v>652011</v>
      </c>
      <c r="B3269" s="10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1" t="n">
        <v>3</v>
      </c>
      <c r="G3269" s="11" t="n">
        <v>3</v>
      </c>
      <c r="H3269" s="8" t="n">
        <v>22.32</v>
      </c>
      <c r="I3269" s="8" t="n">
        <v>20.09</v>
      </c>
      <c r="J3269" s="8" t="n"/>
      <c r="K3269" s="7" t="inlineStr">
        <is>
          <t>SEM COTAÇÃO</t>
        </is>
      </c>
      <c r="L3269" s="8" t="n"/>
      <c r="M3269" s="12" t="n"/>
      <c r="N3269" s="7" t="inlineStr"/>
      <c r="O3269" s="7" t="inlineStr"/>
    </row>
    <row r="3270">
      <c r="A3270" s="7" t="n">
        <v>626361</v>
      </c>
      <c r="B3270" s="10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1" t="n">
        <v>1</v>
      </c>
      <c r="G3270" s="11" t="n">
        <v>1</v>
      </c>
      <c r="H3270" s="8" t="n">
        <v>20.2167</v>
      </c>
      <c r="I3270" s="8" t="n">
        <v>19.04</v>
      </c>
      <c r="J3270" s="8" t="n"/>
      <c r="K3270" s="7" t="inlineStr">
        <is>
          <t>SEM COTAÇÃO</t>
        </is>
      </c>
      <c r="L3270" s="8" t="n"/>
      <c r="M3270" s="12" t="n"/>
      <c r="N3270" s="7" t="inlineStr"/>
      <c r="O3270" s="7" t="inlineStr"/>
    </row>
    <row r="3271">
      <c r="A3271" s="7" t="n">
        <v>626351</v>
      </c>
      <c r="B3271" s="10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1" t="n">
        <v>7</v>
      </c>
      <c r="G3271" s="11" t="n">
        <v>7</v>
      </c>
      <c r="H3271" s="8" t="n">
        <v>17.865</v>
      </c>
      <c r="I3271" s="8" t="n">
        <v>17.8633</v>
      </c>
      <c r="J3271" s="8" t="n"/>
      <c r="K3271" s="7" t="inlineStr">
        <is>
          <t>SEM COTAÇÃO</t>
        </is>
      </c>
      <c r="L3271" s="8" t="n"/>
      <c r="M3271" s="12" t="n"/>
      <c r="N3271" s="7" t="inlineStr"/>
      <c r="O3271" s="7" t="inlineStr"/>
    </row>
    <row r="3272">
      <c r="A3272" s="7" t="n">
        <v>626341</v>
      </c>
      <c r="B3272" s="10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1" t="n">
        <v>1</v>
      </c>
      <c r="G3272" s="11" t="n">
        <v>1</v>
      </c>
      <c r="H3272" s="8" t="n">
        <v>20.2167</v>
      </c>
      <c r="I3272" s="8" t="n">
        <v>18.53</v>
      </c>
      <c r="J3272" s="8" t="n"/>
      <c r="K3272" s="7" t="inlineStr">
        <is>
          <t>SEM COTAÇÃO</t>
        </is>
      </c>
      <c r="L3272" s="8" t="n"/>
      <c r="M3272" s="12" t="n"/>
      <c r="N3272" s="7" t="inlineStr"/>
      <c r="O3272" s="7" t="inlineStr"/>
    </row>
    <row r="3273">
      <c r="A3273" s="7" t="n">
        <v>402681</v>
      </c>
      <c r="B3273" s="10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1" t="n">
        <v>4</v>
      </c>
      <c r="G3273" s="11" t="n">
        <v>4</v>
      </c>
      <c r="H3273" s="8" t="n">
        <v>10.45</v>
      </c>
      <c r="I3273" s="8" t="n">
        <v>7.99</v>
      </c>
      <c r="J3273" s="8" t="n"/>
      <c r="K3273" s="7" t="inlineStr">
        <is>
          <t>SEM COTAÇÃO</t>
        </is>
      </c>
      <c r="L3273" s="8" t="n"/>
      <c r="M3273" s="12" t="n"/>
      <c r="N3273" s="7" t="inlineStr"/>
      <c r="O3273" s="7" t="inlineStr"/>
    </row>
    <row r="3274">
      <c r="A3274" s="7" t="n">
        <v>662241</v>
      </c>
      <c r="B3274" s="10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1" t="n">
        <v>2</v>
      </c>
      <c r="G3274" s="11" t="n">
        <v>2</v>
      </c>
      <c r="H3274" s="8" t="n">
        <v>6.59</v>
      </c>
      <c r="I3274" s="8" t="n">
        <v>6.59</v>
      </c>
      <c r="J3274" s="13" t="n">
        <v>6.59</v>
      </c>
      <c r="K3274" s="7" t="inlineStr">
        <is>
          <t>DIMEC</t>
        </is>
      </c>
      <c r="L3274" s="8" t="n">
        <v>6.59</v>
      </c>
      <c r="M3274" s="12">
        <f>L3274/H3274-1</f>
        <v/>
      </c>
      <c r="N3274" s="15" t="inlineStr">
        <is>
          <t>OK (≤ menor hist.)</t>
        </is>
      </c>
      <c r="O3274" s="7" t="inlineStr"/>
    </row>
    <row r="3275">
      <c r="A3275" s="7" t="n">
        <v>630971</v>
      </c>
      <c r="B3275" s="10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1" t="n">
        <v>2</v>
      </c>
      <c r="G3275" s="11" t="n">
        <v>2</v>
      </c>
      <c r="H3275" s="8" t="n">
        <v>7.04</v>
      </c>
      <c r="I3275" s="8" t="n">
        <v>7.04</v>
      </c>
      <c r="J3275" s="8" t="n"/>
      <c r="K3275" s="7" t="inlineStr">
        <is>
          <t>SEM COTAÇÃO</t>
        </is>
      </c>
      <c r="L3275" s="8" t="n"/>
      <c r="M3275" s="12" t="n"/>
      <c r="N3275" s="7" t="inlineStr"/>
      <c r="O3275" s="7" t="inlineStr"/>
    </row>
    <row r="3276">
      <c r="A3276" s="7" t="n">
        <v>650601</v>
      </c>
      <c r="B3276" s="10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1" t="n">
        <v>3</v>
      </c>
      <c r="G3276" s="11" t="n">
        <v>3</v>
      </c>
      <c r="H3276" s="8" t="n">
        <v>2.96</v>
      </c>
      <c r="I3276" s="8" t="n">
        <v>2.96</v>
      </c>
      <c r="J3276" s="8" t="n"/>
      <c r="K3276" s="7" t="inlineStr">
        <is>
          <t>SEM COTAÇÃO</t>
        </is>
      </c>
      <c r="L3276" s="8" t="n"/>
      <c r="M3276" s="12" t="n"/>
      <c r="N3276" s="7" t="inlineStr"/>
      <c r="O3276" s="7" t="inlineStr"/>
    </row>
    <row r="3277">
      <c r="A3277" s="7" t="n">
        <v>644681</v>
      </c>
      <c r="B3277" s="10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1" t="n">
        <v>4</v>
      </c>
      <c r="G3277" s="11" t="n">
        <v>4</v>
      </c>
      <c r="H3277" s="8" t="n">
        <v>5.45</v>
      </c>
      <c r="I3277" s="8" t="n">
        <v>5.45</v>
      </c>
      <c r="J3277" s="13" t="n">
        <v>5.45</v>
      </c>
      <c r="K3277" s="7" t="inlineStr">
        <is>
          <t>DIMEC</t>
        </is>
      </c>
      <c r="L3277" s="8" t="n">
        <v>5.45</v>
      </c>
      <c r="M3277" s="12">
        <f>L3277/H3277-1</f>
        <v/>
      </c>
      <c r="N3277" s="15" t="inlineStr">
        <is>
          <t>OK (≤ menor hist.)</t>
        </is>
      </c>
      <c r="O3277" s="7" t="inlineStr"/>
    </row>
    <row r="3278">
      <c r="A3278" s="7" t="n">
        <v>571861</v>
      </c>
      <c r="B3278" s="10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1" t="n">
        <v>3</v>
      </c>
      <c r="G3278" s="11" t="n">
        <v>3</v>
      </c>
      <c r="H3278" s="8" t="n">
        <v>5.96</v>
      </c>
      <c r="I3278" s="8" t="n">
        <v>5.79</v>
      </c>
      <c r="J3278" s="8" t="n"/>
      <c r="K3278" s="7" t="inlineStr">
        <is>
          <t>SEM COTAÇÃO</t>
        </is>
      </c>
      <c r="L3278" s="8" t="n"/>
      <c r="M3278" s="12" t="n"/>
      <c r="N3278" s="7" t="inlineStr"/>
      <c r="O3278" s="7" t="inlineStr"/>
    </row>
    <row r="3279">
      <c r="A3279" s="7" t="n">
        <v>17603</v>
      </c>
      <c r="B3279" s="10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1" t="n">
        <v>1</v>
      </c>
      <c r="G3279" s="11" t="n">
        <v>1</v>
      </c>
      <c r="H3279" s="8" t="n">
        <v>33.915</v>
      </c>
      <c r="I3279" s="8" t="n">
        <v>33.915</v>
      </c>
      <c r="J3279" s="8" t="n"/>
      <c r="K3279" s="7" t="inlineStr">
        <is>
          <t>SEM COTAÇÃO</t>
        </is>
      </c>
      <c r="L3279" s="8" t="n"/>
      <c r="M3279" s="12" t="n"/>
      <c r="N3279" s="7" t="inlineStr"/>
      <c r="O3279" s="7" t="inlineStr"/>
    </row>
    <row r="3280">
      <c r="A3280" s="7" t="n">
        <v>602671</v>
      </c>
      <c r="B3280" s="10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1" t="n">
        <v>3</v>
      </c>
      <c r="G3280" s="11" t="n">
        <v>3</v>
      </c>
      <c r="H3280" s="8" t="n">
        <v>11.46</v>
      </c>
      <c r="I3280" s="8" t="n">
        <v>11.46</v>
      </c>
      <c r="J3280" s="8" t="n"/>
      <c r="K3280" s="7" t="inlineStr">
        <is>
          <t>SEM COTAÇÃO</t>
        </is>
      </c>
      <c r="L3280" s="8" t="n"/>
      <c r="M3280" s="12" t="n"/>
      <c r="N3280" s="7" t="inlineStr"/>
      <c r="O3280" s="7" t="inlineStr"/>
    </row>
    <row r="3281">
      <c r="A3281" s="7" t="n">
        <v>550381</v>
      </c>
      <c r="B3281" s="10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1" t="n">
        <v>1</v>
      </c>
      <c r="G3281" s="11" t="n">
        <v>1</v>
      </c>
      <c r="H3281" s="8" t="n"/>
      <c r="I3281" s="8" t="n"/>
      <c r="J3281" s="8" t="n"/>
      <c r="K3281" s="7" t="inlineStr">
        <is>
          <t>SEM COTAÇÃO</t>
        </is>
      </c>
      <c r="L3281" s="8" t="n"/>
      <c r="M3281" s="12" t="n"/>
      <c r="N3281" s="7" t="inlineStr"/>
      <c r="O3281" s="7" t="inlineStr"/>
    </row>
    <row r="3282">
      <c r="A3282" s="7" t="n">
        <v>3193</v>
      </c>
      <c r="B3282" s="10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1" t="n">
        <v>2</v>
      </c>
      <c r="G3282" s="11" t="n">
        <v>2</v>
      </c>
      <c r="H3282" s="8" t="n">
        <v>6.99</v>
      </c>
      <c r="I3282" s="8" t="n">
        <v>6.99</v>
      </c>
      <c r="J3282" s="8" t="n"/>
      <c r="K3282" s="7" t="inlineStr">
        <is>
          <t>SEM COTAÇÃO</t>
        </is>
      </c>
      <c r="L3282" s="8" t="n"/>
      <c r="M3282" s="12" t="n"/>
      <c r="N3282" s="7" t="inlineStr"/>
      <c r="O3282" s="7" t="inlineStr"/>
    </row>
    <row r="3283">
      <c r="A3283" s="7" t="n">
        <v>639911</v>
      </c>
      <c r="B3283" s="10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1" t="n">
        <v>5</v>
      </c>
      <c r="G3283" s="11" t="n">
        <v>5</v>
      </c>
      <c r="H3283" s="8" t="n">
        <v>11.84</v>
      </c>
      <c r="I3283" s="8" t="n">
        <v>11.84</v>
      </c>
      <c r="J3283" s="13" t="n">
        <v>11.84</v>
      </c>
      <c r="K3283" s="7" t="inlineStr">
        <is>
          <t>DIMEC</t>
        </is>
      </c>
      <c r="L3283" s="8" t="n">
        <v>11.84</v>
      </c>
      <c r="M3283" s="12">
        <f>L3283/H3283-1</f>
        <v/>
      </c>
      <c r="N3283" s="15" t="inlineStr">
        <is>
          <t>OK (≤ menor hist.)</t>
        </is>
      </c>
      <c r="O3283" s="7" t="inlineStr"/>
    </row>
    <row r="3284">
      <c r="A3284" s="7" t="n">
        <v>599201</v>
      </c>
      <c r="B3284" s="10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1" t="n">
        <v>1</v>
      </c>
      <c r="G3284" s="11" t="n">
        <v>1</v>
      </c>
      <c r="H3284" s="8" t="n">
        <v>2.39</v>
      </c>
      <c r="I3284" s="8" t="n">
        <v>2.39</v>
      </c>
      <c r="J3284" s="8" t="n"/>
      <c r="K3284" s="7" t="inlineStr">
        <is>
          <t>SEM COTAÇÃO</t>
        </is>
      </c>
      <c r="L3284" s="8" t="n"/>
      <c r="M3284" s="12" t="n"/>
      <c r="N3284" s="7" t="inlineStr"/>
      <c r="O3284" s="7" t="inlineStr"/>
    </row>
    <row r="3285">
      <c r="A3285" s="7" t="n">
        <v>220241</v>
      </c>
      <c r="B3285" s="10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1" t="n">
        <v>15</v>
      </c>
      <c r="G3285" s="11" t="n">
        <v>15</v>
      </c>
      <c r="H3285" s="8" t="n">
        <v>11.66</v>
      </c>
      <c r="I3285" s="8" t="n">
        <v>11.38</v>
      </c>
      <c r="J3285" s="8" t="n"/>
      <c r="K3285" s="7" t="inlineStr">
        <is>
          <t>SEM COTAÇÃO</t>
        </is>
      </c>
      <c r="L3285" s="8" t="n"/>
      <c r="M3285" s="12" t="n"/>
      <c r="N3285" s="7" t="inlineStr"/>
      <c r="O3285" s="7" t="inlineStr"/>
    </row>
    <row r="3286">
      <c r="A3286" s="7" t="n">
        <v>660221</v>
      </c>
      <c r="B3286" s="10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1" t="n">
        <v>1</v>
      </c>
      <c r="G3286" s="11" t="n">
        <v>54</v>
      </c>
      <c r="H3286" s="8" t="n">
        <v>28.99</v>
      </c>
      <c r="I3286" s="8" t="n">
        <v>28.99</v>
      </c>
      <c r="J3286" s="8" t="n"/>
      <c r="K3286" s="7" t="inlineStr">
        <is>
          <t>SEM COTAÇÃO</t>
        </is>
      </c>
      <c r="L3286" s="8" t="n"/>
      <c r="M3286" s="12" t="n"/>
      <c r="N3286" s="7" t="inlineStr"/>
      <c r="O3286" s="7" t="inlineStr"/>
    </row>
    <row r="3287">
      <c r="A3287" s="7" t="n">
        <v>316121</v>
      </c>
      <c r="B3287" s="10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1" t="n">
        <v>4</v>
      </c>
      <c r="G3287" s="11" t="n">
        <v>4</v>
      </c>
      <c r="H3287" s="8" t="n">
        <v>32.9686</v>
      </c>
      <c r="I3287" s="8" t="n">
        <v>31.67</v>
      </c>
      <c r="J3287" s="8" t="n"/>
      <c r="K3287" s="7" t="inlineStr">
        <is>
          <t>SEM COTAÇÃO</t>
        </is>
      </c>
      <c r="L3287" s="8" t="n"/>
      <c r="M3287" s="12" t="n"/>
      <c r="N3287" s="7" t="inlineStr"/>
      <c r="O3287" s="7" t="inlineStr"/>
    </row>
    <row r="3288">
      <c r="A3288" s="7" t="n">
        <v>675911</v>
      </c>
      <c r="B3288" s="10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1" t="n">
        <v>3</v>
      </c>
      <c r="G3288" s="11" t="n">
        <v>3</v>
      </c>
      <c r="H3288" s="8" t="n">
        <v>12.95</v>
      </c>
      <c r="I3288" s="8" t="n">
        <v>12.95</v>
      </c>
      <c r="J3288" s="8" t="n"/>
      <c r="K3288" s="7" t="inlineStr">
        <is>
          <t>SEM COTAÇÃO</t>
        </is>
      </c>
      <c r="L3288" s="8" t="n"/>
      <c r="M3288" s="12" t="n"/>
      <c r="N3288" s="7" t="inlineStr"/>
      <c r="O3288" s="7" t="inlineStr"/>
    </row>
    <row r="3289">
      <c r="A3289" s="7" t="n">
        <v>3563</v>
      </c>
      <c r="B3289" s="10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1" t="n">
        <v>1</v>
      </c>
      <c r="G3289" s="11" t="n">
        <v>1</v>
      </c>
      <c r="H3289" s="8" t="n">
        <v>11.99</v>
      </c>
      <c r="I3289" s="8" t="n">
        <v>11.99</v>
      </c>
      <c r="J3289" s="13" t="n">
        <v>12.95</v>
      </c>
      <c r="K3289" s="7" t="inlineStr">
        <is>
          <t>DIMEC</t>
        </is>
      </c>
      <c r="L3289" s="8" t="n">
        <v>12.95</v>
      </c>
      <c r="M3289" s="12">
        <f>L3289/H3289-1</f>
        <v/>
      </c>
      <c r="N3289" s="14" t="inlineStr">
        <is>
          <t>ACIMA +8.0%</t>
        </is>
      </c>
      <c r="O3289" s="7" t="inlineStr"/>
    </row>
    <row r="3290">
      <c r="A3290" s="7" t="n">
        <v>547801</v>
      </c>
      <c r="B3290" s="10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1" t="n">
        <v>2</v>
      </c>
      <c r="G3290" s="11" t="n">
        <v>2</v>
      </c>
      <c r="H3290" s="8" t="n">
        <v>10.79</v>
      </c>
      <c r="I3290" s="8" t="n">
        <v>10.79</v>
      </c>
      <c r="J3290" s="13" t="n">
        <v>10.79</v>
      </c>
      <c r="K3290" s="7" t="inlineStr">
        <is>
          <t>DIMEC</t>
        </is>
      </c>
      <c r="L3290" s="8" t="n">
        <v>10.79</v>
      </c>
      <c r="M3290" s="12">
        <f>L3290/H3290-1</f>
        <v/>
      </c>
      <c r="N3290" s="15" t="inlineStr">
        <is>
          <t>OK (≤ menor hist.)</t>
        </is>
      </c>
      <c r="O3290" s="7" t="inlineStr"/>
    </row>
    <row r="3291">
      <c r="A3291" s="7" t="n">
        <v>594751</v>
      </c>
      <c r="B3291" s="10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1" t="n">
        <v>1</v>
      </c>
      <c r="G3291" s="11" t="n">
        <v>1</v>
      </c>
      <c r="H3291" s="8" t="n">
        <v>25.345</v>
      </c>
      <c r="I3291" s="8" t="n">
        <v>22.4675</v>
      </c>
      <c r="J3291" s="8" t="n"/>
      <c r="K3291" s="7" t="inlineStr">
        <is>
          <t>SEM COTAÇÃO</t>
        </is>
      </c>
      <c r="L3291" s="8" t="n"/>
      <c r="M3291" s="12" t="n"/>
      <c r="N3291" s="7" t="inlineStr"/>
      <c r="O3291" s="7" t="inlineStr"/>
    </row>
    <row r="3292">
      <c r="A3292" s="7" t="n">
        <v>549241</v>
      </c>
      <c r="B3292" s="10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1" t="n">
        <v>12</v>
      </c>
      <c r="G3292" s="11" t="n">
        <v>12</v>
      </c>
      <c r="H3292" s="8" t="n">
        <v>2.43</v>
      </c>
      <c r="I3292" s="8" t="n">
        <v>2.43</v>
      </c>
      <c r="J3292" s="8" t="n"/>
      <c r="K3292" s="7" t="inlineStr">
        <is>
          <t>SEM COTAÇÃO</t>
        </is>
      </c>
      <c r="L3292" s="8" t="n"/>
      <c r="M3292" s="12" t="n"/>
      <c r="N3292" s="7" t="inlineStr"/>
      <c r="O3292" s="7" t="inlineStr"/>
    </row>
    <row r="3293">
      <c r="A3293" s="7" t="n">
        <v>578161</v>
      </c>
      <c r="B3293" s="10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1" t="n">
        <v>2</v>
      </c>
      <c r="G3293" s="11" t="n">
        <v>2</v>
      </c>
      <c r="H3293" s="8" t="n">
        <v>22.91</v>
      </c>
      <c r="I3293" s="8" t="n">
        <v>22.91</v>
      </c>
      <c r="J3293" s="8" t="n"/>
      <c r="K3293" s="7" t="inlineStr">
        <is>
          <t>SEM COTAÇÃO</t>
        </is>
      </c>
      <c r="L3293" s="8" t="n"/>
      <c r="M3293" s="12" t="n"/>
      <c r="N3293" s="7" t="inlineStr"/>
      <c r="O3293" s="7" t="inlineStr"/>
    </row>
    <row r="3294">
      <c r="A3294" s="7" t="n">
        <v>487921</v>
      </c>
      <c r="B3294" s="10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1" t="n">
        <v>33</v>
      </c>
      <c r="G3294" s="11" t="n">
        <v>33</v>
      </c>
      <c r="H3294" s="8" t="n">
        <v>6.99</v>
      </c>
      <c r="I3294" s="8" t="n">
        <v>6.99</v>
      </c>
      <c r="J3294" s="13" t="n">
        <v>8.800000000000001</v>
      </c>
      <c r="K3294" s="7" t="inlineStr">
        <is>
          <t>DIMEC</t>
        </is>
      </c>
      <c r="L3294" s="8" t="n">
        <v>8.800000000000001</v>
      </c>
      <c r="M3294" s="12">
        <f>L3294/H3294-1</f>
        <v/>
      </c>
      <c r="N3294" s="14" t="inlineStr">
        <is>
          <t>ACIMA +25.9%</t>
        </is>
      </c>
      <c r="O3294" s="7" t="inlineStr"/>
    </row>
    <row r="3295">
      <c r="A3295" s="7" t="n">
        <v>274781</v>
      </c>
      <c r="B3295" s="10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1" t="n">
        <v>22</v>
      </c>
      <c r="G3295" s="11" t="n">
        <v>22</v>
      </c>
      <c r="H3295" s="8" t="n">
        <v>5.49</v>
      </c>
      <c r="I3295" s="8" t="n">
        <v>5.49</v>
      </c>
      <c r="J3295" s="13" t="n">
        <v>6.61</v>
      </c>
      <c r="K3295" s="7" t="inlineStr">
        <is>
          <t>DIMEC</t>
        </is>
      </c>
      <c r="L3295" s="8" t="n">
        <v>6.61</v>
      </c>
      <c r="M3295" s="12">
        <f>L3295/H3295-1</f>
        <v/>
      </c>
      <c r="N3295" s="14" t="inlineStr">
        <is>
          <t>ACIMA +20.4%</t>
        </is>
      </c>
      <c r="O3295" s="7" t="inlineStr"/>
    </row>
    <row r="3296">
      <c r="A3296" s="7" t="n">
        <v>565861</v>
      </c>
      <c r="B3296" s="10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1" t="n">
        <v>1</v>
      </c>
      <c r="G3296" s="11" t="n">
        <v>1</v>
      </c>
      <c r="H3296" s="8" t="n">
        <v>5.66</v>
      </c>
      <c r="I3296" s="8" t="n">
        <v>5.66</v>
      </c>
      <c r="J3296" s="13" t="n">
        <v>6.96</v>
      </c>
      <c r="K3296" s="7" t="inlineStr">
        <is>
          <t>DIMEC</t>
        </is>
      </c>
      <c r="L3296" s="8" t="n">
        <v>6.96</v>
      </c>
      <c r="M3296" s="12">
        <f>L3296/H3296-1</f>
        <v/>
      </c>
      <c r="N3296" s="14" t="inlineStr">
        <is>
          <t>ACIMA +23.0%</t>
        </is>
      </c>
      <c r="O3296" s="7" t="inlineStr"/>
    </row>
    <row r="3297">
      <c r="A3297" s="7" t="n">
        <v>553021</v>
      </c>
      <c r="B3297" s="10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1" t="n">
        <v>8</v>
      </c>
      <c r="G3297" s="11" t="n">
        <v>8</v>
      </c>
      <c r="H3297" s="8" t="n">
        <v>16.8267</v>
      </c>
      <c r="I3297" s="8" t="n">
        <v>14.228</v>
      </c>
      <c r="J3297" s="8" t="n"/>
      <c r="K3297" s="7" t="inlineStr">
        <is>
          <t>SEM COTAÇÃO</t>
        </is>
      </c>
      <c r="L3297" s="8" t="n"/>
      <c r="M3297" s="12" t="n"/>
      <c r="N3297" s="7" t="inlineStr"/>
      <c r="O3297" s="7" t="inlineStr"/>
    </row>
    <row r="3298">
      <c r="A3298" s="7" t="n">
        <v>566001</v>
      </c>
      <c r="B3298" s="10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1" t="n">
        <v>1</v>
      </c>
      <c r="G3298" s="11" t="n">
        <v>23</v>
      </c>
      <c r="H3298" s="8" t="n">
        <v>5.2708</v>
      </c>
      <c r="I3298" s="8" t="n">
        <v>5.2708</v>
      </c>
      <c r="J3298" s="8" t="n"/>
      <c r="K3298" s="7" t="inlineStr">
        <is>
          <t>SEM COTAÇÃO</t>
        </is>
      </c>
      <c r="L3298" s="8" t="n"/>
      <c r="M3298" s="12" t="n"/>
      <c r="N3298" s="7" t="inlineStr"/>
      <c r="O3298" s="7" t="inlineStr"/>
    </row>
    <row r="3299">
      <c r="A3299" s="7" t="n">
        <v>561901</v>
      </c>
      <c r="B3299" s="10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1" t="n">
        <v>1</v>
      </c>
      <c r="G3299" s="11" t="n">
        <v>26</v>
      </c>
      <c r="H3299" s="8" t="n">
        <v>6.0179</v>
      </c>
      <c r="I3299" s="8" t="n">
        <v>6.0179</v>
      </c>
      <c r="J3299" s="8" t="n"/>
      <c r="K3299" s="7" t="inlineStr">
        <is>
          <t>SEM COTAÇÃO</t>
        </is>
      </c>
      <c r="L3299" s="8" t="n"/>
      <c r="M3299" s="12" t="n"/>
      <c r="N3299" s="7" t="inlineStr"/>
      <c r="O3299" s="7" t="inlineStr"/>
    </row>
    <row r="3300">
      <c r="A3300" s="7" t="n">
        <v>579121</v>
      </c>
      <c r="B3300" s="10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1" t="n">
        <v>1</v>
      </c>
      <c r="G3300" s="11" t="n">
        <v>20</v>
      </c>
      <c r="H3300" s="8" t="n">
        <v>2.6562</v>
      </c>
      <c r="I3300" s="8" t="n">
        <v>2.6562</v>
      </c>
      <c r="J3300" s="8" t="n"/>
      <c r="K3300" s="7" t="inlineStr">
        <is>
          <t>SEM COTAÇÃO</t>
        </is>
      </c>
      <c r="L3300" s="8" t="n"/>
      <c r="M3300" s="12" t="n"/>
      <c r="N3300" s="7" t="inlineStr"/>
      <c r="O3300" s="7" t="inlineStr"/>
    </row>
    <row r="3301">
      <c r="A3301" s="7" t="n">
        <v>563881</v>
      </c>
      <c r="B3301" s="10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1" t="n">
        <v>1</v>
      </c>
      <c r="G3301" s="11" t="n">
        <v>4</v>
      </c>
      <c r="H3301" s="8" t="n">
        <v>2.6562</v>
      </c>
      <c r="I3301" s="8" t="n">
        <v>2.6562</v>
      </c>
      <c r="J3301" s="8" t="n"/>
      <c r="K3301" s="7" t="inlineStr">
        <is>
          <t>SEM COTAÇÃO</t>
        </is>
      </c>
      <c r="L3301" s="8" t="n"/>
      <c r="M3301" s="12" t="n"/>
      <c r="N3301" s="7" t="inlineStr"/>
      <c r="O3301" s="7" t="inlineStr"/>
    </row>
    <row r="3302">
      <c r="A3302" s="7" t="n">
        <v>659111</v>
      </c>
      <c r="B3302" s="10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1" t="n">
        <v>1</v>
      </c>
      <c r="G3302" s="11" t="n">
        <v>4</v>
      </c>
      <c r="H3302" s="8" t="n">
        <v>7.4545</v>
      </c>
      <c r="I3302" s="8" t="n">
        <v>7.4545</v>
      </c>
      <c r="J3302" s="8" t="n"/>
      <c r="K3302" s="7" t="inlineStr">
        <is>
          <t>SEM COTAÇÃO</t>
        </is>
      </c>
      <c r="L3302" s="8" t="n"/>
      <c r="M3302" s="12" t="n"/>
      <c r="N3302" s="7" t="inlineStr"/>
      <c r="O3302" s="7" t="inlineStr"/>
    </row>
    <row r="3303">
      <c r="A3303" s="7" t="n">
        <v>560441</v>
      </c>
      <c r="B3303" s="10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1" t="n">
        <v>1</v>
      </c>
      <c r="G3303" s="11" t="n">
        <v>5</v>
      </c>
      <c r="H3303" s="8" t="n">
        <v>5.05</v>
      </c>
      <c r="I3303" s="8" t="n">
        <v>5.05</v>
      </c>
      <c r="J3303" s="8" t="n"/>
      <c r="K3303" s="7" t="inlineStr">
        <is>
          <t>SEM COTAÇÃO</t>
        </is>
      </c>
      <c r="L3303" s="8" t="n"/>
      <c r="M3303" s="12" t="n"/>
      <c r="N3303" s="7" t="inlineStr"/>
      <c r="O3303" s="7" t="inlineStr"/>
    </row>
    <row r="3304">
      <c r="A3304" s="7" t="n">
        <v>666031</v>
      </c>
      <c r="B3304" s="10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1" t="n">
        <v>1</v>
      </c>
      <c r="G3304" s="11" t="n">
        <v>4</v>
      </c>
      <c r="H3304" s="8" t="n">
        <v>1.9474</v>
      </c>
      <c r="I3304" s="8" t="n">
        <v>1.9474</v>
      </c>
      <c r="J3304" s="8" t="n"/>
      <c r="K3304" s="7" t="inlineStr">
        <is>
          <t>SEM COTAÇÃO</t>
        </is>
      </c>
      <c r="L3304" s="8" t="n"/>
      <c r="M3304" s="12" t="n"/>
      <c r="N3304" s="7" t="inlineStr"/>
      <c r="O3304" s="7" t="inlineStr"/>
    </row>
    <row r="3305">
      <c r="A3305" s="7" t="n">
        <v>560481</v>
      </c>
      <c r="B3305" s="10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1" t="n">
        <v>1</v>
      </c>
      <c r="G3305" s="11" t="n">
        <v>46</v>
      </c>
      <c r="H3305" s="8" t="n">
        <v>1.5417</v>
      </c>
      <c r="I3305" s="8" t="n">
        <v>1.5417</v>
      </c>
      <c r="J3305" s="8" t="n"/>
      <c r="K3305" s="7" t="inlineStr">
        <is>
          <t>SEM COTAÇÃO</t>
        </is>
      </c>
      <c r="L3305" s="8" t="n"/>
      <c r="M3305" s="12" t="n"/>
      <c r="N3305" s="7" t="inlineStr"/>
      <c r="O3305" s="7" t="inlineStr"/>
    </row>
    <row r="3306">
      <c r="A3306" s="7" t="n">
        <v>651841</v>
      </c>
      <c r="B3306" s="10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1" t="n">
        <v>1</v>
      </c>
      <c r="G3306" s="11" t="n">
        <v>2</v>
      </c>
      <c r="H3306" s="8" t="n">
        <v>2.2812</v>
      </c>
      <c r="I3306" s="8" t="n">
        <v>2.2812</v>
      </c>
      <c r="J3306" s="8" t="n"/>
      <c r="K3306" s="7" t="inlineStr">
        <is>
          <t>SEM COTAÇÃO</t>
        </is>
      </c>
      <c r="L3306" s="8" t="n"/>
      <c r="M3306" s="12" t="n"/>
      <c r="N3306" s="7" t="inlineStr"/>
      <c r="O3306" s="7" t="inlineStr"/>
    </row>
    <row r="3307">
      <c r="A3307" s="7" t="n">
        <v>565381</v>
      </c>
      <c r="B3307" s="10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1" t="n">
        <v>1</v>
      </c>
      <c r="G3307" s="11" t="n">
        <v>2</v>
      </c>
      <c r="H3307" s="8" t="n">
        <v>5.25</v>
      </c>
      <c r="I3307" s="8" t="n">
        <v>5.25</v>
      </c>
      <c r="J3307" s="8" t="n"/>
      <c r="K3307" s="7" t="inlineStr">
        <is>
          <t>SEM COTAÇÃO</t>
        </is>
      </c>
      <c r="L3307" s="8" t="n"/>
      <c r="M3307" s="12" t="n"/>
      <c r="N3307" s="7" t="inlineStr"/>
      <c r="O3307" s="7" t="inlineStr"/>
    </row>
    <row r="3308">
      <c r="A3308" s="7" t="n">
        <v>11703</v>
      </c>
      <c r="B3308" s="10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1" t="n">
        <v>2</v>
      </c>
      <c r="G3308" s="11" t="n">
        <v>2</v>
      </c>
      <c r="H3308" s="8" t="n">
        <v>5.2885</v>
      </c>
      <c r="I3308" s="8" t="n">
        <v>5.2885</v>
      </c>
      <c r="J3308" s="8" t="n"/>
      <c r="K3308" s="7" t="inlineStr">
        <is>
          <t>SEM COTAÇÃO</t>
        </is>
      </c>
      <c r="L3308" s="8" t="n"/>
      <c r="M3308" s="12" t="n"/>
      <c r="N3308" s="7" t="inlineStr"/>
      <c r="O3308" s="7" t="inlineStr"/>
    </row>
    <row r="3309">
      <c r="A3309" s="7" t="n">
        <v>561861</v>
      </c>
      <c r="B3309" s="10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1" t="n">
        <v>1</v>
      </c>
      <c r="G3309" s="11" t="n">
        <v>6</v>
      </c>
      <c r="H3309" s="8" t="n">
        <v>2.9688</v>
      </c>
      <c r="I3309" s="8" t="n">
        <v>2.9688</v>
      </c>
      <c r="J3309" s="8" t="n"/>
      <c r="K3309" s="7" t="inlineStr">
        <is>
          <t>SEM COTAÇÃO</t>
        </is>
      </c>
      <c r="L3309" s="8" t="n"/>
      <c r="M3309" s="12" t="n"/>
      <c r="N3309" s="7" t="inlineStr"/>
      <c r="O3309" s="7" t="inlineStr"/>
    </row>
    <row r="3310">
      <c r="A3310" s="7" t="n">
        <v>561921</v>
      </c>
      <c r="B3310" s="10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1" t="n">
        <v>1</v>
      </c>
      <c r="G3310" s="11" t="n">
        <v>4</v>
      </c>
      <c r="H3310" s="8" t="n">
        <v>5.2656</v>
      </c>
      <c r="I3310" s="8" t="n">
        <v>5.2656</v>
      </c>
      <c r="J3310" s="8" t="n"/>
      <c r="K3310" s="7" t="inlineStr">
        <is>
          <t>SEM COTAÇÃO</t>
        </is>
      </c>
      <c r="L3310" s="8" t="n"/>
      <c r="M3310" s="12" t="n"/>
      <c r="N3310" s="7" t="inlineStr"/>
      <c r="O3310" s="7" t="inlineStr"/>
    </row>
    <row r="3311">
      <c r="A3311" s="7" t="n">
        <v>638911</v>
      </c>
      <c r="B3311" s="10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1" t="n">
        <v>2</v>
      </c>
      <c r="G3311" s="11" t="n">
        <v>2</v>
      </c>
      <c r="H3311" s="8" t="n">
        <v>15.2</v>
      </c>
      <c r="I3311" s="8" t="n">
        <v>15.2</v>
      </c>
      <c r="J3311" s="8" t="n"/>
      <c r="K3311" s="7" t="inlineStr">
        <is>
          <t>SEM COTAÇÃO</t>
        </is>
      </c>
      <c r="L3311" s="8" t="n"/>
      <c r="M3311" s="12" t="n"/>
      <c r="N3311" s="7" t="inlineStr"/>
      <c r="O3311" s="7" t="inlineStr"/>
    </row>
    <row r="3312">
      <c r="A3312" s="7" t="n">
        <v>653921</v>
      </c>
      <c r="B3312" s="10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1" t="n">
        <v>1</v>
      </c>
      <c r="G3312" s="11" t="n">
        <v>1</v>
      </c>
      <c r="H3312" s="8" t="n">
        <v>6.185</v>
      </c>
      <c r="I3312" s="8" t="n">
        <v>6.185</v>
      </c>
      <c r="J3312" s="8" t="n"/>
      <c r="K3312" s="7" t="inlineStr">
        <is>
          <t>SEM COTAÇÃO</t>
        </is>
      </c>
      <c r="L3312" s="8" t="n"/>
      <c r="M3312" s="12" t="n"/>
      <c r="N3312" s="7" t="inlineStr"/>
      <c r="O3312" s="7" t="inlineStr"/>
    </row>
    <row r="3313">
      <c r="A3313" s="7" t="n">
        <v>1533</v>
      </c>
      <c r="B3313" s="10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1" t="n">
        <v>8</v>
      </c>
      <c r="G3313" s="11" t="n">
        <v>8</v>
      </c>
      <c r="H3313" s="8" t="n">
        <v>6.82</v>
      </c>
      <c r="I3313" s="8" t="n">
        <v>6.71</v>
      </c>
      <c r="J3313" s="8" t="n"/>
      <c r="K3313" s="7" t="inlineStr">
        <is>
          <t>SEM COTAÇÃO</t>
        </is>
      </c>
      <c r="L3313" s="8" t="n"/>
      <c r="M3313" s="12" t="n"/>
      <c r="N3313" s="7" t="inlineStr"/>
      <c r="O3313" s="7" t="inlineStr"/>
    </row>
    <row r="3314">
      <c r="A3314" s="7" t="n">
        <v>1523</v>
      </c>
      <c r="B3314" s="10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1" t="n">
        <v>8</v>
      </c>
      <c r="G3314" s="11" t="n">
        <v>8</v>
      </c>
      <c r="H3314" s="8" t="n">
        <v>8.01</v>
      </c>
      <c r="I3314" s="8" t="n">
        <v>7.88</v>
      </c>
      <c r="J3314" s="8" t="n"/>
      <c r="K3314" s="7" t="inlineStr">
        <is>
          <t>SEM COTAÇÃO</t>
        </is>
      </c>
      <c r="L3314" s="8" t="n"/>
      <c r="M3314" s="12" t="n"/>
      <c r="N3314" s="7" t="inlineStr"/>
      <c r="O3314" s="7" t="inlineStr"/>
    </row>
    <row r="3315">
      <c r="A3315" s="7" t="n">
        <v>549581</v>
      </c>
      <c r="B3315" s="10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1" t="n">
        <v>1</v>
      </c>
      <c r="G3315" s="11" t="n">
        <v>1</v>
      </c>
      <c r="H3315" s="8" t="n">
        <v>5.91</v>
      </c>
      <c r="I3315" s="8" t="n">
        <v>5.91</v>
      </c>
      <c r="J3315" s="8" t="n"/>
      <c r="K3315" s="7" t="inlineStr">
        <is>
          <t>SEM COTAÇÃO</t>
        </is>
      </c>
      <c r="L3315" s="8" t="n"/>
      <c r="M3315" s="12" t="n"/>
      <c r="N3315" s="7" t="inlineStr"/>
      <c r="O3315" s="7" t="inlineStr"/>
    </row>
    <row r="3316">
      <c r="A3316" s="7" t="n">
        <v>638921</v>
      </c>
      <c r="B3316" s="10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1" t="n">
        <v>2</v>
      </c>
      <c r="G3316" s="11" t="n">
        <v>2</v>
      </c>
      <c r="H3316" s="8" t="n">
        <v>12.33</v>
      </c>
      <c r="I3316" s="8" t="n">
        <v>12.33</v>
      </c>
      <c r="J3316" s="8" t="n"/>
      <c r="K3316" s="7" t="inlineStr">
        <is>
          <t>SEM COTAÇÃO</t>
        </is>
      </c>
      <c r="L3316" s="8" t="n"/>
      <c r="M3316" s="12" t="n"/>
      <c r="N3316" s="7" t="inlineStr"/>
      <c r="O3316" s="7" t="inlineStr"/>
    </row>
    <row r="3317">
      <c r="A3317" s="7" t="n">
        <v>603761</v>
      </c>
      <c r="B3317" s="10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1" t="n">
        <v>1</v>
      </c>
      <c r="G3317" s="11" t="n">
        <v>5</v>
      </c>
      <c r="H3317" s="8" t="n">
        <v>6.702</v>
      </c>
      <c r="I3317" s="8" t="n">
        <v>6.702</v>
      </c>
      <c r="J3317" s="8" t="n"/>
      <c r="K3317" s="7" t="inlineStr">
        <is>
          <t>SEM COTAÇÃO</t>
        </is>
      </c>
      <c r="L3317" s="8" t="n"/>
      <c r="M3317" s="12" t="n"/>
      <c r="N3317" s="7" t="inlineStr"/>
      <c r="O3317" s="7" t="inlineStr"/>
    </row>
    <row r="3318">
      <c r="A3318" s="7" t="n">
        <v>1513</v>
      </c>
      <c r="B3318" s="10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1" t="n">
        <v>1</v>
      </c>
      <c r="G3318" s="11" t="n">
        <v>1</v>
      </c>
      <c r="H3318" s="8" t="n">
        <v>3.2415</v>
      </c>
      <c r="I3318" s="8" t="n">
        <v>3.2415</v>
      </c>
      <c r="J3318" s="8" t="n"/>
      <c r="K3318" s="7" t="inlineStr">
        <is>
          <t>SEM COTAÇÃO</t>
        </is>
      </c>
      <c r="L3318" s="8" t="n"/>
      <c r="M3318" s="12" t="n"/>
      <c r="N3318" s="7" t="inlineStr"/>
      <c r="O3318" s="7" t="inlineStr"/>
    </row>
    <row r="3319">
      <c r="A3319" s="7" t="n">
        <v>626851</v>
      </c>
      <c r="B3319" s="10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1" t="n">
        <v>1</v>
      </c>
      <c r="G3319" s="11" t="n">
        <v>1</v>
      </c>
      <c r="H3319" s="8" t="n">
        <v>3.999</v>
      </c>
      <c r="I3319" s="8" t="n">
        <v>3.999</v>
      </c>
      <c r="J3319" s="8" t="n"/>
      <c r="K3319" s="7" t="inlineStr">
        <is>
          <t>SEM COTAÇÃO</t>
        </is>
      </c>
      <c r="L3319" s="8" t="n"/>
      <c r="M3319" s="12" t="n"/>
      <c r="N3319" s="7" t="inlineStr"/>
      <c r="O3319" s="7" t="inlineStr"/>
    </row>
    <row r="3320">
      <c r="A3320" s="7" t="n">
        <v>612911</v>
      </c>
      <c r="B3320" s="10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1" t="n">
        <v>1</v>
      </c>
      <c r="G3320" s="11" t="n">
        <v>1</v>
      </c>
      <c r="H3320" s="8" t="n">
        <v>7.99</v>
      </c>
      <c r="I3320" s="8" t="n">
        <v>7.99</v>
      </c>
      <c r="J3320" s="8" t="n"/>
      <c r="K3320" s="7" t="inlineStr">
        <is>
          <t>SEM COTAÇÃO</t>
        </is>
      </c>
      <c r="L3320" s="8" t="n"/>
      <c r="M3320" s="12" t="n"/>
      <c r="N3320" s="7" t="inlineStr"/>
      <c r="O3320" s="7" t="inlineStr"/>
    </row>
    <row r="3321">
      <c r="A3321" s="7" t="n">
        <v>630031</v>
      </c>
      <c r="B3321" s="10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1" t="n">
        <v>1</v>
      </c>
      <c r="G3321" s="11" t="n">
        <v>1</v>
      </c>
      <c r="H3321" s="8" t="n">
        <v>3.99</v>
      </c>
      <c r="I3321" s="8" t="n">
        <v>3.2025</v>
      </c>
      <c r="J3321" s="8" t="n"/>
      <c r="K3321" s="7" t="inlineStr">
        <is>
          <t>SEM COTAÇÃO</t>
        </is>
      </c>
      <c r="L3321" s="8" t="n"/>
      <c r="M3321" s="12" t="n"/>
      <c r="N3321" s="7" t="inlineStr"/>
      <c r="O3321" s="7" t="inlineStr"/>
    </row>
    <row r="3322">
      <c r="A3322" s="7" t="n">
        <v>647071</v>
      </c>
      <c r="B3322" s="10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1" t="n">
        <v>1</v>
      </c>
      <c r="G3322" s="11" t="n">
        <v>1</v>
      </c>
      <c r="H3322" s="8" t="n">
        <v>8.99</v>
      </c>
      <c r="I3322" s="8" t="n">
        <v>8.99</v>
      </c>
      <c r="J3322" s="8" t="n"/>
      <c r="K3322" s="7" t="inlineStr">
        <is>
          <t>SEM COTAÇÃO</t>
        </is>
      </c>
      <c r="L3322" s="8" t="n"/>
      <c r="M3322" s="12" t="n"/>
      <c r="N3322" s="7" t="inlineStr"/>
      <c r="O3322" s="7" t="inlineStr"/>
    </row>
    <row r="3323">
      <c r="A3323" s="7" t="n">
        <v>612941</v>
      </c>
      <c r="B3323" s="10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1" t="n">
        <v>1</v>
      </c>
      <c r="G3323" s="11" t="n">
        <v>1</v>
      </c>
      <c r="H3323" s="8" t="n">
        <v>1.4983</v>
      </c>
      <c r="I3323" s="8" t="n">
        <v>1.4983</v>
      </c>
      <c r="J3323" s="8" t="n"/>
      <c r="K3323" s="7" t="inlineStr">
        <is>
          <t>SEM COTAÇÃO</t>
        </is>
      </c>
      <c r="L3323" s="8" t="n"/>
      <c r="M3323" s="12" t="n"/>
      <c r="N3323" s="7" t="inlineStr"/>
      <c r="O3323" s="7" t="inlineStr"/>
    </row>
    <row r="3324">
      <c r="A3324" s="7" t="n">
        <v>647081</v>
      </c>
      <c r="B3324" s="10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1" t="n">
        <v>5</v>
      </c>
      <c r="G3324" s="11" t="n">
        <v>5</v>
      </c>
      <c r="H3324" s="8" t="n">
        <v>9.65</v>
      </c>
      <c r="I3324" s="8" t="n">
        <v>9.65</v>
      </c>
      <c r="J3324" s="8" t="n"/>
      <c r="K3324" s="7" t="inlineStr">
        <is>
          <t>SEM COTAÇÃO</t>
        </is>
      </c>
      <c r="L3324" s="8" t="n"/>
      <c r="M3324" s="12" t="n"/>
      <c r="N3324" s="7" t="inlineStr"/>
      <c r="O3324" s="7" t="inlineStr"/>
    </row>
    <row r="3325">
      <c r="A3325" s="7" t="n">
        <v>612901</v>
      </c>
      <c r="B3325" s="10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1" t="n">
        <v>1</v>
      </c>
      <c r="G3325" s="11" t="n">
        <v>3</v>
      </c>
      <c r="H3325" s="8" t="n">
        <v>2.225</v>
      </c>
      <c r="I3325" s="8" t="n">
        <v>2.225</v>
      </c>
      <c r="J3325" s="8" t="n"/>
      <c r="K3325" s="7" t="inlineStr">
        <is>
          <t>SEM COTAÇÃO</t>
        </is>
      </c>
      <c r="L3325" s="8" t="n"/>
      <c r="M3325" s="12" t="n"/>
      <c r="N3325" s="7" t="inlineStr"/>
      <c r="O3325" s="7" t="inlineStr"/>
    </row>
    <row r="3326">
      <c r="A3326" s="7" t="n">
        <v>629391</v>
      </c>
      <c r="B3326" s="10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1" t="n">
        <v>15</v>
      </c>
      <c r="G3326" s="11" t="n">
        <v>15</v>
      </c>
      <c r="H3326" s="8" t="n">
        <v>4.25</v>
      </c>
      <c r="I3326" s="8" t="n">
        <v>4.18</v>
      </c>
      <c r="J3326" s="8" t="n"/>
      <c r="K3326" s="7" t="inlineStr">
        <is>
          <t>SEM COTAÇÃO</t>
        </is>
      </c>
      <c r="L3326" s="8" t="n"/>
      <c r="M3326" s="12" t="n"/>
      <c r="N3326" s="7" t="inlineStr"/>
      <c r="O3326" s="7" t="inlineStr"/>
    </row>
    <row r="3327">
      <c r="A3327" s="7" t="n">
        <v>675131</v>
      </c>
      <c r="B3327" s="10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1" t="n">
        <v>1</v>
      </c>
      <c r="G3327" s="11" t="n">
        <v>1</v>
      </c>
      <c r="H3327" s="8" t="n"/>
      <c r="I3327" s="8" t="n"/>
      <c r="J3327" s="8" t="n"/>
      <c r="K3327" s="7" t="inlineStr">
        <is>
          <t>SEM COTAÇÃO</t>
        </is>
      </c>
      <c r="L3327" s="8" t="n"/>
      <c r="M3327" s="12" t="n"/>
      <c r="N3327" s="7" t="inlineStr"/>
      <c r="O3327" s="7" t="inlineStr"/>
    </row>
    <row r="3328">
      <c r="A3328" s="7" t="n">
        <v>675241</v>
      </c>
      <c r="B3328" s="10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1" t="n">
        <v>1</v>
      </c>
      <c r="G3328" s="11" t="n">
        <v>1</v>
      </c>
      <c r="H3328" s="8" t="n"/>
      <c r="I3328" s="8" t="n"/>
      <c r="J3328" s="8" t="n"/>
      <c r="K3328" s="7" t="inlineStr">
        <is>
          <t>SEM COTAÇÃO</t>
        </is>
      </c>
      <c r="L3328" s="8" t="n"/>
      <c r="M3328" s="12" t="n"/>
      <c r="N3328" s="7" t="inlineStr"/>
      <c r="O3328" s="7" t="inlineStr"/>
    </row>
    <row r="3329">
      <c r="A3329" s="7" t="n">
        <v>675201</v>
      </c>
      <c r="B3329" s="10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1" t="n">
        <v>5</v>
      </c>
      <c r="G3329" s="11" t="n">
        <v>5</v>
      </c>
      <c r="H3329" s="8" t="n"/>
      <c r="I3329" s="8" t="n"/>
      <c r="J3329" s="8" t="n"/>
      <c r="K3329" s="7" t="inlineStr">
        <is>
          <t>SEM COTAÇÃO</t>
        </is>
      </c>
      <c r="L3329" s="8" t="n"/>
      <c r="M3329" s="12" t="n"/>
      <c r="N3329" s="7" t="inlineStr"/>
      <c r="O3329" s="7" t="inlineStr"/>
    </row>
    <row r="3330">
      <c r="A3330" s="7" t="n">
        <v>675171</v>
      </c>
      <c r="B3330" s="10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1" t="n">
        <v>1</v>
      </c>
      <c r="G3330" s="11" t="n">
        <v>1</v>
      </c>
      <c r="H3330" s="8" t="n"/>
      <c r="I3330" s="8" t="n"/>
      <c r="J3330" s="8" t="n"/>
      <c r="K3330" s="7" t="inlineStr">
        <is>
          <t>SEM COTAÇÃO</t>
        </is>
      </c>
      <c r="L3330" s="8" t="n"/>
      <c r="M3330" s="12" t="n"/>
      <c r="N3330" s="7" t="inlineStr"/>
      <c r="O3330" s="7" t="inlineStr"/>
    </row>
    <row r="3331">
      <c r="A3331" s="7" t="n">
        <v>675311</v>
      </c>
      <c r="B3331" s="10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1" t="n">
        <v>1</v>
      </c>
      <c r="G3331" s="11" t="n">
        <v>1</v>
      </c>
      <c r="H3331" s="8" t="n"/>
      <c r="I3331" s="8" t="n"/>
      <c r="J3331" s="8" t="n"/>
      <c r="K3331" s="7" t="inlineStr">
        <is>
          <t>SEM COTAÇÃO</t>
        </is>
      </c>
      <c r="L3331" s="8" t="n"/>
      <c r="M3331" s="12" t="n"/>
      <c r="N3331" s="7" t="inlineStr"/>
      <c r="O3331" s="7" t="inlineStr"/>
    </row>
    <row r="3332">
      <c r="A3332" s="7" t="n">
        <v>675301</v>
      </c>
      <c r="B3332" s="10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1" t="n">
        <v>5</v>
      </c>
      <c r="G3332" s="11" t="n">
        <v>5</v>
      </c>
      <c r="H3332" s="8" t="n"/>
      <c r="I3332" s="8" t="n"/>
      <c r="J3332" s="8" t="n"/>
      <c r="K3332" s="7" t="inlineStr">
        <is>
          <t>SEM COTAÇÃO</t>
        </is>
      </c>
      <c r="L3332" s="8" t="n"/>
      <c r="M3332" s="12" t="n"/>
      <c r="N3332" s="7" t="inlineStr"/>
      <c r="O3332" s="7" t="inlineStr"/>
    </row>
    <row r="3333">
      <c r="A3333" s="7" t="n">
        <v>404881</v>
      </c>
      <c r="B3333" s="10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1" t="n">
        <v>6</v>
      </c>
      <c r="G3333" s="11" t="n">
        <v>6</v>
      </c>
      <c r="H3333" s="8" t="n">
        <v>4.15</v>
      </c>
      <c r="I3333" s="8" t="n">
        <v>4.15</v>
      </c>
      <c r="J3333" s="13" t="n">
        <v>4.38</v>
      </c>
      <c r="K3333" s="7" t="inlineStr">
        <is>
          <t>DIMEC</t>
        </is>
      </c>
      <c r="L3333" s="8" t="n">
        <v>4.38</v>
      </c>
      <c r="M3333" s="12">
        <f>L3333/H3333-1</f>
        <v/>
      </c>
      <c r="N3333" s="14" t="inlineStr">
        <is>
          <t>ACIMA +5.5%</t>
        </is>
      </c>
      <c r="O3333" s="7" t="inlineStr"/>
    </row>
    <row r="3334">
      <c r="A3334" s="7" t="n">
        <v>159701</v>
      </c>
      <c r="B3334" s="10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1" t="n">
        <v>9</v>
      </c>
      <c r="G3334" s="11" t="n">
        <v>9</v>
      </c>
      <c r="H3334" s="8" t="n">
        <v>2.86</v>
      </c>
      <c r="I3334" s="8" t="n">
        <v>2.86</v>
      </c>
      <c r="J3334" s="8" t="n"/>
      <c r="K3334" s="7" t="inlineStr">
        <is>
          <t>SEM COTAÇÃO</t>
        </is>
      </c>
      <c r="L3334" s="8" t="n"/>
      <c r="M3334" s="12" t="n"/>
      <c r="N3334" s="7" t="inlineStr"/>
      <c r="O3334" s="7" t="inlineStr"/>
    </row>
    <row r="3335">
      <c r="A3335" s="7" t="n">
        <v>159781</v>
      </c>
      <c r="B3335" s="10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1" t="n">
        <v>8</v>
      </c>
      <c r="G3335" s="11" t="n">
        <v>8</v>
      </c>
      <c r="H3335" s="8" t="n">
        <v>11.352</v>
      </c>
      <c r="I3335" s="8" t="n">
        <v>9.918900000000001</v>
      </c>
      <c r="J3335" s="8" t="n"/>
      <c r="K3335" s="7" t="inlineStr">
        <is>
          <t>SEM COTAÇÃO</t>
        </is>
      </c>
      <c r="L3335" s="8" t="n"/>
      <c r="M3335" s="12" t="n"/>
      <c r="N3335" s="7" t="inlineStr"/>
      <c r="O3335" s="7" t="inlineStr"/>
    </row>
    <row r="3336">
      <c r="A3336" s="7" t="n">
        <v>594181</v>
      </c>
      <c r="B3336" s="10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1" t="n">
        <v>5</v>
      </c>
      <c r="G3336" s="11" t="n">
        <v>5</v>
      </c>
      <c r="H3336" s="8" t="n">
        <v>4.5017</v>
      </c>
      <c r="I3336" s="8" t="n">
        <v>4.37</v>
      </c>
      <c r="J3336" s="8" t="n"/>
      <c r="K3336" s="7" t="inlineStr">
        <is>
          <t>SEM COTAÇÃO</t>
        </is>
      </c>
      <c r="L3336" s="8" t="n"/>
      <c r="M3336" s="12" t="n"/>
      <c r="N3336" s="7" t="inlineStr"/>
      <c r="O3336" s="7" t="inlineStr"/>
    </row>
    <row r="3337">
      <c r="A3337" s="7" t="n">
        <v>657941</v>
      </c>
      <c r="B3337" s="10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1" t="n">
        <v>1</v>
      </c>
      <c r="G3337" s="11" t="n">
        <v>1</v>
      </c>
      <c r="H3337" s="8" t="n">
        <v>9.66</v>
      </c>
      <c r="I3337" s="8" t="n">
        <v>9.66</v>
      </c>
      <c r="J3337" s="8" t="n"/>
      <c r="K3337" s="7" t="inlineStr">
        <is>
          <t>SEM COTAÇÃO</t>
        </is>
      </c>
      <c r="L3337" s="8" t="n"/>
      <c r="M3337" s="12" t="n"/>
      <c r="N3337" s="7" t="inlineStr"/>
      <c r="O3337" s="7" t="inlineStr"/>
    </row>
    <row r="3338">
      <c r="A3338" s="7" t="n">
        <v>600161</v>
      </c>
      <c r="B3338" s="10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1" t="n">
        <v>7</v>
      </c>
      <c r="G3338" s="11" t="n">
        <v>7</v>
      </c>
      <c r="H3338" s="8" t="n">
        <v>7.6017</v>
      </c>
      <c r="I3338" s="8" t="n">
        <v>7.6017</v>
      </c>
      <c r="J3338" s="8" t="n"/>
      <c r="K3338" s="7" t="inlineStr">
        <is>
          <t>SEM COTAÇÃO</t>
        </is>
      </c>
      <c r="L3338" s="8" t="n"/>
      <c r="M3338" s="12" t="n"/>
      <c r="N3338" s="7" t="inlineStr"/>
      <c r="O3338" s="7" t="inlineStr"/>
    </row>
    <row r="3339">
      <c r="A3339" s="7" t="n">
        <v>593771</v>
      </c>
      <c r="B3339" s="10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1" t="n">
        <v>4</v>
      </c>
      <c r="G3339" s="11" t="n">
        <v>4</v>
      </c>
      <c r="H3339" s="8" t="n">
        <v>9.609999999999999</v>
      </c>
      <c r="I3339" s="8" t="n">
        <v>9.609999999999999</v>
      </c>
      <c r="J3339" s="8" t="n"/>
      <c r="K3339" s="7" t="inlineStr">
        <is>
          <t>SEM COTAÇÃO</t>
        </is>
      </c>
      <c r="L3339" s="8" t="n"/>
      <c r="M3339" s="12" t="n"/>
      <c r="N3339" s="7" t="inlineStr"/>
      <c r="O3339" s="7" t="inlineStr"/>
    </row>
    <row r="3340">
      <c r="A3340" s="7" t="n">
        <v>593781</v>
      </c>
      <c r="B3340" s="10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1" t="n">
        <v>4</v>
      </c>
      <c r="G3340" s="11" t="n">
        <v>4</v>
      </c>
      <c r="H3340" s="8" t="n">
        <v>7.6017</v>
      </c>
      <c r="I3340" s="8" t="n">
        <v>7.6017</v>
      </c>
      <c r="J3340" s="8" t="n"/>
      <c r="K3340" s="7" t="inlineStr">
        <is>
          <t>SEM COTAÇÃO</t>
        </is>
      </c>
      <c r="L3340" s="8" t="n"/>
      <c r="M3340" s="12" t="n"/>
      <c r="N3340" s="7" t="inlineStr"/>
      <c r="O3340" s="7" t="inlineStr"/>
    </row>
    <row r="3341">
      <c r="A3341" s="7" t="n">
        <v>602501</v>
      </c>
      <c r="B3341" s="10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1" t="n">
        <v>1</v>
      </c>
      <c r="G3341" s="11" t="n">
        <v>1</v>
      </c>
      <c r="H3341" s="8" t="n">
        <v>23.72</v>
      </c>
      <c r="I3341" s="8" t="n">
        <v>23.72</v>
      </c>
      <c r="J3341" s="8" t="n"/>
      <c r="K3341" s="7" t="inlineStr">
        <is>
          <t>SEM COTAÇÃO</t>
        </is>
      </c>
      <c r="L3341" s="8" t="n"/>
      <c r="M3341" s="12" t="n"/>
      <c r="N3341" s="7" t="inlineStr"/>
      <c r="O3341" s="7" t="inlineStr"/>
    </row>
    <row r="3342">
      <c r="A3342" s="7" t="n">
        <v>593791</v>
      </c>
      <c r="B3342" s="10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1" t="n">
        <v>8</v>
      </c>
      <c r="G3342" s="11" t="n">
        <v>8</v>
      </c>
      <c r="H3342" s="8" t="n">
        <v>9.66</v>
      </c>
      <c r="I3342" s="8" t="n">
        <v>9.66</v>
      </c>
      <c r="J3342" s="8" t="n"/>
      <c r="K3342" s="7" t="inlineStr">
        <is>
          <t>SEM COTAÇÃO</t>
        </is>
      </c>
      <c r="L3342" s="8" t="n"/>
      <c r="M3342" s="12" t="n"/>
      <c r="N3342" s="7" t="inlineStr"/>
      <c r="O3342" s="7" t="inlineStr"/>
    </row>
    <row r="3343">
      <c r="A3343" s="7" t="n">
        <v>590841</v>
      </c>
      <c r="B3343" s="10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1" t="n">
        <v>1</v>
      </c>
      <c r="G3343" s="11" t="n">
        <v>1</v>
      </c>
      <c r="H3343" s="8" t="n">
        <v>20.43</v>
      </c>
      <c r="I3343" s="8" t="n">
        <v>20.43</v>
      </c>
      <c r="J3343" s="8" t="n"/>
      <c r="K3343" s="7" t="inlineStr">
        <is>
          <t>SEM COTAÇÃO</t>
        </is>
      </c>
      <c r="L3343" s="8" t="n"/>
      <c r="M3343" s="12" t="n"/>
      <c r="N3343" s="7" t="inlineStr"/>
      <c r="O3343" s="7" t="inlineStr"/>
    </row>
    <row r="3344">
      <c r="A3344" s="7" t="n">
        <v>5703</v>
      </c>
      <c r="B3344" s="10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1" t="n">
        <v>1</v>
      </c>
      <c r="G3344" s="11" t="n">
        <v>1</v>
      </c>
      <c r="H3344" s="8" t="n"/>
      <c r="I3344" s="8" t="n"/>
      <c r="J3344" s="13" t="n">
        <v>12.62</v>
      </c>
      <c r="K3344" s="7" t="inlineStr">
        <is>
          <t>DIMEC</t>
        </is>
      </c>
      <c r="L3344" s="8" t="n">
        <v>12.62</v>
      </c>
      <c r="M3344" s="12" t="n"/>
      <c r="N3344" s="7" t="inlineStr">
        <is>
          <t>SEM HISTÓRICO</t>
        </is>
      </c>
      <c r="O3344" s="7" t="inlineStr"/>
    </row>
    <row r="3345">
      <c r="A3345" s="7" t="n">
        <v>549401</v>
      </c>
      <c r="B3345" s="10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1" t="n">
        <v>5</v>
      </c>
      <c r="G3345" s="11" t="n">
        <v>5</v>
      </c>
      <c r="H3345" s="8" t="n">
        <v>8.99</v>
      </c>
      <c r="I3345" s="8" t="n">
        <v>8.99</v>
      </c>
      <c r="J3345" s="8" t="n"/>
      <c r="K3345" s="7" t="inlineStr">
        <is>
          <t>SEM COTAÇÃO</t>
        </is>
      </c>
      <c r="L3345" s="8" t="n"/>
      <c r="M3345" s="12" t="n"/>
      <c r="N3345" s="7" t="inlineStr"/>
      <c r="O3345" s="7" t="inlineStr"/>
    </row>
    <row r="3346">
      <c r="A3346" s="7" t="n">
        <v>627321</v>
      </c>
      <c r="B3346" s="10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1" t="n">
        <v>1</v>
      </c>
      <c r="G3346" s="11" t="n">
        <v>1</v>
      </c>
      <c r="H3346" s="8" t="n">
        <v>83.94</v>
      </c>
      <c r="I3346" s="8" t="n">
        <v>83.94</v>
      </c>
      <c r="J3346" s="8" t="n"/>
      <c r="K3346" s="7" t="inlineStr">
        <is>
          <t>SEM COTAÇÃO</t>
        </is>
      </c>
      <c r="L3346" s="8" t="n"/>
      <c r="M3346" s="12" t="n"/>
      <c r="N3346" s="7" t="inlineStr"/>
      <c r="O3346" s="7" t="inlineStr"/>
    </row>
    <row r="3347">
      <c r="A3347" s="7" t="n">
        <v>655851</v>
      </c>
      <c r="B3347" s="10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1" t="n">
        <v>1</v>
      </c>
      <c r="G3347" s="11" t="n">
        <v>1</v>
      </c>
      <c r="H3347" s="8" t="n">
        <v>5.32</v>
      </c>
      <c r="I3347" s="8" t="n">
        <v>5.32</v>
      </c>
      <c r="J3347" s="8" t="n"/>
      <c r="K3347" s="7" t="inlineStr">
        <is>
          <t>SEM COTAÇÃO</t>
        </is>
      </c>
      <c r="L3347" s="8" t="n"/>
      <c r="M3347" s="12" t="n"/>
      <c r="N3347" s="7" t="inlineStr"/>
      <c r="O3347" s="7" t="inlineStr"/>
    </row>
    <row r="3348">
      <c r="A3348" s="7" t="n">
        <v>647041</v>
      </c>
      <c r="B3348" s="10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1" t="n">
        <v>1</v>
      </c>
      <c r="G3348" s="11" t="n">
        <v>1</v>
      </c>
      <c r="H3348" s="8" t="n">
        <v>10.97</v>
      </c>
      <c r="I3348" s="8" t="n">
        <v>10.97</v>
      </c>
      <c r="J3348" s="8" t="n"/>
      <c r="K3348" s="7" t="inlineStr">
        <is>
          <t>SEM COTAÇÃO</t>
        </is>
      </c>
      <c r="L3348" s="8" t="n"/>
      <c r="M3348" s="12" t="n"/>
      <c r="N3348" s="7" t="inlineStr"/>
      <c r="O3348" s="7" t="inlineStr"/>
    </row>
    <row r="3349">
      <c r="A3349" s="7" t="n">
        <v>115101</v>
      </c>
      <c r="B3349" s="10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1" t="n">
        <v>1</v>
      </c>
      <c r="G3349" s="11" t="n">
        <v>1</v>
      </c>
      <c r="H3349" s="8" t="n">
        <v>16.1667</v>
      </c>
      <c r="I3349" s="8" t="n">
        <v>14.245</v>
      </c>
      <c r="J3349" s="8" t="n"/>
      <c r="K3349" s="7" t="inlineStr">
        <is>
          <t>SEM COTAÇÃO</t>
        </is>
      </c>
      <c r="L3349" s="8" t="n"/>
      <c r="M3349" s="12" t="n"/>
      <c r="N3349" s="7" t="inlineStr"/>
      <c r="O3349" s="7" t="inlineStr"/>
    </row>
    <row r="3350">
      <c r="A3350" s="7" t="n">
        <v>17041</v>
      </c>
      <c r="B3350" s="10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1" t="n">
        <v>3</v>
      </c>
      <c r="G3350" s="11" t="n">
        <v>3</v>
      </c>
      <c r="H3350" s="8" t="n">
        <v>34.76</v>
      </c>
      <c r="I3350" s="8" t="n">
        <v>31.915</v>
      </c>
      <c r="J3350" s="8" t="n"/>
      <c r="K3350" s="7" t="inlineStr">
        <is>
          <t>SEM COTAÇÃO</t>
        </is>
      </c>
      <c r="L3350" s="8" t="n"/>
      <c r="M3350" s="12" t="n"/>
      <c r="N3350" s="7" t="inlineStr"/>
      <c r="O3350" s="7" t="inlineStr"/>
    </row>
    <row r="3351">
      <c r="A3351" s="7" t="n">
        <v>588961</v>
      </c>
      <c r="B3351" s="10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1" t="n">
        <v>1</v>
      </c>
      <c r="G3351" s="11" t="n">
        <v>1</v>
      </c>
      <c r="H3351" s="8" t="n">
        <v>27.38</v>
      </c>
      <c r="I3351" s="8" t="n">
        <v>27.38</v>
      </c>
      <c r="J3351" s="8" t="n"/>
      <c r="K3351" s="7" t="inlineStr">
        <is>
          <t>SEM COTAÇÃO</t>
        </is>
      </c>
      <c r="L3351" s="8" t="n"/>
      <c r="M3351" s="12" t="n"/>
      <c r="N3351" s="7" t="inlineStr"/>
      <c r="O3351" s="7" t="inlineStr"/>
    </row>
    <row r="3352">
      <c r="A3352" s="7" t="n">
        <v>485641</v>
      </c>
      <c r="B3352" s="10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1" t="n">
        <v>24</v>
      </c>
      <c r="G3352" s="11" t="n">
        <v>24</v>
      </c>
      <c r="H3352" s="8" t="n">
        <v>1.31</v>
      </c>
      <c r="I3352" s="8" t="n">
        <v>1.31</v>
      </c>
      <c r="J3352" s="8" t="n"/>
      <c r="K3352" s="7" t="inlineStr">
        <is>
          <t>SEM COTAÇÃO</t>
        </is>
      </c>
      <c r="L3352" s="8" t="n"/>
      <c r="M3352" s="12" t="n"/>
      <c r="N3352" s="7" t="inlineStr"/>
      <c r="O3352" s="7" t="inlineStr"/>
    </row>
    <row r="3353">
      <c r="A3353" s="7" t="n">
        <v>284281</v>
      </c>
      <c r="B3353" s="10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1" t="n">
        <v>5</v>
      </c>
      <c r="G3353" s="11" t="n">
        <v>5</v>
      </c>
      <c r="H3353" s="8" t="n">
        <v>108.14</v>
      </c>
      <c r="I3353" s="8" t="n">
        <v>101.2367</v>
      </c>
      <c r="J3353" s="8" t="n"/>
      <c r="K3353" s="7" t="inlineStr">
        <is>
          <t>SEM COTAÇÃO</t>
        </is>
      </c>
      <c r="L3353" s="8" t="n"/>
      <c r="M3353" s="12" t="n"/>
      <c r="N3353" s="7" t="inlineStr"/>
      <c r="O3353" s="7" t="inlineStr"/>
    </row>
    <row r="3354">
      <c r="A3354" s="7" t="n">
        <v>632981</v>
      </c>
      <c r="B3354" s="10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1" t="n">
        <v>1</v>
      </c>
      <c r="G3354" s="11" t="n">
        <v>1</v>
      </c>
      <c r="H3354" s="8" t="n">
        <v>23.5</v>
      </c>
      <c r="I3354" s="8" t="n">
        <v>23.5</v>
      </c>
      <c r="J3354" s="8" t="n"/>
      <c r="K3354" s="7" t="inlineStr">
        <is>
          <t>SEM COTAÇÃO</t>
        </is>
      </c>
      <c r="L3354" s="8" t="n"/>
      <c r="M3354" s="12" t="n"/>
      <c r="N3354" s="7" t="inlineStr"/>
      <c r="O3354" s="7" t="inlineStr"/>
    </row>
    <row r="3355">
      <c r="A3355" s="7" t="n">
        <v>560621</v>
      </c>
      <c r="B3355" s="10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1" t="n">
        <v>5</v>
      </c>
      <c r="G3355" s="11" t="n">
        <v>5</v>
      </c>
      <c r="H3355" s="8" t="n">
        <v>23.5</v>
      </c>
      <c r="I3355" s="8" t="n">
        <v>23.5</v>
      </c>
      <c r="J3355" s="8" t="n"/>
      <c r="K3355" s="7" t="inlineStr">
        <is>
          <t>SEM COTAÇÃO</t>
        </is>
      </c>
      <c r="L3355" s="8" t="n"/>
      <c r="M3355" s="12" t="n"/>
      <c r="N3355" s="7" t="inlineStr"/>
      <c r="O3355" s="7" t="inlineStr"/>
    </row>
    <row r="3356">
      <c r="A3356" s="7" t="n">
        <v>560641</v>
      </c>
      <c r="B3356" s="10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1" t="n">
        <v>4</v>
      </c>
      <c r="G3356" s="11" t="n">
        <v>4</v>
      </c>
      <c r="H3356" s="8" t="n">
        <v>23.5</v>
      </c>
      <c r="I3356" s="8" t="n">
        <v>23.5</v>
      </c>
      <c r="J3356" s="8" t="n"/>
      <c r="K3356" s="7" t="inlineStr">
        <is>
          <t>SEM COTAÇÃO</t>
        </is>
      </c>
      <c r="L3356" s="8" t="n"/>
      <c r="M3356" s="12" t="n"/>
      <c r="N3356" s="7" t="inlineStr"/>
      <c r="O3356" s="7" t="inlineStr"/>
    </row>
    <row r="3357">
      <c r="A3357" s="7" t="n">
        <v>560661</v>
      </c>
      <c r="B3357" s="10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1" t="n">
        <v>1</v>
      </c>
      <c r="G3357" s="11" t="n">
        <v>1</v>
      </c>
      <c r="H3357" s="8" t="n">
        <v>23.5</v>
      </c>
      <c r="I3357" s="8" t="n">
        <v>23.5</v>
      </c>
      <c r="J3357" s="8" t="n"/>
      <c r="K3357" s="7" t="inlineStr">
        <is>
          <t>SEM COTAÇÃO</t>
        </is>
      </c>
      <c r="L3357" s="8" t="n"/>
      <c r="M3357" s="12" t="n"/>
      <c r="N3357" s="7" t="inlineStr"/>
      <c r="O3357" s="7" t="inlineStr"/>
    </row>
    <row r="3358">
      <c r="A3358" s="7" t="n">
        <v>585441</v>
      </c>
      <c r="B3358" s="10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1" t="n">
        <v>1</v>
      </c>
      <c r="G3358" s="11" t="n">
        <v>1</v>
      </c>
      <c r="H3358" s="8" t="n">
        <v>23.5</v>
      </c>
      <c r="I3358" s="8" t="n">
        <v>23.5</v>
      </c>
      <c r="J3358" s="8" t="n"/>
      <c r="K3358" s="7" t="inlineStr">
        <is>
          <t>SEM COTAÇÃO</t>
        </is>
      </c>
      <c r="L3358" s="8" t="n"/>
      <c r="M3358" s="12" t="n"/>
      <c r="N3358" s="7" t="inlineStr"/>
      <c r="O3358" s="7" t="inlineStr"/>
    </row>
    <row r="3359">
      <c r="A3359" s="7" t="n">
        <v>563941</v>
      </c>
      <c r="B3359" s="10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1" t="n">
        <v>1</v>
      </c>
      <c r="G3359" s="11" t="n">
        <v>1</v>
      </c>
      <c r="H3359" s="8" t="n">
        <v>26</v>
      </c>
      <c r="I3359" s="8" t="n">
        <v>26</v>
      </c>
      <c r="J3359" s="8" t="n"/>
      <c r="K3359" s="7" t="inlineStr">
        <is>
          <t>SEM COTAÇÃO</t>
        </is>
      </c>
      <c r="L3359" s="8" t="n"/>
      <c r="M3359" s="12" t="n"/>
      <c r="N3359" s="7" t="inlineStr"/>
      <c r="O3359" s="7" t="inlineStr"/>
    </row>
    <row r="3360">
      <c r="A3360" s="7" t="n">
        <v>659211</v>
      </c>
      <c r="B3360" s="10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1" t="n">
        <v>1</v>
      </c>
      <c r="G3360" s="11" t="n">
        <v>1</v>
      </c>
      <c r="H3360" s="8" t="n">
        <v>17</v>
      </c>
      <c r="I3360" s="8" t="n">
        <v>17</v>
      </c>
      <c r="J3360" s="8" t="n"/>
      <c r="K3360" s="7" t="inlineStr">
        <is>
          <t>SEM COTAÇÃO</t>
        </is>
      </c>
      <c r="L3360" s="8" t="n"/>
      <c r="M3360" s="12" t="n"/>
      <c r="N3360" s="7" t="inlineStr"/>
      <c r="O3360" s="7" t="inlineStr"/>
    </row>
    <row r="3361">
      <c r="A3361" s="7" t="n">
        <v>560561</v>
      </c>
      <c r="B3361" s="10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1" t="n">
        <v>1</v>
      </c>
      <c r="G3361" s="11" t="n">
        <v>1</v>
      </c>
      <c r="H3361" s="8" t="n">
        <v>17</v>
      </c>
      <c r="I3361" s="8" t="n">
        <v>17</v>
      </c>
      <c r="J3361" s="8" t="n"/>
      <c r="K3361" s="7" t="inlineStr">
        <is>
          <t>SEM COTAÇÃO</t>
        </is>
      </c>
      <c r="L3361" s="8" t="n"/>
      <c r="M3361" s="12" t="n"/>
      <c r="N3361" s="7" t="inlineStr"/>
      <c r="O3361" s="7" t="inlineStr"/>
    </row>
    <row r="3362">
      <c r="A3362" s="7" t="n">
        <v>560581</v>
      </c>
      <c r="B3362" s="10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1" t="n">
        <v>2</v>
      </c>
      <c r="G3362" s="11" t="n">
        <v>2</v>
      </c>
      <c r="H3362" s="8" t="n">
        <v>17</v>
      </c>
      <c r="I3362" s="8" t="n">
        <v>17</v>
      </c>
      <c r="J3362" s="8" t="n"/>
      <c r="K3362" s="7" t="inlineStr">
        <is>
          <t>SEM COTAÇÃO</t>
        </is>
      </c>
      <c r="L3362" s="8" t="n"/>
      <c r="M3362" s="12" t="n"/>
      <c r="N3362" s="7" t="inlineStr"/>
      <c r="O3362" s="7" t="inlineStr"/>
    </row>
    <row r="3363">
      <c r="A3363" s="7" t="n">
        <v>560681</v>
      </c>
      <c r="B3363" s="10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1" t="n">
        <v>2</v>
      </c>
      <c r="G3363" s="11" t="n">
        <v>2</v>
      </c>
      <c r="H3363" s="8" t="n">
        <v>26</v>
      </c>
      <c r="I3363" s="8" t="n">
        <v>26</v>
      </c>
      <c r="J3363" s="8" t="n"/>
      <c r="K3363" s="7" t="inlineStr">
        <is>
          <t>SEM COTAÇÃO</t>
        </is>
      </c>
      <c r="L3363" s="8" t="n"/>
      <c r="M3363" s="12" t="n"/>
      <c r="N3363" s="7" t="inlineStr"/>
      <c r="O3363" s="7" t="inlineStr"/>
    </row>
    <row r="3364">
      <c r="A3364" s="7" t="n">
        <v>560701</v>
      </c>
      <c r="B3364" s="10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1" t="n">
        <v>1</v>
      </c>
      <c r="G3364" s="11" t="n">
        <v>1</v>
      </c>
      <c r="H3364" s="8" t="n">
        <v>26</v>
      </c>
      <c r="I3364" s="8" t="n">
        <v>26</v>
      </c>
      <c r="J3364" s="8" t="n"/>
      <c r="K3364" s="7" t="inlineStr">
        <is>
          <t>SEM COTAÇÃO</t>
        </is>
      </c>
      <c r="L3364" s="8" t="n"/>
      <c r="M3364" s="12" t="n"/>
      <c r="N3364" s="7" t="inlineStr"/>
      <c r="O3364" s="7" t="inlineStr"/>
    </row>
    <row r="3365">
      <c r="A3365" s="7" t="n">
        <v>560721</v>
      </c>
      <c r="B3365" s="10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1" t="n">
        <v>2</v>
      </c>
      <c r="G3365" s="11" t="n">
        <v>2</v>
      </c>
      <c r="H3365" s="8" t="n">
        <v>26</v>
      </c>
      <c r="I3365" s="8" t="n">
        <v>26</v>
      </c>
      <c r="J3365" s="8" t="n"/>
      <c r="K3365" s="7" t="inlineStr">
        <is>
          <t>SEM COTAÇÃO</t>
        </is>
      </c>
      <c r="L3365" s="8" t="n"/>
      <c r="M3365" s="12" t="n"/>
      <c r="N3365" s="7" t="inlineStr"/>
      <c r="O3365" s="7" t="inlineStr"/>
    </row>
    <row r="3366">
      <c r="A3366" s="7" t="n">
        <v>563921</v>
      </c>
      <c r="B3366" s="10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1" t="n">
        <v>2</v>
      </c>
      <c r="G3366" s="11" t="n">
        <v>2</v>
      </c>
      <c r="H3366" s="8" t="n">
        <v>26</v>
      </c>
      <c r="I3366" s="8" t="n">
        <v>26</v>
      </c>
      <c r="J3366" s="8" t="n"/>
      <c r="K3366" s="7" t="inlineStr">
        <is>
          <t>SEM COTAÇÃO</t>
        </is>
      </c>
      <c r="L3366" s="8" t="n"/>
      <c r="M3366" s="12" t="n"/>
      <c r="N3366" s="7" t="inlineStr"/>
      <c r="O3366" s="7" t="inlineStr"/>
    </row>
    <row r="3367">
      <c r="A3367" s="7" t="n">
        <v>656861</v>
      </c>
      <c r="B3367" s="10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1" t="n">
        <v>1</v>
      </c>
      <c r="G3367" s="11" t="n">
        <v>1</v>
      </c>
      <c r="H3367" s="8" t="n">
        <v>23.5</v>
      </c>
      <c r="I3367" s="8" t="n">
        <v>23.5</v>
      </c>
      <c r="J3367" s="8" t="n"/>
      <c r="K3367" s="7" t="inlineStr">
        <is>
          <t>SEM COTAÇÃO</t>
        </is>
      </c>
      <c r="L3367" s="8" t="n"/>
      <c r="M3367" s="12" t="n"/>
      <c r="N3367" s="7" t="inlineStr"/>
      <c r="O3367" s="7" t="inlineStr"/>
    </row>
    <row r="3368">
      <c r="A3368" s="7" t="n">
        <v>560601</v>
      </c>
      <c r="B3368" s="10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1" t="n">
        <v>2</v>
      </c>
      <c r="G3368" s="11" t="n">
        <v>2</v>
      </c>
      <c r="H3368" s="8" t="n">
        <v>23.5</v>
      </c>
      <c r="I3368" s="8" t="n">
        <v>23.5</v>
      </c>
      <c r="J3368" s="8" t="n"/>
      <c r="K3368" s="7" t="inlineStr">
        <is>
          <t>SEM COTAÇÃO</t>
        </is>
      </c>
      <c r="L3368" s="8" t="n"/>
      <c r="M3368" s="12" t="n"/>
      <c r="N3368" s="7" t="inlineStr"/>
      <c r="O3368" s="7" t="inlineStr"/>
    </row>
    <row r="3369">
      <c r="A3369" s="7" t="n">
        <v>4253</v>
      </c>
      <c r="B3369" s="10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1" t="n">
        <v>7</v>
      </c>
      <c r="G3369" s="11" t="n">
        <v>7</v>
      </c>
      <c r="H3369" s="8" t="n">
        <v>6.16</v>
      </c>
      <c r="I3369" s="8" t="n">
        <v>5.6792</v>
      </c>
      <c r="J3369" s="8" t="n"/>
      <c r="K3369" s="7" t="inlineStr">
        <is>
          <t>SEM COTAÇÃO</t>
        </is>
      </c>
      <c r="L3369" s="8" t="n"/>
      <c r="M3369" s="12" t="n"/>
      <c r="N3369" s="7" t="inlineStr"/>
      <c r="O3369" s="7" t="inlineStr"/>
    </row>
    <row r="3370">
      <c r="A3370" s="7" t="n">
        <v>4263</v>
      </c>
      <c r="B3370" s="10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1" t="n">
        <v>7</v>
      </c>
      <c r="G3370" s="11" t="n">
        <v>7</v>
      </c>
      <c r="H3370" s="8" t="n">
        <v>6.16</v>
      </c>
      <c r="I3370" s="8" t="n">
        <v>6.15</v>
      </c>
      <c r="J3370" s="8" t="n"/>
      <c r="K3370" s="7" t="inlineStr">
        <is>
          <t>SEM COTAÇÃO</t>
        </is>
      </c>
      <c r="L3370" s="8" t="n"/>
      <c r="M3370" s="12" t="n"/>
      <c r="N3370" s="7" t="inlineStr"/>
      <c r="O3370" s="7" t="inlineStr"/>
    </row>
    <row r="3371">
      <c r="A3371" s="7" t="n">
        <v>627821</v>
      </c>
      <c r="B3371" s="10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1" t="n">
        <v>1</v>
      </c>
      <c r="G3371" s="11" t="n">
        <v>1</v>
      </c>
      <c r="H3371" s="8" t="n">
        <v>6.99</v>
      </c>
      <c r="I3371" s="8" t="n">
        <v>6.99</v>
      </c>
      <c r="J3371" s="8" t="n"/>
      <c r="K3371" s="7" t="inlineStr">
        <is>
          <t>SEM COTAÇÃO</t>
        </is>
      </c>
      <c r="L3371" s="8" t="n"/>
      <c r="M3371" s="12" t="n"/>
      <c r="N3371" s="7" t="inlineStr"/>
      <c r="O3371" s="7" t="inlineStr"/>
    </row>
    <row r="3372">
      <c r="A3372" s="7" t="n">
        <v>588931</v>
      </c>
      <c r="B3372" s="10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1" t="n">
        <v>2</v>
      </c>
      <c r="G3372" s="11" t="n">
        <v>85</v>
      </c>
      <c r="H3372" s="8" t="n">
        <v>0.4048</v>
      </c>
      <c r="I3372" s="8" t="n">
        <v>0.4048</v>
      </c>
      <c r="J3372" s="13" t="n">
        <v>0.4048333333333333</v>
      </c>
      <c r="K3372" s="7" t="inlineStr">
        <is>
          <t>DIMEC</t>
        </is>
      </c>
      <c r="L3372" s="8" t="n">
        <v>0.4048333333333333</v>
      </c>
      <c r="M3372" s="12">
        <f>L3372/H3372-1</f>
        <v/>
      </c>
      <c r="N3372" s="15" t="inlineStr">
        <is>
          <t>OK (≤ menor hist.)</t>
        </is>
      </c>
      <c r="O3372" s="7" t="inlineStr">
        <is>
          <t>DIMEC: 1 emb = 60 un</t>
        </is>
      </c>
    </row>
    <row r="3373">
      <c r="A3373" s="7" t="n">
        <v>553861</v>
      </c>
      <c r="B3373" s="10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1" t="n">
        <v>10</v>
      </c>
      <c r="G3373" s="11" t="n">
        <v>10</v>
      </c>
      <c r="H3373" s="8" t="n"/>
      <c r="I3373" s="8" t="n"/>
      <c r="J3373" s="8" t="n"/>
      <c r="K3373" s="7" t="inlineStr">
        <is>
          <t>SEM COTAÇÃO</t>
        </is>
      </c>
      <c r="L3373" s="8" t="n"/>
      <c r="M3373" s="12" t="n"/>
      <c r="N3373" s="7" t="inlineStr"/>
      <c r="O3373" s="7" t="inlineStr"/>
    </row>
    <row r="3374">
      <c r="A3374" s="7" t="n">
        <v>543501</v>
      </c>
      <c r="B3374" s="10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1" t="n">
        <v>4</v>
      </c>
      <c r="G3374" s="11" t="n">
        <v>206</v>
      </c>
      <c r="H3374" s="8" t="n">
        <v>0.5625</v>
      </c>
      <c r="I3374" s="8" t="n">
        <v>0.5367</v>
      </c>
      <c r="J3374" s="13" t="n">
        <v>0.5625</v>
      </c>
      <c r="K3374" s="7" t="inlineStr">
        <is>
          <t>DIMEC</t>
        </is>
      </c>
      <c r="L3374" s="8" t="n">
        <v>0.5625</v>
      </c>
      <c r="M3374" s="12">
        <f>L3374/H3374-1</f>
        <v/>
      </c>
      <c r="N3374" s="15" t="inlineStr">
        <is>
          <t>OK (≤ últ. compra)</t>
        </is>
      </c>
      <c r="O3374" s="7" t="inlineStr">
        <is>
          <t>DIMEC: 1 emb = 60 un</t>
        </is>
      </c>
    </row>
    <row r="3375">
      <c r="A3375" s="7" t="n">
        <v>393141</v>
      </c>
      <c r="B3375" s="10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1" t="n">
        <v>2</v>
      </c>
      <c r="G3375" s="11" t="n">
        <v>2</v>
      </c>
      <c r="H3375" s="8" t="n">
        <v>6.8</v>
      </c>
      <c r="I3375" s="8" t="n">
        <v>6.6</v>
      </c>
      <c r="J3375" s="8" t="n"/>
      <c r="K3375" s="7" t="inlineStr">
        <is>
          <t>SEM COTAÇÃO</t>
        </is>
      </c>
      <c r="L3375" s="8" t="n"/>
      <c r="M3375" s="12" t="n"/>
      <c r="N3375" s="7" t="inlineStr"/>
      <c r="O3375" s="7" t="inlineStr"/>
    </row>
    <row r="3376">
      <c r="A3376" s="7" t="n">
        <v>393121</v>
      </c>
      <c r="B3376" s="10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1" t="n">
        <v>2</v>
      </c>
      <c r="G3376" s="11" t="n">
        <v>2</v>
      </c>
      <c r="H3376" s="8" t="n">
        <v>9.91</v>
      </c>
      <c r="I3376" s="8" t="n">
        <v>9.91</v>
      </c>
      <c r="J3376" s="8" t="n"/>
      <c r="K3376" s="7" t="inlineStr">
        <is>
          <t>SEM COTAÇÃO</t>
        </is>
      </c>
      <c r="L3376" s="8" t="n"/>
      <c r="M3376" s="12" t="n"/>
      <c r="N3376" s="7" t="inlineStr"/>
      <c r="O3376" s="7" t="inlineStr"/>
    </row>
    <row r="3377">
      <c r="A3377" s="7" t="n">
        <v>650871</v>
      </c>
      <c r="B3377" s="10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1" t="n">
        <v>1</v>
      </c>
      <c r="G3377" s="11" t="n">
        <v>1</v>
      </c>
      <c r="H3377" s="8" t="n">
        <v>56.9033</v>
      </c>
      <c r="I3377" s="8" t="n">
        <v>56.9033</v>
      </c>
      <c r="J3377" s="8" t="n"/>
      <c r="K3377" s="7" t="inlineStr">
        <is>
          <t>SEM COTAÇÃO</t>
        </is>
      </c>
      <c r="L3377" s="8" t="n"/>
      <c r="M3377" s="12" t="n"/>
      <c r="N3377" s="7" t="inlineStr"/>
      <c r="O3377" s="7" t="inlineStr"/>
    </row>
    <row r="3378">
      <c r="A3378" s="7" t="n">
        <v>643351</v>
      </c>
      <c r="B3378" s="10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1" t="n">
        <v>1</v>
      </c>
      <c r="G3378" s="11" t="n">
        <v>1</v>
      </c>
      <c r="H3378" s="8" t="n">
        <v>56.91</v>
      </c>
      <c r="I3378" s="8" t="n">
        <v>56.91</v>
      </c>
      <c r="J3378" s="8" t="n"/>
      <c r="K3378" s="7" t="inlineStr">
        <is>
          <t>SEM COTAÇÃO</t>
        </is>
      </c>
      <c r="L3378" s="8" t="n"/>
      <c r="M3378" s="12" t="n"/>
      <c r="N3378" s="7" t="inlineStr"/>
      <c r="O3378" s="7" t="inlineStr"/>
    </row>
    <row r="3379">
      <c r="A3379" s="7" t="n">
        <v>643341</v>
      </c>
      <c r="B3379" s="10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1" t="n">
        <v>1</v>
      </c>
      <c r="G3379" s="11" t="n">
        <v>1</v>
      </c>
      <c r="H3379" s="8" t="n">
        <v>56.91</v>
      </c>
      <c r="I3379" s="8" t="n">
        <v>56.91</v>
      </c>
      <c r="J3379" s="8" t="n"/>
      <c r="K3379" s="7" t="inlineStr">
        <is>
          <t>SEM COTAÇÃO</t>
        </is>
      </c>
      <c r="L3379" s="8" t="n"/>
      <c r="M3379" s="12" t="n"/>
      <c r="N3379" s="7" t="inlineStr"/>
      <c r="O3379" s="7" t="inlineStr"/>
    </row>
    <row r="3380">
      <c r="A3380" s="7" t="n">
        <v>407941</v>
      </c>
      <c r="B3380" s="10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1" t="n">
        <v>1</v>
      </c>
      <c r="G3380" s="11" t="n">
        <v>1</v>
      </c>
      <c r="H3380" s="8" t="n">
        <v>6.82</v>
      </c>
      <c r="I3380" s="8" t="n">
        <v>6.82</v>
      </c>
      <c r="J3380" s="13" t="n">
        <v>8.93</v>
      </c>
      <c r="K3380" s="7" t="inlineStr">
        <is>
          <t>DIMEC</t>
        </is>
      </c>
      <c r="L3380" s="8" t="n">
        <v>8.93</v>
      </c>
      <c r="M3380" s="12">
        <f>L3380/H3380-1</f>
        <v/>
      </c>
      <c r="N3380" s="14" t="inlineStr">
        <is>
          <t>ACIMA +30.9%</t>
        </is>
      </c>
      <c r="O3380" s="7" t="inlineStr"/>
    </row>
    <row r="3381">
      <c r="A3381" s="7" t="n">
        <v>408041</v>
      </c>
      <c r="B3381" s="10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1" t="n">
        <v>6</v>
      </c>
      <c r="G3381" s="11" t="n">
        <v>6</v>
      </c>
      <c r="H3381" s="8" t="n">
        <v>9.75</v>
      </c>
      <c r="I3381" s="8" t="n">
        <v>9.75</v>
      </c>
      <c r="J3381" s="13" t="n">
        <v>10.67</v>
      </c>
      <c r="K3381" s="7" t="inlineStr">
        <is>
          <t>DIMEC</t>
        </is>
      </c>
      <c r="L3381" s="8" t="n">
        <v>10.67</v>
      </c>
      <c r="M3381" s="12">
        <f>L3381/H3381-1</f>
        <v/>
      </c>
      <c r="N3381" s="14" t="inlineStr">
        <is>
          <t>ACIMA +9.4%</t>
        </is>
      </c>
      <c r="O3381" s="7" t="inlineStr"/>
    </row>
    <row r="3382">
      <c r="A3382" s="7" t="n">
        <v>407821</v>
      </c>
      <c r="B3382" s="10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1" t="n">
        <v>3</v>
      </c>
      <c r="G3382" s="11" t="n">
        <v>3</v>
      </c>
      <c r="H3382" s="8" t="n">
        <v>4.32</v>
      </c>
      <c r="I3382" s="8" t="n">
        <v>4.32</v>
      </c>
      <c r="J3382" s="8" t="n"/>
      <c r="K3382" s="7" t="inlineStr">
        <is>
          <t>SEM COTAÇÃO</t>
        </is>
      </c>
      <c r="L3382" s="8" t="n"/>
      <c r="M3382" s="12" t="n"/>
      <c r="N3382" s="7" t="inlineStr"/>
      <c r="O3382" s="7" t="inlineStr"/>
    </row>
    <row r="3383">
      <c r="A3383" s="7" t="n">
        <v>480781</v>
      </c>
      <c r="B3383" s="10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1" t="n">
        <v>12</v>
      </c>
      <c r="G3383" s="11" t="n">
        <v>12</v>
      </c>
      <c r="H3383" s="8" t="n">
        <v>3.97</v>
      </c>
      <c r="I3383" s="8" t="n">
        <v>3.95</v>
      </c>
      <c r="J3383" s="8" t="n"/>
      <c r="K3383" s="7" t="inlineStr">
        <is>
          <t>SEM COTAÇÃO</t>
        </is>
      </c>
      <c r="L3383" s="8" t="n"/>
      <c r="M3383" s="12" t="n"/>
      <c r="N3383" s="7" t="inlineStr"/>
      <c r="O3383" s="7" t="inlineStr"/>
    </row>
    <row r="3384">
      <c r="A3384" s="7" t="n">
        <v>408801</v>
      </c>
      <c r="B3384" s="10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1" t="n">
        <v>1</v>
      </c>
      <c r="G3384" s="11" t="n">
        <v>1</v>
      </c>
      <c r="H3384" s="8" t="n">
        <v>5.04</v>
      </c>
      <c r="I3384" s="8" t="n">
        <v>5.04</v>
      </c>
      <c r="J3384" s="8" t="n"/>
      <c r="K3384" s="7" t="inlineStr">
        <is>
          <t>SEM COTAÇÃO</t>
        </is>
      </c>
      <c r="L3384" s="8" t="n"/>
      <c r="M3384" s="12" t="n"/>
      <c r="N3384" s="7" t="inlineStr"/>
      <c r="O3384" s="7" t="inlineStr"/>
    </row>
    <row r="3385">
      <c r="A3385" s="7" t="n">
        <v>660331</v>
      </c>
      <c r="B3385" s="10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1" t="n">
        <v>8</v>
      </c>
      <c r="G3385" s="11" t="n">
        <v>8</v>
      </c>
      <c r="H3385" s="8" t="n">
        <v>4.74</v>
      </c>
      <c r="I3385" s="8" t="n">
        <v>4.07</v>
      </c>
      <c r="J3385" s="8" t="n"/>
      <c r="K3385" s="7" t="inlineStr">
        <is>
          <t>SEM COTAÇÃO</t>
        </is>
      </c>
      <c r="L3385" s="8" t="n"/>
      <c r="M3385" s="12" t="n"/>
      <c r="N3385" s="7" t="inlineStr"/>
      <c r="O3385" s="7" t="inlineStr"/>
    </row>
    <row r="3386">
      <c r="A3386" s="7" t="n">
        <v>483381</v>
      </c>
      <c r="B3386" s="10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1" t="n">
        <v>1</v>
      </c>
      <c r="G3386" s="11" t="n">
        <v>1</v>
      </c>
      <c r="H3386" s="8" t="n">
        <v>6.97</v>
      </c>
      <c r="I3386" s="8" t="n">
        <v>6.69</v>
      </c>
      <c r="J3386" s="13" t="n">
        <v>7.02</v>
      </c>
      <c r="K3386" s="7" t="inlineStr">
        <is>
          <t>DIMEC</t>
        </is>
      </c>
      <c r="L3386" s="8" t="n">
        <v>7.02</v>
      </c>
      <c r="M3386" s="12">
        <f>L3386/H3386-1</f>
        <v/>
      </c>
      <c r="N3386" s="14" t="inlineStr">
        <is>
          <t>ACIMA +0.7%</t>
        </is>
      </c>
      <c r="O3386" s="7" t="inlineStr"/>
    </row>
    <row r="3387">
      <c r="A3387" s="7" t="n">
        <v>409221</v>
      </c>
      <c r="B3387" s="10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1" t="n">
        <v>2</v>
      </c>
      <c r="G3387" s="11" t="n">
        <v>2</v>
      </c>
      <c r="H3387" s="8" t="n">
        <v>4.28</v>
      </c>
      <c r="I3387" s="8" t="n">
        <v>4.28</v>
      </c>
      <c r="J3387" s="13" t="n">
        <v>4.52</v>
      </c>
      <c r="K3387" s="7" t="inlineStr">
        <is>
          <t>DIMEC</t>
        </is>
      </c>
      <c r="L3387" s="8" t="n">
        <v>4.52</v>
      </c>
      <c r="M3387" s="12">
        <f>L3387/H3387-1</f>
        <v/>
      </c>
      <c r="N3387" s="14" t="inlineStr">
        <is>
          <t>ACIMA +5.6%</t>
        </is>
      </c>
      <c r="O3387" s="7" t="inlineStr"/>
    </row>
    <row r="3388">
      <c r="A3388" s="7" t="n">
        <v>613331</v>
      </c>
      <c r="B3388" s="10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1" t="n">
        <v>6</v>
      </c>
      <c r="G3388" s="11" t="n">
        <v>6</v>
      </c>
      <c r="H3388" s="8" t="n">
        <v>6.99</v>
      </c>
      <c r="I3388" s="8" t="n">
        <v>6.99</v>
      </c>
      <c r="J3388" s="8" t="n"/>
      <c r="K3388" s="7" t="inlineStr">
        <is>
          <t>SEM COTAÇÃO</t>
        </is>
      </c>
      <c r="L3388" s="8" t="n"/>
      <c r="M3388" s="12" t="n"/>
      <c r="N3388" s="7" t="inlineStr"/>
      <c r="O3388" s="7" t="inlineStr"/>
    </row>
    <row r="3389">
      <c r="A3389" s="7" t="n">
        <v>629791</v>
      </c>
      <c r="B3389" s="10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1" t="n">
        <v>1</v>
      </c>
      <c r="G3389" s="11" t="n">
        <v>1</v>
      </c>
      <c r="H3389" s="8" t="n">
        <v>11.04</v>
      </c>
      <c r="I3389" s="8" t="n">
        <v>11.04</v>
      </c>
      <c r="J3389" s="8" t="n"/>
      <c r="K3389" s="7" t="inlineStr">
        <is>
          <t>SEM COTAÇÃO</t>
        </is>
      </c>
      <c r="L3389" s="8" t="n"/>
      <c r="M3389" s="12" t="n"/>
      <c r="N3389" s="7" t="inlineStr"/>
      <c r="O3389" s="7" t="inlineStr"/>
    </row>
    <row r="3390">
      <c r="A3390" s="7" t="n">
        <v>255821</v>
      </c>
      <c r="B3390" s="10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1" t="n">
        <v>1</v>
      </c>
      <c r="G3390" s="11" t="n">
        <v>1</v>
      </c>
      <c r="H3390" s="8" t="n">
        <v>30.25</v>
      </c>
      <c r="I3390" s="8" t="n">
        <v>27.63</v>
      </c>
      <c r="J3390" s="8" t="n"/>
      <c r="K3390" s="7" t="inlineStr">
        <is>
          <t>SEM COTAÇÃO</t>
        </is>
      </c>
      <c r="L3390" s="8" t="n"/>
      <c r="M3390" s="12" t="n"/>
      <c r="N3390" s="7" t="inlineStr"/>
      <c r="O3390" s="7" t="inlineStr"/>
    </row>
    <row r="3391">
      <c r="A3391" s="7" t="n">
        <v>408261</v>
      </c>
      <c r="B3391" s="10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1" t="n">
        <v>1</v>
      </c>
      <c r="G3391" s="11" t="n">
        <v>1</v>
      </c>
      <c r="H3391" s="8" t="n">
        <v>19.31</v>
      </c>
      <c r="I3391" s="8" t="n">
        <v>19.31</v>
      </c>
      <c r="J3391" s="8" t="n"/>
      <c r="K3391" s="7" t="inlineStr">
        <is>
          <t>SEM COTAÇÃO</t>
        </is>
      </c>
      <c r="L3391" s="8" t="n"/>
      <c r="M3391" s="12" t="n"/>
      <c r="N3391" s="7" t="inlineStr"/>
      <c r="O3391" s="7" t="inlineStr"/>
    </row>
    <row r="3392">
      <c r="A3392" s="7" t="n">
        <v>613011</v>
      </c>
      <c r="B3392" s="10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1" t="n">
        <v>1</v>
      </c>
      <c r="G3392" s="11" t="n">
        <v>1</v>
      </c>
      <c r="H3392" s="8" t="n">
        <v>38.63</v>
      </c>
      <c r="I3392" s="8" t="n">
        <v>38.63</v>
      </c>
      <c r="J3392" s="8" t="n"/>
      <c r="K3392" s="7" t="inlineStr">
        <is>
          <t>SEM COTAÇÃO</t>
        </is>
      </c>
      <c r="L3392" s="8" t="n"/>
      <c r="M3392" s="12" t="n"/>
      <c r="N3392" s="7" t="inlineStr"/>
      <c r="O3392" s="7" t="inlineStr"/>
    </row>
    <row r="3393">
      <c r="A3393" s="7" t="n">
        <v>256001</v>
      </c>
      <c r="B3393" s="10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1" t="n">
        <v>1</v>
      </c>
      <c r="G3393" s="11" t="n">
        <v>1</v>
      </c>
      <c r="H3393" s="8" t="n">
        <v>21.51</v>
      </c>
      <c r="I3393" s="8" t="n">
        <v>18.91</v>
      </c>
      <c r="J3393" s="8" t="n"/>
      <c r="K3393" s="7" t="inlineStr">
        <is>
          <t>SEM COTAÇÃO</t>
        </is>
      </c>
      <c r="L3393" s="8" t="n"/>
      <c r="M3393" s="12" t="n"/>
      <c r="N3393" s="7" t="inlineStr"/>
      <c r="O3393" s="7" t="inlineStr"/>
    </row>
    <row r="3394">
      <c r="A3394" s="7" t="n">
        <v>563761</v>
      </c>
      <c r="B3394" s="10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1" t="n">
        <v>1</v>
      </c>
      <c r="G3394" s="11" t="n">
        <v>1</v>
      </c>
      <c r="H3394" s="8" t="n">
        <v>12.06</v>
      </c>
      <c r="I3394" s="8" t="n">
        <v>11.4783</v>
      </c>
      <c r="J3394" s="8" t="n"/>
      <c r="K3394" s="7" t="inlineStr">
        <is>
          <t>SEM COTAÇÃO</t>
        </is>
      </c>
      <c r="L3394" s="8" t="n"/>
      <c r="M3394" s="12" t="n"/>
      <c r="N3394" s="7" t="inlineStr"/>
      <c r="O3394" s="7" t="inlineStr"/>
    </row>
    <row r="3395">
      <c r="A3395" s="7" t="n">
        <v>550041</v>
      </c>
      <c r="B3395" s="10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1" t="n">
        <v>3</v>
      </c>
      <c r="G3395" s="11" t="n">
        <v>3</v>
      </c>
      <c r="H3395" s="8" t="n">
        <v>5.795</v>
      </c>
      <c r="I3395" s="8" t="n">
        <v>5.795</v>
      </c>
      <c r="J3395" s="8" t="n"/>
      <c r="K3395" s="7" t="inlineStr">
        <is>
          <t>SEM COTAÇÃO</t>
        </is>
      </c>
      <c r="L3395" s="8" t="n"/>
      <c r="M3395" s="12" t="n"/>
      <c r="N3395" s="7" t="inlineStr"/>
      <c r="O3395" s="7" t="inlineStr"/>
    </row>
    <row r="3396">
      <c r="A3396" s="7" t="n">
        <v>584721</v>
      </c>
      <c r="B3396" s="10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1" t="n">
        <v>1</v>
      </c>
      <c r="G3396" s="11" t="n">
        <v>1</v>
      </c>
      <c r="H3396" s="8" t="n">
        <v>6.16</v>
      </c>
      <c r="I3396" s="8" t="n">
        <v>6.16</v>
      </c>
      <c r="J3396" s="8" t="n"/>
      <c r="K3396" s="7" t="inlineStr">
        <is>
          <t>SEM COTAÇÃO</t>
        </is>
      </c>
      <c r="L3396" s="8" t="n"/>
      <c r="M3396" s="12" t="n"/>
      <c r="N3396" s="7" t="inlineStr"/>
      <c r="O3396" s="7" t="inlineStr"/>
    </row>
    <row r="3397">
      <c r="A3397" s="7" t="n">
        <v>550201</v>
      </c>
      <c r="B3397" s="10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1" t="n">
        <v>2</v>
      </c>
      <c r="G3397" s="11" t="n">
        <v>2</v>
      </c>
      <c r="H3397" s="8" t="n">
        <v>5.07</v>
      </c>
      <c r="I3397" s="8" t="n">
        <v>4.85</v>
      </c>
      <c r="J3397" s="13" t="n">
        <v>5.3</v>
      </c>
      <c r="K3397" s="7" t="inlineStr">
        <is>
          <t>DIMEC</t>
        </is>
      </c>
      <c r="L3397" s="8" t="n">
        <v>5.3</v>
      </c>
      <c r="M3397" s="12">
        <f>L3397/H3397-1</f>
        <v/>
      </c>
      <c r="N3397" s="14" t="inlineStr">
        <is>
          <t>ACIMA +4.5%</t>
        </is>
      </c>
      <c r="O3397" s="7" t="inlineStr"/>
    </row>
    <row r="3398">
      <c r="A3398" s="7" t="n">
        <v>550161</v>
      </c>
      <c r="B3398" s="10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1" t="n">
        <v>1</v>
      </c>
      <c r="G3398" s="11" t="n">
        <v>1</v>
      </c>
      <c r="H3398" s="8" t="n">
        <v>4.56</v>
      </c>
      <c r="I3398" s="8" t="n">
        <v>4.55</v>
      </c>
      <c r="J3398" s="13" t="n">
        <v>4.73</v>
      </c>
      <c r="K3398" s="7" t="inlineStr">
        <is>
          <t>DIMEC</t>
        </is>
      </c>
      <c r="L3398" s="8" t="n">
        <v>4.73</v>
      </c>
      <c r="M3398" s="12">
        <f>L3398/H3398-1</f>
        <v/>
      </c>
      <c r="N3398" s="14" t="inlineStr">
        <is>
          <t>ACIMA +3.7%</t>
        </is>
      </c>
      <c r="O3398" s="7" t="inlineStr"/>
    </row>
    <row r="3399">
      <c r="A3399" s="7" t="n">
        <v>657401</v>
      </c>
      <c r="B3399" s="10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1" t="n">
        <v>1</v>
      </c>
      <c r="G3399" s="11" t="n">
        <v>1</v>
      </c>
      <c r="H3399" s="8" t="n">
        <v>6.64</v>
      </c>
      <c r="I3399" s="8" t="n">
        <v>6.64</v>
      </c>
      <c r="J3399" s="8" t="n"/>
      <c r="K3399" s="7" t="inlineStr">
        <is>
          <t>SEM COTAÇÃO</t>
        </is>
      </c>
      <c r="L3399" s="8" t="n"/>
      <c r="M3399" s="12" t="n"/>
      <c r="N3399" s="7" t="inlineStr"/>
      <c r="O3399" s="7" t="inlineStr"/>
    </row>
    <row r="3400">
      <c r="A3400" s="7" t="n">
        <v>657391</v>
      </c>
      <c r="B3400" s="10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1" t="n">
        <v>6</v>
      </c>
      <c r="G3400" s="11" t="n">
        <v>6</v>
      </c>
      <c r="H3400" s="8" t="n">
        <v>8.390000000000001</v>
      </c>
      <c r="I3400" s="8" t="n">
        <v>8.390000000000001</v>
      </c>
      <c r="J3400" s="8" t="n"/>
      <c r="K3400" s="7" t="inlineStr">
        <is>
          <t>SEM COTAÇÃO</t>
        </is>
      </c>
      <c r="L3400" s="8" t="n"/>
      <c r="M3400" s="12" t="n"/>
      <c r="N3400" s="7" t="inlineStr"/>
      <c r="O3400" s="7" t="inlineStr"/>
    </row>
    <row r="3401">
      <c r="A3401" s="7" t="n">
        <v>657381</v>
      </c>
      <c r="B3401" s="10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1" t="n">
        <v>5</v>
      </c>
      <c r="G3401" s="11" t="n">
        <v>5</v>
      </c>
      <c r="H3401" s="8" t="n">
        <v>6.94</v>
      </c>
      <c r="I3401" s="8" t="n">
        <v>6.94</v>
      </c>
      <c r="J3401" s="8" t="n"/>
      <c r="K3401" s="7" t="inlineStr">
        <is>
          <t>SEM COTAÇÃO</t>
        </is>
      </c>
      <c r="L3401" s="8" t="n"/>
      <c r="M3401" s="12" t="n"/>
      <c r="N3401" s="7" t="inlineStr"/>
      <c r="O3401" s="7" t="inlineStr"/>
    </row>
    <row r="3402">
      <c r="A3402" s="7" t="n">
        <v>657361</v>
      </c>
      <c r="B3402" s="10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1" t="n">
        <v>7</v>
      </c>
      <c r="G3402" s="11" t="n">
        <v>7</v>
      </c>
      <c r="H3402" s="8" t="n">
        <v>6.88</v>
      </c>
      <c r="I3402" s="8" t="n">
        <v>6.67</v>
      </c>
      <c r="J3402" s="8" t="n"/>
      <c r="K3402" s="7" t="inlineStr">
        <is>
          <t>SEM COTAÇÃO</t>
        </is>
      </c>
      <c r="L3402" s="8" t="n"/>
      <c r="M3402" s="12" t="n"/>
      <c r="N3402" s="7" t="inlineStr"/>
      <c r="O3402" s="7" t="inlineStr"/>
    </row>
    <row r="3403">
      <c r="A3403" s="7" t="n">
        <v>657341</v>
      </c>
      <c r="B3403" s="10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1" t="n">
        <v>2</v>
      </c>
      <c r="G3403" s="11" t="n">
        <v>2</v>
      </c>
      <c r="H3403" s="8" t="n">
        <v>7.89</v>
      </c>
      <c r="I3403" s="8" t="n">
        <v>7.89</v>
      </c>
      <c r="J3403" s="8" t="n"/>
      <c r="K3403" s="7" t="inlineStr">
        <is>
          <t>SEM COTAÇÃO</t>
        </is>
      </c>
      <c r="L3403" s="8" t="n"/>
      <c r="M3403" s="12" t="n"/>
      <c r="N3403" s="7" t="inlineStr"/>
      <c r="O3403" s="7" t="inlineStr"/>
    </row>
    <row r="3404">
      <c r="A3404" s="7" t="n">
        <v>681401</v>
      </c>
      <c r="B3404" s="10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1" t="n">
        <v>1</v>
      </c>
      <c r="G3404" s="11" t="n">
        <v>1</v>
      </c>
      <c r="H3404" s="8" t="n">
        <v>8.5542</v>
      </c>
      <c r="I3404" s="8" t="n">
        <v>8.5542</v>
      </c>
      <c r="J3404" s="8" t="n"/>
      <c r="K3404" s="7" t="inlineStr">
        <is>
          <t>SEM COTAÇÃO</t>
        </is>
      </c>
      <c r="L3404" s="8" t="n"/>
      <c r="M3404" s="12" t="n"/>
      <c r="N3404" s="7" t="inlineStr"/>
      <c r="O3404" s="7" t="inlineStr"/>
    </row>
    <row r="3405">
      <c r="A3405" s="7" t="n">
        <v>682201</v>
      </c>
      <c r="B3405" s="10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1" t="n">
        <v>1</v>
      </c>
      <c r="G3405" s="11" t="n">
        <v>1</v>
      </c>
      <c r="H3405" s="8" t="n">
        <v>5.4492</v>
      </c>
      <c r="I3405" s="8" t="n">
        <v>5.4492</v>
      </c>
      <c r="J3405" s="8" t="n"/>
      <c r="K3405" s="7" t="inlineStr">
        <is>
          <t>SEM COTAÇÃO</t>
        </is>
      </c>
      <c r="L3405" s="8" t="n"/>
      <c r="M3405" s="12" t="n"/>
      <c r="N3405" s="7" t="inlineStr"/>
      <c r="O3405" s="7" t="inlineStr"/>
    </row>
    <row r="3406">
      <c r="A3406" s="7" t="n">
        <v>682301</v>
      </c>
      <c r="B3406" s="10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1" t="n">
        <v>1</v>
      </c>
      <c r="G3406" s="11" t="n">
        <v>1</v>
      </c>
      <c r="H3406" s="8" t="n">
        <v>5.4492</v>
      </c>
      <c r="I3406" s="8" t="n">
        <v>5.4492</v>
      </c>
      <c r="J3406" s="8" t="n"/>
      <c r="K3406" s="7" t="inlineStr">
        <is>
          <t>SEM COTAÇÃO</t>
        </is>
      </c>
      <c r="L3406" s="8" t="n"/>
      <c r="M3406" s="12" t="n"/>
      <c r="N3406" s="7" t="inlineStr"/>
      <c r="O3406" s="7" t="inlineStr"/>
    </row>
    <row r="3407">
      <c r="A3407" s="7" t="n">
        <v>681901</v>
      </c>
      <c r="B3407" s="10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1" t="n">
        <v>1</v>
      </c>
      <c r="G3407" s="11" t="n">
        <v>2</v>
      </c>
      <c r="H3407" s="8" t="n">
        <v>5.4492</v>
      </c>
      <c r="I3407" s="8" t="n">
        <v>5.4492</v>
      </c>
      <c r="J3407" s="8" t="n"/>
      <c r="K3407" s="7" t="inlineStr">
        <is>
          <t>SEM COTAÇÃO</t>
        </is>
      </c>
      <c r="L3407" s="8" t="n"/>
      <c r="M3407" s="12" t="n"/>
      <c r="N3407" s="7" t="inlineStr"/>
      <c r="O3407" s="7" t="inlineStr"/>
    </row>
    <row r="3408">
      <c r="A3408" s="7" t="n">
        <v>682101</v>
      </c>
      <c r="B3408" s="10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1" t="n">
        <v>1</v>
      </c>
      <c r="G3408" s="11" t="n">
        <v>1</v>
      </c>
      <c r="H3408" s="8" t="n">
        <v>5.4492</v>
      </c>
      <c r="I3408" s="8" t="n">
        <v>5.4492</v>
      </c>
      <c r="J3408" s="8" t="n"/>
      <c r="K3408" s="7" t="inlineStr">
        <is>
          <t>SEM COTAÇÃO</t>
        </is>
      </c>
      <c r="L3408" s="8" t="n"/>
      <c r="M3408" s="12" t="n"/>
      <c r="N3408" s="7" t="inlineStr"/>
      <c r="O3408" s="7" t="inlineStr"/>
    </row>
    <row r="3409">
      <c r="A3409" s="7" t="n">
        <v>569121</v>
      </c>
      <c r="B3409" s="10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1" t="n">
        <v>5</v>
      </c>
      <c r="G3409" s="11" t="n">
        <v>5</v>
      </c>
      <c r="H3409" s="8" t="n">
        <v>1.29</v>
      </c>
      <c r="I3409" s="8" t="n">
        <v>1.18</v>
      </c>
      <c r="J3409" s="8" t="n"/>
      <c r="K3409" s="7" t="inlineStr">
        <is>
          <t>SEM COTAÇÃO</t>
        </is>
      </c>
      <c r="L3409" s="8" t="n"/>
      <c r="M3409" s="12" t="n"/>
      <c r="N3409" s="7" t="inlineStr"/>
      <c r="O3409" s="7" t="inlineStr"/>
    </row>
    <row r="3410">
      <c r="A3410" s="7" t="n">
        <v>641761</v>
      </c>
      <c r="B3410" s="10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1" t="n">
        <v>3</v>
      </c>
      <c r="G3410" s="11" t="n">
        <v>3</v>
      </c>
      <c r="H3410" s="8" t="n">
        <v>8.26</v>
      </c>
      <c r="I3410" s="8" t="n">
        <v>7.23</v>
      </c>
      <c r="J3410" s="8" t="n"/>
      <c r="K3410" s="7" t="inlineStr">
        <is>
          <t>SEM COTAÇÃO</t>
        </is>
      </c>
      <c r="L3410" s="8" t="n"/>
      <c r="M3410" s="12" t="n"/>
      <c r="N3410" s="7" t="inlineStr"/>
      <c r="O3410" s="7" t="inlineStr"/>
    </row>
    <row r="3411">
      <c r="A3411" s="7" t="n">
        <v>579341</v>
      </c>
      <c r="B3411" s="10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1" t="n">
        <v>2</v>
      </c>
      <c r="G3411" s="11" t="n">
        <v>2</v>
      </c>
      <c r="H3411" s="8" t="n">
        <v>4.33</v>
      </c>
      <c r="I3411" s="8" t="n">
        <v>4.33</v>
      </c>
      <c r="J3411" s="8" t="n"/>
      <c r="K3411" s="7" t="inlineStr">
        <is>
          <t>SEM COTAÇÃO</t>
        </is>
      </c>
      <c r="L3411" s="8" t="n"/>
      <c r="M3411" s="12" t="n"/>
      <c r="N3411" s="7" t="inlineStr"/>
      <c r="O3411" s="7" t="inlineStr"/>
    </row>
    <row r="3412">
      <c r="A3412" s="7" t="n">
        <v>643211</v>
      </c>
      <c r="B3412" s="10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1" t="n">
        <v>2</v>
      </c>
      <c r="G3412" s="11" t="n">
        <v>2</v>
      </c>
      <c r="H3412" s="8" t="n">
        <v>7.72</v>
      </c>
      <c r="I3412" s="8" t="n">
        <v>7.72</v>
      </c>
      <c r="J3412" s="8" t="n"/>
      <c r="K3412" s="7" t="inlineStr">
        <is>
          <t>SEM COTAÇÃO</t>
        </is>
      </c>
      <c r="L3412" s="8" t="n"/>
      <c r="M3412" s="12" t="n"/>
      <c r="N3412" s="7" t="inlineStr"/>
      <c r="O3412" s="7" t="inlineStr"/>
    </row>
    <row r="3413">
      <c r="A3413" s="7" t="n">
        <v>579301</v>
      </c>
      <c r="B3413" s="10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1" t="n">
        <v>11</v>
      </c>
      <c r="G3413" s="11" t="n">
        <v>11</v>
      </c>
      <c r="H3413" s="8" t="n">
        <v>4.39</v>
      </c>
      <c r="I3413" s="8" t="n">
        <v>4.29</v>
      </c>
      <c r="J3413" s="8" t="n"/>
      <c r="K3413" s="7" t="inlineStr">
        <is>
          <t>SEM COTAÇÃO</t>
        </is>
      </c>
      <c r="L3413" s="8" t="n"/>
      <c r="M3413" s="12" t="n"/>
      <c r="N3413" s="7" t="inlineStr"/>
      <c r="O3413" s="7" t="inlineStr"/>
    </row>
    <row r="3414">
      <c r="A3414" s="7" t="n">
        <v>632781</v>
      </c>
      <c r="B3414" s="10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1" t="n">
        <v>3</v>
      </c>
      <c r="G3414" s="11" t="n">
        <v>3</v>
      </c>
      <c r="H3414" s="8" t="n">
        <v>7.79</v>
      </c>
      <c r="I3414" s="8" t="n">
        <v>7.16</v>
      </c>
      <c r="J3414" s="8" t="n"/>
      <c r="K3414" s="7" t="inlineStr">
        <is>
          <t>SEM COTAÇÃO</t>
        </is>
      </c>
      <c r="L3414" s="8" t="n"/>
      <c r="M3414" s="12" t="n"/>
      <c r="N3414" s="7" t="inlineStr"/>
      <c r="O3414" s="7" t="inlineStr"/>
    </row>
    <row r="3415">
      <c r="A3415" s="7" t="n">
        <v>579381</v>
      </c>
      <c r="B3415" s="10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1" t="n">
        <v>2</v>
      </c>
      <c r="G3415" s="11" t="n">
        <v>2</v>
      </c>
      <c r="H3415" s="8" t="n">
        <v>8.91</v>
      </c>
      <c r="I3415" s="8" t="n">
        <v>8.91</v>
      </c>
      <c r="J3415" s="8" t="n"/>
      <c r="K3415" s="7" t="inlineStr">
        <is>
          <t>SEM COTAÇÃO</t>
        </is>
      </c>
      <c r="L3415" s="8" t="n"/>
      <c r="M3415" s="12" t="n"/>
      <c r="N3415" s="7" t="inlineStr"/>
      <c r="O3415" s="7" t="inlineStr"/>
    </row>
    <row r="3416">
      <c r="A3416" s="7" t="n">
        <v>641781</v>
      </c>
      <c r="B3416" s="10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1" t="n">
        <v>4</v>
      </c>
      <c r="G3416" s="11" t="n">
        <v>4</v>
      </c>
      <c r="H3416" s="8" t="n">
        <v>11.39</v>
      </c>
      <c r="I3416" s="8" t="n">
        <v>10.69</v>
      </c>
      <c r="J3416" s="8" t="n"/>
      <c r="K3416" s="7" t="inlineStr">
        <is>
          <t>SEM COTAÇÃO</t>
        </is>
      </c>
      <c r="L3416" s="8" t="n"/>
      <c r="M3416" s="12" t="n"/>
      <c r="N3416" s="7" t="inlineStr"/>
      <c r="O3416" s="7" t="inlineStr"/>
    </row>
    <row r="3417">
      <c r="A3417" s="7" t="n">
        <v>579321</v>
      </c>
      <c r="B3417" s="10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1" t="n">
        <v>3</v>
      </c>
      <c r="G3417" s="11" t="n">
        <v>3</v>
      </c>
      <c r="H3417" s="8" t="n">
        <v>4.288</v>
      </c>
      <c r="I3417" s="8" t="n">
        <v>4.288</v>
      </c>
      <c r="J3417" s="8" t="n"/>
      <c r="K3417" s="7" t="inlineStr">
        <is>
          <t>SEM COTAÇÃO</t>
        </is>
      </c>
      <c r="L3417" s="8" t="n"/>
      <c r="M3417" s="12" t="n"/>
      <c r="N3417" s="7" t="inlineStr"/>
      <c r="O3417" s="7" t="inlineStr"/>
    </row>
    <row r="3418">
      <c r="A3418" s="7" t="n">
        <v>595581</v>
      </c>
      <c r="B3418" s="10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1" t="n">
        <v>6</v>
      </c>
      <c r="G3418" s="11" t="n">
        <v>6</v>
      </c>
      <c r="H3418" s="8" t="n">
        <v>4.95</v>
      </c>
      <c r="I3418" s="8" t="n">
        <v>4.92</v>
      </c>
      <c r="J3418" s="8" t="n"/>
      <c r="K3418" s="7" t="inlineStr">
        <is>
          <t>SEM COTAÇÃO</t>
        </is>
      </c>
      <c r="L3418" s="8" t="n"/>
      <c r="M3418" s="12" t="n"/>
      <c r="N3418" s="7" t="inlineStr"/>
      <c r="O3418" s="7" t="inlineStr"/>
    </row>
    <row r="3419">
      <c r="A3419" s="7" t="n">
        <v>595671</v>
      </c>
      <c r="B3419" s="10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1" t="n">
        <v>3</v>
      </c>
      <c r="G3419" s="11" t="n">
        <v>3</v>
      </c>
      <c r="H3419" s="8" t="n">
        <v>12.99</v>
      </c>
      <c r="I3419" s="8" t="n">
        <v>12.99</v>
      </c>
      <c r="J3419" s="8" t="n"/>
      <c r="K3419" s="7" t="inlineStr">
        <is>
          <t>SEM COTAÇÃO</t>
        </is>
      </c>
      <c r="L3419" s="8" t="n"/>
      <c r="M3419" s="12" t="n"/>
      <c r="N3419" s="7" t="inlineStr"/>
      <c r="O3419" s="7" t="inlineStr"/>
    </row>
    <row r="3420">
      <c r="A3420" s="7" t="n">
        <v>595661</v>
      </c>
      <c r="B3420" s="10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1" t="n">
        <v>4</v>
      </c>
      <c r="G3420" s="11" t="n">
        <v>4</v>
      </c>
      <c r="H3420" s="8" t="n">
        <v>11.88</v>
      </c>
      <c r="I3420" s="8" t="n">
        <v>11.88</v>
      </c>
      <c r="J3420" s="8" t="n"/>
      <c r="K3420" s="7" t="inlineStr">
        <is>
          <t>SEM COTAÇÃO</t>
        </is>
      </c>
      <c r="L3420" s="8" t="n"/>
      <c r="M3420" s="12" t="n"/>
      <c r="N3420" s="7" t="inlineStr"/>
      <c r="O3420" s="7" t="inlineStr"/>
    </row>
    <row r="3421">
      <c r="A3421" s="7" t="n">
        <v>595641</v>
      </c>
      <c r="B3421" s="10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1" t="n">
        <v>2</v>
      </c>
      <c r="G3421" s="11" t="n">
        <v>2</v>
      </c>
      <c r="H3421" s="8" t="n">
        <v>8.539999999999999</v>
      </c>
      <c r="I3421" s="8" t="n">
        <v>8.539999999999999</v>
      </c>
      <c r="J3421" s="8" t="n"/>
      <c r="K3421" s="7" t="inlineStr">
        <is>
          <t>SEM COTAÇÃO</t>
        </is>
      </c>
      <c r="L3421" s="8" t="n"/>
      <c r="M3421" s="12" t="n"/>
      <c r="N3421" s="7" t="inlineStr"/>
      <c r="O3421" s="7" t="inlineStr"/>
    </row>
    <row r="3422">
      <c r="A3422" s="7" t="n">
        <v>595621</v>
      </c>
      <c r="B3422" s="10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1" t="n">
        <v>1</v>
      </c>
      <c r="G3422" s="11" t="n">
        <v>1</v>
      </c>
      <c r="H3422" s="8" t="n">
        <v>5.13</v>
      </c>
      <c r="I3422" s="8" t="n">
        <v>4.97</v>
      </c>
      <c r="J3422" s="8" t="n"/>
      <c r="K3422" s="7" t="inlineStr">
        <is>
          <t>SEM COTAÇÃO</t>
        </is>
      </c>
      <c r="L3422" s="8" t="n"/>
      <c r="M3422" s="12" t="n"/>
      <c r="N3422" s="7" t="inlineStr"/>
      <c r="O3422" s="7" t="inlineStr"/>
    </row>
    <row r="3423">
      <c r="A3423" s="7" t="n">
        <v>595611</v>
      </c>
      <c r="B3423" s="10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1" t="n">
        <v>7</v>
      </c>
      <c r="G3423" s="11" t="n">
        <v>7</v>
      </c>
      <c r="H3423" s="8" t="n">
        <v>9.99</v>
      </c>
      <c r="I3423" s="8" t="n">
        <v>9.69</v>
      </c>
      <c r="J3423" s="8" t="n"/>
      <c r="K3423" s="7" t="inlineStr">
        <is>
          <t>SEM COTAÇÃO</t>
        </is>
      </c>
      <c r="L3423" s="8" t="n"/>
      <c r="M3423" s="12" t="n"/>
      <c r="N3423" s="7" t="inlineStr"/>
      <c r="O3423" s="7" t="inlineStr"/>
    </row>
    <row r="3424">
      <c r="A3424" s="7" t="n">
        <v>595601</v>
      </c>
      <c r="B3424" s="10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1" t="n">
        <v>2</v>
      </c>
      <c r="G3424" s="11" t="n">
        <v>2</v>
      </c>
      <c r="H3424" s="8" t="n">
        <v>5.89</v>
      </c>
      <c r="I3424" s="8" t="n">
        <v>5.89</v>
      </c>
      <c r="J3424" s="8" t="n"/>
      <c r="K3424" s="7" t="inlineStr">
        <is>
          <t>SEM COTAÇÃO</t>
        </is>
      </c>
      <c r="L3424" s="8" t="n"/>
      <c r="M3424" s="12" t="n"/>
      <c r="N3424" s="7" t="inlineStr"/>
      <c r="O3424" s="7" t="inlineStr"/>
    </row>
    <row r="3425">
      <c r="A3425" s="7" t="n">
        <v>669391</v>
      </c>
      <c r="B3425" s="10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1" t="n">
        <v>2</v>
      </c>
      <c r="G3425" s="11" t="n">
        <v>2</v>
      </c>
      <c r="H3425" s="8" t="n">
        <v>1.98</v>
      </c>
      <c r="I3425" s="8" t="n">
        <v>1.88</v>
      </c>
      <c r="J3425" s="8" t="n"/>
      <c r="K3425" s="7" t="inlineStr">
        <is>
          <t>SEM COTAÇÃO</t>
        </is>
      </c>
      <c r="L3425" s="8" t="n"/>
      <c r="M3425" s="12" t="n"/>
      <c r="N3425" s="7" t="inlineStr"/>
      <c r="O3425" s="7" t="inlineStr"/>
    </row>
    <row r="3426">
      <c r="A3426" s="7" t="n">
        <v>662531</v>
      </c>
      <c r="B3426" s="10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1" t="n">
        <v>10</v>
      </c>
      <c r="G3426" s="11" t="n">
        <v>10</v>
      </c>
      <c r="H3426" s="8" t="n">
        <v>1.98</v>
      </c>
      <c r="I3426" s="8" t="n">
        <v>1.88</v>
      </c>
      <c r="J3426" s="8" t="n"/>
      <c r="K3426" s="7" t="inlineStr">
        <is>
          <t>SEM COTAÇÃO</t>
        </is>
      </c>
      <c r="L3426" s="8" t="n"/>
      <c r="M3426" s="12" t="n"/>
      <c r="N3426" s="7" t="inlineStr"/>
      <c r="O3426" s="7" t="inlineStr"/>
    </row>
    <row r="3427">
      <c r="A3427" s="7" t="n">
        <v>669401</v>
      </c>
      <c r="B3427" s="10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1" t="n">
        <v>2</v>
      </c>
      <c r="G3427" s="11" t="n">
        <v>2</v>
      </c>
      <c r="H3427" s="8" t="n">
        <v>4.56</v>
      </c>
      <c r="I3427" s="8" t="n">
        <v>4.52</v>
      </c>
      <c r="J3427" s="8" t="n"/>
      <c r="K3427" s="7" t="inlineStr">
        <is>
          <t>SEM COTAÇÃO</t>
        </is>
      </c>
      <c r="L3427" s="8" t="n"/>
      <c r="M3427" s="12" t="n"/>
      <c r="N3427" s="7" t="inlineStr"/>
      <c r="O3427" s="7" t="inlineStr"/>
    </row>
    <row r="3428">
      <c r="A3428" s="7" t="n">
        <v>669411</v>
      </c>
      <c r="B3428" s="10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1" t="n">
        <v>3</v>
      </c>
      <c r="G3428" s="11" t="n">
        <v>3</v>
      </c>
      <c r="H3428" s="8" t="n">
        <v>3.81</v>
      </c>
      <c r="I3428" s="8" t="n">
        <v>3.76</v>
      </c>
      <c r="J3428" s="8" t="n"/>
      <c r="K3428" s="7" t="inlineStr">
        <is>
          <t>SEM COTAÇÃO</t>
        </is>
      </c>
      <c r="L3428" s="8" t="n"/>
      <c r="M3428" s="12" t="n"/>
      <c r="N3428" s="7" t="inlineStr"/>
      <c r="O3428" s="7" t="inlineStr"/>
    </row>
    <row r="3429">
      <c r="A3429" s="7" t="n">
        <v>669421</v>
      </c>
      <c r="B3429" s="10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1" t="n">
        <v>7</v>
      </c>
      <c r="G3429" s="11" t="n">
        <v>7</v>
      </c>
      <c r="H3429" s="8" t="n">
        <v>1.98</v>
      </c>
      <c r="I3429" s="8" t="n">
        <v>1.88</v>
      </c>
      <c r="J3429" s="8" t="n"/>
      <c r="K3429" s="7" t="inlineStr">
        <is>
          <t>SEM COTAÇÃO</t>
        </is>
      </c>
      <c r="L3429" s="8" t="n"/>
      <c r="M3429" s="12" t="n"/>
      <c r="N3429" s="7" t="inlineStr"/>
      <c r="O3429" s="7" t="inlineStr"/>
    </row>
    <row r="3430">
      <c r="A3430" s="7" t="n">
        <v>662561</v>
      </c>
      <c r="B3430" s="10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1" t="n">
        <v>9</v>
      </c>
      <c r="G3430" s="11" t="n">
        <v>9</v>
      </c>
      <c r="H3430" s="8" t="n">
        <v>1.98</v>
      </c>
      <c r="I3430" s="8" t="n">
        <v>1.88</v>
      </c>
      <c r="J3430" s="8" t="n"/>
      <c r="K3430" s="7" t="inlineStr">
        <is>
          <t>SEM COTAÇÃO</t>
        </is>
      </c>
      <c r="L3430" s="8" t="n"/>
      <c r="M3430" s="12" t="n"/>
      <c r="N3430" s="7" t="inlineStr"/>
      <c r="O3430" s="7" t="inlineStr"/>
    </row>
    <row r="3431">
      <c r="A3431" s="7" t="n">
        <v>662551</v>
      </c>
      <c r="B3431" s="10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1" t="n">
        <v>9</v>
      </c>
      <c r="G3431" s="11" t="n">
        <v>9</v>
      </c>
      <c r="H3431" s="8" t="n">
        <v>4.98</v>
      </c>
      <c r="I3431" s="8" t="n">
        <v>4.98</v>
      </c>
      <c r="J3431" s="8" t="n"/>
      <c r="K3431" s="7" t="inlineStr">
        <is>
          <t>SEM COTAÇÃO</t>
        </is>
      </c>
      <c r="L3431" s="8" t="n"/>
      <c r="M3431" s="12" t="n"/>
      <c r="N3431" s="7" t="inlineStr"/>
      <c r="O3431" s="7" t="inlineStr"/>
    </row>
    <row r="3432">
      <c r="A3432" s="7" t="n">
        <v>662541</v>
      </c>
      <c r="B3432" s="10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1" t="n">
        <v>9</v>
      </c>
      <c r="G3432" s="11" t="n">
        <v>9</v>
      </c>
      <c r="H3432" s="8" t="n">
        <v>4.29</v>
      </c>
      <c r="I3432" s="8" t="n">
        <v>4</v>
      </c>
      <c r="J3432" s="8" t="n"/>
      <c r="K3432" s="7" t="inlineStr">
        <is>
          <t>SEM COTAÇÃO</t>
        </is>
      </c>
      <c r="L3432" s="8" t="n"/>
      <c r="M3432" s="12" t="n"/>
      <c r="N3432" s="7" t="inlineStr"/>
      <c r="O3432" s="7" t="inlineStr"/>
    </row>
    <row r="3433">
      <c r="A3433" s="7" t="n">
        <v>669431</v>
      </c>
      <c r="B3433" s="10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1" t="n">
        <v>4</v>
      </c>
      <c r="G3433" s="11" t="n">
        <v>4</v>
      </c>
      <c r="H3433" s="8" t="n">
        <v>1.98</v>
      </c>
      <c r="I3433" s="8" t="n">
        <v>1.88</v>
      </c>
      <c r="J3433" s="8" t="n"/>
      <c r="K3433" s="7" t="inlineStr">
        <is>
          <t>SEM COTAÇÃO</t>
        </is>
      </c>
      <c r="L3433" s="8" t="n"/>
      <c r="M3433" s="12" t="n"/>
      <c r="N3433" s="7" t="inlineStr"/>
      <c r="O3433" s="7" t="inlineStr"/>
    </row>
    <row r="3434">
      <c r="A3434" s="7" t="n">
        <v>585221</v>
      </c>
      <c r="B3434" s="10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1" t="n">
        <v>4</v>
      </c>
      <c r="G3434" s="11" t="n">
        <v>4</v>
      </c>
      <c r="H3434" s="8" t="n">
        <v>4.02</v>
      </c>
      <c r="I3434" s="8" t="n">
        <v>3.99</v>
      </c>
      <c r="J3434" s="8" t="n"/>
      <c r="K3434" s="7" t="inlineStr">
        <is>
          <t>SEM COTAÇÃO</t>
        </is>
      </c>
      <c r="L3434" s="8" t="n"/>
      <c r="M3434" s="12" t="n"/>
      <c r="N3434" s="7" t="inlineStr"/>
      <c r="O3434" s="7" t="inlineStr"/>
    </row>
    <row r="3435">
      <c r="A3435" s="7" t="n">
        <v>585241</v>
      </c>
      <c r="B3435" s="10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1" t="n">
        <v>6</v>
      </c>
      <c r="G3435" s="11" t="n">
        <v>6</v>
      </c>
      <c r="H3435" s="8" t="n">
        <v>9.550000000000001</v>
      </c>
      <c r="I3435" s="8" t="n">
        <v>9.51</v>
      </c>
      <c r="J3435" s="8" t="n"/>
      <c r="K3435" s="7" t="inlineStr">
        <is>
          <t>SEM COTAÇÃO</t>
        </is>
      </c>
      <c r="L3435" s="8" t="n"/>
      <c r="M3435" s="12" t="n"/>
      <c r="N3435" s="7" t="inlineStr"/>
      <c r="O3435" s="7" t="inlineStr"/>
    </row>
    <row r="3436">
      <c r="A3436" s="7" t="n">
        <v>585281</v>
      </c>
      <c r="B3436" s="10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1" t="n">
        <v>1</v>
      </c>
      <c r="G3436" s="11" t="n">
        <v>1</v>
      </c>
      <c r="H3436" s="8" t="n">
        <v>7.57</v>
      </c>
      <c r="I3436" s="8" t="n">
        <v>7.57</v>
      </c>
      <c r="J3436" s="8" t="n"/>
      <c r="K3436" s="7" t="inlineStr">
        <is>
          <t>SEM COTAÇÃO</t>
        </is>
      </c>
      <c r="L3436" s="8" t="n"/>
      <c r="M3436" s="12" t="n"/>
      <c r="N3436" s="7" t="inlineStr"/>
      <c r="O3436" s="7" t="inlineStr"/>
    </row>
    <row r="3437">
      <c r="A3437" s="7" t="n">
        <v>585321</v>
      </c>
      <c r="B3437" s="10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1" t="n">
        <v>3</v>
      </c>
      <c r="G3437" s="11" t="n">
        <v>3</v>
      </c>
      <c r="H3437" s="8" t="n">
        <v>3.91</v>
      </c>
      <c r="I3437" s="8" t="n">
        <v>3.91</v>
      </c>
      <c r="J3437" s="8" t="n"/>
      <c r="K3437" s="7" t="inlineStr">
        <is>
          <t>SEM COTAÇÃO</t>
        </is>
      </c>
      <c r="L3437" s="8" t="n"/>
      <c r="M3437" s="12" t="n"/>
      <c r="N3437" s="7" t="inlineStr"/>
      <c r="O3437" s="7" t="inlineStr"/>
    </row>
    <row r="3438">
      <c r="A3438" s="7" t="n">
        <v>585341</v>
      </c>
      <c r="B3438" s="10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1" t="n">
        <v>7</v>
      </c>
      <c r="G3438" s="11" t="n">
        <v>7</v>
      </c>
      <c r="H3438" s="8" t="n">
        <v>5.5</v>
      </c>
      <c r="I3438" s="8" t="n">
        <v>5.5</v>
      </c>
      <c r="J3438" s="8" t="n"/>
      <c r="K3438" s="7" t="inlineStr">
        <is>
          <t>SEM COTAÇÃO</t>
        </is>
      </c>
      <c r="L3438" s="8" t="n"/>
      <c r="M3438" s="12" t="n"/>
      <c r="N3438" s="7" t="inlineStr"/>
      <c r="O3438" s="7" t="inlineStr"/>
    </row>
    <row r="3439">
      <c r="A3439" s="7" t="n">
        <v>585361</v>
      </c>
      <c r="B3439" s="10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1" t="n">
        <v>7</v>
      </c>
      <c r="G3439" s="11" t="n">
        <v>7</v>
      </c>
      <c r="H3439" s="8" t="n">
        <v>4.92</v>
      </c>
      <c r="I3439" s="8" t="n">
        <v>4.92</v>
      </c>
      <c r="J3439" s="8" t="n"/>
      <c r="K3439" s="7" t="inlineStr">
        <is>
          <t>SEM COTAÇÃO</t>
        </is>
      </c>
      <c r="L3439" s="8" t="n"/>
      <c r="M3439" s="12" t="n"/>
      <c r="N3439" s="7" t="inlineStr"/>
      <c r="O3439" s="7" t="inlineStr"/>
    </row>
    <row r="3440">
      <c r="A3440" s="7" t="n">
        <v>585381</v>
      </c>
      <c r="B3440" s="10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1" t="n">
        <v>7</v>
      </c>
      <c r="G3440" s="11" t="n">
        <v>7</v>
      </c>
      <c r="H3440" s="8" t="n">
        <v>5.17</v>
      </c>
      <c r="I3440" s="8" t="n">
        <v>5.17</v>
      </c>
      <c r="J3440" s="8" t="n"/>
      <c r="K3440" s="7" t="inlineStr">
        <is>
          <t>SEM COTAÇÃO</t>
        </is>
      </c>
      <c r="L3440" s="8" t="n"/>
      <c r="M3440" s="12" t="n"/>
      <c r="N3440" s="7" t="inlineStr"/>
      <c r="O3440" s="7" t="inlineStr"/>
    </row>
    <row r="3441">
      <c r="A3441" s="7" t="n">
        <v>595631</v>
      </c>
      <c r="B3441" s="10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1" t="n">
        <v>4</v>
      </c>
      <c r="G3441" s="11" t="n">
        <v>4</v>
      </c>
      <c r="H3441" s="8" t="n">
        <v>7.63</v>
      </c>
      <c r="I3441" s="8" t="n">
        <v>7.63</v>
      </c>
      <c r="J3441" s="8" t="n"/>
      <c r="K3441" s="7" t="inlineStr">
        <is>
          <t>SEM COTAÇÃO</t>
        </is>
      </c>
      <c r="L3441" s="8" t="n"/>
      <c r="M3441" s="12" t="n"/>
      <c r="N3441" s="7" t="inlineStr"/>
      <c r="O3441" s="7" t="inlineStr"/>
    </row>
    <row r="3442">
      <c r="A3442" s="7" t="n">
        <v>662501</v>
      </c>
      <c r="B3442" s="10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1" t="n">
        <v>2</v>
      </c>
      <c r="G3442" s="11" t="n">
        <v>2</v>
      </c>
      <c r="H3442" s="8" t="n">
        <v>8.539999999999999</v>
      </c>
      <c r="I3442" s="8" t="n">
        <v>8.539999999999999</v>
      </c>
      <c r="J3442" s="8" t="n"/>
      <c r="K3442" s="7" t="inlineStr">
        <is>
          <t>SEM COTAÇÃO</t>
        </is>
      </c>
      <c r="L3442" s="8" t="n"/>
      <c r="M3442" s="12" t="n"/>
      <c r="N3442" s="7" t="inlineStr"/>
      <c r="O3442" s="7" t="inlineStr"/>
    </row>
    <row r="3443">
      <c r="A3443" s="7" t="n">
        <v>584461</v>
      </c>
      <c r="B3443" s="10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1" t="n">
        <v>4</v>
      </c>
      <c r="G3443" s="11" t="n">
        <v>4</v>
      </c>
      <c r="H3443" s="8" t="n">
        <v>2.22</v>
      </c>
      <c r="I3443" s="8" t="n">
        <v>2.22</v>
      </c>
      <c r="J3443" s="13" t="n">
        <v>2.33</v>
      </c>
      <c r="K3443" s="7" t="inlineStr">
        <is>
          <t>DIMEC</t>
        </is>
      </c>
      <c r="L3443" s="8" t="n">
        <v>2.33</v>
      </c>
      <c r="M3443" s="12">
        <f>L3443/H3443-1</f>
        <v/>
      </c>
      <c r="N3443" s="14" t="inlineStr">
        <is>
          <t>ACIMA +5.0%</t>
        </is>
      </c>
      <c r="O3443" s="7" t="inlineStr"/>
    </row>
    <row r="3444">
      <c r="A3444" s="7" t="n">
        <v>532801</v>
      </c>
      <c r="B3444" s="10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1" t="n">
        <v>3</v>
      </c>
      <c r="G3444" s="11" t="n">
        <v>3</v>
      </c>
      <c r="H3444" s="8" t="n">
        <v>2.11</v>
      </c>
      <c r="I3444" s="8" t="n">
        <v>2.09</v>
      </c>
      <c r="J3444" s="13" t="n">
        <v>2.17</v>
      </c>
      <c r="K3444" s="7" t="inlineStr">
        <is>
          <t>DIMEC</t>
        </is>
      </c>
      <c r="L3444" s="8" t="n">
        <v>2.17</v>
      </c>
      <c r="M3444" s="12">
        <f>L3444/H3444-1</f>
        <v/>
      </c>
      <c r="N3444" s="14" t="inlineStr">
        <is>
          <t>ACIMA +2.8%</t>
        </is>
      </c>
      <c r="O3444" s="7" t="inlineStr"/>
    </row>
    <row r="3445">
      <c r="A3445" s="7" t="n">
        <v>532821</v>
      </c>
      <c r="B3445" s="10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1" t="n">
        <v>1</v>
      </c>
      <c r="G3445" s="11" t="n">
        <v>1</v>
      </c>
      <c r="H3445" s="8" t="n">
        <v>2.14</v>
      </c>
      <c r="I3445" s="8" t="n">
        <v>2.13</v>
      </c>
      <c r="J3445" s="13" t="n">
        <v>2.21</v>
      </c>
      <c r="K3445" s="7" t="inlineStr">
        <is>
          <t>DIMEC</t>
        </is>
      </c>
      <c r="L3445" s="8" t="n">
        <v>2.21</v>
      </c>
      <c r="M3445" s="12">
        <f>L3445/H3445-1</f>
        <v/>
      </c>
      <c r="N3445" s="14" t="inlineStr">
        <is>
          <t>ACIMA +3.3%</t>
        </is>
      </c>
      <c r="O3445" s="7" t="inlineStr"/>
    </row>
    <row r="3446">
      <c r="A3446" s="7" t="n">
        <v>532781</v>
      </c>
      <c r="B3446" s="10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1" t="n">
        <v>5</v>
      </c>
      <c r="G3446" s="11" t="n">
        <v>5</v>
      </c>
      <c r="H3446" s="8" t="n">
        <v>4.38</v>
      </c>
      <c r="I3446" s="8" t="n">
        <v>4.37</v>
      </c>
      <c r="J3446" s="13" t="n">
        <v>4.55</v>
      </c>
      <c r="K3446" s="7" t="inlineStr">
        <is>
          <t>DIMEC</t>
        </is>
      </c>
      <c r="L3446" s="8" t="n">
        <v>4.55</v>
      </c>
      <c r="M3446" s="12">
        <f>L3446/H3446-1</f>
        <v/>
      </c>
      <c r="N3446" s="14" t="inlineStr">
        <is>
          <t>ACIMA +3.9%</t>
        </is>
      </c>
      <c r="O3446" s="7" t="inlineStr"/>
    </row>
    <row r="3447">
      <c r="A3447" s="7" t="n">
        <v>636141</v>
      </c>
      <c r="B3447" s="10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1" t="n">
        <v>2</v>
      </c>
      <c r="G3447" s="11" t="n">
        <v>2</v>
      </c>
      <c r="H3447" s="8" t="n">
        <v>10.3233</v>
      </c>
      <c r="I3447" s="8" t="n">
        <v>10.3233</v>
      </c>
      <c r="J3447" s="8" t="n"/>
      <c r="K3447" s="7" t="inlineStr">
        <is>
          <t>SEM COTAÇÃO</t>
        </is>
      </c>
      <c r="L3447" s="8" t="n"/>
      <c r="M3447" s="12" t="n"/>
      <c r="N3447" s="7" t="inlineStr"/>
      <c r="O3447" s="7" t="inlineStr"/>
    </row>
    <row r="3448">
      <c r="A3448" s="7" t="n">
        <v>607681</v>
      </c>
      <c r="B3448" s="10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1" t="n">
        <v>1</v>
      </c>
      <c r="G3448" s="11" t="n">
        <v>4</v>
      </c>
      <c r="H3448" s="8" t="n">
        <v>4.6463</v>
      </c>
      <c r="I3448" s="8" t="n">
        <v>4.6463</v>
      </c>
      <c r="J3448" s="8" t="n"/>
      <c r="K3448" s="7" t="inlineStr">
        <is>
          <t>SEM COTAÇÃO</t>
        </is>
      </c>
      <c r="L3448" s="8" t="n"/>
      <c r="M3448" s="12" t="n"/>
      <c r="N3448" s="7" t="inlineStr"/>
      <c r="O3448" s="7" t="inlineStr"/>
    </row>
    <row r="3449">
      <c r="A3449" s="7" t="n">
        <v>592031</v>
      </c>
      <c r="B3449" s="10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1" t="n">
        <v>2</v>
      </c>
      <c r="G3449" s="11" t="n">
        <v>39</v>
      </c>
      <c r="H3449" s="8" t="n">
        <v>2.4173</v>
      </c>
      <c r="I3449" s="8" t="n">
        <v>2.3697</v>
      </c>
      <c r="J3449" s="8" t="n"/>
      <c r="K3449" s="7" t="inlineStr">
        <is>
          <t>SEM COTAÇÃO</t>
        </is>
      </c>
      <c r="L3449" s="8" t="n"/>
      <c r="M3449" s="12" t="n"/>
      <c r="N3449" s="7" t="inlineStr"/>
      <c r="O3449" s="7" t="inlineStr"/>
    </row>
    <row r="3450">
      <c r="A3450" s="7" t="n">
        <v>629581</v>
      </c>
      <c r="B3450" s="10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1" t="n">
        <v>4</v>
      </c>
      <c r="G3450" s="11" t="n">
        <v>4</v>
      </c>
      <c r="H3450" s="8" t="n">
        <v>2.3392</v>
      </c>
      <c r="I3450" s="8" t="n">
        <v>2.3392</v>
      </c>
      <c r="J3450" s="8" t="n"/>
      <c r="K3450" s="7" t="inlineStr">
        <is>
          <t>SEM COTAÇÃO</t>
        </is>
      </c>
      <c r="L3450" s="8" t="n"/>
      <c r="M3450" s="12" t="n"/>
      <c r="N3450" s="7" t="inlineStr"/>
      <c r="O3450" s="7" t="inlineStr"/>
    </row>
    <row r="3451">
      <c r="A3451" s="7" t="n">
        <v>655671</v>
      </c>
      <c r="B3451" s="10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1" t="n">
        <v>1</v>
      </c>
      <c r="G3451" s="11" t="n">
        <v>5</v>
      </c>
      <c r="H3451" s="8" t="n">
        <v>3.9802</v>
      </c>
      <c r="I3451" s="8" t="n">
        <v>3.9802</v>
      </c>
      <c r="J3451" s="8" t="n"/>
      <c r="K3451" s="7" t="inlineStr">
        <is>
          <t>SEM COTAÇÃO</t>
        </is>
      </c>
      <c r="L3451" s="8" t="n"/>
      <c r="M3451" s="12" t="n"/>
      <c r="N3451" s="7" t="inlineStr"/>
      <c r="O3451" s="7" t="inlineStr"/>
    </row>
    <row r="3452">
      <c r="A3452" s="7" t="n">
        <v>614891</v>
      </c>
      <c r="B3452" s="10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1" t="n">
        <v>2</v>
      </c>
      <c r="G3452" s="11" t="n">
        <v>15</v>
      </c>
      <c r="H3452" s="8" t="n">
        <v>5.0175</v>
      </c>
      <c r="I3452" s="8" t="n">
        <v>4.0183</v>
      </c>
      <c r="J3452" s="8" t="n"/>
      <c r="K3452" s="7" t="inlineStr">
        <is>
          <t>SEM COTAÇÃO</t>
        </is>
      </c>
      <c r="L3452" s="8" t="n"/>
      <c r="M3452" s="12" t="n"/>
      <c r="N3452" s="7" t="inlineStr"/>
      <c r="O3452" s="7" t="inlineStr"/>
    </row>
    <row r="3453">
      <c r="A3453" s="7" t="n">
        <v>205761</v>
      </c>
      <c r="B3453" s="10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1" t="n">
        <v>2</v>
      </c>
      <c r="G3453" s="11" t="n">
        <v>2</v>
      </c>
      <c r="H3453" s="8" t="n">
        <v>69.47</v>
      </c>
      <c r="I3453" s="8" t="n">
        <v>20.79</v>
      </c>
      <c r="J3453" s="8" t="n"/>
      <c r="K3453" s="7" t="inlineStr">
        <is>
          <t>SEM COTAÇÃO</t>
        </is>
      </c>
      <c r="L3453" s="8" t="n"/>
      <c r="M3453" s="12" t="n"/>
      <c r="N3453" s="7" t="inlineStr"/>
      <c r="O3453" s="7" t="inlineStr"/>
    </row>
    <row r="3454">
      <c r="A3454" s="7" t="n">
        <v>563381</v>
      </c>
      <c r="B3454" s="10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1" t="n">
        <v>1</v>
      </c>
      <c r="G3454" s="11" t="n">
        <v>1</v>
      </c>
      <c r="H3454" s="8" t="n">
        <v>78.16</v>
      </c>
      <c r="I3454" s="8" t="n">
        <v>78.16</v>
      </c>
      <c r="J3454" s="8" t="n"/>
      <c r="K3454" s="7" t="inlineStr">
        <is>
          <t>SEM COTAÇÃO</t>
        </is>
      </c>
      <c r="L3454" s="8" t="n"/>
      <c r="M3454" s="12" t="n"/>
      <c r="N3454" s="7" t="inlineStr"/>
      <c r="O3454" s="7" t="inlineStr"/>
    </row>
    <row r="3455">
      <c r="A3455" s="7" t="n">
        <v>658581</v>
      </c>
      <c r="B3455" s="10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1" t="n">
        <v>1</v>
      </c>
      <c r="G3455" s="11" t="n">
        <v>1</v>
      </c>
      <c r="H3455" s="8" t="n">
        <v>30.8</v>
      </c>
      <c r="I3455" s="8" t="n">
        <v>30.8</v>
      </c>
      <c r="J3455" s="8" t="n"/>
      <c r="K3455" s="7" t="inlineStr">
        <is>
          <t>SEM COTAÇÃO</t>
        </is>
      </c>
      <c r="L3455" s="8" t="n"/>
      <c r="M3455" s="12" t="n"/>
      <c r="N3455" s="7" t="inlineStr"/>
      <c r="O3455" s="7" t="inlineStr"/>
    </row>
    <row r="3456">
      <c r="A3456" s="7" t="n">
        <v>658621</v>
      </c>
      <c r="B3456" s="10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1" t="n">
        <v>4</v>
      </c>
      <c r="G3456" s="11" t="n">
        <v>4</v>
      </c>
      <c r="H3456" s="8" t="n">
        <v>38.63</v>
      </c>
      <c r="I3456" s="8" t="n">
        <v>38.63</v>
      </c>
      <c r="J3456" s="8" t="n"/>
      <c r="K3456" s="7" t="inlineStr">
        <is>
          <t>SEM COTAÇÃO</t>
        </is>
      </c>
      <c r="L3456" s="8" t="n"/>
      <c r="M3456" s="12" t="n"/>
      <c r="N3456" s="7" t="inlineStr"/>
      <c r="O3456" s="7" t="inlineStr"/>
    </row>
    <row r="3457">
      <c r="A3457" s="7" t="n">
        <v>658571</v>
      </c>
      <c r="B3457" s="10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1" t="n">
        <v>1</v>
      </c>
      <c r="G3457" s="11" t="n">
        <v>1</v>
      </c>
      <c r="H3457" s="8" t="n">
        <v>68.44</v>
      </c>
      <c r="I3457" s="8" t="n">
        <v>68.44</v>
      </c>
      <c r="J3457" s="8" t="n"/>
      <c r="K3457" s="7" t="inlineStr">
        <is>
          <t>SEM COTAÇÃO</t>
        </is>
      </c>
      <c r="L3457" s="8" t="n"/>
      <c r="M3457" s="12" t="n"/>
      <c r="N3457" s="7" t="inlineStr"/>
      <c r="O3457" s="7" t="inlineStr"/>
    </row>
    <row r="3458">
      <c r="A3458" s="7" t="n">
        <v>658701</v>
      </c>
      <c r="B3458" s="10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1" t="n">
        <v>6</v>
      </c>
      <c r="G3458" s="11" t="n">
        <v>6</v>
      </c>
      <c r="H3458" s="8" t="n">
        <v>40.77</v>
      </c>
      <c r="I3458" s="8" t="n">
        <v>34.3</v>
      </c>
      <c r="J3458" s="8" t="n"/>
      <c r="K3458" s="7" t="inlineStr">
        <is>
          <t>SEM COTAÇÃO</t>
        </is>
      </c>
      <c r="L3458" s="8" t="n"/>
      <c r="M3458" s="12" t="n"/>
      <c r="N3458" s="7" t="inlineStr"/>
      <c r="O3458" s="7" t="inlineStr"/>
    </row>
    <row r="3459">
      <c r="A3459" s="7" t="n">
        <v>658711</v>
      </c>
      <c r="B3459" s="10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1" t="n">
        <v>3</v>
      </c>
      <c r="G3459" s="11" t="n">
        <v>3</v>
      </c>
      <c r="H3459" s="8" t="n">
        <v>38.64</v>
      </c>
      <c r="I3459" s="8" t="n">
        <v>34.3</v>
      </c>
      <c r="J3459" s="8" t="n"/>
      <c r="K3459" s="7" t="inlineStr">
        <is>
          <t>SEM COTAÇÃO</t>
        </is>
      </c>
      <c r="L3459" s="8" t="n"/>
      <c r="M3459" s="12" t="n"/>
      <c r="N3459" s="7" t="inlineStr"/>
      <c r="O3459" s="7" t="inlineStr"/>
    </row>
    <row r="3460">
      <c r="A3460" s="7" t="n">
        <v>658731</v>
      </c>
      <c r="B3460" s="10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1" t="n">
        <v>3</v>
      </c>
      <c r="G3460" s="11" t="n">
        <v>3</v>
      </c>
      <c r="H3460" s="8" t="n">
        <v>36.74</v>
      </c>
      <c r="I3460" s="8" t="n">
        <v>30.8</v>
      </c>
      <c r="J3460" s="8" t="n"/>
      <c r="K3460" s="7" t="inlineStr">
        <is>
          <t>SEM COTAÇÃO</t>
        </is>
      </c>
      <c r="L3460" s="8" t="n"/>
      <c r="M3460" s="12" t="n"/>
      <c r="N3460" s="7" t="inlineStr"/>
      <c r="O3460" s="7" t="inlineStr"/>
    </row>
    <row r="3461">
      <c r="A3461" s="7" t="n">
        <v>658761</v>
      </c>
      <c r="B3461" s="10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1" t="n">
        <v>1</v>
      </c>
      <c r="G3461" s="11" t="n">
        <v>1</v>
      </c>
      <c r="H3461" s="8" t="n">
        <v>58.6</v>
      </c>
      <c r="I3461" s="8" t="n">
        <v>58.6</v>
      </c>
      <c r="J3461" s="8" t="n"/>
      <c r="K3461" s="7" t="inlineStr">
        <is>
          <t>SEM COTAÇÃO</t>
        </is>
      </c>
      <c r="L3461" s="8" t="n"/>
      <c r="M3461" s="12" t="n"/>
      <c r="N3461" s="7" t="inlineStr"/>
      <c r="O3461" s="7" t="inlineStr"/>
    </row>
    <row r="3462">
      <c r="A3462" s="7" t="n">
        <v>658721</v>
      </c>
      <c r="B3462" s="10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1" t="n">
        <v>2</v>
      </c>
      <c r="G3462" s="11" t="n">
        <v>2</v>
      </c>
      <c r="H3462" s="8" t="n">
        <v>53.85</v>
      </c>
      <c r="I3462" s="8" t="n">
        <v>44.8</v>
      </c>
      <c r="J3462" s="8" t="n"/>
      <c r="K3462" s="7" t="inlineStr">
        <is>
          <t>SEM COTAÇÃO</t>
        </is>
      </c>
      <c r="L3462" s="8" t="n"/>
      <c r="M3462" s="12" t="n"/>
      <c r="N3462" s="7" t="inlineStr"/>
      <c r="O3462" s="7" t="inlineStr"/>
    </row>
    <row r="3463">
      <c r="A3463" s="7" t="n">
        <v>653141</v>
      </c>
      <c r="B3463" s="10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1" t="n">
        <v>1</v>
      </c>
      <c r="G3463" s="11" t="n">
        <v>1</v>
      </c>
      <c r="H3463" s="8" t="n">
        <v>9.02</v>
      </c>
      <c r="I3463" s="8" t="n">
        <v>9.02</v>
      </c>
      <c r="J3463" s="8" t="n"/>
      <c r="K3463" s="7" t="inlineStr">
        <is>
          <t>SEM COTAÇÃO</t>
        </is>
      </c>
      <c r="L3463" s="8" t="n"/>
      <c r="M3463" s="12" t="n"/>
      <c r="N3463" s="7" t="inlineStr"/>
      <c r="O3463" s="7" t="inlineStr"/>
    </row>
    <row r="3464">
      <c r="A3464" s="7" t="n">
        <v>653131</v>
      </c>
      <c r="B3464" s="10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1" t="n">
        <v>1</v>
      </c>
      <c r="G3464" s="11" t="n">
        <v>1</v>
      </c>
      <c r="H3464" s="8" t="n">
        <v>9.02</v>
      </c>
      <c r="I3464" s="8" t="n">
        <v>9.02</v>
      </c>
      <c r="J3464" s="8" t="n"/>
      <c r="K3464" s="7" t="inlineStr">
        <is>
          <t>SEM COTAÇÃO</t>
        </is>
      </c>
      <c r="L3464" s="8" t="n"/>
      <c r="M3464" s="12" t="n"/>
      <c r="N3464" s="7" t="inlineStr"/>
      <c r="O3464" s="7" t="inlineStr"/>
    </row>
    <row r="3465">
      <c r="A3465" s="7" t="n">
        <v>653121</v>
      </c>
      <c r="B3465" s="10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1" t="n">
        <v>1</v>
      </c>
      <c r="G3465" s="11" t="n">
        <v>1</v>
      </c>
      <c r="H3465" s="8" t="n">
        <v>9.02</v>
      </c>
      <c r="I3465" s="8" t="n">
        <v>9.02</v>
      </c>
      <c r="J3465" s="8" t="n"/>
      <c r="K3465" s="7" t="inlineStr">
        <is>
          <t>SEM COTAÇÃO</t>
        </is>
      </c>
      <c r="L3465" s="8" t="n"/>
      <c r="M3465" s="12" t="n"/>
      <c r="N3465" s="7" t="inlineStr"/>
      <c r="O3465" s="7" t="inlineStr"/>
    </row>
    <row r="3466">
      <c r="A3466" s="7" t="n">
        <v>644221</v>
      </c>
      <c r="B3466" s="10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1" t="n">
        <v>1</v>
      </c>
      <c r="G3466" s="11" t="n">
        <v>1</v>
      </c>
      <c r="H3466" s="8" t="n">
        <v>44.71</v>
      </c>
      <c r="I3466" s="8" t="n">
        <v>34.175</v>
      </c>
      <c r="J3466" s="8" t="n"/>
      <c r="K3466" s="7" t="inlineStr">
        <is>
          <t>SEM COTAÇÃO</t>
        </is>
      </c>
      <c r="L3466" s="8" t="n"/>
      <c r="M3466" s="12" t="n"/>
      <c r="N3466" s="7" t="inlineStr"/>
      <c r="O3466" s="7" t="inlineStr"/>
    </row>
    <row r="3467">
      <c r="A3467" s="7" t="n">
        <v>543021</v>
      </c>
      <c r="B3467" s="10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1" t="n">
        <v>3</v>
      </c>
      <c r="G3467" s="11" t="n">
        <v>3</v>
      </c>
      <c r="H3467" s="8" t="n">
        <v>41.765</v>
      </c>
      <c r="I3467" s="8" t="n">
        <v>34.1775</v>
      </c>
      <c r="J3467" s="8" t="n"/>
      <c r="K3467" s="7" t="inlineStr">
        <is>
          <t>SEM COTAÇÃO</t>
        </is>
      </c>
      <c r="L3467" s="8" t="n"/>
      <c r="M3467" s="12" t="n"/>
      <c r="N3467" s="7" t="inlineStr"/>
      <c r="O3467" s="7" t="inlineStr"/>
    </row>
    <row r="3468">
      <c r="A3468" s="7" t="n">
        <v>405861</v>
      </c>
      <c r="B3468" s="10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1" t="n">
        <v>3</v>
      </c>
      <c r="G3468" s="11" t="n">
        <v>3</v>
      </c>
      <c r="H3468" s="8" t="n">
        <v>84.06999999999999</v>
      </c>
      <c r="I3468" s="8" t="n">
        <v>65.70999999999999</v>
      </c>
      <c r="J3468" s="8" t="n"/>
      <c r="K3468" s="7" t="inlineStr">
        <is>
          <t>SEM COTAÇÃO</t>
        </is>
      </c>
      <c r="L3468" s="8" t="n"/>
      <c r="M3468" s="12" t="n"/>
      <c r="N3468" s="7" t="inlineStr"/>
      <c r="O3468" s="7" t="inlineStr"/>
    </row>
    <row r="3469">
      <c r="A3469" s="7" t="n">
        <v>96361</v>
      </c>
      <c r="B3469" s="10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1" t="n">
        <v>1</v>
      </c>
      <c r="G3469" s="11" t="n">
        <v>3</v>
      </c>
      <c r="H3469" s="8" t="n">
        <v>5.3083</v>
      </c>
      <c r="I3469" s="8" t="n">
        <v>5.0654</v>
      </c>
      <c r="J3469" s="8" t="n"/>
      <c r="K3469" s="7" t="inlineStr">
        <is>
          <t>SEM COTAÇÃO</t>
        </is>
      </c>
      <c r="L3469" s="8" t="n"/>
      <c r="M3469" s="12" t="n"/>
      <c r="N3469" s="7" t="inlineStr"/>
      <c r="O3469" s="7" t="inlineStr"/>
    </row>
    <row r="3470">
      <c r="A3470" s="7" t="n">
        <v>597551</v>
      </c>
      <c r="B3470" s="10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1" t="n">
        <v>1</v>
      </c>
      <c r="G3470" s="11" t="n">
        <v>1</v>
      </c>
      <c r="H3470" s="8" t="n">
        <v>56.1533</v>
      </c>
      <c r="I3470" s="8" t="n">
        <v>56.1533</v>
      </c>
      <c r="J3470" s="8" t="n"/>
      <c r="K3470" s="7" t="inlineStr">
        <is>
          <t>SEM COTAÇÃO</t>
        </is>
      </c>
      <c r="L3470" s="8" t="n"/>
      <c r="M3470" s="12" t="n"/>
      <c r="N3470" s="7" t="inlineStr"/>
      <c r="O3470" s="7" t="inlineStr"/>
    </row>
    <row r="3471">
      <c r="A3471" s="7" t="n">
        <v>602031</v>
      </c>
      <c r="B3471" s="10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1" t="n">
        <v>1</v>
      </c>
      <c r="G3471" s="11" t="n">
        <v>1</v>
      </c>
      <c r="H3471" s="8" t="n">
        <v>91.98999999999999</v>
      </c>
      <c r="I3471" s="8" t="n">
        <v>91.98999999999999</v>
      </c>
      <c r="J3471" s="8" t="n"/>
      <c r="K3471" s="7" t="inlineStr">
        <is>
          <t>SEM COTAÇÃO</t>
        </is>
      </c>
      <c r="L3471" s="8" t="n"/>
      <c r="M3471" s="12" t="n"/>
      <c r="N3471" s="7" t="inlineStr"/>
      <c r="O3471" s="7" t="inlineStr"/>
    </row>
    <row r="3472">
      <c r="A3472" s="7" t="n">
        <v>638321</v>
      </c>
      <c r="B3472" s="10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1" t="n">
        <v>1</v>
      </c>
      <c r="G3472" s="11" t="n">
        <v>1</v>
      </c>
      <c r="H3472" s="8" t="n">
        <v>56.1533</v>
      </c>
      <c r="I3472" s="8" t="n">
        <v>56.1533</v>
      </c>
      <c r="J3472" s="8" t="n"/>
      <c r="K3472" s="7" t="inlineStr">
        <is>
          <t>SEM COTAÇÃO</t>
        </is>
      </c>
      <c r="L3472" s="8" t="n"/>
      <c r="M3472" s="12" t="n"/>
      <c r="N3472" s="7" t="inlineStr"/>
      <c r="O3472" s="7" t="inlineStr"/>
    </row>
    <row r="3473">
      <c r="A3473" s="7" t="n">
        <v>650881</v>
      </c>
      <c r="B3473" s="10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1" t="n">
        <v>1</v>
      </c>
      <c r="G3473" s="11" t="n">
        <v>1</v>
      </c>
      <c r="H3473" s="8" t="n">
        <v>56.1533</v>
      </c>
      <c r="I3473" s="8" t="n">
        <v>56.1533</v>
      </c>
      <c r="J3473" s="8" t="n"/>
      <c r="K3473" s="7" t="inlineStr">
        <is>
          <t>SEM COTAÇÃO</t>
        </is>
      </c>
      <c r="L3473" s="8" t="n"/>
      <c r="M3473" s="12" t="n"/>
      <c r="N3473" s="7" t="inlineStr"/>
      <c r="O3473" s="7" t="inlineStr"/>
    </row>
    <row r="3474">
      <c r="A3474" s="7" t="n">
        <v>650891</v>
      </c>
      <c r="B3474" s="10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1" t="n">
        <v>1</v>
      </c>
      <c r="G3474" s="11" t="n">
        <v>1</v>
      </c>
      <c r="H3474" s="8" t="n">
        <v>56.15</v>
      </c>
      <c r="I3474" s="8" t="n">
        <v>56.15</v>
      </c>
      <c r="J3474" s="8" t="n"/>
      <c r="K3474" s="7" t="inlineStr">
        <is>
          <t>SEM COTAÇÃO</t>
        </is>
      </c>
      <c r="L3474" s="8" t="n"/>
      <c r="M3474" s="12" t="n"/>
      <c r="N3474" s="7" t="inlineStr"/>
      <c r="O3474" s="7" t="inlineStr"/>
    </row>
    <row r="3475">
      <c r="A3475" s="7" t="n">
        <v>669481</v>
      </c>
      <c r="B3475" s="10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1" t="n">
        <v>2</v>
      </c>
      <c r="G3475" s="11" t="n">
        <v>2</v>
      </c>
      <c r="H3475" s="8" t="n">
        <v>20.8</v>
      </c>
      <c r="I3475" s="8" t="n">
        <v>20.8</v>
      </c>
      <c r="J3475" s="8" t="n"/>
      <c r="K3475" s="7" t="inlineStr">
        <is>
          <t>SEM COTAÇÃO</t>
        </is>
      </c>
      <c r="L3475" s="8" t="n"/>
      <c r="M3475" s="12" t="n"/>
      <c r="N3475" s="7" t="inlineStr"/>
      <c r="O3475" s="7" t="inlineStr"/>
    </row>
    <row r="3476">
      <c r="A3476" s="7" t="n">
        <v>414621</v>
      </c>
      <c r="B3476" s="10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1" t="n">
        <v>7</v>
      </c>
      <c r="G3476" s="11" t="n">
        <v>7</v>
      </c>
      <c r="H3476" s="8" t="n">
        <v>6.19</v>
      </c>
      <c r="I3476" s="8" t="n">
        <v>6.19</v>
      </c>
      <c r="J3476" s="13" t="n">
        <v>6.92</v>
      </c>
      <c r="K3476" s="7" t="inlineStr">
        <is>
          <t>DIMEC</t>
        </is>
      </c>
      <c r="L3476" s="8" t="n">
        <v>6.92</v>
      </c>
      <c r="M3476" s="12">
        <f>L3476/H3476-1</f>
        <v/>
      </c>
      <c r="N3476" s="14" t="inlineStr">
        <is>
          <t>ACIMA +11.8%</t>
        </is>
      </c>
      <c r="O3476" s="7" t="inlineStr"/>
    </row>
    <row r="3477">
      <c r="A3477" s="7" t="n">
        <v>650761</v>
      </c>
      <c r="B3477" s="10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1" t="n">
        <v>1</v>
      </c>
      <c r="G3477" s="11" t="n">
        <v>1</v>
      </c>
      <c r="H3477" s="8" t="n">
        <v>14.96</v>
      </c>
      <c r="I3477" s="8" t="n">
        <v>14.96</v>
      </c>
      <c r="J3477" s="8" t="n"/>
      <c r="K3477" s="7" t="inlineStr">
        <is>
          <t>SEM COTAÇÃO</t>
        </is>
      </c>
      <c r="L3477" s="8" t="n"/>
      <c r="M3477" s="12" t="n"/>
      <c r="N3477" s="7" t="inlineStr"/>
      <c r="O3477" s="7" t="inlineStr"/>
    </row>
    <row r="3478">
      <c r="A3478" s="7" t="n">
        <v>641811</v>
      </c>
      <c r="B3478" s="10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1" t="n">
        <v>2</v>
      </c>
      <c r="G3478" s="11" t="n">
        <v>2</v>
      </c>
      <c r="H3478" s="8" t="n">
        <v>8.029999999999999</v>
      </c>
      <c r="I3478" s="8" t="n">
        <v>8.029999999999999</v>
      </c>
      <c r="J3478" s="8" t="n"/>
      <c r="K3478" s="7" t="inlineStr">
        <is>
          <t>SEM COTAÇÃO</t>
        </is>
      </c>
      <c r="L3478" s="8" t="n"/>
      <c r="M3478" s="12" t="n"/>
      <c r="N3478" s="7" t="inlineStr"/>
      <c r="O3478" s="7" t="inlineStr"/>
    </row>
    <row r="3479">
      <c r="A3479" s="7" t="n">
        <v>641821</v>
      </c>
      <c r="B3479" s="10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1" t="n">
        <v>2</v>
      </c>
      <c r="G3479" s="11" t="n">
        <v>2</v>
      </c>
      <c r="H3479" s="8" t="n">
        <v>8.029999999999999</v>
      </c>
      <c r="I3479" s="8" t="n">
        <v>7.55</v>
      </c>
      <c r="J3479" s="8" t="n"/>
      <c r="K3479" s="7" t="inlineStr">
        <is>
          <t>SEM COTAÇÃO</t>
        </is>
      </c>
      <c r="L3479" s="8" t="n"/>
      <c r="M3479" s="12" t="n"/>
      <c r="N3479" s="7" t="inlineStr"/>
      <c r="O3479" s="7" t="inlineStr"/>
    </row>
    <row r="3480">
      <c r="A3480" s="7" t="n">
        <v>594451</v>
      </c>
      <c r="B3480" s="10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1" t="n">
        <v>2</v>
      </c>
      <c r="G3480" s="11" t="n">
        <v>2</v>
      </c>
      <c r="H3480" s="8" t="n">
        <v>7.1408</v>
      </c>
      <c r="I3480" s="8" t="n">
        <v>7.1408</v>
      </c>
      <c r="J3480" s="8" t="n"/>
      <c r="K3480" s="7" t="inlineStr">
        <is>
          <t>SEM COTAÇÃO</t>
        </is>
      </c>
      <c r="L3480" s="8" t="n"/>
      <c r="M3480" s="12" t="n"/>
      <c r="N3480" s="7" t="inlineStr"/>
      <c r="O3480" s="7" t="inlineStr"/>
    </row>
    <row r="3481">
      <c r="A3481" s="7" t="n">
        <v>594541</v>
      </c>
      <c r="B3481" s="10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1" t="n">
        <v>1</v>
      </c>
      <c r="G3481" s="11" t="n">
        <v>1</v>
      </c>
      <c r="H3481" s="8" t="n">
        <v>14.47</v>
      </c>
      <c r="I3481" s="8" t="n">
        <v>14.47</v>
      </c>
      <c r="J3481" s="8" t="n"/>
      <c r="K3481" s="7" t="inlineStr">
        <is>
          <t>SEM COTAÇÃO</t>
        </is>
      </c>
      <c r="L3481" s="8" t="n"/>
      <c r="M3481" s="12" t="n"/>
      <c r="N3481" s="7" t="inlineStr"/>
      <c r="O3481" s="7" t="inlineStr"/>
    </row>
    <row r="3482">
      <c r="A3482" s="7" t="n">
        <v>659361</v>
      </c>
      <c r="B3482" s="10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1" t="n">
        <v>3</v>
      </c>
      <c r="G3482" s="11" t="n">
        <v>3</v>
      </c>
      <c r="H3482" s="8" t="n">
        <v>6.89</v>
      </c>
      <c r="I3482" s="8" t="n">
        <v>6.89</v>
      </c>
      <c r="J3482" s="8" t="n"/>
      <c r="K3482" s="7" t="inlineStr">
        <is>
          <t>SEM COTAÇÃO</t>
        </is>
      </c>
      <c r="L3482" s="8" t="n"/>
      <c r="M3482" s="12" t="n"/>
      <c r="N3482" s="7" t="inlineStr"/>
      <c r="O3482" s="7" t="inlineStr"/>
    </row>
    <row r="3483">
      <c r="A3483" s="7" t="n">
        <v>649881</v>
      </c>
      <c r="B3483" s="10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1" t="n">
        <v>1</v>
      </c>
      <c r="G3483" s="11" t="n">
        <v>1</v>
      </c>
      <c r="H3483" s="8" t="n">
        <v>11.6</v>
      </c>
      <c r="I3483" s="8" t="n">
        <v>11.6</v>
      </c>
      <c r="J3483" s="8" t="n"/>
      <c r="K3483" s="7" t="inlineStr">
        <is>
          <t>SEM COTAÇÃO</t>
        </is>
      </c>
      <c r="L3483" s="8" t="n"/>
      <c r="M3483" s="12" t="n"/>
      <c r="N3483" s="7" t="inlineStr"/>
      <c r="O3483" s="7" t="inlineStr"/>
    </row>
    <row r="3484">
      <c r="A3484" s="7" t="n">
        <v>661771</v>
      </c>
      <c r="B3484" s="10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1" t="n">
        <v>1</v>
      </c>
      <c r="G3484" s="11" t="n">
        <v>1</v>
      </c>
      <c r="H3484" s="8" t="n">
        <v>11.1</v>
      </c>
      <c r="I3484" s="8" t="n">
        <v>11.1</v>
      </c>
      <c r="J3484" s="8" t="n"/>
      <c r="K3484" s="7" t="inlineStr">
        <is>
          <t>SEM COTAÇÃO</t>
        </is>
      </c>
      <c r="L3484" s="8" t="n"/>
      <c r="M3484" s="12" t="n"/>
      <c r="N3484" s="7" t="inlineStr"/>
      <c r="O3484" s="7" t="inlineStr"/>
    </row>
    <row r="3485">
      <c r="A3485" s="7" t="n">
        <v>623561</v>
      </c>
      <c r="B3485" s="10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1" t="n">
        <v>1</v>
      </c>
      <c r="G3485" s="11" t="n">
        <v>1</v>
      </c>
      <c r="H3485" s="8" t="n">
        <v>21.13</v>
      </c>
      <c r="I3485" s="8" t="n">
        <v>21.13</v>
      </c>
      <c r="J3485" s="8" t="n"/>
      <c r="K3485" s="7" t="inlineStr">
        <is>
          <t>SEM COTAÇÃO</t>
        </is>
      </c>
      <c r="L3485" s="8" t="n"/>
      <c r="M3485" s="12" t="n"/>
      <c r="N3485" s="7" t="inlineStr"/>
      <c r="O3485" s="7" t="inlineStr"/>
    </row>
    <row r="3486">
      <c r="A3486" s="7" t="n">
        <v>615371</v>
      </c>
      <c r="B3486" s="10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1" t="n">
        <v>1</v>
      </c>
      <c r="G3486" s="11" t="n">
        <v>1</v>
      </c>
      <c r="H3486" s="8" t="n">
        <v>35.8475</v>
      </c>
      <c r="I3486" s="8" t="n">
        <v>35.8475</v>
      </c>
      <c r="J3486" s="8" t="n"/>
      <c r="K3486" s="7" t="inlineStr">
        <is>
          <t>SEM COTAÇÃO</t>
        </is>
      </c>
      <c r="L3486" s="8" t="n"/>
      <c r="M3486" s="12" t="n"/>
      <c r="N3486" s="7" t="inlineStr"/>
      <c r="O3486" s="7" t="inlineStr"/>
    </row>
    <row r="3487">
      <c r="A3487" s="7" t="n">
        <v>566961</v>
      </c>
      <c r="B3487" s="10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1" t="n">
        <v>3</v>
      </c>
      <c r="G3487" s="11" t="n">
        <v>3</v>
      </c>
      <c r="H3487" s="8" t="n">
        <v>50.005</v>
      </c>
      <c r="I3487" s="8" t="n">
        <v>50.005</v>
      </c>
      <c r="J3487" s="8" t="n"/>
      <c r="K3487" s="7" t="inlineStr">
        <is>
          <t>SEM COTAÇÃO</t>
        </is>
      </c>
      <c r="L3487" s="8" t="n"/>
      <c r="M3487" s="12" t="n"/>
      <c r="N3487" s="7" t="inlineStr"/>
      <c r="O3487" s="7" t="inlineStr"/>
    </row>
    <row r="3488">
      <c r="A3488" s="7" t="n">
        <v>566981</v>
      </c>
      <c r="B3488" s="10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1" t="n">
        <v>1</v>
      </c>
      <c r="G3488" s="11" t="n">
        <v>1</v>
      </c>
      <c r="H3488" s="8" t="n">
        <v>51.4243</v>
      </c>
      <c r="I3488" s="8" t="n">
        <v>51.4243</v>
      </c>
      <c r="J3488" s="8" t="n"/>
      <c r="K3488" s="7" t="inlineStr">
        <is>
          <t>SEM COTAÇÃO</t>
        </is>
      </c>
      <c r="L3488" s="8" t="n"/>
      <c r="M3488" s="12" t="n"/>
      <c r="N3488" s="7" t="inlineStr"/>
      <c r="O3488" s="7" t="inlineStr"/>
    </row>
    <row r="3489">
      <c r="A3489" s="7" t="n">
        <v>637681</v>
      </c>
      <c r="B3489" s="10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1" t="n">
        <v>1</v>
      </c>
      <c r="G3489" s="11" t="n">
        <v>1</v>
      </c>
      <c r="H3489" s="8" t="n">
        <v>35.8</v>
      </c>
      <c r="I3489" s="8" t="n">
        <v>35.8</v>
      </c>
      <c r="J3489" s="8" t="n"/>
      <c r="K3489" s="7" t="inlineStr">
        <is>
          <t>SEM COTAÇÃO</t>
        </is>
      </c>
      <c r="L3489" s="8" t="n"/>
      <c r="M3489" s="12" t="n"/>
      <c r="N3489" s="7" t="inlineStr"/>
      <c r="O3489" s="7" t="inlineStr"/>
    </row>
    <row r="3490">
      <c r="A3490" s="7" t="n">
        <v>615391</v>
      </c>
      <c r="B3490" s="10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1" t="n">
        <v>1</v>
      </c>
      <c r="G3490" s="11" t="n">
        <v>1</v>
      </c>
      <c r="H3490" s="8" t="n">
        <v>35.045</v>
      </c>
      <c r="I3490" s="8" t="n">
        <v>29.3933</v>
      </c>
      <c r="J3490" s="8" t="n"/>
      <c r="K3490" s="7" t="inlineStr">
        <is>
          <t>SEM COTAÇÃO</t>
        </is>
      </c>
      <c r="L3490" s="8" t="n"/>
      <c r="M3490" s="12" t="n"/>
      <c r="N3490" s="7" t="inlineStr"/>
      <c r="O3490" s="7" t="inlineStr"/>
    </row>
    <row r="3491">
      <c r="A3491" s="7" t="n">
        <v>602021</v>
      </c>
      <c r="B3491" s="10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1" t="n">
        <v>3</v>
      </c>
      <c r="G3491" s="11" t="n">
        <v>3</v>
      </c>
      <c r="H3491" s="8" t="n">
        <v>6.23</v>
      </c>
      <c r="I3491" s="8" t="n">
        <v>6.23</v>
      </c>
      <c r="J3491" s="8" t="n"/>
      <c r="K3491" s="7" t="inlineStr">
        <is>
          <t>SEM COTAÇÃO</t>
        </is>
      </c>
      <c r="L3491" s="8" t="n"/>
      <c r="M3491" s="12" t="n"/>
      <c r="N3491" s="7" t="inlineStr"/>
      <c r="O3491" s="7" t="inlineStr"/>
    </row>
    <row r="3492">
      <c r="A3492" s="7" t="n">
        <v>638331</v>
      </c>
      <c r="B3492" s="10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1" t="n">
        <v>5</v>
      </c>
      <c r="G3492" s="11" t="n">
        <v>5</v>
      </c>
      <c r="H3492" s="8" t="n">
        <v>6.64</v>
      </c>
      <c r="I3492" s="8" t="n">
        <v>6.23</v>
      </c>
      <c r="J3492" s="8" t="n"/>
      <c r="K3492" s="7" t="inlineStr">
        <is>
          <t>SEM COTAÇÃO</t>
        </is>
      </c>
      <c r="L3492" s="8" t="n"/>
      <c r="M3492" s="12" t="n"/>
      <c r="N3492" s="7" t="inlineStr"/>
      <c r="O3492" s="7" t="inlineStr"/>
    </row>
    <row r="3493">
      <c r="A3493" s="7" t="n">
        <v>602011</v>
      </c>
      <c r="B3493" s="10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1" t="n">
        <v>4</v>
      </c>
      <c r="G3493" s="11" t="n">
        <v>4</v>
      </c>
      <c r="H3493" s="8" t="n">
        <v>6.64</v>
      </c>
      <c r="I3493" s="8" t="n">
        <v>6.23</v>
      </c>
      <c r="J3493" s="8" t="n"/>
      <c r="K3493" s="7" t="inlineStr">
        <is>
          <t>SEM COTAÇÃO</t>
        </is>
      </c>
      <c r="L3493" s="8" t="n"/>
      <c r="M3493" s="12" t="n"/>
      <c r="N3493" s="7" t="inlineStr"/>
      <c r="O3493" s="7" t="inlineStr"/>
    </row>
    <row r="3494">
      <c r="A3494" s="7" t="n">
        <v>602001</v>
      </c>
      <c r="B3494" s="10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1" t="n">
        <v>1</v>
      </c>
      <c r="G3494" s="11" t="n">
        <v>1</v>
      </c>
      <c r="H3494" s="8" t="n">
        <v>5.985</v>
      </c>
      <c r="I3494" s="8" t="n">
        <v>5.985</v>
      </c>
      <c r="J3494" s="8" t="n"/>
      <c r="K3494" s="7" t="inlineStr">
        <is>
          <t>SEM COTAÇÃO</t>
        </is>
      </c>
      <c r="L3494" s="8" t="n"/>
      <c r="M3494" s="12" t="n"/>
      <c r="N3494" s="7" t="inlineStr"/>
      <c r="O3494" s="7" t="inlineStr"/>
    </row>
    <row r="3495">
      <c r="A3495" s="7" t="n">
        <v>9203</v>
      </c>
      <c r="B3495" s="10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1" t="n">
        <v>3</v>
      </c>
      <c r="G3495" s="11" t="n">
        <v>3</v>
      </c>
      <c r="H3495" s="8" t="n">
        <v>6.64</v>
      </c>
      <c r="I3495" s="8" t="n">
        <v>6.64</v>
      </c>
      <c r="J3495" s="8" t="n"/>
      <c r="K3495" s="7" t="inlineStr">
        <is>
          <t>SEM COTAÇÃO</t>
        </is>
      </c>
      <c r="L3495" s="8" t="n"/>
      <c r="M3495" s="12" t="n"/>
      <c r="N3495" s="7" t="inlineStr"/>
      <c r="O3495" s="7" t="inlineStr"/>
    </row>
    <row r="3496">
      <c r="A3496" s="7" t="n">
        <v>672961</v>
      </c>
      <c r="B3496" s="10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1" t="n">
        <v>6</v>
      </c>
      <c r="G3496" s="11" t="n">
        <v>6</v>
      </c>
      <c r="H3496" s="8" t="n">
        <v>8.050000000000001</v>
      </c>
      <c r="I3496" s="8" t="n">
        <v>6.23</v>
      </c>
      <c r="J3496" s="8" t="n"/>
      <c r="K3496" s="7" t="inlineStr">
        <is>
          <t>SEM COTAÇÃO</t>
        </is>
      </c>
      <c r="L3496" s="8" t="n"/>
      <c r="M3496" s="12" t="n"/>
      <c r="N3496" s="7" t="inlineStr"/>
      <c r="O3496" s="7" t="inlineStr"/>
    </row>
    <row r="3497">
      <c r="A3497" s="7" t="n">
        <v>10103</v>
      </c>
      <c r="B3497" s="10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1" t="n">
        <v>1</v>
      </c>
      <c r="G3497" s="11" t="n">
        <v>1</v>
      </c>
      <c r="H3497" s="8" t="n">
        <v>33.81</v>
      </c>
      <c r="I3497" s="8" t="n">
        <v>33.81</v>
      </c>
      <c r="J3497" s="8" t="n"/>
      <c r="K3497" s="7" t="inlineStr">
        <is>
          <t>SEM COTAÇÃO</t>
        </is>
      </c>
      <c r="L3497" s="8" t="n"/>
      <c r="M3497" s="12" t="n"/>
      <c r="N3497" s="7" t="inlineStr"/>
      <c r="O3497" s="7" t="inlineStr"/>
    </row>
    <row r="3498">
      <c r="A3498" s="7" t="n">
        <v>661451</v>
      </c>
      <c r="B3498" s="10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1" t="n">
        <v>1</v>
      </c>
      <c r="G3498" s="11" t="n">
        <v>1</v>
      </c>
      <c r="H3498" s="8" t="n">
        <v>35.69</v>
      </c>
      <c r="I3498" s="8" t="n">
        <v>35.69</v>
      </c>
      <c r="J3498" s="8" t="n"/>
      <c r="K3498" s="7" t="inlineStr">
        <is>
          <t>SEM COTAÇÃO</t>
        </is>
      </c>
      <c r="L3498" s="8" t="n"/>
      <c r="M3498" s="12" t="n"/>
      <c r="N3498" s="7" t="inlineStr"/>
      <c r="O3498" s="7" t="inlineStr"/>
    </row>
    <row r="3499">
      <c r="A3499" s="7" t="n">
        <v>10203</v>
      </c>
      <c r="B3499" s="10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1" t="n">
        <v>1</v>
      </c>
      <c r="G3499" s="11" t="n">
        <v>1</v>
      </c>
      <c r="H3499" s="8" t="n">
        <v>33.81</v>
      </c>
      <c r="I3499" s="8" t="n">
        <v>33.81</v>
      </c>
      <c r="J3499" s="8" t="n"/>
      <c r="K3499" s="7" t="inlineStr">
        <is>
          <t>SEM COTAÇÃO</t>
        </is>
      </c>
      <c r="L3499" s="8" t="n"/>
      <c r="M3499" s="12" t="n"/>
      <c r="N3499" s="7" t="inlineStr"/>
      <c r="O3499" s="7" t="inlineStr"/>
    </row>
    <row r="3500">
      <c r="A3500" s="7" t="n">
        <v>538381</v>
      </c>
      <c r="B3500" s="10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1" t="n">
        <v>8</v>
      </c>
      <c r="G3500" s="11" t="n">
        <v>8</v>
      </c>
      <c r="H3500" s="8" t="n">
        <v>2.91</v>
      </c>
      <c r="I3500" s="8" t="n">
        <v>2.91</v>
      </c>
      <c r="J3500" s="8" t="n"/>
      <c r="K3500" s="7" t="inlineStr">
        <is>
          <t>SEM COTAÇÃO</t>
        </is>
      </c>
      <c r="L3500" s="8" t="n"/>
      <c r="M3500" s="12" t="n"/>
      <c r="N3500" s="7" t="inlineStr"/>
      <c r="O3500" s="7" t="inlineStr"/>
    </row>
    <row r="3501">
      <c r="A3501" s="7" t="n">
        <v>554841</v>
      </c>
      <c r="B3501" s="10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1" t="n">
        <v>5</v>
      </c>
      <c r="G3501" s="11" t="n">
        <v>5</v>
      </c>
      <c r="H3501" s="8" t="n">
        <v>4.035</v>
      </c>
      <c r="I3501" s="8" t="n">
        <v>4.035</v>
      </c>
      <c r="J3501" s="8" t="n"/>
      <c r="K3501" s="7" t="inlineStr">
        <is>
          <t>SEM COTAÇÃO</t>
        </is>
      </c>
      <c r="L3501" s="8" t="n"/>
      <c r="M3501" s="12" t="n"/>
      <c r="N3501" s="7" t="inlineStr"/>
      <c r="O3501" s="7" t="inlineStr"/>
    </row>
    <row r="3502">
      <c r="A3502" s="7" t="n">
        <v>554861</v>
      </c>
      <c r="B3502" s="10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1" t="n">
        <v>9</v>
      </c>
      <c r="G3502" s="11" t="n">
        <v>9</v>
      </c>
      <c r="H3502" s="8" t="n">
        <v>4.035</v>
      </c>
      <c r="I3502" s="8" t="n">
        <v>4.035</v>
      </c>
      <c r="J3502" s="8" t="n"/>
      <c r="K3502" s="7" t="inlineStr">
        <is>
          <t>SEM COTAÇÃO</t>
        </is>
      </c>
      <c r="L3502" s="8" t="n"/>
      <c r="M3502" s="12" t="n"/>
      <c r="N3502" s="7" t="inlineStr"/>
      <c r="O3502" s="7" t="inlineStr"/>
    </row>
    <row r="3503">
      <c r="A3503" s="7" t="n">
        <v>556761</v>
      </c>
      <c r="B3503" s="10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1" t="n">
        <v>2</v>
      </c>
      <c r="G3503" s="11" t="n">
        <v>2</v>
      </c>
      <c r="H3503" s="8" t="n">
        <v>53.95</v>
      </c>
      <c r="I3503" s="8" t="n">
        <v>47.9967</v>
      </c>
      <c r="J3503" s="8" t="n"/>
      <c r="K3503" s="7" t="inlineStr">
        <is>
          <t>SEM COTAÇÃO</t>
        </is>
      </c>
      <c r="L3503" s="8" t="n"/>
      <c r="M3503" s="12" t="n"/>
      <c r="N3503" s="7" t="inlineStr"/>
      <c r="O3503" s="7" t="inlineStr"/>
    </row>
    <row r="3504">
      <c r="A3504" s="7" t="n">
        <v>609991</v>
      </c>
      <c r="B3504" s="10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1" t="n">
        <v>1</v>
      </c>
      <c r="G3504" s="11" t="n">
        <v>1</v>
      </c>
      <c r="H3504" s="8" t="n">
        <v>86.48</v>
      </c>
      <c r="I3504" s="8" t="n">
        <v>86.48</v>
      </c>
      <c r="J3504" s="8" t="n"/>
      <c r="K3504" s="7" t="inlineStr">
        <is>
          <t>SEM COTAÇÃO</t>
        </is>
      </c>
      <c r="L3504" s="8" t="n"/>
      <c r="M3504" s="12" t="n"/>
      <c r="N3504" s="7" t="inlineStr"/>
      <c r="O3504" s="7" t="inlineStr"/>
    </row>
    <row r="3505">
      <c r="A3505" s="7" t="n">
        <v>648811</v>
      </c>
      <c r="B3505" s="10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1" t="n">
        <v>8</v>
      </c>
      <c r="G3505" s="11" t="n">
        <v>8</v>
      </c>
      <c r="H3505" s="8" t="n">
        <v>11.0733</v>
      </c>
      <c r="I3505" s="8" t="n">
        <v>5.78</v>
      </c>
      <c r="J3505" s="8" t="n"/>
      <c r="K3505" s="7" t="inlineStr">
        <is>
          <t>SEM COTAÇÃO</t>
        </is>
      </c>
      <c r="L3505" s="8" t="n"/>
      <c r="M3505" s="12" t="n"/>
      <c r="N3505" s="7" t="inlineStr"/>
      <c r="O3505" s="7" t="inlineStr"/>
    </row>
    <row r="3506">
      <c r="A3506" s="7" t="n">
        <v>695701</v>
      </c>
      <c r="B3506" s="10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1" t="n">
        <v>1</v>
      </c>
      <c r="G3506" s="11" t="n">
        <v>1</v>
      </c>
      <c r="H3506" s="8" t="n">
        <v>38.63</v>
      </c>
      <c r="I3506" s="8" t="n">
        <v>38.63</v>
      </c>
      <c r="J3506" s="8" t="n"/>
      <c r="K3506" s="7" t="inlineStr">
        <is>
          <t>SEM COTAÇÃO</t>
        </is>
      </c>
      <c r="L3506" s="8" t="n"/>
      <c r="M3506" s="12" t="n"/>
      <c r="N3506" s="7" t="inlineStr"/>
      <c r="O3506" s="7" t="inlineStr"/>
    </row>
    <row r="3507">
      <c r="A3507" s="7" t="n">
        <v>695801</v>
      </c>
      <c r="B3507" s="10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1" t="n">
        <v>3</v>
      </c>
      <c r="G3507" s="11" t="n">
        <v>3</v>
      </c>
      <c r="H3507" s="8" t="n">
        <v>38.63</v>
      </c>
      <c r="I3507" s="8" t="n">
        <v>38.63</v>
      </c>
      <c r="J3507" s="8" t="n"/>
      <c r="K3507" s="7" t="inlineStr">
        <is>
          <t>SEM COTAÇÃO</t>
        </is>
      </c>
      <c r="L3507" s="8" t="n"/>
      <c r="M3507" s="12" t="n"/>
      <c r="N3507" s="7" t="inlineStr"/>
      <c r="O3507" s="7" t="inlineStr"/>
    </row>
    <row r="3508">
      <c r="A3508" s="7" t="n">
        <v>673241</v>
      </c>
      <c r="B3508" s="10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1" t="n">
        <v>1</v>
      </c>
      <c r="G3508" s="11" t="n">
        <v>1</v>
      </c>
      <c r="H3508" s="8" t="n">
        <v>108.63</v>
      </c>
      <c r="I3508" s="8" t="n">
        <v>108.63</v>
      </c>
      <c r="J3508" s="8" t="n"/>
      <c r="K3508" s="7" t="inlineStr">
        <is>
          <t>SEM COTAÇÃO</t>
        </is>
      </c>
      <c r="L3508" s="8" t="n"/>
      <c r="M3508" s="12" t="n"/>
      <c r="N3508" s="7" t="inlineStr"/>
      <c r="O3508" s="7" t="inlineStr"/>
    </row>
    <row r="3509">
      <c r="A3509" s="7" t="n">
        <v>69341</v>
      </c>
      <c r="B3509" s="10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1" t="n">
        <v>1</v>
      </c>
      <c r="G3509" s="11" t="n">
        <v>3</v>
      </c>
      <c r="H3509" s="8" t="n">
        <v>43.5222</v>
      </c>
      <c r="I3509" s="8" t="n">
        <v>39.2025</v>
      </c>
      <c r="J3509" s="8" t="n"/>
      <c r="K3509" s="7" t="inlineStr">
        <is>
          <t>SEM COTAÇÃO</t>
        </is>
      </c>
      <c r="L3509" s="8" t="n"/>
      <c r="M3509" s="12" t="n"/>
      <c r="N3509" s="7" t="inlineStr"/>
      <c r="O3509" s="7" t="inlineStr"/>
    </row>
    <row r="3510">
      <c r="A3510" s="7" t="n">
        <v>69321</v>
      </c>
      <c r="B3510" s="10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1" t="n">
        <v>8</v>
      </c>
      <c r="G3510" s="11" t="n">
        <v>8</v>
      </c>
      <c r="H3510" s="8" t="n">
        <v>41.0625</v>
      </c>
      <c r="I3510" s="8" t="n">
        <v>39.12</v>
      </c>
      <c r="J3510" s="8" t="n"/>
      <c r="K3510" s="7" t="inlineStr">
        <is>
          <t>SEM COTAÇÃO</t>
        </is>
      </c>
      <c r="L3510" s="8" t="n"/>
      <c r="M3510" s="12" t="n"/>
      <c r="N3510" s="7" t="inlineStr"/>
      <c r="O3510" s="7" t="inlineStr"/>
    </row>
    <row r="3511">
      <c r="A3511" s="7" t="n">
        <v>500261</v>
      </c>
      <c r="B3511" s="10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1" t="n">
        <v>5</v>
      </c>
      <c r="G3511" s="11" t="n">
        <v>5</v>
      </c>
      <c r="H3511" s="8" t="n">
        <v>12.286</v>
      </c>
      <c r="I3511" s="8" t="n">
        <v>10.43</v>
      </c>
      <c r="J3511" s="8" t="n"/>
      <c r="K3511" s="7" t="inlineStr">
        <is>
          <t>SEM COTAÇÃO</t>
        </is>
      </c>
      <c r="L3511" s="8" t="n"/>
      <c r="M3511" s="12" t="n"/>
      <c r="N3511" s="7" t="inlineStr"/>
      <c r="O3511" s="7" t="inlineStr"/>
    </row>
    <row r="3512">
      <c r="A3512" s="7" t="n">
        <v>500281</v>
      </c>
      <c r="B3512" s="10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1" t="n">
        <v>6</v>
      </c>
      <c r="G3512" s="11" t="n">
        <v>6</v>
      </c>
      <c r="H3512" s="8" t="n">
        <v>19.265</v>
      </c>
      <c r="I3512" s="8" t="n">
        <v>15.31</v>
      </c>
      <c r="J3512" s="8" t="n"/>
      <c r="K3512" s="7" t="inlineStr">
        <is>
          <t>SEM COTAÇÃO</t>
        </is>
      </c>
      <c r="L3512" s="8" t="n"/>
      <c r="M3512" s="12" t="n"/>
      <c r="N3512" s="7" t="inlineStr"/>
      <c r="O3512" s="7" t="inlineStr"/>
    </row>
    <row r="3513">
      <c r="A3513" s="7" t="n">
        <v>500201</v>
      </c>
      <c r="B3513" s="10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1" t="n">
        <v>14</v>
      </c>
      <c r="G3513" s="11" t="n">
        <v>14</v>
      </c>
      <c r="H3513" s="8" t="n">
        <v>13.3467</v>
      </c>
      <c r="I3513" s="8" t="n">
        <v>11.0783</v>
      </c>
      <c r="J3513" s="8" t="n"/>
      <c r="K3513" s="7" t="inlineStr">
        <is>
          <t>SEM COTAÇÃO</t>
        </is>
      </c>
      <c r="L3513" s="8" t="n"/>
      <c r="M3513" s="12" t="n"/>
      <c r="N3513" s="7" t="inlineStr"/>
      <c r="O3513" s="7" t="inlineStr"/>
    </row>
    <row r="3514">
      <c r="A3514" s="7" t="n">
        <v>319641</v>
      </c>
      <c r="B3514" s="10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1" t="n">
        <v>9</v>
      </c>
      <c r="G3514" s="11" t="n">
        <v>9</v>
      </c>
      <c r="H3514" s="8" t="n">
        <v>8.255000000000001</v>
      </c>
      <c r="I3514" s="8" t="n">
        <v>7.6</v>
      </c>
      <c r="J3514" s="8" t="n"/>
      <c r="K3514" s="7" t="inlineStr">
        <is>
          <t>SEM COTAÇÃO</t>
        </is>
      </c>
      <c r="L3514" s="8" t="n"/>
      <c r="M3514" s="12" t="n"/>
      <c r="N3514" s="7" t="inlineStr"/>
      <c r="O3514" s="7" t="inlineStr"/>
    </row>
    <row r="3515">
      <c r="A3515" s="7" t="n">
        <v>320861</v>
      </c>
      <c r="B3515" s="10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1" t="n">
        <v>6</v>
      </c>
      <c r="G3515" s="11" t="n">
        <v>6</v>
      </c>
      <c r="H3515" s="8" t="n">
        <v>14.437</v>
      </c>
      <c r="I3515" s="8" t="n">
        <v>12.2508</v>
      </c>
      <c r="J3515" s="8" t="n"/>
      <c r="K3515" s="7" t="inlineStr">
        <is>
          <t>SEM COTAÇÃO</t>
        </is>
      </c>
      <c r="L3515" s="8" t="n"/>
      <c r="M3515" s="12" t="n"/>
      <c r="N3515" s="7" t="inlineStr"/>
      <c r="O3515" s="7" t="inlineStr"/>
    </row>
    <row r="3516">
      <c r="A3516" s="7" t="n">
        <v>500621</v>
      </c>
      <c r="B3516" s="10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1" t="n">
        <v>2</v>
      </c>
      <c r="G3516" s="11" t="n">
        <v>2</v>
      </c>
      <c r="H3516" s="8" t="n">
        <v>13.74</v>
      </c>
      <c r="I3516" s="8" t="n">
        <v>12.655</v>
      </c>
      <c r="J3516" s="8" t="n"/>
      <c r="K3516" s="7" t="inlineStr">
        <is>
          <t>SEM COTAÇÃO</t>
        </is>
      </c>
      <c r="L3516" s="8" t="n"/>
      <c r="M3516" s="12" t="n"/>
      <c r="N3516" s="7" t="inlineStr"/>
      <c r="O3516" s="7" t="inlineStr"/>
    </row>
    <row r="3517">
      <c r="A3517" s="7" t="n">
        <v>320881</v>
      </c>
      <c r="B3517" s="10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1" t="n">
        <v>2</v>
      </c>
      <c r="G3517" s="11" t="n">
        <v>2</v>
      </c>
      <c r="H3517" s="8" t="n">
        <v>15.7389</v>
      </c>
      <c r="I3517" s="8" t="n">
        <v>13.366</v>
      </c>
      <c r="J3517" s="8" t="n"/>
      <c r="K3517" s="7" t="inlineStr">
        <is>
          <t>SEM COTAÇÃO</t>
        </is>
      </c>
      <c r="L3517" s="8" t="n"/>
      <c r="M3517" s="12" t="n"/>
      <c r="N3517" s="7" t="inlineStr"/>
      <c r="O3517" s="7" t="inlineStr"/>
    </row>
    <row r="3518">
      <c r="A3518" s="7" t="n">
        <v>320961</v>
      </c>
      <c r="B3518" s="10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1" t="n">
        <v>6</v>
      </c>
      <c r="G3518" s="11" t="n">
        <v>6</v>
      </c>
      <c r="H3518" s="8" t="n">
        <v>19.51</v>
      </c>
      <c r="I3518" s="8" t="n">
        <v>16.105</v>
      </c>
      <c r="J3518" s="8" t="n"/>
      <c r="K3518" s="7" t="inlineStr">
        <is>
          <t>SEM COTAÇÃO</t>
        </is>
      </c>
      <c r="L3518" s="8" t="n"/>
      <c r="M3518" s="12" t="n"/>
      <c r="N3518" s="7" t="inlineStr"/>
      <c r="O3518" s="7" t="inlineStr"/>
    </row>
    <row r="3519">
      <c r="A3519" s="7" t="n">
        <v>603201</v>
      </c>
      <c r="B3519" s="10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1" t="n">
        <v>1</v>
      </c>
      <c r="G3519" s="11" t="n">
        <v>1</v>
      </c>
      <c r="H3519" s="8" t="n">
        <v>22.95</v>
      </c>
      <c r="I3519" s="8" t="n">
        <v>22.95</v>
      </c>
      <c r="J3519" s="8" t="n"/>
      <c r="K3519" s="7" t="inlineStr">
        <is>
          <t>SEM COTAÇÃO</t>
        </is>
      </c>
      <c r="L3519" s="8" t="n"/>
      <c r="M3519" s="12" t="n"/>
      <c r="N3519" s="7" t="inlineStr"/>
      <c r="O3519" s="7" t="inlineStr"/>
    </row>
    <row r="3520">
      <c r="A3520" s="7" t="n">
        <v>331801</v>
      </c>
      <c r="B3520" s="10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1" t="n">
        <v>5</v>
      </c>
      <c r="G3520" s="11" t="n">
        <v>5</v>
      </c>
      <c r="H3520" s="8" t="n">
        <v>10.2</v>
      </c>
      <c r="I3520" s="8" t="n">
        <v>10.2</v>
      </c>
      <c r="J3520" s="8" t="n"/>
      <c r="K3520" s="7" t="inlineStr">
        <is>
          <t>SEM COTAÇÃO</t>
        </is>
      </c>
      <c r="L3520" s="8" t="n"/>
      <c r="M3520" s="12" t="n"/>
      <c r="N3520" s="7" t="inlineStr"/>
      <c r="O3520" s="7" t="inlineStr"/>
    </row>
    <row r="3521">
      <c r="A3521" s="7" t="n">
        <v>594241</v>
      </c>
      <c r="B3521" s="10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1" t="n">
        <v>1</v>
      </c>
      <c r="G3521" s="11" t="n">
        <v>1</v>
      </c>
      <c r="H3521" s="8" t="n">
        <v>21.375</v>
      </c>
      <c r="I3521" s="8" t="n">
        <v>21.375</v>
      </c>
      <c r="J3521" s="8" t="n"/>
      <c r="K3521" s="7" t="inlineStr">
        <is>
          <t>SEM COTAÇÃO</t>
        </is>
      </c>
      <c r="L3521" s="8" t="n"/>
      <c r="M3521" s="12" t="n"/>
      <c r="N3521" s="7" t="inlineStr"/>
      <c r="O3521" s="7" t="inlineStr"/>
    </row>
    <row r="3522">
      <c r="A3522" s="7" t="n">
        <v>359661</v>
      </c>
      <c r="B3522" s="10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1" t="n">
        <v>2</v>
      </c>
      <c r="G3522" s="11" t="n">
        <v>2</v>
      </c>
      <c r="H3522" s="8" t="n">
        <v>4.39</v>
      </c>
      <c r="I3522" s="8" t="n">
        <v>4.39</v>
      </c>
      <c r="J3522" s="8" t="n"/>
      <c r="K3522" s="7" t="inlineStr">
        <is>
          <t>SEM COTAÇÃO</t>
        </is>
      </c>
      <c r="L3522" s="8" t="n"/>
      <c r="M3522" s="12" t="n"/>
      <c r="N3522" s="7" t="inlineStr"/>
      <c r="O3522" s="7" t="inlineStr"/>
    </row>
    <row r="3523">
      <c r="A3523" s="7" t="n">
        <v>509861</v>
      </c>
      <c r="B3523" s="10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1" t="n">
        <v>1</v>
      </c>
      <c r="G3523" s="11" t="n">
        <v>1</v>
      </c>
      <c r="H3523" s="8" t="n">
        <v>49.26</v>
      </c>
      <c r="I3523" s="8" t="n">
        <v>49.26</v>
      </c>
      <c r="J3523" s="8" t="n"/>
      <c r="K3523" s="7" t="inlineStr">
        <is>
          <t>SEM COTAÇÃO</t>
        </is>
      </c>
      <c r="L3523" s="8" t="n"/>
      <c r="M3523" s="12" t="n"/>
      <c r="N3523" s="7" t="inlineStr"/>
      <c r="O3523" s="7" t="inlineStr"/>
    </row>
    <row r="3524">
      <c r="A3524" s="7" t="n">
        <v>1423</v>
      </c>
      <c r="B3524" s="10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1" t="n">
        <v>1</v>
      </c>
      <c r="G3524" s="11" t="n">
        <v>1</v>
      </c>
      <c r="H3524" s="8" t="n">
        <v>24.0867</v>
      </c>
      <c r="I3524" s="8" t="n">
        <v>24.0867</v>
      </c>
      <c r="J3524" s="8" t="n"/>
      <c r="K3524" s="7" t="inlineStr">
        <is>
          <t>SEM COTAÇÃO</t>
        </is>
      </c>
      <c r="L3524" s="8" t="n"/>
      <c r="M3524" s="12" t="n"/>
      <c r="N3524" s="7" t="inlineStr"/>
      <c r="O3524" s="7" t="inlineStr"/>
    </row>
    <row r="3525">
      <c r="A3525" s="7" t="n">
        <v>646941</v>
      </c>
      <c r="B3525" s="10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1" t="n">
        <v>4</v>
      </c>
      <c r="G3525" s="11" t="n">
        <v>4</v>
      </c>
      <c r="H3525" s="8" t="n">
        <v>17.61</v>
      </c>
      <c r="I3525" s="8" t="n">
        <v>16.94</v>
      </c>
      <c r="J3525" s="8" t="n"/>
      <c r="K3525" s="7" t="inlineStr">
        <is>
          <t>SEM COTAÇÃO</t>
        </is>
      </c>
      <c r="L3525" s="8" t="n"/>
      <c r="M3525" s="12" t="n"/>
      <c r="N3525" s="7" t="inlineStr"/>
      <c r="O3525" s="7" t="inlineStr"/>
    </row>
    <row r="3526">
      <c r="A3526" s="7" t="n">
        <v>604231</v>
      </c>
      <c r="B3526" s="10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1" t="n">
        <v>1</v>
      </c>
      <c r="G3526" s="11" t="n">
        <v>1</v>
      </c>
      <c r="H3526" s="8" t="n">
        <v>8.4</v>
      </c>
      <c r="I3526" s="8" t="n">
        <v>8.4</v>
      </c>
      <c r="J3526" s="8" t="n"/>
      <c r="K3526" s="7" t="inlineStr">
        <is>
          <t>SEM COTAÇÃO</t>
        </is>
      </c>
      <c r="L3526" s="8" t="n"/>
      <c r="M3526" s="12" t="n"/>
      <c r="N3526" s="7" t="inlineStr"/>
      <c r="O3526" s="7" t="inlineStr"/>
    </row>
    <row r="3527">
      <c r="A3527" s="7" t="n">
        <v>642921</v>
      </c>
      <c r="B3527" s="10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1" t="n">
        <v>1</v>
      </c>
      <c r="G3527" s="11" t="n">
        <v>1</v>
      </c>
      <c r="H3527" s="8" t="n">
        <v>32.86</v>
      </c>
      <c r="I3527" s="8" t="n">
        <v>32.86</v>
      </c>
      <c r="J3527" s="8" t="n"/>
      <c r="K3527" s="7" t="inlineStr">
        <is>
          <t>SEM COTAÇÃO</t>
        </is>
      </c>
      <c r="L3527" s="8" t="n"/>
      <c r="M3527" s="12" t="n"/>
      <c r="N3527" s="7" t="inlineStr"/>
      <c r="O3527" s="7" t="inlineStr"/>
    </row>
    <row r="3528">
      <c r="A3528" s="7" t="n">
        <v>201921</v>
      </c>
      <c r="B3528" s="10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1" t="n">
        <v>1</v>
      </c>
      <c r="G3528" s="11" t="n">
        <v>1</v>
      </c>
      <c r="H3528" s="8" t="n">
        <v>5.6</v>
      </c>
      <c r="I3528" s="8" t="n">
        <v>5.6</v>
      </c>
      <c r="J3528" s="13" t="n">
        <v>6.88</v>
      </c>
      <c r="K3528" s="7" t="inlineStr">
        <is>
          <t>DIMEC</t>
        </is>
      </c>
      <c r="L3528" s="8" t="n">
        <v>6.88</v>
      </c>
      <c r="M3528" s="12">
        <f>L3528/H3528-1</f>
        <v/>
      </c>
      <c r="N3528" s="14" t="inlineStr">
        <is>
          <t>ACIMA +22.9%</t>
        </is>
      </c>
      <c r="O3528" s="7" t="inlineStr"/>
    </row>
    <row r="3529">
      <c r="A3529" s="7" t="n">
        <v>604451</v>
      </c>
      <c r="B3529" s="10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1" t="n">
        <v>1</v>
      </c>
      <c r="G3529" s="11" t="n">
        <v>1</v>
      </c>
      <c r="H3529" s="8" t="n">
        <v>10.95</v>
      </c>
      <c r="I3529" s="8" t="n">
        <v>10.95</v>
      </c>
      <c r="J3529" s="8" t="n"/>
      <c r="K3529" s="7" t="inlineStr">
        <is>
          <t>SEM COTAÇÃO</t>
        </is>
      </c>
      <c r="L3529" s="8" t="n"/>
      <c r="M3529" s="12" t="n"/>
      <c r="N3529" s="7" t="inlineStr"/>
      <c r="O3529" s="7" t="inlineStr"/>
    </row>
    <row r="3530">
      <c r="A3530" s="7" t="n">
        <v>649501</v>
      </c>
      <c r="B3530" s="10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1" t="n">
        <v>1</v>
      </c>
      <c r="G3530" s="11" t="n">
        <v>1</v>
      </c>
      <c r="H3530" s="8" t="n">
        <v>53.95</v>
      </c>
      <c r="I3530" s="8" t="n">
        <v>53.95</v>
      </c>
      <c r="J3530" s="8" t="n"/>
      <c r="K3530" s="7" t="inlineStr">
        <is>
          <t>SEM COTAÇÃO</t>
        </is>
      </c>
      <c r="L3530" s="8" t="n"/>
      <c r="M3530" s="12" t="n"/>
      <c r="N3530" s="7" t="inlineStr"/>
      <c r="O3530" s="7" t="inlineStr"/>
    </row>
    <row r="3531">
      <c r="A3531" s="7" t="n">
        <v>592661</v>
      </c>
      <c r="B3531" s="10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1" t="n">
        <v>1</v>
      </c>
      <c r="G3531" s="11" t="n">
        <v>1</v>
      </c>
      <c r="H3531" s="8" t="n"/>
      <c r="I3531" s="8" t="n"/>
      <c r="J3531" s="8" t="n"/>
      <c r="K3531" s="7" t="inlineStr">
        <is>
          <t>SEM COTAÇÃO</t>
        </is>
      </c>
      <c r="L3531" s="8" t="n"/>
      <c r="M3531" s="12" t="n"/>
      <c r="N3531" s="7" t="inlineStr"/>
      <c r="O3531" s="7" t="inlineStr"/>
    </row>
    <row r="3532">
      <c r="A3532" s="7" t="n">
        <v>646181</v>
      </c>
      <c r="B3532" s="10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1" t="n">
        <v>1</v>
      </c>
      <c r="G3532" s="11" t="n">
        <v>1</v>
      </c>
      <c r="H3532" s="8" t="n">
        <v>63.61</v>
      </c>
      <c r="I3532" s="8" t="n">
        <v>63.61</v>
      </c>
      <c r="J3532" s="8" t="n"/>
      <c r="K3532" s="7" t="inlineStr">
        <is>
          <t>SEM COTAÇÃO</t>
        </is>
      </c>
      <c r="L3532" s="8" t="n"/>
      <c r="M3532" s="12" t="n"/>
      <c r="N3532" s="7" t="inlineStr"/>
      <c r="O3532" s="7" t="inlineStr"/>
    </row>
    <row r="3533">
      <c r="A3533" s="7" t="n">
        <v>68841</v>
      </c>
      <c r="B3533" s="10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1" t="n">
        <v>2</v>
      </c>
      <c r="G3533" s="11" t="n">
        <v>2</v>
      </c>
      <c r="H3533" s="8" t="n">
        <v>23.98</v>
      </c>
      <c r="I3533" s="8" t="n">
        <v>23.98</v>
      </c>
      <c r="J3533" s="13" t="n">
        <v>20.33</v>
      </c>
      <c r="K3533" s="7" t="inlineStr">
        <is>
          <t>DIMEC</t>
        </is>
      </c>
      <c r="L3533" s="8" t="n">
        <v>20.33</v>
      </c>
      <c r="M3533" s="12">
        <f>L3533/H3533-1</f>
        <v/>
      </c>
      <c r="N3533" s="15" t="inlineStr">
        <is>
          <t>OK (≤ menor hist.)</t>
        </is>
      </c>
      <c r="O3533" s="7" t="inlineStr"/>
    </row>
    <row r="3534">
      <c r="A3534" s="7" t="n">
        <v>609331</v>
      </c>
      <c r="B3534" s="10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1" t="n">
        <v>1</v>
      </c>
      <c r="G3534" s="11" t="n">
        <v>1</v>
      </c>
      <c r="H3534" s="8" t="n">
        <v>50.43</v>
      </c>
      <c r="I3534" s="8" t="n">
        <v>50.43</v>
      </c>
      <c r="J3534" s="8" t="n"/>
      <c r="K3534" s="7" t="inlineStr">
        <is>
          <t>SEM COTAÇÃO</t>
        </is>
      </c>
      <c r="L3534" s="8" t="n"/>
      <c r="M3534" s="12" t="n"/>
      <c r="N3534" s="7" t="inlineStr"/>
      <c r="O3534" s="7" t="inlineStr"/>
    </row>
    <row r="3535">
      <c r="A3535" s="7" t="n">
        <v>619551</v>
      </c>
      <c r="B3535" s="10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1" t="n">
        <v>1</v>
      </c>
      <c r="G3535" s="11" t="n">
        <v>1</v>
      </c>
      <c r="H3535" s="8" t="n">
        <v>77.02</v>
      </c>
      <c r="I3535" s="8" t="n">
        <v>77.02</v>
      </c>
      <c r="J3535" s="8" t="n"/>
      <c r="K3535" s="7" t="inlineStr">
        <is>
          <t>SEM COTAÇÃO</t>
        </is>
      </c>
      <c r="L3535" s="8" t="n"/>
      <c r="M3535" s="12" t="n"/>
      <c r="N3535" s="7" t="inlineStr"/>
      <c r="O3535" s="7" t="inlineStr"/>
    </row>
    <row r="3536">
      <c r="A3536" s="7" t="n">
        <v>934</v>
      </c>
      <c r="B3536" s="10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1" t="n">
        <v>1</v>
      </c>
      <c r="G3536" s="11" t="n">
        <v>2</v>
      </c>
      <c r="H3536" s="8" t="n"/>
      <c r="I3536" s="8" t="n"/>
      <c r="J3536" s="8" t="n"/>
      <c r="K3536" s="7" t="inlineStr">
        <is>
          <t>SEM COTAÇÃO</t>
        </is>
      </c>
      <c r="L3536" s="8" t="n"/>
      <c r="M3536" s="12" t="n"/>
      <c r="N3536" s="7" t="inlineStr"/>
      <c r="O3536" s="7" t="inlineStr"/>
    </row>
    <row r="3537">
      <c r="A3537" s="7" t="n">
        <v>662871</v>
      </c>
      <c r="B3537" s="10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1" t="n">
        <v>3</v>
      </c>
      <c r="G3537" s="11" t="n">
        <v>5</v>
      </c>
      <c r="H3537" s="8" t="n"/>
      <c r="I3537" s="8" t="n"/>
      <c r="J3537" s="8" t="n"/>
      <c r="K3537" s="7" t="inlineStr">
        <is>
          <t>SEM COTAÇÃO</t>
        </is>
      </c>
      <c r="L3537" s="8" t="n"/>
      <c r="M3537" s="12" t="n"/>
      <c r="N3537" s="7" t="inlineStr"/>
      <c r="O3537" s="7" t="inlineStr"/>
    </row>
    <row r="3538">
      <c r="A3538" s="7" t="n">
        <v>634631</v>
      </c>
      <c r="B3538" s="10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1" t="n">
        <v>1</v>
      </c>
      <c r="G3538" s="11" t="n">
        <v>1</v>
      </c>
      <c r="H3538" s="8" t="n">
        <v>14.33</v>
      </c>
      <c r="I3538" s="8" t="n">
        <v>12.17</v>
      </c>
      <c r="J3538" s="8" t="n"/>
      <c r="K3538" s="7" t="inlineStr">
        <is>
          <t>SEM COTAÇÃO</t>
        </is>
      </c>
      <c r="L3538" s="8" t="n"/>
      <c r="M3538" s="12" t="n"/>
      <c r="N3538" s="7" t="inlineStr"/>
      <c r="O3538" s="7" t="inlineStr"/>
    </row>
    <row r="3539">
      <c r="A3539" s="7" t="n">
        <v>624261</v>
      </c>
      <c r="B3539" s="10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1" t="n">
        <v>1</v>
      </c>
      <c r="G3539" s="11" t="n">
        <v>1</v>
      </c>
      <c r="H3539" s="8" t="n">
        <v>124.6</v>
      </c>
      <c r="I3539" s="8" t="n">
        <v>124.6</v>
      </c>
      <c r="J3539" s="8" t="n"/>
      <c r="K3539" s="7" t="inlineStr">
        <is>
          <t>SEM COTAÇÃO</t>
        </is>
      </c>
      <c r="L3539" s="8" t="n"/>
      <c r="M3539" s="12" t="n"/>
      <c r="N3539" s="7" t="inlineStr"/>
      <c r="O3539" s="7" t="inlineStr"/>
    </row>
    <row r="3540">
      <c r="A3540" s="7" t="n">
        <v>599411</v>
      </c>
      <c r="B3540" s="10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1" t="n">
        <v>2</v>
      </c>
      <c r="G3540" s="11" t="n">
        <v>13</v>
      </c>
      <c r="H3540" s="8" t="n">
        <v>10.1208</v>
      </c>
      <c r="I3540" s="8" t="n">
        <v>10.1208</v>
      </c>
      <c r="J3540" s="8" t="n"/>
      <c r="K3540" s="7" t="inlineStr">
        <is>
          <t>SEM COTAÇÃO</t>
        </is>
      </c>
      <c r="L3540" s="8" t="n"/>
      <c r="M3540" s="12" t="n"/>
      <c r="N3540" s="7" t="inlineStr"/>
      <c r="O3540" s="7" t="inlineStr"/>
    </row>
    <row r="3541">
      <c r="A3541" s="7" t="n">
        <v>533981</v>
      </c>
      <c r="B3541" s="10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1" t="n">
        <v>1</v>
      </c>
      <c r="G3541" s="11" t="n">
        <v>1</v>
      </c>
      <c r="H3541" s="8" t="n">
        <v>7.38</v>
      </c>
      <c r="I3541" s="8" t="n">
        <v>7.38</v>
      </c>
      <c r="J3541" s="8" t="n"/>
      <c r="K3541" s="7" t="inlineStr">
        <is>
          <t>SEM COTAÇÃO</t>
        </is>
      </c>
      <c r="L3541" s="8" t="n"/>
      <c r="M3541" s="12" t="n"/>
      <c r="N3541" s="7" t="inlineStr"/>
      <c r="O3541" s="7" t="inlineStr"/>
    </row>
    <row r="3542">
      <c r="A3542" s="7" t="n">
        <v>533961</v>
      </c>
      <c r="B3542" s="10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1" t="n">
        <v>1</v>
      </c>
      <c r="G3542" s="11" t="n">
        <v>1</v>
      </c>
      <c r="H3542" s="8" t="n">
        <v>7.38</v>
      </c>
      <c r="I3542" s="8" t="n">
        <v>7.38</v>
      </c>
      <c r="J3542" s="8" t="n"/>
      <c r="K3542" s="7" t="inlineStr">
        <is>
          <t>SEM COTAÇÃO</t>
        </is>
      </c>
      <c r="L3542" s="8" t="n"/>
      <c r="M3542" s="12" t="n"/>
      <c r="N3542" s="7" t="inlineStr"/>
      <c r="O3542" s="7" t="inlineStr"/>
    </row>
    <row r="3543">
      <c r="A3543" s="7" t="n">
        <v>533781</v>
      </c>
      <c r="B3543" s="10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1" t="n">
        <v>1</v>
      </c>
      <c r="G3543" s="11" t="n">
        <v>1</v>
      </c>
      <c r="H3543" s="8" t="n">
        <v>9.01</v>
      </c>
      <c r="I3543" s="8" t="n">
        <v>9.01</v>
      </c>
      <c r="J3543" s="8" t="n"/>
      <c r="K3543" s="7" t="inlineStr">
        <is>
          <t>SEM COTAÇÃO</t>
        </is>
      </c>
      <c r="L3543" s="8" t="n"/>
      <c r="M3543" s="12" t="n"/>
      <c r="N3543" s="7" t="inlineStr"/>
      <c r="O3543" s="7" t="inlineStr"/>
    </row>
    <row r="3544">
      <c r="A3544" s="7" t="n">
        <v>622601</v>
      </c>
      <c r="B3544" s="10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1" t="n">
        <v>1</v>
      </c>
      <c r="G3544" s="11" t="n">
        <v>1</v>
      </c>
      <c r="H3544" s="8" t="n">
        <v>29.5117</v>
      </c>
      <c r="I3544" s="8" t="n">
        <v>29.5117</v>
      </c>
      <c r="J3544" s="8" t="n"/>
      <c r="K3544" s="7" t="inlineStr">
        <is>
          <t>SEM COTAÇÃO</t>
        </is>
      </c>
      <c r="L3544" s="8" t="n"/>
      <c r="M3544" s="12" t="n"/>
      <c r="N3544" s="7" t="inlineStr"/>
      <c r="O3544" s="7" t="inlineStr"/>
    </row>
    <row r="3545">
      <c r="A3545" s="7" t="n">
        <v>593541</v>
      </c>
      <c r="B3545" s="10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1" t="n">
        <v>1</v>
      </c>
      <c r="G3545" s="11" t="n">
        <v>1</v>
      </c>
      <c r="H3545" s="8" t="n">
        <v>12.2678</v>
      </c>
      <c r="I3545" s="8" t="n">
        <v>12.2678</v>
      </c>
      <c r="J3545" s="8" t="n"/>
      <c r="K3545" s="7" t="inlineStr">
        <is>
          <t>SEM COTAÇÃO</t>
        </is>
      </c>
      <c r="L3545" s="8" t="n"/>
      <c r="M3545" s="12" t="n"/>
      <c r="N3545" s="7" t="inlineStr"/>
      <c r="O3545" s="7" t="inlineStr"/>
    </row>
    <row r="3546">
      <c r="A3546" s="7" t="n">
        <v>290261</v>
      </c>
      <c r="B3546" s="10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1" t="n">
        <v>1</v>
      </c>
      <c r="G3546" s="11" t="n">
        <v>1</v>
      </c>
      <c r="H3546" s="8" t="n">
        <v>49.1</v>
      </c>
      <c r="I3546" s="8" t="n">
        <v>49.1</v>
      </c>
      <c r="J3546" s="8" t="n"/>
      <c r="K3546" s="7" t="inlineStr">
        <is>
          <t>SEM COTAÇÃO</t>
        </is>
      </c>
      <c r="L3546" s="8" t="n"/>
      <c r="M3546" s="12" t="n"/>
      <c r="N3546" s="7" t="inlineStr"/>
      <c r="O3546" s="7" t="inlineStr"/>
    </row>
    <row r="3547">
      <c r="A3547" s="7" t="n">
        <v>204261</v>
      </c>
      <c r="B3547" s="10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1" t="n">
        <v>1</v>
      </c>
      <c r="G3547" s="11" t="n">
        <v>1</v>
      </c>
      <c r="H3547" s="8" t="n">
        <v>32.905</v>
      </c>
      <c r="I3547" s="8" t="n">
        <v>32.905</v>
      </c>
      <c r="J3547" s="8" t="n"/>
      <c r="K3547" s="7" t="inlineStr">
        <is>
          <t>SEM COTAÇÃO</t>
        </is>
      </c>
      <c r="L3547" s="8" t="n"/>
      <c r="M3547" s="12" t="n"/>
      <c r="N3547" s="7" t="inlineStr"/>
      <c r="O3547" s="7" t="inlineStr"/>
    </row>
    <row r="3548">
      <c r="A3548" s="7" t="n">
        <v>660341</v>
      </c>
      <c r="B3548" s="10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1" t="n">
        <v>13</v>
      </c>
      <c r="G3548" s="11" t="n">
        <v>13</v>
      </c>
      <c r="H3548" s="8" t="n">
        <v>3.468</v>
      </c>
      <c r="I3548" s="8" t="n">
        <v>2.967</v>
      </c>
      <c r="J3548" s="13" t="n">
        <v>4.14</v>
      </c>
      <c r="K3548" s="7" t="inlineStr">
        <is>
          <t>DIMEC</t>
        </is>
      </c>
      <c r="L3548" s="8" t="n">
        <v>4.14</v>
      </c>
      <c r="M3548" s="12">
        <f>L3548/H3548-1</f>
        <v/>
      </c>
      <c r="N3548" s="14" t="inlineStr">
        <is>
          <t>ACIMA +19.4%</t>
        </is>
      </c>
      <c r="O3548" s="7" t="inlineStr"/>
    </row>
    <row r="3549">
      <c r="A3549" s="7" t="n">
        <v>594491</v>
      </c>
      <c r="B3549" s="10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1" t="n">
        <v>1</v>
      </c>
      <c r="G3549" s="11" t="n">
        <v>1</v>
      </c>
      <c r="H3549" s="8" t="n">
        <v>43.04</v>
      </c>
      <c r="I3549" s="8" t="n">
        <v>38.26</v>
      </c>
      <c r="J3549" s="8" t="n"/>
      <c r="K3549" s="7" t="inlineStr">
        <is>
          <t>SEM COTAÇÃO</t>
        </is>
      </c>
      <c r="L3549" s="8" t="n"/>
      <c r="M3549" s="12" t="n"/>
      <c r="N3549" s="7" t="inlineStr"/>
      <c r="O3549" s="7" t="inlineStr"/>
    </row>
    <row r="3550">
      <c r="A3550" s="7" t="n">
        <v>446481</v>
      </c>
      <c r="B3550" s="10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1" t="n">
        <v>7</v>
      </c>
      <c r="G3550" s="11" t="n">
        <v>7</v>
      </c>
      <c r="H3550" s="8" t="n">
        <v>9.81</v>
      </c>
      <c r="I3550" s="8" t="n">
        <v>9.81</v>
      </c>
      <c r="J3550" s="8" t="n"/>
      <c r="K3550" s="7" t="inlineStr">
        <is>
          <t>SEM COTAÇÃO</t>
        </is>
      </c>
      <c r="L3550" s="8" t="n"/>
      <c r="M3550" s="12" t="n"/>
      <c r="N3550" s="7" t="inlineStr"/>
      <c r="O3550" s="7" t="inlineStr"/>
    </row>
    <row r="3551">
      <c r="A3551" s="7" t="n">
        <v>651661</v>
      </c>
      <c r="B3551" s="10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1" t="n">
        <v>4</v>
      </c>
      <c r="G3551" s="11" t="n">
        <v>4</v>
      </c>
      <c r="H3551" s="8" t="n">
        <v>7.99</v>
      </c>
      <c r="I3551" s="8" t="n">
        <v>7.99</v>
      </c>
      <c r="J3551" s="8" t="n"/>
      <c r="K3551" s="7" t="inlineStr">
        <is>
          <t>SEM COTAÇÃO</t>
        </is>
      </c>
      <c r="L3551" s="8" t="n"/>
      <c r="M3551" s="12" t="n"/>
      <c r="N3551" s="7" t="inlineStr"/>
      <c r="O3551" s="7" t="inlineStr"/>
    </row>
    <row r="3552">
      <c r="A3552" s="7" t="n">
        <v>590491</v>
      </c>
      <c r="B3552" s="10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1" t="n">
        <v>4</v>
      </c>
      <c r="G3552" s="11" t="n">
        <v>4</v>
      </c>
      <c r="H3552" s="8" t="n">
        <v>5.27</v>
      </c>
      <c r="I3552" s="8" t="n">
        <v>5.27</v>
      </c>
      <c r="J3552" s="8" t="n"/>
      <c r="K3552" s="7" t="inlineStr">
        <is>
          <t>SEM COTAÇÃO</t>
        </is>
      </c>
      <c r="L3552" s="8" t="n"/>
      <c r="M3552" s="12" t="n"/>
      <c r="N3552" s="7" t="inlineStr"/>
      <c r="O3552" s="7" t="inlineStr"/>
    </row>
    <row r="3553">
      <c r="A3553" s="7" t="n">
        <v>604551</v>
      </c>
      <c r="B3553" s="10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1" t="n">
        <v>3</v>
      </c>
      <c r="G3553" s="11" t="n">
        <v>3</v>
      </c>
      <c r="H3553" s="8" t="n">
        <v>19.5333</v>
      </c>
      <c r="I3553" s="8" t="n">
        <v>19.5333</v>
      </c>
      <c r="J3553" s="8" t="n"/>
      <c r="K3553" s="7" t="inlineStr">
        <is>
          <t>SEM COTAÇÃO</t>
        </is>
      </c>
      <c r="L3553" s="8" t="n"/>
      <c r="M3553" s="12" t="n"/>
      <c r="N3553" s="7" t="inlineStr"/>
      <c r="O3553" s="7" t="inlineStr"/>
    </row>
    <row r="3554">
      <c r="A3554" s="7" t="n">
        <v>623721</v>
      </c>
      <c r="B3554" s="10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1" t="n">
        <v>1</v>
      </c>
      <c r="G3554" s="11" t="n">
        <v>1</v>
      </c>
      <c r="H3554" s="8" t="n">
        <v>49.18</v>
      </c>
      <c r="I3554" s="8" t="n">
        <v>49.18</v>
      </c>
      <c r="J3554" s="8" t="n"/>
      <c r="K3554" s="7" t="inlineStr">
        <is>
          <t>SEM COTAÇÃO</t>
        </is>
      </c>
      <c r="L3554" s="8" t="n"/>
      <c r="M3554" s="12" t="n"/>
      <c r="N3554" s="7" t="inlineStr"/>
      <c r="O3554" s="7" t="inlineStr"/>
    </row>
    <row r="3555">
      <c r="A3555" s="7" t="n">
        <v>655981</v>
      </c>
      <c r="B3555" s="10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1" t="n">
        <v>2</v>
      </c>
      <c r="G3555" s="11" t="n">
        <v>2</v>
      </c>
      <c r="H3555" s="8" t="n">
        <v>16.22</v>
      </c>
      <c r="I3555" s="8" t="n">
        <v>16.22</v>
      </c>
      <c r="J3555" s="8" t="n"/>
      <c r="K3555" s="7" t="inlineStr">
        <is>
          <t>SEM COTAÇÃO</t>
        </is>
      </c>
      <c r="L3555" s="8" t="n"/>
      <c r="M3555" s="12" t="n"/>
      <c r="N3555" s="7" t="inlineStr"/>
      <c r="O3555" s="7" t="inlineStr"/>
    </row>
    <row r="3556">
      <c r="A3556" s="7" t="n">
        <v>618471</v>
      </c>
      <c r="B3556" s="10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1" t="n">
        <v>1</v>
      </c>
      <c r="G3556" s="11" t="n">
        <v>1</v>
      </c>
      <c r="H3556" s="8" t="n">
        <v>12.445</v>
      </c>
      <c r="I3556" s="8" t="n">
        <v>12.445</v>
      </c>
      <c r="J3556" s="8" t="n"/>
      <c r="K3556" s="7" t="inlineStr">
        <is>
          <t>SEM COTAÇÃO</t>
        </is>
      </c>
      <c r="L3556" s="8" t="n"/>
      <c r="M3556" s="12" t="n"/>
      <c r="N3556" s="7" t="inlineStr"/>
      <c r="O3556" s="7" t="inlineStr"/>
    </row>
    <row r="3557">
      <c r="A3557" s="7" t="n">
        <v>616811</v>
      </c>
      <c r="B3557" s="10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1" t="n">
        <v>1</v>
      </c>
      <c r="G3557" s="11" t="n">
        <v>1</v>
      </c>
      <c r="H3557" s="8" t="n">
        <v>21.65</v>
      </c>
      <c r="I3557" s="8" t="n">
        <v>21.65</v>
      </c>
      <c r="J3557" s="8" t="n"/>
      <c r="K3557" s="7" t="inlineStr">
        <is>
          <t>SEM COTAÇÃO</t>
        </is>
      </c>
      <c r="L3557" s="8" t="n"/>
      <c r="M3557" s="12" t="n"/>
      <c r="N3557" s="7" t="inlineStr"/>
      <c r="O3557" s="7" t="inlineStr"/>
    </row>
    <row r="3558">
      <c r="A3558" s="7" t="n">
        <v>570561</v>
      </c>
      <c r="B3558" s="10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1" t="n">
        <v>1</v>
      </c>
      <c r="G3558" s="11" t="n">
        <v>1</v>
      </c>
      <c r="H3558" s="8" t="n">
        <v>11.42</v>
      </c>
      <c r="I3558" s="8" t="n">
        <v>11.42</v>
      </c>
      <c r="J3558" s="8" t="n"/>
      <c r="K3558" s="7" t="inlineStr">
        <is>
          <t>SEM COTAÇÃO</t>
        </is>
      </c>
      <c r="L3558" s="8" t="n"/>
      <c r="M3558" s="12" t="n"/>
      <c r="N3558" s="7" t="inlineStr"/>
      <c r="O3558" s="7" t="inlineStr"/>
    </row>
    <row r="3559">
      <c r="A3559" s="7" t="n">
        <v>642441</v>
      </c>
      <c r="B3559" s="10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1" t="n">
        <v>18</v>
      </c>
      <c r="G3559" s="11" t="n">
        <v>18</v>
      </c>
      <c r="H3559" s="8" t="n">
        <v>8.49</v>
      </c>
      <c r="I3559" s="8" t="n">
        <v>7.99</v>
      </c>
      <c r="J3559" s="8" t="n"/>
      <c r="K3559" s="7" t="inlineStr">
        <is>
          <t>SEM COTAÇÃO</t>
        </is>
      </c>
      <c r="L3559" s="8" t="n"/>
      <c r="M3559" s="12" t="n"/>
      <c r="N3559" s="7" t="inlineStr"/>
      <c r="O3559" s="7" t="inlineStr"/>
    </row>
    <row r="3560">
      <c r="A3560" s="7" t="n">
        <v>642391</v>
      </c>
      <c r="B3560" s="10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1" t="n">
        <v>7</v>
      </c>
      <c r="G3560" s="11" t="n">
        <v>7</v>
      </c>
      <c r="H3560" s="8" t="n">
        <v>8.890000000000001</v>
      </c>
      <c r="I3560" s="8" t="n">
        <v>7.99</v>
      </c>
      <c r="J3560" s="8" t="n"/>
      <c r="K3560" s="7" t="inlineStr">
        <is>
          <t>SEM COTAÇÃO</t>
        </is>
      </c>
      <c r="L3560" s="8" t="n"/>
      <c r="M3560" s="12" t="n"/>
      <c r="N3560" s="7" t="inlineStr"/>
      <c r="O3560" s="7" t="inlineStr"/>
    </row>
    <row r="3561">
      <c r="A3561" s="7" t="n">
        <v>631891</v>
      </c>
      <c r="B3561" s="10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1" t="n">
        <v>2</v>
      </c>
      <c r="G3561" s="11" t="n">
        <v>2</v>
      </c>
      <c r="H3561" s="8" t="n">
        <v>5.8</v>
      </c>
      <c r="I3561" s="8" t="n">
        <v>5.8</v>
      </c>
      <c r="J3561" s="8" t="n"/>
      <c r="K3561" s="7" t="inlineStr">
        <is>
          <t>SEM COTAÇÃO</t>
        </is>
      </c>
      <c r="L3561" s="8" t="n"/>
      <c r="M3561" s="12" t="n"/>
      <c r="N3561" s="7" t="inlineStr"/>
      <c r="O3561" s="7" t="inlineStr"/>
    </row>
    <row r="3562">
      <c r="A3562" s="7" t="n">
        <v>633741</v>
      </c>
      <c r="B3562" s="10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1" t="n">
        <v>1</v>
      </c>
      <c r="G3562" s="11" t="n">
        <v>1</v>
      </c>
      <c r="H3562" s="8" t="n">
        <v>38.5342</v>
      </c>
      <c r="I3562" s="8" t="n">
        <v>38.5342</v>
      </c>
      <c r="J3562" s="8" t="n"/>
      <c r="K3562" s="7" t="inlineStr">
        <is>
          <t>SEM COTAÇÃO</t>
        </is>
      </c>
      <c r="L3562" s="8" t="n"/>
      <c r="M3562" s="12" t="n"/>
      <c r="N3562" s="7" t="inlineStr"/>
      <c r="O3562" s="7" t="inlineStr"/>
    </row>
    <row r="3563">
      <c r="A3563" s="7" t="n">
        <v>537701</v>
      </c>
      <c r="B3563" s="10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1" t="n">
        <v>1</v>
      </c>
      <c r="G3563" s="11" t="n">
        <v>1</v>
      </c>
      <c r="H3563" s="8" t="n">
        <v>2.3393</v>
      </c>
      <c r="I3563" s="8" t="n">
        <v>2.3393</v>
      </c>
      <c r="J3563" s="8" t="n"/>
      <c r="K3563" s="7" t="inlineStr">
        <is>
          <t>SEM COTAÇÃO</t>
        </is>
      </c>
      <c r="L3563" s="8" t="n"/>
      <c r="M3563" s="12" t="n"/>
      <c r="N3563" s="7" t="inlineStr"/>
      <c r="O3563" s="7" t="inlineStr"/>
    </row>
    <row r="3564">
      <c r="A3564" s="7" t="n">
        <v>645171</v>
      </c>
      <c r="B3564" s="10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1" t="n">
        <v>2</v>
      </c>
      <c r="G3564" s="11" t="n">
        <v>2</v>
      </c>
      <c r="H3564" s="8" t="n">
        <v>13.79</v>
      </c>
      <c r="I3564" s="8" t="n">
        <v>13.79</v>
      </c>
      <c r="J3564" s="8" t="n"/>
      <c r="K3564" s="7" t="inlineStr">
        <is>
          <t>SEM COTAÇÃO</t>
        </is>
      </c>
      <c r="L3564" s="8" t="n"/>
      <c r="M3564" s="12" t="n"/>
      <c r="N3564" s="7" t="inlineStr"/>
      <c r="O3564" s="7" t="inlineStr"/>
    </row>
    <row r="3565">
      <c r="A3565" s="7" t="n">
        <v>623411</v>
      </c>
      <c r="B3565" s="10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1" t="n">
        <v>1</v>
      </c>
      <c r="G3565" s="11" t="n">
        <v>10</v>
      </c>
      <c r="H3565" s="8" t="n">
        <v>2.2511</v>
      </c>
      <c r="I3565" s="8" t="n">
        <v>2.2461</v>
      </c>
      <c r="J3565" s="8" t="n"/>
      <c r="K3565" s="7" t="inlineStr">
        <is>
          <t>SEM COTAÇÃO</t>
        </is>
      </c>
      <c r="L3565" s="8" t="n"/>
      <c r="M3565" s="12" t="n"/>
      <c r="N3565" s="7" t="inlineStr"/>
      <c r="O3565" s="7" t="inlineStr"/>
    </row>
    <row r="3566">
      <c r="A3566" s="7" t="n">
        <v>640701</v>
      </c>
      <c r="B3566" s="10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1" t="n">
        <v>1</v>
      </c>
      <c r="G3566" s="11" t="n">
        <v>6</v>
      </c>
      <c r="H3566" s="8" t="n">
        <v>2.8079</v>
      </c>
      <c r="I3566" s="8" t="n">
        <v>2.8079</v>
      </c>
      <c r="J3566" s="8" t="n"/>
      <c r="K3566" s="7" t="inlineStr">
        <is>
          <t>SEM COTAÇÃO</t>
        </is>
      </c>
      <c r="L3566" s="8" t="n"/>
      <c r="M3566" s="12" t="n"/>
      <c r="N3566" s="7" t="inlineStr"/>
      <c r="O3566" s="7" t="inlineStr"/>
    </row>
    <row r="3567">
      <c r="A3567" s="7" t="n">
        <v>605851</v>
      </c>
      <c r="B3567" s="10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1" t="n">
        <v>20</v>
      </c>
      <c r="G3567" s="11" t="n">
        <v>20</v>
      </c>
      <c r="H3567" s="8" t="n">
        <v>8.49</v>
      </c>
      <c r="I3567" s="8" t="n">
        <v>7.99</v>
      </c>
      <c r="J3567" s="8" t="n"/>
      <c r="K3567" s="7" t="inlineStr">
        <is>
          <t>SEM COTAÇÃO</t>
        </is>
      </c>
      <c r="L3567" s="8" t="n"/>
      <c r="M3567" s="12" t="n"/>
      <c r="N3567" s="7" t="inlineStr"/>
      <c r="O3567" s="7" t="inlineStr"/>
    </row>
    <row r="3568">
      <c r="A3568" s="7" t="n">
        <v>626551</v>
      </c>
      <c r="B3568" s="10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1" t="n">
        <v>4</v>
      </c>
      <c r="G3568" s="11" t="n">
        <v>4</v>
      </c>
      <c r="H3568" s="8" t="n">
        <v>3.6817</v>
      </c>
      <c r="I3568" s="8" t="n">
        <v>3.6817</v>
      </c>
      <c r="J3568" s="8" t="n"/>
      <c r="K3568" s="7" t="inlineStr">
        <is>
          <t>SEM COTAÇÃO</t>
        </is>
      </c>
      <c r="L3568" s="8" t="n"/>
      <c r="M3568" s="12" t="n"/>
      <c r="N3568" s="7" t="inlineStr"/>
      <c r="O3568" s="7" t="inlineStr"/>
    </row>
    <row r="3569">
      <c r="A3569" s="7" t="n">
        <v>655631</v>
      </c>
      <c r="B3569" s="10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1" t="n">
        <v>1</v>
      </c>
      <c r="G3569" s="11" t="n">
        <v>1</v>
      </c>
      <c r="H3569" s="8" t="n">
        <v>5.6867</v>
      </c>
      <c r="I3569" s="8" t="n">
        <v>5.6867</v>
      </c>
      <c r="J3569" s="8" t="n"/>
      <c r="K3569" s="7" t="inlineStr">
        <is>
          <t>SEM COTAÇÃO</t>
        </is>
      </c>
      <c r="L3569" s="8" t="n"/>
      <c r="M3569" s="12" t="n"/>
      <c r="N3569" s="7" t="inlineStr"/>
      <c r="O3569" s="7" t="inlineStr"/>
    </row>
    <row r="3570">
      <c r="A3570" s="7" t="n">
        <v>534421</v>
      </c>
      <c r="B3570" s="10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1" t="n">
        <v>1</v>
      </c>
      <c r="G3570" s="11" t="n">
        <v>1</v>
      </c>
      <c r="H3570" s="8" t="n">
        <v>7.98</v>
      </c>
      <c r="I3570" s="8" t="n">
        <v>7.98</v>
      </c>
      <c r="J3570" s="8" t="n"/>
      <c r="K3570" s="7" t="inlineStr">
        <is>
          <t>SEM COTAÇÃO</t>
        </is>
      </c>
      <c r="L3570" s="8" t="n"/>
      <c r="M3570" s="12" t="n"/>
      <c r="N3570" s="7" t="inlineStr"/>
      <c r="O3570" s="7" t="inlineStr"/>
    </row>
    <row r="3571">
      <c r="A3571" s="7" t="n">
        <v>629291</v>
      </c>
      <c r="B3571" s="10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1" t="n">
        <v>1</v>
      </c>
      <c r="G3571" s="11" t="n">
        <v>1</v>
      </c>
      <c r="H3571" s="8" t="n">
        <v>11.98</v>
      </c>
      <c r="I3571" s="8" t="n">
        <v>11.98</v>
      </c>
      <c r="J3571" s="8" t="n"/>
      <c r="K3571" s="7" t="inlineStr">
        <is>
          <t>SEM COTAÇÃO</t>
        </is>
      </c>
      <c r="L3571" s="8" t="n"/>
      <c r="M3571" s="12" t="n"/>
      <c r="N3571" s="7" t="inlineStr"/>
      <c r="O3571" s="7" t="inlineStr"/>
    </row>
    <row r="3572">
      <c r="A3572" s="7" t="n">
        <v>622311</v>
      </c>
      <c r="B3572" s="10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1" t="n">
        <v>1</v>
      </c>
      <c r="G3572" s="11" t="n">
        <v>1</v>
      </c>
      <c r="H3572" s="8" t="n">
        <v>6.84</v>
      </c>
      <c r="I3572" s="8" t="n">
        <v>6.84</v>
      </c>
      <c r="J3572" s="8" t="n"/>
      <c r="K3572" s="7" t="inlineStr">
        <is>
          <t>SEM COTAÇÃO</t>
        </is>
      </c>
      <c r="L3572" s="8" t="n"/>
      <c r="M3572" s="12" t="n"/>
      <c r="N3572" s="7" t="inlineStr"/>
      <c r="O3572" s="7" t="inlineStr"/>
    </row>
    <row r="3573">
      <c r="A3573" s="7" t="n">
        <v>622321</v>
      </c>
      <c r="B3573" s="10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1" t="n">
        <v>1</v>
      </c>
      <c r="G3573" s="11" t="n">
        <v>1</v>
      </c>
      <c r="H3573" s="8" t="n">
        <v>6.84</v>
      </c>
      <c r="I3573" s="8" t="n">
        <v>6.84</v>
      </c>
      <c r="J3573" s="8" t="n"/>
      <c r="K3573" s="7" t="inlineStr">
        <is>
          <t>SEM COTAÇÃO</t>
        </is>
      </c>
      <c r="L3573" s="8" t="n"/>
      <c r="M3573" s="12" t="n"/>
      <c r="N3573" s="7" t="inlineStr"/>
      <c r="O3573" s="7" t="inlineStr"/>
    </row>
    <row r="3574">
      <c r="A3574" s="7" t="n">
        <v>622341</v>
      </c>
      <c r="B3574" s="10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1" t="n">
        <v>1</v>
      </c>
      <c r="G3574" s="11" t="n">
        <v>1</v>
      </c>
      <c r="H3574" s="8" t="n">
        <v>6.84</v>
      </c>
      <c r="I3574" s="8" t="n">
        <v>6.84</v>
      </c>
      <c r="J3574" s="8" t="n"/>
      <c r="K3574" s="7" t="inlineStr">
        <is>
          <t>SEM COTAÇÃO</t>
        </is>
      </c>
      <c r="L3574" s="8" t="n"/>
      <c r="M3574" s="12" t="n"/>
      <c r="N3574" s="7" t="inlineStr"/>
      <c r="O3574" s="7" t="inlineStr"/>
    </row>
    <row r="3575">
      <c r="A3575" s="7" t="n">
        <v>623231</v>
      </c>
      <c r="B3575" s="10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1" t="n">
        <v>1</v>
      </c>
      <c r="G3575" s="11" t="n">
        <v>1</v>
      </c>
      <c r="H3575" s="8" t="n"/>
      <c r="I3575" s="8" t="n"/>
      <c r="J3575" s="8" t="n"/>
      <c r="K3575" s="7" t="inlineStr">
        <is>
          <t>SEM COTAÇÃO</t>
        </is>
      </c>
      <c r="L3575" s="8" t="n"/>
      <c r="M3575" s="12" t="n"/>
      <c r="N3575" s="7" t="inlineStr"/>
      <c r="O3575" s="7" t="inlineStr"/>
    </row>
    <row r="3576">
      <c r="A3576" s="7" t="n">
        <v>589871</v>
      </c>
      <c r="B3576" s="10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1" t="n">
        <v>1</v>
      </c>
      <c r="G3576" s="11" t="n">
        <v>1</v>
      </c>
      <c r="H3576" s="8" t="n">
        <v>7.98</v>
      </c>
      <c r="I3576" s="8" t="n">
        <v>7.98</v>
      </c>
      <c r="J3576" s="8" t="n"/>
      <c r="K3576" s="7" t="inlineStr">
        <is>
          <t>SEM COTAÇÃO</t>
        </is>
      </c>
      <c r="L3576" s="8" t="n"/>
      <c r="M3576" s="12" t="n"/>
      <c r="N3576" s="7" t="inlineStr"/>
      <c r="O3576" s="7" t="inlineStr"/>
    </row>
    <row r="3577">
      <c r="A3577" s="7" t="n">
        <v>589881</v>
      </c>
      <c r="B3577" s="10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1" t="n">
        <v>1</v>
      </c>
      <c r="G3577" s="11" t="n">
        <v>1</v>
      </c>
      <c r="H3577" s="8" t="n">
        <v>7.98</v>
      </c>
      <c r="I3577" s="8" t="n">
        <v>7.98</v>
      </c>
      <c r="J3577" s="8" t="n"/>
      <c r="K3577" s="7" t="inlineStr">
        <is>
          <t>SEM COTAÇÃO</t>
        </is>
      </c>
      <c r="L3577" s="8" t="n"/>
      <c r="M3577" s="12" t="n"/>
      <c r="N3577" s="7" t="inlineStr"/>
      <c r="O3577" s="7" t="inlineStr"/>
    </row>
    <row r="3578">
      <c r="A3578" s="7" t="n">
        <v>618131</v>
      </c>
      <c r="B3578" s="10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1" t="n">
        <v>1</v>
      </c>
      <c r="G3578" s="11" t="n">
        <v>1</v>
      </c>
      <c r="H3578" s="8" t="n">
        <v>5.55</v>
      </c>
      <c r="I3578" s="8" t="n">
        <v>5.55</v>
      </c>
      <c r="J3578" s="8" t="n"/>
      <c r="K3578" s="7" t="inlineStr">
        <is>
          <t>SEM COTAÇÃO</t>
        </is>
      </c>
      <c r="L3578" s="8" t="n"/>
      <c r="M3578" s="12" t="n"/>
      <c r="N3578" s="7" t="inlineStr"/>
      <c r="O3578" s="7" t="inlineStr"/>
    </row>
    <row r="3579">
      <c r="A3579" s="7" t="n">
        <v>618141</v>
      </c>
      <c r="B3579" s="10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1" t="n">
        <v>1</v>
      </c>
      <c r="G3579" s="11" t="n">
        <v>1</v>
      </c>
      <c r="H3579" s="8" t="n">
        <v>5.55</v>
      </c>
      <c r="I3579" s="8" t="n">
        <v>5.55</v>
      </c>
      <c r="J3579" s="8" t="n"/>
      <c r="K3579" s="7" t="inlineStr">
        <is>
          <t>SEM COTAÇÃO</t>
        </is>
      </c>
      <c r="L3579" s="8" t="n"/>
      <c r="M3579" s="12" t="n"/>
      <c r="N3579" s="7" t="inlineStr"/>
      <c r="O3579" s="7" t="inlineStr"/>
    </row>
    <row r="3580">
      <c r="A3580" s="7" t="n">
        <v>618151</v>
      </c>
      <c r="B3580" s="10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1" t="n">
        <v>1</v>
      </c>
      <c r="G3580" s="11" t="n">
        <v>1</v>
      </c>
      <c r="H3580" s="8" t="n">
        <v>5.55</v>
      </c>
      <c r="I3580" s="8" t="n">
        <v>5.55</v>
      </c>
      <c r="J3580" s="8" t="n"/>
      <c r="K3580" s="7" t="inlineStr">
        <is>
          <t>SEM COTAÇÃO</t>
        </is>
      </c>
      <c r="L3580" s="8" t="n"/>
      <c r="M3580" s="12" t="n"/>
      <c r="N3580" s="7" t="inlineStr"/>
      <c r="O3580" s="7" t="inlineStr"/>
    </row>
    <row r="3581">
      <c r="A3581" s="7" t="n">
        <v>618161</v>
      </c>
      <c r="B3581" s="10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1" t="n">
        <v>1</v>
      </c>
      <c r="G3581" s="11" t="n">
        <v>1</v>
      </c>
      <c r="H3581" s="8" t="n">
        <v>5.55</v>
      </c>
      <c r="I3581" s="8" t="n">
        <v>5.55</v>
      </c>
      <c r="J3581" s="8" t="n"/>
      <c r="K3581" s="7" t="inlineStr">
        <is>
          <t>SEM COTAÇÃO</t>
        </is>
      </c>
      <c r="L3581" s="8" t="n"/>
      <c r="M3581" s="12" t="n"/>
      <c r="N3581" s="7" t="inlineStr"/>
      <c r="O3581" s="7" t="inlineStr"/>
    </row>
    <row r="3582">
      <c r="A3582" s="7" t="n">
        <v>589941</v>
      </c>
      <c r="B3582" s="10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1" t="n">
        <v>1</v>
      </c>
      <c r="G3582" s="11" t="n">
        <v>1</v>
      </c>
      <c r="H3582" s="8" t="n">
        <v>5.58</v>
      </c>
      <c r="I3582" s="8" t="n">
        <v>5.58</v>
      </c>
      <c r="J3582" s="8" t="n"/>
      <c r="K3582" s="7" t="inlineStr">
        <is>
          <t>SEM COTAÇÃO</t>
        </is>
      </c>
      <c r="L3582" s="8" t="n"/>
      <c r="M3582" s="12" t="n"/>
      <c r="N3582" s="7" t="inlineStr"/>
      <c r="O3582" s="7" t="inlineStr"/>
    </row>
    <row r="3583">
      <c r="A3583" s="7" t="n">
        <v>628081</v>
      </c>
      <c r="B3583" s="10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1" t="n">
        <v>1</v>
      </c>
      <c r="G3583" s="11" t="n">
        <v>1</v>
      </c>
      <c r="H3583" s="8" t="n">
        <v>5.58</v>
      </c>
      <c r="I3583" s="8" t="n">
        <v>5.58</v>
      </c>
      <c r="J3583" s="8" t="n"/>
      <c r="K3583" s="7" t="inlineStr">
        <is>
          <t>SEM COTAÇÃO</t>
        </is>
      </c>
      <c r="L3583" s="8" t="n"/>
      <c r="M3583" s="12" t="n"/>
      <c r="N3583" s="7" t="inlineStr"/>
      <c r="O3583" s="7" t="inlineStr"/>
    </row>
    <row r="3584">
      <c r="A3584" s="7" t="n">
        <v>582741</v>
      </c>
      <c r="B3584" s="10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1" t="n">
        <v>2</v>
      </c>
      <c r="G3584" s="11" t="n">
        <v>2</v>
      </c>
      <c r="H3584" s="8" t="n">
        <v>9.449999999999999</v>
      </c>
      <c r="I3584" s="8" t="n">
        <v>9.449999999999999</v>
      </c>
      <c r="J3584" s="8" t="n"/>
      <c r="K3584" s="7" t="inlineStr">
        <is>
          <t>SEM COTAÇÃO</t>
        </is>
      </c>
      <c r="L3584" s="8" t="n"/>
      <c r="M3584" s="12" t="n"/>
      <c r="N3584" s="7" t="inlineStr"/>
      <c r="O3584" s="7" t="inlineStr"/>
    </row>
    <row r="3585">
      <c r="A3585" s="7" t="n">
        <v>604441</v>
      </c>
      <c r="B3585" s="10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1" t="n">
        <v>1</v>
      </c>
      <c r="G3585" s="11" t="n">
        <v>1</v>
      </c>
      <c r="H3585" s="8" t="n">
        <v>10.95</v>
      </c>
      <c r="I3585" s="8" t="n">
        <v>10.95</v>
      </c>
      <c r="J3585" s="8" t="n"/>
      <c r="K3585" s="7" t="inlineStr">
        <is>
          <t>SEM COTAÇÃO</t>
        </is>
      </c>
      <c r="L3585" s="8" t="n"/>
      <c r="M3585" s="12" t="n"/>
      <c r="N3585" s="7" t="inlineStr"/>
      <c r="O3585" s="7" t="inlineStr"/>
    </row>
    <row r="3586">
      <c r="A3586" s="7" t="n">
        <v>566221</v>
      </c>
      <c r="B3586" s="10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1" t="n">
        <v>1</v>
      </c>
      <c r="G3586" s="11" t="n">
        <v>1</v>
      </c>
      <c r="H3586" s="8" t="n">
        <v>7.98</v>
      </c>
      <c r="I3586" s="8" t="n">
        <v>7.98</v>
      </c>
      <c r="J3586" s="8" t="n"/>
      <c r="K3586" s="7" t="inlineStr">
        <is>
          <t>SEM COTAÇÃO</t>
        </is>
      </c>
      <c r="L3586" s="8" t="n"/>
      <c r="M3586" s="12" t="n"/>
      <c r="N3586" s="7" t="inlineStr"/>
      <c r="O3586" s="7" t="inlineStr"/>
    </row>
    <row r="3587">
      <c r="A3587" s="7" t="n">
        <v>551401</v>
      </c>
      <c r="B3587" s="10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1" t="n">
        <v>1</v>
      </c>
      <c r="G3587" s="11" t="n">
        <v>1</v>
      </c>
      <c r="H3587" s="8" t="n">
        <v>7.98</v>
      </c>
      <c r="I3587" s="8" t="n">
        <v>7.98</v>
      </c>
      <c r="J3587" s="8" t="n"/>
      <c r="K3587" s="7" t="inlineStr">
        <is>
          <t>SEM COTAÇÃO</t>
        </is>
      </c>
      <c r="L3587" s="8" t="n"/>
      <c r="M3587" s="12" t="n"/>
      <c r="N3587" s="7" t="inlineStr"/>
      <c r="O3587" s="7" t="inlineStr"/>
    </row>
    <row r="3588">
      <c r="A3588" s="7" t="n">
        <v>620951</v>
      </c>
      <c r="B3588" s="10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1" t="n">
        <v>1</v>
      </c>
      <c r="G3588" s="11" t="n">
        <v>1</v>
      </c>
      <c r="H3588" s="8" t="n">
        <v>7.98</v>
      </c>
      <c r="I3588" s="8" t="n">
        <v>7.98</v>
      </c>
      <c r="J3588" s="8" t="n"/>
      <c r="K3588" s="7" t="inlineStr">
        <is>
          <t>SEM COTAÇÃO</t>
        </is>
      </c>
      <c r="L3588" s="8" t="n"/>
      <c r="M3588" s="12" t="n"/>
      <c r="N3588" s="7" t="inlineStr"/>
      <c r="O3588" s="7" t="inlineStr"/>
    </row>
    <row r="3589">
      <c r="A3589" s="7" t="n">
        <v>620941</v>
      </c>
      <c r="B3589" s="10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1" t="n">
        <v>1</v>
      </c>
      <c r="G3589" s="11" t="n">
        <v>1</v>
      </c>
      <c r="H3589" s="8" t="n">
        <v>7.98</v>
      </c>
      <c r="I3589" s="8" t="n">
        <v>7.98</v>
      </c>
      <c r="J3589" s="8" t="n"/>
      <c r="K3589" s="7" t="inlineStr">
        <is>
          <t>SEM COTAÇÃO</t>
        </is>
      </c>
      <c r="L3589" s="8" t="n"/>
      <c r="M3589" s="12" t="n"/>
      <c r="N3589" s="7" t="inlineStr"/>
      <c r="O3589" s="7" t="inlineStr"/>
    </row>
    <row r="3590">
      <c r="A3590" s="7" t="n">
        <v>620931</v>
      </c>
      <c r="B3590" s="10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1" t="n">
        <v>1</v>
      </c>
      <c r="G3590" s="11" t="n">
        <v>1</v>
      </c>
      <c r="H3590" s="8" t="n">
        <v>7.98</v>
      </c>
      <c r="I3590" s="8" t="n">
        <v>7.98</v>
      </c>
      <c r="J3590" s="8" t="n"/>
      <c r="K3590" s="7" t="inlineStr">
        <is>
          <t>SEM COTAÇÃO</t>
        </is>
      </c>
      <c r="L3590" s="8" t="n"/>
      <c r="M3590" s="12" t="n"/>
      <c r="N3590" s="7" t="inlineStr"/>
      <c r="O3590" s="7" t="inlineStr"/>
    </row>
    <row r="3591">
      <c r="A3591" s="7" t="n">
        <v>620921</v>
      </c>
      <c r="B3591" s="10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1" t="n">
        <v>1</v>
      </c>
      <c r="G3591" s="11" t="n">
        <v>1</v>
      </c>
      <c r="H3591" s="8" t="n">
        <v>7.98</v>
      </c>
      <c r="I3591" s="8" t="n">
        <v>7.98</v>
      </c>
      <c r="J3591" s="8" t="n"/>
      <c r="K3591" s="7" t="inlineStr">
        <is>
          <t>SEM COTAÇÃO</t>
        </is>
      </c>
      <c r="L3591" s="8" t="n"/>
      <c r="M3591" s="12" t="n"/>
      <c r="N3591" s="7" t="inlineStr"/>
      <c r="O3591" s="7" t="inlineStr"/>
    </row>
    <row r="3592">
      <c r="A3592" s="7" t="n">
        <v>620911</v>
      </c>
      <c r="B3592" s="10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1" t="n">
        <v>1</v>
      </c>
      <c r="G3592" s="11" t="n">
        <v>1</v>
      </c>
      <c r="H3592" s="8" t="n">
        <v>7.98</v>
      </c>
      <c r="I3592" s="8" t="n">
        <v>7.98</v>
      </c>
      <c r="J3592" s="8" t="n"/>
      <c r="K3592" s="7" t="inlineStr">
        <is>
          <t>SEM COTAÇÃO</t>
        </is>
      </c>
      <c r="L3592" s="8" t="n"/>
      <c r="M3592" s="12" t="n"/>
      <c r="N3592" s="7" t="inlineStr"/>
      <c r="O3592" s="7" t="inlineStr"/>
    </row>
    <row r="3593">
      <c r="A3593" s="7" t="n">
        <v>620961</v>
      </c>
      <c r="B3593" s="10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1" t="n">
        <v>1</v>
      </c>
      <c r="G3593" s="11" t="n">
        <v>1</v>
      </c>
      <c r="H3593" s="8" t="n">
        <v>7.98</v>
      </c>
      <c r="I3593" s="8" t="n">
        <v>7.98</v>
      </c>
      <c r="J3593" s="8" t="n"/>
      <c r="K3593" s="7" t="inlineStr">
        <is>
          <t>SEM COTAÇÃO</t>
        </is>
      </c>
      <c r="L3593" s="8" t="n"/>
      <c r="M3593" s="12" t="n"/>
      <c r="N3593" s="7" t="inlineStr"/>
      <c r="O3593" s="7" t="inlineStr"/>
    </row>
    <row r="3594">
      <c r="A3594" s="7" t="n">
        <v>578001</v>
      </c>
      <c r="B3594" s="10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1" t="n">
        <v>1</v>
      </c>
      <c r="G3594" s="11" t="n">
        <v>1</v>
      </c>
      <c r="H3594" s="8" t="n">
        <v>7.98</v>
      </c>
      <c r="I3594" s="8" t="n">
        <v>7.98</v>
      </c>
      <c r="J3594" s="8" t="n"/>
      <c r="K3594" s="7" t="inlineStr">
        <is>
          <t>SEM COTAÇÃO</t>
        </is>
      </c>
      <c r="L3594" s="8" t="n"/>
      <c r="M3594" s="12" t="n"/>
      <c r="N3594" s="7" t="inlineStr"/>
      <c r="O3594" s="7" t="inlineStr"/>
    </row>
    <row r="3595">
      <c r="A3595" s="7" t="n">
        <v>577941</v>
      </c>
      <c r="B3595" s="10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1" t="n">
        <v>1</v>
      </c>
      <c r="G3595" s="11" t="n">
        <v>1</v>
      </c>
      <c r="H3595" s="8" t="n">
        <v>7.98</v>
      </c>
      <c r="I3595" s="8" t="n">
        <v>7.98</v>
      </c>
      <c r="J3595" s="8" t="n"/>
      <c r="K3595" s="7" t="inlineStr">
        <is>
          <t>SEM COTAÇÃO</t>
        </is>
      </c>
      <c r="L3595" s="8" t="n"/>
      <c r="M3595" s="12" t="n"/>
      <c r="N3595" s="7" t="inlineStr"/>
      <c r="O3595" s="7" t="inlineStr"/>
    </row>
    <row r="3596">
      <c r="A3596" s="7" t="n">
        <v>566301</v>
      </c>
      <c r="B3596" s="10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1" t="n">
        <v>2</v>
      </c>
      <c r="G3596" s="11" t="n">
        <v>2</v>
      </c>
      <c r="H3596" s="8" t="n">
        <v>6.17</v>
      </c>
      <c r="I3596" s="8" t="n">
        <v>6.17</v>
      </c>
      <c r="J3596" s="8" t="n"/>
      <c r="K3596" s="7" t="inlineStr">
        <is>
          <t>SEM COTAÇÃO</t>
        </is>
      </c>
      <c r="L3596" s="8" t="n"/>
      <c r="M3596" s="12" t="n"/>
      <c r="N3596" s="7" t="inlineStr"/>
      <c r="O3596" s="7" t="inlineStr"/>
    </row>
    <row r="3597">
      <c r="A3597" s="7" t="n">
        <v>635931</v>
      </c>
      <c r="B3597" s="10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1" t="n">
        <v>1</v>
      </c>
      <c r="G3597" s="11" t="n">
        <v>1</v>
      </c>
      <c r="H3597" s="8" t="n">
        <v>6.19</v>
      </c>
      <c r="I3597" s="8" t="n">
        <v>6.19</v>
      </c>
      <c r="J3597" s="8" t="n"/>
      <c r="K3597" s="7" t="inlineStr">
        <is>
          <t>SEM COTAÇÃO</t>
        </is>
      </c>
      <c r="L3597" s="8" t="n"/>
      <c r="M3597" s="12" t="n"/>
      <c r="N3597" s="7" t="inlineStr"/>
      <c r="O3597" s="7" t="inlineStr"/>
    </row>
    <row r="3598">
      <c r="A3598" s="7" t="n">
        <v>635961</v>
      </c>
      <c r="B3598" s="10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1" t="n">
        <v>1</v>
      </c>
      <c r="G3598" s="11" t="n">
        <v>1</v>
      </c>
      <c r="H3598" s="8" t="n">
        <v>7.65</v>
      </c>
      <c r="I3598" s="8" t="n">
        <v>7.65</v>
      </c>
      <c r="J3598" s="8" t="n"/>
      <c r="K3598" s="7" t="inlineStr">
        <is>
          <t>SEM COTAÇÃO</t>
        </is>
      </c>
      <c r="L3598" s="8" t="n"/>
      <c r="M3598" s="12" t="n"/>
      <c r="N3598" s="7" t="inlineStr"/>
      <c r="O3598" s="7" t="inlineStr"/>
    </row>
    <row r="3599">
      <c r="A3599" s="7" t="n">
        <v>607381</v>
      </c>
      <c r="B3599" s="10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1" t="n">
        <v>1</v>
      </c>
      <c r="G3599" s="11" t="n">
        <v>11</v>
      </c>
      <c r="H3599" s="8" t="n">
        <v>1.676</v>
      </c>
      <c r="I3599" s="8" t="n">
        <v>1.676</v>
      </c>
      <c r="J3599" s="8" t="n"/>
      <c r="K3599" s="7" t="inlineStr">
        <is>
          <t>SEM COTAÇÃO</t>
        </is>
      </c>
      <c r="L3599" s="8" t="n"/>
      <c r="M3599" s="12" t="n"/>
      <c r="N3599" s="7" t="inlineStr"/>
      <c r="O3599" s="7" t="inlineStr"/>
    </row>
    <row r="3600">
      <c r="A3600" s="7" t="n">
        <v>1753</v>
      </c>
      <c r="B3600" s="10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1" t="n">
        <v>1</v>
      </c>
      <c r="G3600" s="11" t="n">
        <v>1</v>
      </c>
      <c r="H3600" s="8" t="n">
        <v>3.6817</v>
      </c>
      <c r="I3600" s="8" t="n">
        <v>3.6817</v>
      </c>
      <c r="J3600" s="8" t="n"/>
      <c r="K3600" s="7" t="inlineStr">
        <is>
          <t>SEM COTAÇÃO</t>
        </is>
      </c>
      <c r="L3600" s="8" t="n"/>
      <c r="M3600" s="12" t="n"/>
      <c r="N3600" s="7" t="inlineStr"/>
      <c r="O3600" s="7" t="inlineStr"/>
    </row>
    <row r="3601">
      <c r="A3601" s="7" t="n">
        <v>649191</v>
      </c>
      <c r="B3601" s="10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1" t="n">
        <v>11</v>
      </c>
      <c r="G3601" s="11" t="n">
        <v>11</v>
      </c>
      <c r="H3601" s="8" t="n">
        <v>5.9947</v>
      </c>
      <c r="I3601" s="8" t="n">
        <v>5.9345</v>
      </c>
      <c r="J3601" s="8" t="n"/>
      <c r="K3601" s="7" t="inlineStr">
        <is>
          <t>SEM COTAÇÃO</t>
        </is>
      </c>
      <c r="L3601" s="8" t="n"/>
      <c r="M3601" s="12" t="n"/>
      <c r="N3601" s="7" t="inlineStr"/>
      <c r="O3601" s="7" t="inlineStr"/>
    </row>
    <row r="3602">
      <c r="A3602" s="7" t="n">
        <v>645841</v>
      </c>
      <c r="B3602" s="10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1" t="n">
        <v>1</v>
      </c>
      <c r="G3602" s="11" t="n">
        <v>3</v>
      </c>
      <c r="H3602" s="8" t="n">
        <v>6.4029</v>
      </c>
      <c r="I3602" s="8" t="n">
        <v>6.4029</v>
      </c>
      <c r="J3602" s="8" t="n"/>
      <c r="K3602" s="7" t="inlineStr">
        <is>
          <t>SEM COTAÇÃO</t>
        </is>
      </c>
      <c r="L3602" s="8" t="n"/>
      <c r="M3602" s="12" t="n"/>
      <c r="N3602" s="7" t="inlineStr"/>
      <c r="O3602" s="7" t="inlineStr"/>
    </row>
    <row r="3603">
      <c r="A3603" s="7" t="n">
        <v>640691</v>
      </c>
      <c r="B3603" s="10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1" t="n">
        <v>1</v>
      </c>
      <c r="G3603" s="11" t="n">
        <v>17</v>
      </c>
      <c r="H3603" s="8" t="n">
        <v>2.5349</v>
      </c>
      <c r="I3603" s="8" t="n">
        <v>2.5349</v>
      </c>
      <c r="J3603" s="8" t="n"/>
      <c r="K3603" s="7" t="inlineStr">
        <is>
          <t>SEM COTAÇÃO</t>
        </is>
      </c>
      <c r="L3603" s="8" t="n"/>
      <c r="M3603" s="12" t="n"/>
      <c r="N3603" s="7" t="inlineStr"/>
      <c r="O3603" s="7" t="inlineStr"/>
    </row>
    <row r="3604">
      <c r="A3604" s="7" t="n">
        <v>656381</v>
      </c>
      <c r="B3604" s="10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1" t="n">
        <v>2</v>
      </c>
      <c r="G3604" s="11" t="n">
        <v>2</v>
      </c>
      <c r="H3604" s="8" t="n">
        <v>5.55</v>
      </c>
      <c r="I3604" s="8" t="n">
        <v>5.55</v>
      </c>
      <c r="J3604" s="8" t="n"/>
      <c r="K3604" s="7" t="inlineStr">
        <is>
          <t>SEM COTAÇÃO</t>
        </is>
      </c>
      <c r="L3604" s="8" t="n"/>
      <c r="M3604" s="12" t="n"/>
      <c r="N3604" s="7" t="inlineStr"/>
      <c r="O3604" s="7" t="inlineStr"/>
    </row>
    <row r="3605">
      <c r="A3605" s="7" t="n">
        <v>1353</v>
      </c>
      <c r="B3605" s="10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1" t="n">
        <v>1</v>
      </c>
      <c r="G3605" s="11" t="n">
        <v>1</v>
      </c>
      <c r="H3605" s="8" t="n">
        <v>41.8867</v>
      </c>
      <c r="I3605" s="8" t="n">
        <v>41.8867</v>
      </c>
      <c r="J3605" s="13" t="n">
        <v>20.61</v>
      </c>
      <c r="K3605" s="7" t="inlineStr">
        <is>
          <t>DIMEC</t>
        </is>
      </c>
      <c r="L3605" s="8" t="n">
        <v>20.61</v>
      </c>
      <c r="M3605" s="12">
        <f>L3605/H3605-1</f>
        <v/>
      </c>
      <c r="N3605" s="15" t="inlineStr">
        <is>
          <t>OK (≤ menor hist.)</t>
        </is>
      </c>
      <c r="O3605" s="7" t="inlineStr">
        <is>
          <t>DIMEC: conferir emb.</t>
        </is>
      </c>
    </row>
    <row r="3606">
      <c r="A3606" s="7" t="n">
        <v>546021</v>
      </c>
      <c r="B3606" s="10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1" t="n">
        <v>6</v>
      </c>
      <c r="G3606" s="11" t="n">
        <v>6</v>
      </c>
      <c r="H3606" s="8" t="n">
        <v>12.99</v>
      </c>
      <c r="I3606" s="8" t="n">
        <v>12.99</v>
      </c>
      <c r="J3606" s="8" t="n"/>
      <c r="K3606" s="7" t="inlineStr">
        <is>
          <t>SEM COTAÇÃO</t>
        </is>
      </c>
      <c r="L3606" s="8" t="n"/>
      <c r="M3606" s="12" t="n"/>
      <c r="N3606" s="7" t="inlineStr"/>
      <c r="O3606" s="7" t="inlineStr"/>
    </row>
    <row r="3607">
      <c r="A3607" s="7" t="n">
        <v>600411</v>
      </c>
      <c r="B3607" s="10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1" t="n">
        <v>23</v>
      </c>
      <c r="G3607" s="11" t="n">
        <v>23</v>
      </c>
      <c r="H3607" s="8" t="n">
        <v>3.3633</v>
      </c>
      <c r="I3607" s="8" t="n">
        <v>3.36</v>
      </c>
      <c r="J3607" s="8" t="n"/>
      <c r="K3607" s="7" t="inlineStr">
        <is>
          <t>SEM COTAÇÃO</t>
        </is>
      </c>
      <c r="L3607" s="8" t="n"/>
      <c r="M3607" s="12" t="n"/>
      <c r="N3607" s="7" t="inlineStr"/>
      <c r="O3607" s="7" t="inlineStr"/>
    </row>
    <row r="3608">
      <c r="A3608" s="7" t="n">
        <v>645871</v>
      </c>
      <c r="B3608" s="10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1" t="n">
        <v>1</v>
      </c>
      <c r="G3608" s="11" t="n">
        <v>2</v>
      </c>
      <c r="H3608" s="8" t="n">
        <v>10.7917</v>
      </c>
      <c r="I3608" s="8" t="n">
        <v>10.7917</v>
      </c>
      <c r="J3608" s="8" t="n"/>
      <c r="K3608" s="7" t="inlineStr">
        <is>
          <t>SEM COTAÇÃO</t>
        </is>
      </c>
      <c r="L3608" s="8" t="n"/>
      <c r="M3608" s="12" t="n"/>
      <c r="N3608" s="7" t="inlineStr"/>
      <c r="O3608" s="7" t="inlineStr"/>
    </row>
    <row r="3609">
      <c r="A3609" s="7" t="n">
        <v>533941</v>
      </c>
      <c r="B3609" s="10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1" t="n">
        <v>1</v>
      </c>
      <c r="G3609" s="11" t="n">
        <v>1</v>
      </c>
      <c r="H3609" s="8" t="n">
        <v>7.38</v>
      </c>
      <c r="I3609" s="8" t="n">
        <v>7.38</v>
      </c>
      <c r="J3609" s="8" t="n"/>
      <c r="K3609" s="7" t="inlineStr">
        <is>
          <t>SEM COTAÇÃO</t>
        </is>
      </c>
      <c r="L3609" s="8" t="n"/>
      <c r="M3609" s="12" t="n"/>
      <c r="N3609" s="7" t="inlineStr"/>
      <c r="O3609" s="7" t="inlineStr"/>
    </row>
    <row r="3610">
      <c r="A3610" s="7" t="n">
        <v>584141</v>
      </c>
      <c r="B3610" s="10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1" t="n">
        <v>1</v>
      </c>
      <c r="G3610" s="11" t="n">
        <v>4</v>
      </c>
      <c r="H3610" s="8" t="n">
        <v>6.2967</v>
      </c>
      <c r="I3610" s="8" t="n">
        <v>5.785</v>
      </c>
      <c r="J3610" s="8" t="n"/>
      <c r="K3610" s="7" t="inlineStr">
        <is>
          <t>SEM COTAÇÃO</t>
        </is>
      </c>
      <c r="L3610" s="8" t="n"/>
      <c r="M3610" s="12" t="n"/>
      <c r="N3610" s="7" t="inlineStr"/>
      <c r="O3610" s="7" t="inlineStr"/>
    </row>
    <row r="3611">
      <c r="A3611" s="7" t="n">
        <v>642371</v>
      </c>
      <c r="B3611" s="10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1" t="n">
        <v>11</v>
      </c>
      <c r="G3611" s="11" t="n">
        <v>11</v>
      </c>
      <c r="H3611" s="8" t="n">
        <v>3.6817</v>
      </c>
      <c r="I3611" s="8" t="n">
        <v>3.6817</v>
      </c>
      <c r="J3611" s="8" t="n"/>
      <c r="K3611" s="7" t="inlineStr">
        <is>
          <t>SEM COTAÇÃO</t>
        </is>
      </c>
      <c r="L3611" s="8" t="n"/>
      <c r="M3611" s="12" t="n"/>
      <c r="N3611" s="7" t="inlineStr"/>
      <c r="O3611" s="7" t="inlineStr"/>
    </row>
    <row r="3612">
      <c r="A3612" s="7" t="n">
        <v>17761</v>
      </c>
      <c r="B3612" s="10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1" t="n">
        <v>3</v>
      </c>
      <c r="G3612" s="11" t="n">
        <v>3</v>
      </c>
      <c r="H3612" s="8" t="n">
        <v>9.859999999999999</v>
      </c>
      <c r="I3612" s="8" t="n">
        <v>9.859999999999999</v>
      </c>
      <c r="J3612" s="8" t="n"/>
      <c r="K3612" s="7" t="inlineStr">
        <is>
          <t>SEM COTAÇÃO</t>
        </is>
      </c>
      <c r="L3612" s="8" t="n"/>
      <c r="M3612" s="12" t="n"/>
      <c r="N3612" s="7" t="inlineStr"/>
      <c r="O3612" s="7" t="inlineStr"/>
    </row>
    <row r="3613">
      <c r="A3613" s="7" t="n">
        <v>17801</v>
      </c>
      <c r="B3613" s="10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1" t="n">
        <v>2</v>
      </c>
      <c r="G3613" s="11" t="n">
        <v>2</v>
      </c>
      <c r="H3613" s="8" t="n">
        <v>10.72</v>
      </c>
      <c r="I3613" s="8" t="n">
        <v>10.72</v>
      </c>
      <c r="J3613" s="8" t="n"/>
      <c r="K3613" s="7" t="inlineStr">
        <is>
          <t>SEM COTAÇÃO</t>
        </is>
      </c>
      <c r="L3613" s="8" t="n"/>
      <c r="M3613" s="12" t="n"/>
      <c r="N3613" s="7" t="inlineStr"/>
      <c r="O3613" s="7" t="inlineStr"/>
    </row>
    <row r="3614">
      <c r="A3614" s="7" t="n">
        <v>652671</v>
      </c>
      <c r="B3614" s="10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1" t="n">
        <v>1</v>
      </c>
      <c r="G3614" s="11" t="n">
        <v>1</v>
      </c>
      <c r="H3614" s="8" t="n">
        <v>16.86</v>
      </c>
      <c r="I3614" s="8" t="n">
        <v>16.86</v>
      </c>
      <c r="J3614" s="8" t="n"/>
      <c r="K3614" s="7" t="inlineStr">
        <is>
          <t>SEM COTAÇÃO</t>
        </is>
      </c>
      <c r="L3614" s="8" t="n"/>
      <c r="M3614" s="12" t="n"/>
      <c r="N3614" s="7" t="inlineStr"/>
      <c r="O3614" s="7" t="inlineStr"/>
    </row>
    <row r="3615">
      <c r="A3615" s="7" t="n">
        <v>624001</v>
      </c>
      <c r="B3615" s="10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1" t="n">
        <v>1</v>
      </c>
      <c r="G3615" s="11" t="n">
        <v>1</v>
      </c>
      <c r="H3615" s="8" t="n">
        <v>15.28</v>
      </c>
      <c r="I3615" s="8" t="n">
        <v>15.28</v>
      </c>
      <c r="J3615" s="8" t="n"/>
      <c r="K3615" s="7" t="inlineStr">
        <is>
          <t>SEM COTAÇÃO</t>
        </is>
      </c>
      <c r="L3615" s="8" t="n"/>
      <c r="M3615" s="12" t="n"/>
      <c r="N3615" s="7" t="inlineStr"/>
      <c r="O3615" s="7" t="inlineStr"/>
    </row>
    <row r="3616">
      <c r="A3616" s="7" t="n">
        <v>552001</v>
      </c>
      <c r="B3616" s="10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1" t="n">
        <v>2</v>
      </c>
      <c r="G3616" s="11" t="n">
        <v>2</v>
      </c>
      <c r="H3616" s="8" t="n">
        <v>6.92</v>
      </c>
      <c r="I3616" s="8" t="n">
        <v>6.92</v>
      </c>
      <c r="J3616" s="8" t="n"/>
      <c r="K3616" s="7" t="inlineStr">
        <is>
          <t>SEM COTAÇÃO</t>
        </is>
      </c>
      <c r="L3616" s="8" t="n"/>
      <c r="M3616" s="12" t="n"/>
      <c r="N3616" s="7" t="inlineStr"/>
      <c r="O3616" s="7" t="inlineStr"/>
    </row>
    <row r="3617">
      <c r="A3617" s="7" t="n">
        <v>581841</v>
      </c>
      <c r="B3617" s="10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1" t="n">
        <v>1</v>
      </c>
      <c r="G3617" s="11" t="n">
        <v>1</v>
      </c>
      <c r="H3617" s="8" t="n">
        <v>33.83</v>
      </c>
      <c r="I3617" s="8" t="n">
        <v>33.83</v>
      </c>
      <c r="J3617" s="8" t="n"/>
      <c r="K3617" s="7" t="inlineStr">
        <is>
          <t>SEM COTAÇÃO</t>
        </is>
      </c>
      <c r="L3617" s="8" t="n"/>
      <c r="M3617" s="12" t="n"/>
      <c r="N3617" s="7" t="inlineStr"/>
      <c r="O3617" s="7" t="inlineStr"/>
    </row>
    <row r="3618">
      <c r="A3618" s="7" t="n">
        <v>581921</v>
      </c>
      <c r="B3618" s="10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1" t="n">
        <v>2</v>
      </c>
      <c r="G3618" s="11" t="n">
        <v>2</v>
      </c>
      <c r="H3618" s="8" t="n">
        <v>25.34</v>
      </c>
      <c r="I3618" s="8" t="n">
        <v>25.34</v>
      </c>
      <c r="J3618" s="8" t="n"/>
      <c r="K3618" s="7" t="inlineStr">
        <is>
          <t>SEM COTAÇÃO</t>
        </is>
      </c>
      <c r="L3618" s="8" t="n"/>
      <c r="M3618" s="12" t="n"/>
      <c r="N3618" s="7" t="inlineStr"/>
      <c r="O3618" s="7" t="inlineStr"/>
    </row>
    <row r="3619">
      <c r="A3619" s="7" t="n">
        <v>640681</v>
      </c>
      <c r="B3619" s="10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1" t="n">
        <v>1</v>
      </c>
      <c r="G3619" s="11" t="n">
        <v>3</v>
      </c>
      <c r="H3619" s="8" t="n">
        <v>7.548</v>
      </c>
      <c r="I3619" s="8" t="n">
        <v>7.548</v>
      </c>
      <c r="J3619" s="8" t="n"/>
      <c r="K3619" s="7" t="inlineStr">
        <is>
          <t>SEM COTAÇÃO</t>
        </is>
      </c>
      <c r="L3619" s="8" t="n"/>
      <c r="M3619" s="12" t="n"/>
      <c r="N3619" s="7" t="inlineStr"/>
      <c r="O3619" s="7" t="inlineStr"/>
    </row>
    <row r="3620">
      <c r="A3620" s="7" t="n">
        <v>652031</v>
      </c>
      <c r="B3620" s="10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1" t="n">
        <v>1</v>
      </c>
      <c r="G3620" s="11" t="n">
        <v>1</v>
      </c>
      <c r="H3620" s="8" t="n">
        <v>44.53</v>
      </c>
      <c r="I3620" s="8" t="n">
        <v>44.53</v>
      </c>
      <c r="J3620" s="8" t="n"/>
      <c r="K3620" s="7" t="inlineStr">
        <is>
          <t>SEM COTAÇÃO</t>
        </is>
      </c>
      <c r="L3620" s="8" t="n"/>
      <c r="M3620" s="12" t="n"/>
      <c r="N3620" s="7" t="inlineStr"/>
      <c r="O3620" s="7" t="inlineStr"/>
    </row>
    <row r="3621">
      <c r="A3621" s="7" t="n">
        <v>477141</v>
      </c>
      <c r="B3621" s="10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1" t="n">
        <v>4</v>
      </c>
      <c r="G3621" s="11" t="n">
        <v>4</v>
      </c>
      <c r="H3621" s="8" t="n">
        <v>44.9562</v>
      </c>
      <c r="I3621" s="8" t="n">
        <v>44.9562</v>
      </c>
      <c r="J3621" s="8" t="n"/>
      <c r="K3621" s="7" t="inlineStr">
        <is>
          <t>SEM COTAÇÃO</t>
        </is>
      </c>
      <c r="L3621" s="8" t="n"/>
      <c r="M3621" s="12" t="n"/>
      <c r="N3621" s="7" t="inlineStr"/>
      <c r="O3621" s="7" t="inlineStr"/>
    </row>
    <row r="3622">
      <c r="A3622" s="7" t="n">
        <v>646471</v>
      </c>
      <c r="B3622" s="10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1" t="n">
        <v>1</v>
      </c>
      <c r="G3622" s="11" t="n">
        <v>1</v>
      </c>
      <c r="H3622" s="8" t="n">
        <v>13.54</v>
      </c>
      <c r="I3622" s="8" t="n">
        <v>13.54</v>
      </c>
      <c r="J3622" s="8" t="n"/>
      <c r="K3622" s="7" t="inlineStr">
        <is>
          <t>SEM COTAÇÃO</t>
        </is>
      </c>
      <c r="L3622" s="8" t="n"/>
      <c r="M3622" s="12" t="n"/>
      <c r="N3622" s="7" t="inlineStr"/>
      <c r="O3622" s="7" t="inlineStr"/>
    </row>
    <row r="3623">
      <c r="A3623" s="7" t="n">
        <v>614221</v>
      </c>
      <c r="B3623" s="10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1" t="n">
        <v>1</v>
      </c>
      <c r="G3623" s="11" t="n">
        <v>1</v>
      </c>
      <c r="H3623" s="8" t="n">
        <v>6.89</v>
      </c>
      <c r="I3623" s="8" t="n">
        <v>6.89</v>
      </c>
      <c r="J3623" s="8" t="n"/>
      <c r="K3623" s="7" t="inlineStr">
        <is>
          <t>SEM COTAÇÃO</t>
        </is>
      </c>
      <c r="L3623" s="8" t="n"/>
      <c r="M3623" s="12" t="n"/>
      <c r="N3623" s="7" t="inlineStr"/>
      <c r="O3623" s="7" t="inlineStr"/>
    </row>
    <row r="3624">
      <c r="A3624" s="7" t="n">
        <v>608461</v>
      </c>
      <c r="B3624" s="10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1" t="n">
        <v>1</v>
      </c>
      <c r="G3624" s="11" t="n">
        <v>1</v>
      </c>
      <c r="H3624" s="8" t="n">
        <v>6.35</v>
      </c>
      <c r="I3624" s="8" t="n">
        <v>6.35</v>
      </c>
      <c r="J3624" s="8" t="n"/>
      <c r="K3624" s="7" t="inlineStr">
        <is>
          <t>SEM COTAÇÃO</t>
        </is>
      </c>
      <c r="L3624" s="8" t="n"/>
      <c r="M3624" s="12" t="n"/>
      <c r="N3624" s="7" t="inlineStr"/>
      <c r="O3624" s="7" t="inlineStr"/>
    </row>
    <row r="3625">
      <c r="A3625" s="7" t="n">
        <v>608311</v>
      </c>
      <c r="B3625" s="10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1" t="n">
        <v>1</v>
      </c>
      <c r="G3625" s="11" t="n">
        <v>1</v>
      </c>
      <c r="H3625" s="8" t="n">
        <v>6.35</v>
      </c>
      <c r="I3625" s="8" t="n">
        <v>6.35</v>
      </c>
      <c r="J3625" s="8" t="n"/>
      <c r="K3625" s="7" t="inlineStr">
        <is>
          <t>SEM COTAÇÃO</t>
        </is>
      </c>
      <c r="L3625" s="8" t="n"/>
      <c r="M3625" s="12" t="n"/>
      <c r="N3625" s="7" t="inlineStr"/>
      <c r="O3625" s="7" t="inlineStr"/>
    </row>
    <row r="3626">
      <c r="A3626" s="7" t="n">
        <v>593571</v>
      </c>
      <c r="B3626" s="10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1" t="n">
        <v>3</v>
      </c>
      <c r="G3626" s="11" t="n">
        <v>3</v>
      </c>
      <c r="H3626" s="8" t="n">
        <v>6.5817</v>
      </c>
      <c r="I3626" s="8" t="n">
        <v>6.5817</v>
      </c>
      <c r="J3626" s="8" t="n"/>
      <c r="K3626" s="7" t="inlineStr">
        <is>
          <t>SEM COTAÇÃO</t>
        </is>
      </c>
      <c r="L3626" s="8" t="n"/>
      <c r="M3626" s="12" t="n"/>
      <c r="N3626" s="7" t="inlineStr"/>
      <c r="O3626" s="7" t="inlineStr"/>
    </row>
    <row r="3627">
      <c r="A3627" s="7" t="n">
        <v>374221</v>
      </c>
      <c r="B3627" s="10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1" t="n">
        <v>1</v>
      </c>
      <c r="G3627" s="11" t="n">
        <v>1</v>
      </c>
      <c r="H3627" s="8" t="n">
        <v>43.2525</v>
      </c>
      <c r="I3627" s="8" t="n">
        <v>38.84</v>
      </c>
      <c r="J3627" s="8" t="n"/>
      <c r="K3627" s="7" t="inlineStr">
        <is>
          <t>SEM COTAÇÃO</t>
        </is>
      </c>
      <c r="L3627" s="8" t="n"/>
      <c r="M3627" s="12" t="n"/>
      <c r="N3627" s="7" t="inlineStr"/>
      <c r="O3627" s="7" t="inlineStr"/>
    </row>
    <row r="3628">
      <c r="A3628" s="7" t="n">
        <v>204241</v>
      </c>
      <c r="B3628" s="10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1" t="n">
        <v>1</v>
      </c>
      <c r="G3628" s="11" t="n">
        <v>1</v>
      </c>
      <c r="H3628" s="8" t="n">
        <v>86.43000000000001</v>
      </c>
      <c r="I3628" s="8" t="n">
        <v>86.43000000000001</v>
      </c>
      <c r="J3628" s="8" t="n"/>
      <c r="K3628" s="7" t="inlineStr">
        <is>
          <t>SEM COTAÇÃO</t>
        </is>
      </c>
      <c r="L3628" s="8" t="n"/>
      <c r="M3628" s="12" t="n"/>
      <c r="N3628" s="7" t="inlineStr"/>
      <c r="O3628" s="7" t="inlineStr"/>
    </row>
    <row r="3629">
      <c r="A3629" s="7" t="n">
        <v>492781</v>
      </c>
      <c r="B3629" s="10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1" t="n">
        <v>2</v>
      </c>
      <c r="G3629" s="11" t="n">
        <v>2</v>
      </c>
      <c r="H3629" s="8" t="n">
        <v>47.24</v>
      </c>
      <c r="I3629" s="8" t="n">
        <v>47.24</v>
      </c>
      <c r="J3629" s="8" t="n"/>
      <c r="K3629" s="7" t="inlineStr">
        <is>
          <t>SEM COTAÇÃO</t>
        </is>
      </c>
      <c r="L3629" s="8" t="n"/>
      <c r="M3629" s="12" t="n"/>
      <c r="N3629" s="7" t="inlineStr"/>
      <c r="O3629" s="7" t="inlineStr"/>
    </row>
    <row r="3630">
      <c r="A3630" s="7" t="n">
        <v>70701</v>
      </c>
      <c r="B3630" s="10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1" t="n">
        <v>2</v>
      </c>
      <c r="G3630" s="11" t="n">
        <v>2</v>
      </c>
      <c r="H3630" s="8" t="n">
        <v>6.15</v>
      </c>
      <c r="I3630" s="8" t="n">
        <v>6.15</v>
      </c>
      <c r="J3630" s="8" t="n"/>
      <c r="K3630" s="7" t="inlineStr">
        <is>
          <t>SEM COTAÇÃO</t>
        </is>
      </c>
      <c r="L3630" s="8" t="n"/>
      <c r="M3630" s="12" t="n"/>
      <c r="N3630" s="7" t="inlineStr"/>
      <c r="O3630" s="7" t="inlineStr"/>
    </row>
    <row r="3631">
      <c r="A3631" s="7" t="n">
        <v>3363</v>
      </c>
      <c r="B3631" s="10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1" t="n">
        <v>1</v>
      </c>
      <c r="G3631" s="11" t="n">
        <v>1</v>
      </c>
      <c r="H3631" s="8" t="n">
        <v>20.99</v>
      </c>
      <c r="I3631" s="8" t="n">
        <v>20.99</v>
      </c>
      <c r="J3631" s="8" t="n"/>
      <c r="K3631" s="7" t="inlineStr">
        <is>
          <t>SEM COTAÇÃO</t>
        </is>
      </c>
      <c r="L3631" s="8" t="n"/>
      <c r="M3631" s="12" t="n"/>
      <c r="N3631" s="7" t="inlineStr"/>
      <c r="O3631" s="7" t="inlineStr"/>
    </row>
    <row r="3632">
      <c r="A3632" s="7" t="n">
        <v>649771</v>
      </c>
      <c r="B3632" s="10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1" t="n">
        <v>1</v>
      </c>
      <c r="G3632" s="11" t="n">
        <v>1</v>
      </c>
      <c r="H3632" s="8" t="n">
        <v>33.0067</v>
      </c>
      <c r="I3632" s="8" t="n">
        <v>33.0067</v>
      </c>
      <c r="J3632" s="8" t="n"/>
      <c r="K3632" s="7" t="inlineStr">
        <is>
          <t>SEM COTAÇÃO</t>
        </is>
      </c>
      <c r="L3632" s="8" t="n"/>
      <c r="M3632" s="12" t="n"/>
      <c r="N3632" s="7" t="inlineStr"/>
      <c r="O3632" s="7" t="inlineStr"/>
    </row>
    <row r="3633">
      <c r="A3633" s="7" t="n">
        <v>514881</v>
      </c>
      <c r="B3633" s="10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1" t="n">
        <v>1</v>
      </c>
      <c r="G3633" s="11" t="n">
        <v>1</v>
      </c>
      <c r="H3633" s="8" t="n">
        <v>51.51</v>
      </c>
      <c r="I3633" s="8" t="n">
        <v>51.51</v>
      </c>
      <c r="J3633" s="8" t="n"/>
      <c r="K3633" s="7" t="inlineStr">
        <is>
          <t>SEM COTAÇÃO</t>
        </is>
      </c>
      <c r="L3633" s="8" t="n"/>
      <c r="M3633" s="12" t="n"/>
      <c r="N3633" s="7" t="inlineStr"/>
      <c r="O3633" s="7" t="inlineStr"/>
    </row>
    <row r="3634">
      <c r="A3634" s="7" t="n">
        <v>651791</v>
      </c>
      <c r="B3634" s="10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1" t="n">
        <v>1</v>
      </c>
      <c r="G3634" s="11" t="n">
        <v>1</v>
      </c>
      <c r="H3634" s="8" t="n">
        <v>5.0917</v>
      </c>
      <c r="I3634" s="8" t="n">
        <v>5.0917</v>
      </c>
      <c r="J3634" s="8" t="n"/>
      <c r="K3634" s="7" t="inlineStr">
        <is>
          <t>SEM COTAÇÃO</t>
        </is>
      </c>
      <c r="L3634" s="8" t="n"/>
      <c r="M3634" s="12" t="n"/>
      <c r="N3634" s="7" t="inlineStr"/>
      <c r="O3634" s="7" t="inlineStr"/>
    </row>
    <row r="3635">
      <c r="A3635" s="7" t="n">
        <v>234601</v>
      </c>
      <c r="B3635" s="10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1" t="n">
        <v>3</v>
      </c>
      <c r="G3635" s="11" t="n">
        <v>3</v>
      </c>
      <c r="H3635" s="8" t="n">
        <v>37.7017</v>
      </c>
      <c r="I3635" s="8" t="n">
        <v>37.7017</v>
      </c>
      <c r="J3635" s="8" t="n"/>
      <c r="K3635" s="7" t="inlineStr">
        <is>
          <t>SEM COTAÇÃO</t>
        </is>
      </c>
      <c r="L3635" s="8" t="n"/>
      <c r="M3635" s="12" t="n"/>
      <c r="N3635" s="7" t="inlineStr"/>
      <c r="O3635" s="7" t="inlineStr"/>
    </row>
    <row r="3636">
      <c r="A3636" s="7" t="n">
        <v>654181</v>
      </c>
      <c r="B3636" s="10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1" t="n">
        <v>1</v>
      </c>
      <c r="G3636" s="11" t="n">
        <v>1</v>
      </c>
      <c r="H3636" s="8" t="n">
        <v>28.935</v>
      </c>
      <c r="I3636" s="8" t="n">
        <v>28.935</v>
      </c>
      <c r="J3636" s="8" t="n"/>
      <c r="K3636" s="7" t="inlineStr">
        <is>
          <t>SEM COTAÇÃO</t>
        </is>
      </c>
      <c r="L3636" s="8" t="n"/>
      <c r="M3636" s="12" t="n"/>
      <c r="N3636" s="7" t="inlineStr"/>
      <c r="O3636" s="7" t="inlineStr"/>
    </row>
    <row r="3637">
      <c r="A3637" s="7" t="n">
        <v>662901</v>
      </c>
      <c r="B3637" s="10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1" t="n">
        <v>1</v>
      </c>
      <c r="G3637" s="11" t="n">
        <v>1</v>
      </c>
      <c r="H3637" s="8" t="n"/>
      <c r="I3637" s="8" t="n"/>
      <c r="J3637" s="8" t="n"/>
      <c r="K3637" s="7" t="inlineStr">
        <is>
          <t>SEM COTAÇÃO</t>
        </is>
      </c>
      <c r="L3637" s="8" t="n"/>
      <c r="M3637" s="12" t="n"/>
      <c r="N3637" s="7" t="inlineStr"/>
      <c r="O3637" s="7" t="inlineStr"/>
    </row>
    <row r="3638">
      <c r="A3638" s="7" t="n">
        <v>428321</v>
      </c>
      <c r="B3638" s="10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1" t="n">
        <v>3</v>
      </c>
      <c r="G3638" s="11" t="n">
        <v>3</v>
      </c>
      <c r="H3638" s="8" t="n">
        <v>7.9862</v>
      </c>
      <c r="I3638" s="8" t="n">
        <v>7.9862</v>
      </c>
      <c r="J3638" s="8" t="n"/>
      <c r="K3638" s="7" t="inlineStr">
        <is>
          <t>SEM COTAÇÃO</t>
        </is>
      </c>
      <c r="L3638" s="8" t="n"/>
      <c r="M3638" s="12" t="n"/>
      <c r="N3638" s="7" t="inlineStr"/>
      <c r="O3638" s="7" t="inlineStr"/>
    </row>
    <row r="3639">
      <c r="A3639" s="7" t="n">
        <v>161321</v>
      </c>
      <c r="B3639" s="10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1" t="n">
        <v>15</v>
      </c>
      <c r="G3639" s="11" t="n">
        <v>15</v>
      </c>
      <c r="H3639" s="8" t="n">
        <v>0.99</v>
      </c>
      <c r="I3639" s="8" t="n">
        <v>0.99</v>
      </c>
      <c r="J3639" s="8" t="n"/>
      <c r="K3639" s="7" t="inlineStr">
        <is>
          <t>SEM COTAÇÃO</t>
        </is>
      </c>
      <c r="L3639" s="8" t="n"/>
      <c r="M3639" s="12" t="n"/>
      <c r="N3639" s="7" t="inlineStr"/>
      <c r="O3639" s="7" t="inlineStr"/>
    </row>
    <row r="3640">
      <c r="A3640" s="7" t="n">
        <v>659171</v>
      </c>
      <c r="B3640" s="10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1" t="n">
        <v>1</v>
      </c>
      <c r="G3640" s="11" t="n">
        <v>1</v>
      </c>
      <c r="H3640" s="8" t="n">
        <v>35.28</v>
      </c>
      <c r="I3640" s="8" t="n">
        <v>35.28</v>
      </c>
      <c r="J3640" s="8" t="n"/>
      <c r="K3640" s="7" t="inlineStr">
        <is>
          <t>SEM COTAÇÃO</t>
        </is>
      </c>
      <c r="L3640" s="8" t="n"/>
      <c r="M3640" s="12" t="n"/>
      <c r="N3640" s="7" t="inlineStr"/>
      <c r="O3640" s="7" t="inlineStr"/>
    </row>
    <row r="3641">
      <c r="A3641" s="7" t="n">
        <v>578761</v>
      </c>
      <c r="B3641" s="10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1" t="n">
        <v>15</v>
      </c>
      <c r="G3641" s="11" t="n">
        <v>15</v>
      </c>
      <c r="H3641" s="8" t="n">
        <v>8.082000000000001</v>
      </c>
      <c r="I3641" s="8" t="n">
        <v>8.08</v>
      </c>
      <c r="J3641" s="8" t="n"/>
      <c r="K3641" s="7" t="inlineStr">
        <is>
          <t>SEM COTAÇÃO</t>
        </is>
      </c>
      <c r="L3641" s="8" t="n"/>
      <c r="M3641" s="12" t="n"/>
      <c r="N3641" s="7" t="inlineStr"/>
      <c r="O3641" s="7" t="inlineStr"/>
    </row>
    <row r="3642">
      <c r="A3642" s="7" t="n">
        <v>647251</v>
      </c>
      <c r="B3642" s="10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1" t="n">
        <v>1</v>
      </c>
      <c r="G3642" s="11" t="n">
        <v>1</v>
      </c>
      <c r="H3642" s="8" t="n">
        <v>24.6</v>
      </c>
      <c r="I3642" s="8" t="n">
        <v>24.6</v>
      </c>
      <c r="J3642" s="8" t="n"/>
      <c r="K3642" s="7" t="inlineStr">
        <is>
          <t>SEM COTAÇÃO</t>
        </is>
      </c>
      <c r="L3642" s="8" t="n"/>
      <c r="M3642" s="12" t="n"/>
      <c r="N3642" s="7" t="inlineStr"/>
      <c r="O3642" s="7" t="inlineStr"/>
    </row>
    <row r="3643">
      <c r="A3643" s="7" t="n">
        <v>146041</v>
      </c>
      <c r="B3643" s="10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1" t="n">
        <v>5</v>
      </c>
      <c r="G3643" s="11" t="n">
        <v>5</v>
      </c>
      <c r="H3643" s="8" t="n">
        <v>20.171</v>
      </c>
      <c r="I3643" s="8" t="n">
        <v>15.5345</v>
      </c>
      <c r="J3643" s="8" t="n"/>
      <c r="K3643" s="7" t="inlineStr">
        <is>
          <t>SEM COTAÇÃO</t>
        </is>
      </c>
      <c r="L3643" s="8" t="n"/>
      <c r="M3643" s="12" t="n"/>
      <c r="N3643" s="7" t="inlineStr"/>
      <c r="O3643" s="7" t="inlineStr"/>
    </row>
    <row r="3644">
      <c r="A3644" s="7" t="n">
        <v>146061</v>
      </c>
      <c r="B3644" s="10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1" t="n">
        <v>11</v>
      </c>
      <c r="G3644" s="11" t="n">
        <v>11</v>
      </c>
      <c r="H3644" s="8" t="n">
        <v>24.21</v>
      </c>
      <c r="I3644" s="8" t="n">
        <v>19.4555</v>
      </c>
      <c r="J3644" s="8" t="n"/>
      <c r="K3644" s="7" t="inlineStr">
        <is>
          <t>SEM COTAÇÃO</t>
        </is>
      </c>
      <c r="L3644" s="8" t="n"/>
      <c r="M3644" s="12" t="n"/>
      <c r="N3644" s="7" t="inlineStr"/>
      <c r="O3644" s="7" t="inlineStr"/>
    </row>
    <row r="3645">
      <c r="A3645" s="7" t="n">
        <v>485721</v>
      </c>
      <c r="B3645" s="10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1" t="n">
        <v>1</v>
      </c>
      <c r="G3645" s="11" t="n">
        <v>1</v>
      </c>
      <c r="H3645" s="8" t="n">
        <v>24.08</v>
      </c>
      <c r="I3645" s="8" t="n">
        <v>24.08</v>
      </c>
      <c r="J3645" s="8" t="n"/>
      <c r="K3645" s="7" t="inlineStr">
        <is>
          <t>SEM COTAÇÃO</t>
        </is>
      </c>
      <c r="L3645" s="8" t="n"/>
      <c r="M3645" s="12" t="n"/>
      <c r="N3645" s="7" t="inlineStr"/>
      <c r="O3645" s="7" t="inlineStr"/>
    </row>
    <row r="3646">
      <c r="A3646" s="7" t="n">
        <v>658161</v>
      </c>
      <c r="B3646" s="10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1" t="n">
        <v>1</v>
      </c>
      <c r="G3646" s="11" t="n">
        <v>1</v>
      </c>
      <c r="H3646" s="8" t="n">
        <v>13.59</v>
      </c>
      <c r="I3646" s="8" t="n">
        <v>13.59</v>
      </c>
      <c r="J3646" s="8" t="n"/>
      <c r="K3646" s="7" t="inlineStr">
        <is>
          <t>SEM COTAÇÃO</t>
        </is>
      </c>
      <c r="L3646" s="8" t="n"/>
      <c r="M3646" s="12" t="n"/>
      <c r="N3646" s="7" t="inlineStr"/>
      <c r="O3646" s="7" t="inlineStr"/>
    </row>
    <row r="3647">
      <c r="A3647" s="7" t="n">
        <v>657991</v>
      </c>
      <c r="B3647" s="10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1" t="n">
        <v>2</v>
      </c>
      <c r="G3647" s="11" t="n">
        <v>2</v>
      </c>
      <c r="H3647" s="8" t="n">
        <v>14.9867</v>
      </c>
      <c r="I3647" s="8" t="n">
        <v>14.9867</v>
      </c>
      <c r="J3647" s="8" t="n"/>
      <c r="K3647" s="7" t="inlineStr">
        <is>
          <t>SEM COTAÇÃO</t>
        </is>
      </c>
      <c r="L3647" s="8" t="n"/>
      <c r="M3647" s="12" t="n"/>
      <c r="N3647" s="7" t="inlineStr"/>
      <c r="O3647" s="7" t="inlineStr"/>
    </row>
    <row r="3648">
      <c r="A3648" s="7" t="n">
        <v>650281</v>
      </c>
      <c r="B3648" s="10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1" t="n">
        <v>2</v>
      </c>
      <c r="G3648" s="11" t="n">
        <v>2</v>
      </c>
      <c r="H3648" s="8" t="n">
        <v>14.9867</v>
      </c>
      <c r="I3648" s="8" t="n">
        <v>14.9867</v>
      </c>
      <c r="J3648" s="8" t="n"/>
      <c r="K3648" s="7" t="inlineStr">
        <is>
          <t>SEM COTAÇÃO</t>
        </is>
      </c>
      <c r="L3648" s="8" t="n"/>
      <c r="M3648" s="12" t="n"/>
      <c r="N3648" s="7" t="inlineStr"/>
      <c r="O3648" s="7" t="inlineStr"/>
    </row>
    <row r="3649">
      <c r="A3649" s="7" t="n">
        <v>657981</v>
      </c>
      <c r="B3649" s="10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1" t="n">
        <v>2</v>
      </c>
      <c r="G3649" s="11" t="n">
        <v>2</v>
      </c>
      <c r="H3649" s="8" t="n">
        <v>21.1917</v>
      </c>
      <c r="I3649" s="8" t="n">
        <v>21.1917</v>
      </c>
      <c r="J3649" s="8" t="n"/>
      <c r="K3649" s="7" t="inlineStr">
        <is>
          <t>SEM COTAÇÃO</t>
        </is>
      </c>
      <c r="L3649" s="8" t="n"/>
      <c r="M3649" s="12" t="n"/>
      <c r="N3649" s="7" t="inlineStr"/>
      <c r="O3649" s="7" t="inlineStr"/>
    </row>
    <row r="3650">
      <c r="A3650" s="7" t="n">
        <v>622411</v>
      </c>
      <c r="B3650" s="10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1" t="n">
        <v>3</v>
      </c>
      <c r="G3650" s="11" t="n">
        <v>3</v>
      </c>
      <c r="H3650" s="8" t="n">
        <v>11.52</v>
      </c>
      <c r="I3650" s="8" t="n">
        <v>11.52</v>
      </c>
      <c r="J3650" s="13" t="n">
        <v>12.34</v>
      </c>
      <c r="K3650" s="7" t="inlineStr">
        <is>
          <t>DIMEC</t>
        </is>
      </c>
      <c r="L3650" s="8" t="n">
        <v>12.34</v>
      </c>
      <c r="M3650" s="12">
        <f>L3650/H3650-1</f>
        <v/>
      </c>
      <c r="N3650" s="14" t="inlineStr">
        <is>
          <t>ACIMA +7.1%</t>
        </is>
      </c>
      <c r="O3650" s="7" t="inlineStr"/>
    </row>
    <row r="3651">
      <c r="A3651" s="7" t="n">
        <v>624651</v>
      </c>
      <c r="B3651" s="10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1" t="n">
        <v>1</v>
      </c>
      <c r="G3651" s="11" t="n">
        <v>1</v>
      </c>
      <c r="H3651" s="8" t="n">
        <v>24.06</v>
      </c>
      <c r="I3651" s="8" t="n">
        <v>24.06</v>
      </c>
      <c r="J3651" s="8" t="n"/>
      <c r="K3651" s="7" t="inlineStr">
        <is>
          <t>SEM COTAÇÃO</t>
        </is>
      </c>
      <c r="L3651" s="8" t="n"/>
      <c r="M3651" s="12" t="n"/>
      <c r="N3651" s="7" t="inlineStr"/>
      <c r="O3651" s="7" t="inlineStr"/>
    </row>
    <row r="3652">
      <c r="A3652" s="7" t="n">
        <v>624671</v>
      </c>
      <c r="B3652" s="10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1" t="n">
        <v>1</v>
      </c>
      <c r="G3652" s="11" t="n">
        <v>1</v>
      </c>
      <c r="H3652" s="8" t="n">
        <v>24.06</v>
      </c>
      <c r="I3652" s="8" t="n">
        <v>24.06</v>
      </c>
      <c r="J3652" s="8" t="n"/>
      <c r="K3652" s="7" t="inlineStr">
        <is>
          <t>SEM COTAÇÃO</t>
        </is>
      </c>
      <c r="L3652" s="8" t="n"/>
      <c r="M3652" s="12" t="n"/>
      <c r="N3652" s="7" t="inlineStr"/>
      <c r="O3652" s="7" t="inlineStr"/>
    </row>
    <row r="3653">
      <c r="A3653" s="7" t="n">
        <v>624931</v>
      </c>
      <c r="B3653" s="10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1" t="n">
        <v>1</v>
      </c>
      <c r="G3653" s="11" t="n">
        <v>1</v>
      </c>
      <c r="H3653" s="8" t="n">
        <v>21.82</v>
      </c>
      <c r="I3653" s="8" t="n">
        <v>21.82</v>
      </c>
      <c r="J3653" s="8" t="n"/>
      <c r="K3653" s="7" t="inlineStr">
        <is>
          <t>SEM COTAÇÃO</t>
        </is>
      </c>
      <c r="L3653" s="8" t="n"/>
      <c r="M3653" s="12" t="n"/>
      <c r="N3653" s="7" t="inlineStr"/>
      <c r="O3653" s="7" t="inlineStr"/>
    </row>
    <row r="3654">
      <c r="A3654" s="7" t="n">
        <v>2993</v>
      </c>
      <c r="B3654" s="10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1" t="n">
        <v>2</v>
      </c>
      <c r="G3654" s="11" t="n">
        <v>2</v>
      </c>
      <c r="H3654" s="8" t="n">
        <v>5.19</v>
      </c>
      <c r="I3654" s="8" t="n">
        <v>5.19</v>
      </c>
      <c r="J3654" s="8" t="n"/>
      <c r="K3654" s="7" t="inlineStr">
        <is>
          <t>SEM COTAÇÃO</t>
        </is>
      </c>
      <c r="L3654" s="8" t="n"/>
      <c r="M3654" s="12" t="n"/>
      <c r="N3654" s="7" t="inlineStr"/>
      <c r="O3654" s="7" t="inlineStr"/>
    </row>
    <row r="3655">
      <c r="A3655" s="7" t="n">
        <v>652501</v>
      </c>
      <c r="B3655" s="10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1" t="n">
        <v>23</v>
      </c>
      <c r="G3655" s="11" t="n">
        <v>23</v>
      </c>
      <c r="H3655" s="8" t="n">
        <v>2.09</v>
      </c>
      <c r="I3655" s="8" t="n">
        <v>2.09</v>
      </c>
      <c r="J3655" s="8" t="n"/>
      <c r="K3655" s="7" t="inlineStr">
        <is>
          <t>SEM COTAÇÃO</t>
        </is>
      </c>
      <c r="L3655" s="8" t="n"/>
      <c r="M3655" s="12" t="n"/>
      <c r="N3655" s="7" t="inlineStr"/>
      <c r="O3655" s="7" t="inlineStr"/>
    </row>
    <row r="3656">
      <c r="A3656" s="7" t="n">
        <v>804</v>
      </c>
      <c r="B3656" s="10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1" t="n">
        <v>2</v>
      </c>
      <c r="G3656" s="11" t="n">
        <v>2</v>
      </c>
      <c r="H3656" s="8" t="n">
        <v>10</v>
      </c>
      <c r="I3656" s="8" t="n">
        <v>10</v>
      </c>
      <c r="J3656" s="8" t="n"/>
      <c r="K3656" s="7" t="inlineStr">
        <is>
          <t>SEM COTAÇÃO</t>
        </is>
      </c>
      <c r="L3656" s="8" t="n"/>
      <c r="M3656" s="12" t="n"/>
      <c r="N3656" s="7" t="inlineStr"/>
      <c r="O3656" s="7" t="inlineStr"/>
    </row>
    <row r="3657">
      <c r="A3657" s="7" t="n">
        <v>583661</v>
      </c>
      <c r="B3657" s="10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1" t="n">
        <v>55</v>
      </c>
      <c r="G3657" s="11" t="n">
        <v>55</v>
      </c>
      <c r="H3657" s="8" t="n">
        <v>7.95</v>
      </c>
      <c r="I3657" s="8" t="n">
        <v>7.95</v>
      </c>
      <c r="J3657" s="8" t="n"/>
      <c r="K3657" s="7" t="inlineStr">
        <is>
          <t>SEM COTAÇÃO</t>
        </is>
      </c>
      <c r="L3657" s="8" t="n"/>
      <c r="M3657" s="12" t="n"/>
      <c r="N3657" s="7" t="inlineStr"/>
      <c r="O3657" s="7" t="inlineStr"/>
    </row>
    <row r="3658">
      <c r="A3658" s="7" t="n">
        <v>723</v>
      </c>
      <c r="B3658" s="10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1" t="n">
        <v>1</v>
      </c>
      <c r="G3658" s="11" t="n">
        <v>3</v>
      </c>
      <c r="H3658" s="8" t="n">
        <v>11.17</v>
      </c>
      <c r="I3658" s="8" t="n">
        <v>11.17</v>
      </c>
      <c r="J3658" s="8" t="n"/>
      <c r="K3658" s="7" t="inlineStr">
        <is>
          <t>SEM COTAÇÃO</t>
        </is>
      </c>
      <c r="L3658" s="8" t="n"/>
      <c r="M3658" s="12" t="n"/>
      <c r="N3658" s="7" t="inlineStr"/>
      <c r="O3658" s="7" t="inlineStr"/>
    </row>
    <row r="3659">
      <c r="A3659" s="7" t="n">
        <v>587121</v>
      </c>
      <c r="B3659" s="10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1" t="n">
        <v>1</v>
      </c>
      <c r="G3659" s="11" t="n">
        <v>2</v>
      </c>
      <c r="H3659" s="8" t="n">
        <v>7.95</v>
      </c>
      <c r="I3659" s="8" t="n">
        <v>7.95</v>
      </c>
      <c r="J3659" s="8" t="n"/>
      <c r="K3659" s="7" t="inlineStr">
        <is>
          <t>SEM COTAÇÃO</t>
        </is>
      </c>
      <c r="L3659" s="8" t="n"/>
      <c r="M3659" s="12" t="n"/>
      <c r="N3659" s="7" t="inlineStr"/>
      <c r="O3659" s="7" t="inlineStr"/>
    </row>
    <row r="3660">
      <c r="A3660" s="7" t="n">
        <v>635541</v>
      </c>
      <c r="B3660" s="10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1" t="n">
        <v>1</v>
      </c>
      <c r="G3660" s="11" t="n">
        <v>1</v>
      </c>
      <c r="H3660" s="8" t="n">
        <v>7.59</v>
      </c>
      <c r="I3660" s="8" t="n">
        <v>7.59</v>
      </c>
      <c r="J3660" s="8" t="n"/>
      <c r="K3660" s="7" t="inlineStr">
        <is>
          <t>SEM COTAÇÃO</t>
        </is>
      </c>
      <c r="L3660" s="8" t="n"/>
      <c r="M3660" s="12" t="n"/>
      <c r="N3660" s="7" t="inlineStr"/>
      <c r="O3660" s="7" t="inlineStr"/>
    </row>
    <row r="3661">
      <c r="A3661" s="7" t="n">
        <v>733</v>
      </c>
      <c r="B3661" s="10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1" t="n">
        <v>2</v>
      </c>
      <c r="G3661" s="11" t="n">
        <v>5</v>
      </c>
      <c r="H3661" s="8" t="n">
        <v>7.79</v>
      </c>
      <c r="I3661" s="8" t="n">
        <v>7.79</v>
      </c>
      <c r="J3661" s="8" t="n"/>
      <c r="K3661" s="7" t="inlineStr">
        <is>
          <t>SEM COTAÇÃO</t>
        </is>
      </c>
      <c r="L3661" s="8" t="n"/>
      <c r="M3661" s="12" t="n"/>
      <c r="N3661" s="7" t="inlineStr"/>
      <c r="O3661" s="7" t="inlineStr"/>
    </row>
    <row r="3662">
      <c r="A3662" s="7" t="n">
        <v>671651</v>
      </c>
      <c r="B3662" s="10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1" t="n">
        <v>1</v>
      </c>
      <c r="G3662" s="11" t="n">
        <v>4</v>
      </c>
      <c r="H3662" s="8" t="n">
        <v>7.95</v>
      </c>
      <c r="I3662" s="8" t="n">
        <v>7.95</v>
      </c>
      <c r="J3662" s="8" t="n"/>
      <c r="K3662" s="7" t="inlineStr">
        <is>
          <t>SEM COTAÇÃO</t>
        </is>
      </c>
      <c r="L3662" s="8" t="n"/>
      <c r="M3662" s="12" t="n"/>
      <c r="N3662" s="7" t="inlineStr"/>
      <c r="O3662" s="7" t="inlineStr"/>
    </row>
    <row r="3663">
      <c r="A3663" s="7" t="n">
        <v>622891</v>
      </c>
      <c r="B3663" s="10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1" t="n">
        <v>2</v>
      </c>
      <c r="G3663" s="11" t="n">
        <v>2</v>
      </c>
      <c r="H3663" s="8" t="n">
        <v>16.18</v>
      </c>
      <c r="I3663" s="8" t="n">
        <v>14.7067</v>
      </c>
      <c r="J3663" s="8" t="n"/>
      <c r="K3663" s="7" t="inlineStr">
        <is>
          <t>SEM COTAÇÃO</t>
        </is>
      </c>
      <c r="L3663" s="8" t="n"/>
      <c r="M3663" s="12" t="n"/>
      <c r="N3663" s="7" t="inlineStr"/>
      <c r="O3663" s="7" t="inlineStr"/>
    </row>
    <row r="3664">
      <c r="A3664" s="7" t="n">
        <v>14581</v>
      </c>
      <c r="B3664" s="10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1" t="n">
        <v>4</v>
      </c>
      <c r="G3664" s="11" t="n">
        <v>4</v>
      </c>
      <c r="H3664" s="8" t="n">
        <v>13.47</v>
      </c>
      <c r="I3664" s="8" t="n">
        <v>13.47</v>
      </c>
      <c r="J3664" s="8" t="n"/>
      <c r="K3664" s="7" t="inlineStr">
        <is>
          <t>SEM COTAÇÃO</t>
        </is>
      </c>
      <c r="L3664" s="8" t="n"/>
      <c r="M3664" s="12" t="n"/>
      <c r="N3664" s="7" t="inlineStr"/>
      <c r="O3664" s="7" t="inlineStr"/>
    </row>
    <row r="3665">
      <c r="A3665" s="7" t="n">
        <v>14601</v>
      </c>
      <c r="B3665" s="10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1" t="n">
        <v>52</v>
      </c>
      <c r="G3665" s="11" t="n">
        <v>52</v>
      </c>
      <c r="H3665" s="8" t="n">
        <v>17.1093</v>
      </c>
      <c r="I3665" s="8" t="n">
        <v>13.572</v>
      </c>
      <c r="J3665" s="8" t="n"/>
      <c r="K3665" s="7" t="inlineStr">
        <is>
          <t>SEM COTAÇÃO</t>
        </is>
      </c>
      <c r="L3665" s="8" t="n"/>
      <c r="M3665" s="12" t="n"/>
      <c r="N3665" s="7" t="inlineStr"/>
      <c r="O3665" s="7" t="inlineStr"/>
    </row>
    <row r="3666">
      <c r="A3666" s="7" t="n">
        <v>565941</v>
      </c>
      <c r="B3666" s="10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1" t="n">
        <v>10</v>
      </c>
      <c r="G3666" s="11" t="n">
        <v>10</v>
      </c>
      <c r="H3666" s="8" t="n">
        <v>14.155</v>
      </c>
      <c r="I3666" s="8" t="n">
        <v>11.2925</v>
      </c>
      <c r="J3666" s="8" t="n"/>
      <c r="K3666" s="7" t="inlineStr">
        <is>
          <t>SEM COTAÇÃO</t>
        </is>
      </c>
      <c r="L3666" s="8" t="n"/>
      <c r="M3666" s="12" t="n"/>
      <c r="N3666" s="7" t="inlineStr"/>
      <c r="O3666" s="7" t="inlineStr"/>
    </row>
    <row r="3667">
      <c r="A3667" s="7" t="n">
        <v>555441</v>
      </c>
      <c r="B3667" s="10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1" t="n">
        <v>1</v>
      </c>
      <c r="G3667" s="11" t="n">
        <v>1</v>
      </c>
      <c r="H3667" s="8" t="n"/>
      <c r="I3667" s="8" t="n"/>
      <c r="J3667" s="8" t="n"/>
      <c r="K3667" s="7" t="inlineStr">
        <is>
          <t>SEM COTAÇÃO</t>
        </is>
      </c>
      <c r="L3667" s="8" t="n"/>
      <c r="M3667" s="12" t="n"/>
      <c r="N3667" s="7" t="inlineStr"/>
      <c r="O3667" s="7" t="inlineStr"/>
    </row>
    <row r="3668">
      <c r="A3668" s="7" t="n">
        <v>643331</v>
      </c>
      <c r="B3668" s="10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1" t="n">
        <v>1</v>
      </c>
      <c r="G3668" s="11" t="n">
        <v>1</v>
      </c>
      <c r="H3668" s="8" t="n">
        <v>117.03</v>
      </c>
      <c r="I3668" s="8" t="n">
        <v>101.11</v>
      </c>
      <c r="J3668" s="8" t="n"/>
      <c r="K3668" s="7" t="inlineStr">
        <is>
          <t>SEM COTAÇÃO</t>
        </is>
      </c>
      <c r="L3668" s="8" t="n"/>
      <c r="M3668" s="12" t="n"/>
      <c r="N3668" s="7" t="inlineStr"/>
      <c r="O3668" s="7" t="inlineStr"/>
    </row>
    <row r="3669">
      <c r="A3669" s="7" t="n">
        <v>609371</v>
      </c>
      <c r="B3669" s="10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1" t="n">
        <v>1</v>
      </c>
      <c r="G3669" s="11" t="n">
        <v>1</v>
      </c>
      <c r="H3669" s="8" t="n">
        <v>125.03</v>
      </c>
      <c r="I3669" s="8" t="n">
        <v>117.03</v>
      </c>
      <c r="J3669" s="8" t="n"/>
      <c r="K3669" s="7" t="inlineStr">
        <is>
          <t>SEM COTAÇÃO</t>
        </is>
      </c>
      <c r="L3669" s="8" t="n"/>
      <c r="M3669" s="12" t="n"/>
      <c r="N3669" s="7" t="inlineStr"/>
      <c r="O3669" s="7" t="inlineStr"/>
    </row>
    <row r="3670">
      <c r="A3670" s="7" t="n">
        <v>618891</v>
      </c>
      <c r="B3670" s="10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1" t="n">
        <v>1</v>
      </c>
      <c r="G3670" s="11" t="n">
        <v>1</v>
      </c>
      <c r="H3670" s="8" t="n">
        <v>127.93</v>
      </c>
      <c r="I3670" s="8" t="n">
        <v>101.11</v>
      </c>
      <c r="J3670" s="8" t="n"/>
      <c r="K3670" s="7" t="inlineStr">
        <is>
          <t>SEM COTAÇÃO</t>
        </is>
      </c>
      <c r="L3670" s="8" t="n"/>
      <c r="M3670" s="12" t="n"/>
      <c r="N3670" s="7" t="inlineStr"/>
      <c r="O3670" s="7" t="inlineStr"/>
    </row>
    <row r="3671">
      <c r="A3671" s="7" t="n">
        <v>643321</v>
      </c>
      <c r="B3671" s="10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1" t="n">
        <v>2</v>
      </c>
      <c r="G3671" s="11" t="n">
        <v>2</v>
      </c>
      <c r="H3671" s="8" t="n">
        <v>127.93</v>
      </c>
      <c r="I3671" s="8" t="n">
        <v>101.11</v>
      </c>
      <c r="J3671" s="8" t="n"/>
      <c r="K3671" s="7" t="inlineStr">
        <is>
          <t>SEM COTAÇÃO</t>
        </is>
      </c>
      <c r="L3671" s="8" t="n"/>
      <c r="M3671" s="12" t="n"/>
      <c r="N3671" s="7" t="inlineStr"/>
      <c r="O3671" s="7" t="inlineStr"/>
    </row>
    <row r="3672">
      <c r="A3672" s="7" t="n">
        <v>635411</v>
      </c>
      <c r="B3672" s="10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1" t="n">
        <v>1</v>
      </c>
      <c r="G3672" s="11" t="n">
        <v>1</v>
      </c>
      <c r="H3672" s="8" t="n">
        <v>106.26</v>
      </c>
      <c r="I3672" s="8" t="n">
        <v>79.20999999999999</v>
      </c>
      <c r="J3672" s="8" t="n"/>
      <c r="K3672" s="7" t="inlineStr">
        <is>
          <t>SEM COTAÇÃO</t>
        </is>
      </c>
      <c r="L3672" s="8" t="n"/>
      <c r="M3672" s="12" t="n"/>
      <c r="N3672" s="7" t="inlineStr"/>
      <c r="O3672" s="7" t="inlineStr"/>
    </row>
    <row r="3673">
      <c r="A3673" s="7" t="n">
        <v>661441</v>
      </c>
      <c r="B3673" s="10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1" t="n">
        <v>1</v>
      </c>
      <c r="G3673" s="11" t="n">
        <v>1</v>
      </c>
      <c r="H3673" s="8" t="n">
        <v>113.16</v>
      </c>
      <c r="I3673" s="8" t="n">
        <v>113.16</v>
      </c>
      <c r="J3673" s="8" t="n"/>
      <c r="K3673" s="7" t="inlineStr">
        <is>
          <t>SEM COTAÇÃO</t>
        </is>
      </c>
      <c r="L3673" s="8" t="n"/>
      <c r="M3673" s="12" t="n"/>
      <c r="N3673" s="7" t="inlineStr"/>
      <c r="O3673" s="7" t="inlineStr"/>
    </row>
    <row r="3674">
      <c r="A3674" s="7" t="n">
        <v>673221</v>
      </c>
      <c r="B3674" s="10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1" t="n">
        <v>1</v>
      </c>
      <c r="G3674" s="11" t="n">
        <v>1</v>
      </c>
      <c r="H3674" s="8" t="n">
        <v>32.63</v>
      </c>
      <c r="I3674" s="8" t="n">
        <v>32.63</v>
      </c>
      <c r="J3674" s="8" t="n"/>
      <c r="K3674" s="7" t="inlineStr">
        <is>
          <t>SEM COTAÇÃO</t>
        </is>
      </c>
      <c r="L3674" s="8" t="n"/>
      <c r="M3674" s="12" t="n"/>
      <c r="N3674" s="7" t="inlineStr"/>
      <c r="O3674" s="7" t="inlineStr"/>
    </row>
    <row r="3675">
      <c r="A3675" s="7" t="n">
        <v>661501</v>
      </c>
      <c r="B3675" s="10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1" t="n">
        <v>1</v>
      </c>
      <c r="G3675" s="11" t="n">
        <v>1</v>
      </c>
      <c r="H3675" s="8" t="n">
        <v>71.40000000000001</v>
      </c>
      <c r="I3675" s="8" t="n">
        <v>71.40000000000001</v>
      </c>
      <c r="J3675" s="8" t="n"/>
      <c r="K3675" s="7" t="inlineStr">
        <is>
          <t>SEM COTAÇÃO</t>
        </is>
      </c>
      <c r="L3675" s="8" t="n"/>
      <c r="M3675" s="12" t="n"/>
      <c r="N3675" s="7" t="inlineStr"/>
      <c r="O3675" s="7" t="inlineStr"/>
    </row>
    <row r="3676">
      <c r="A3676" s="7" t="n">
        <v>630411</v>
      </c>
      <c r="B3676" s="10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1" t="n">
        <v>1</v>
      </c>
      <c r="G3676" s="11" t="n">
        <v>1</v>
      </c>
      <c r="H3676" s="8" t="n">
        <v>58.81</v>
      </c>
      <c r="I3676" s="8" t="n">
        <v>58.81</v>
      </c>
      <c r="J3676" s="8" t="n"/>
      <c r="K3676" s="7" t="inlineStr">
        <is>
          <t>SEM COTAÇÃO</t>
        </is>
      </c>
      <c r="L3676" s="8" t="n"/>
      <c r="M3676" s="12" t="n"/>
      <c r="N3676" s="7" t="inlineStr"/>
      <c r="O3676" s="7" t="inlineStr"/>
    </row>
    <row r="3677">
      <c r="A3677" s="7" t="n">
        <v>30003</v>
      </c>
      <c r="B3677" s="10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1" t="n">
        <v>3</v>
      </c>
      <c r="G3677" s="11" t="n">
        <v>3</v>
      </c>
      <c r="H3677" s="8" t="n">
        <v>85.67</v>
      </c>
      <c r="I3677" s="8" t="n">
        <v>85.67</v>
      </c>
      <c r="J3677" s="8" t="n"/>
      <c r="K3677" s="7" t="inlineStr">
        <is>
          <t>SEM COTAÇÃO</t>
        </is>
      </c>
      <c r="L3677" s="8" t="n"/>
      <c r="M3677" s="12" t="n"/>
      <c r="N3677" s="7" t="inlineStr"/>
      <c r="O3677" s="7" t="inlineStr"/>
    </row>
    <row r="3678">
      <c r="A3678" s="7" t="n">
        <v>597521</v>
      </c>
      <c r="B3678" s="10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1" t="n">
        <v>1</v>
      </c>
      <c r="G3678" s="11" t="n">
        <v>1</v>
      </c>
      <c r="H3678" s="8" t="n">
        <v>60.74</v>
      </c>
      <c r="I3678" s="8" t="n">
        <v>54.99</v>
      </c>
      <c r="J3678" s="8" t="n"/>
      <c r="K3678" s="7" t="inlineStr">
        <is>
          <t>SEM COTAÇÃO</t>
        </is>
      </c>
      <c r="L3678" s="8" t="n"/>
      <c r="M3678" s="12" t="n"/>
      <c r="N3678" s="7" t="inlineStr"/>
      <c r="O3678" s="7" t="inlineStr"/>
    </row>
    <row r="3679">
      <c r="A3679" s="7" t="n">
        <v>597531</v>
      </c>
      <c r="B3679" s="10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1" t="n">
        <v>1</v>
      </c>
      <c r="G3679" s="11" t="n">
        <v>1</v>
      </c>
      <c r="H3679" s="8" t="n">
        <v>54.99</v>
      </c>
      <c r="I3679" s="8" t="n">
        <v>54.99</v>
      </c>
      <c r="J3679" s="8" t="n"/>
      <c r="K3679" s="7" t="inlineStr">
        <is>
          <t>SEM COTAÇÃO</t>
        </is>
      </c>
      <c r="L3679" s="8" t="n"/>
      <c r="M3679" s="12" t="n"/>
      <c r="N3679" s="7" t="inlineStr"/>
      <c r="O3679" s="7" t="inlineStr"/>
    </row>
    <row r="3680">
      <c r="A3680" s="7" t="n">
        <v>601991</v>
      </c>
      <c r="B3680" s="10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1" t="n">
        <v>1</v>
      </c>
      <c r="G3680" s="11" t="n">
        <v>1</v>
      </c>
      <c r="H3680" s="8" t="n">
        <v>60.74</v>
      </c>
      <c r="I3680" s="8" t="n">
        <v>54.99</v>
      </c>
      <c r="J3680" s="8" t="n"/>
      <c r="K3680" s="7" t="inlineStr">
        <is>
          <t>SEM COTAÇÃO</t>
        </is>
      </c>
      <c r="L3680" s="8" t="n"/>
      <c r="M3680" s="12" t="n"/>
      <c r="N3680" s="7" t="inlineStr"/>
      <c r="O3680" s="7" t="inlineStr"/>
    </row>
    <row r="3681">
      <c r="A3681" s="7" t="n">
        <v>650771</v>
      </c>
      <c r="B3681" s="10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1" t="n">
        <v>1</v>
      </c>
      <c r="G3681" s="11" t="n">
        <v>1</v>
      </c>
      <c r="H3681" s="8" t="n">
        <v>9.34</v>
      </c>
      <c r="I3681" s="8" t="n">
        <v>9.34</v>
      </c>
      <c r="J3681" s="8" t="n"/>
      <c r="K3681" s="7" t="inlineStr">
        <is>
          <t>SEM COTAÇÃO</t>
        </is>
      </c>
      <c r="L3681" s="8" t="n"/>
      <c r="M3681" s="12" t="n"/>
      <c r="N3681" s="7" t="inlineStr"/>
      <c r="O3681" s="7" t="inlineStr"/>
    </row>
    <row r="3682">
      <c r="A3682" s="7" t="n">
        <v>672971</v>
      </c>
      <c r="B3682" s="10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1" t="n">
        <v>1</v>
      </c>
      <c r="G3682" s="11" t="n">
        <v>1</v>
      </c>
      <c r="H3682" s="8" t="n">
        <v>126.46</v>
      </c>
      <c r="I3682" s="8" t="n">
        <v>118.71</v>
      </c>
      <c r="J3682" s="8" t="n"/>
      <c r="K3682" s="7" t="inlineStr">
        <is>
          <t>SEM COTAÇÃO</t>
        </is>
      </c>
      <c r="L3682" s="8" t="n"/>
      <c r="M3682" s="12" t="n"/>
      <c r="N3682" s="7" t="inlineStr"/>
      <c r="O3682" s="7" t="inlineStr"/>
    </row>
    <row r="3683">
      <c r="A3683" s="7" t="n">
        <v>597491</v>
      </c>
      <c r="B3683" s="10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1" t="n">
        <v>1</v>
      </c>
      <c r="G3683" s="11" t="n">
        <v>1</v>
      </c>
      <c r="H3683" s="8" t="n">
        <v>136.08</v>
      </c>
      <c r="I3683" s="8" t="n">
        <v>118.71</v>
      </c>
      <c r="J3683" s="8" t="n"/>
      <c r="K3683" s="7" t="inlineStr">
        <is>
          <t>SEM COTAÇÃO</t>
        </is>
      </c>
      <c r="L3683" s="8" t="n"/>
      <c r="M3683" s="12" t="n"/>
      <c r="N3683" s="7" t="inlineStr"/>
      <c r="O3683" s="7" t="inlineStr"/>
    </row>
    <row r="3684">
      <c r="A3684" s="7" t="n">
        <v>597481</v>
      </c>
      <c r="B3684" s="10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1" t="n">
        <v>1</v>
      </c>
      <c r="G3684" s="11" t="n">
        <v>1</v>
      </c>
      <c r="H3684" s="8" t="n">
        <v>136.08</v>
      </c>
      <c r="I3684" s="8" t="n">
        <v>118.71</v>
      </c>
      <c r="J3684" s="8" t="n"/>
      <c r="K3684" s="7" t="inlineStr">
        <is>
          <t>SEM COTAÇÃO</t>
        </is>
      </c>
      <c r="L3684" s="8" t="n"/>
      <c r="M3684" s="12" t="n"/>
      <c r="N3684" s="7" t="inlineStr"/>
      <c r="O3684" s="7" t="inlineStr"/>
    </row>
    <row r="3685">
      <c r="A3685" s="7" t="n">
        <v>638351</v>
      </c>
      <c r="B3685" s="10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1" t="n">
        <v>1</v>
      </c>
      <c r="G3685" s="11" t="n">
        <v>1</v>
      </c>
      <c r="H3685" s="8" t="n">
        <v>126.46</v>
      </c>
      <c r="I3685" s="8" t="n">
        <v>119.54</v>
      </c>
      <c r="J3685" s="8" t="n"/>
      <c r="K3685" s="7" t="inlineStr">
        <is>
          <t>SEM COTAÇÃO</t>
        </is>
      </c>
      <c r="L3685" s="8" t="n"/>
      <c r="M3685" s="12" t="n"/>
      <c r="N3685" s="7" t="inlineStr"/>
      <c r="O3685" s="7" t="inlineStr"/>
    </row>
    <row r="3686">
      <c r="A3686" s="7" t="n">
        <v>635371</v>
      </c>
      <c r="B3686" s="10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1" t="n">
        <v>1</v>
      </c>
      <c r="G3686" s="11" t="n">
        <v>1</v>
      </c>
      <c r="H3686" s="8" t="n">
        <v>91.91</v>
      </c>
      <c r="I3686" s="8" t="n">
        <v>91.91</v>
      </c>
      <c r="J3686" s="8" t="n"/>
      <c r="K3686" s="7" t="inlineStr">
        <is>
          <t>SEM COTAÇÃO</t>
        </is>
      </c>
      <c r="L3686" s="8" t="n"/>
      <c r="M3686" s="12" t="n"/>
      <c r="N3686" s="7" t="inlineStr"/>
      <c r="O3686" s="7" t="inlineStr"/>
    </row>
    <row r="3687">
      <c r="A3687" s="7" t="n">
        <v>3093</v>
      </c>
      <c r="B3687" s="10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1" t="n">
        <v>21</v>
      </c>
      <c r="G3687" s="11" t="n">
        <v>21</v>
      </c>
      <c r="H3687" s="8" t="n">
        <v>9.228300000000001</v>
      </c>
      <c r="I3687" s="8" t="n">
        <v>8.318300000000001</v>
      </c>
      <c r="J3687" s="8" t="n"/>
      <c r="K3687" s="7" t="inlineStr">
        <is>
          <t>SEM COTAÇÃO</t>
        </is>
      </c>
      <c r="L3687" s="8" t="n"/>
      <c r="M3687" s="12" t="n"/>
      <c r="N3687" s="7" t="inlineStr"/>
      <c r="O3687" s="7" t="inlineStr"/>
    </row>
    <row r="3688">
      <c r="A3688" s="7" t="n">
        <v>644431</v>
      </c>
      <c r="B3688" s="10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1" t="n">
        <v>14</v>
      </c>
      <c r="G3688" s="11" t="n">
        <v>14</v>
      </c>
      <c r="H3688" s="8" t="n">
        <v>8.888299999999999</v>
      </c>
      <c r="I3688" s="8" t="n">
        <v>7.6817</v>
      </c>
      <c r="J3688" s="8" t="n"/>
      <c r="K3688" s="7" t="inlineStr">
        <is>
          <t>SEM COTAÇÃO</t>
        </is>
      </c>
      <c r="L3688" s="8" t="n"/>
      <c r="M3688" s="12" t="n"/>
      <c r="N3688" s="7" t="inlineStr"/>
      <c r="O3688" s="7" t="inlineStr"/>
    </row>
    <row r="3689">
      <c r="A3689" s="7" t="n">
        <v>953</v>
      </c>
      <c r="B3689" s="10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1" t="n">
        <v>15</v>
      </c>
      <c r="G3689" s="11" t="n">
        <v>15</v>
      </c>
      <c r="H3689" s="8" t="n">
        <v>4.1586</v>
      </c>
      <c r="I3689" s="8" t="n">
        <v>3.1338</v>
      </c>
      <c r="J3689" s="8" t="n"/>
      <c r="K3689" s="7" t="inlineStr">
        <is>
          <t>SEM COTAÇÃO</t>
        </is>
      </c>
      <c r="L3689" s="8" t="n"/>
      <c r="M3689" s="12" t="n"/>
      <c r="N3689" s="7" t="inlineStr"/>
      <c r="O3689" s="7" t="inlineStr"/>
    </row>
    <row r="3690">
      <c r="A3690" s="7" t="n">
        <v>3123</v>
      </c>
      <c r="B3690" s="10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1" t="n">
        <v>6</v>
      </c>
      <c r="G3690" s="11" t="n">
        <v>6</v>
      </c>
      <c r="H3690" s="8" t="n">
        <v>7.625</v>
      </c>
      <c r="I3690" s="8" t="n">
        <v>7.625</v>
      </c>
      <c r="J3690" s="8" t="n"/>
      <c r="K3690" s="7" t="inlineStr">
        <is>
          <t>SEM COTAÇÃO</t>
        </is>
      </c>
      <c r="L3690" s="8" t="n"/>
      <c r="M3690" s="12" t="n"/>
      <c r="N3690" s="7" t="inlineStr"/>
      <c r="O3690" s="7" t="inlineStr"/>
    </row>
    <row r="3691">
      <c r="A3691" s="7" t="n">
        <v>607391</v>
      </c>
      <c r="B3691" s="10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1" t="n">
        <v>4</v>
      </c>
      <c r="G3691" s="11" t="n">
        <v>4</v>
      </c>
      <c r="H3691" s="8" t="n">
        <v>3.15</v>
      </c>
      <c r="I3691" s="8" t="n">
        <v>3.15</v>
      </c>
      <c r="J3691" s="8" t="n"/>
      <c r="K3691" s="7" t="inlineStr">
        <is>
          <t>SEM COTAÇÃO</t>
        </is>
      </c>
      <c r="L3691" s="8" t="n"/>
      <c r="M3691" s="12" t="n"/>
      <c r="N3691" s="7" t="inlineStr"/>
      <c r="O3691" s="7" t="inlineStr"/>
    </row>
    <row r="3692">
      <c r="A3692" s="7" t="n">
        <v>599711</v>
      </c>
      <c r="B3692" s="10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1" t="n">
        <v>2</v>
      </c>
      <c r="G3692" s="11" t="n">
        <v>2</v>
      </c>
      <c r="H3692" s="8" t="n">
        <v>3.15</v>
      </c>
      <c r="I3692" s="8" t="n">
        <v>3.15</v>
      </c>
      <c r="J3692" s="8" t="n"/>
      <c r="K3692" s="7" t="inlineStr">
        <is>
          <t>SEM COTAÇÃO</t>
        </is>
      </c>
      <c r="L3692" s="8" t="n"/>
      <c r="M3692" s="12" t="n"/>
      <c r="N3692" s="7" t="inlineStr"/>
      <c r="O3692" s="7" t="inlineStr"/>
    </row>
    <row r="3693">
      <c r="A3693" s="7" t="n">
        <v>646141</v>
      </c>
      <c r="B3693" s="10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1" t="n">
        <v>1</v>
      </c>
      <c r="G3693" s="11" t="n">
        <v>1</v>
      </c>
      <c r="H3693" s="8" t="n">
        <v>20.43</v>
      </c>
      <c r="I3693" s="8" t="n">
        <v>20.43</v>
      </c>
      <c r="J3693" s="8" t="n"/>
      <c r="K3693" s="7" t="inlineStr">
        <is>
          <t>SEM COTAÇÃO</t>
        </is>
      </c>
      <c r="L3693" s="8" t="n"/>
      <c r="M3693" s="12" t="n"/>
      <c r="N3693" s="7" t="inlineStr"/>
      <c r="O3693" s="7" t="inlineStr"/>
    </row>
    <row r="3694">
      <c r="A3694" s="7" t="n">
        <v>629401</v>
      </c>
      <c r="B3694" s="10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1" t="n">
        <v>1</v>
      </c>
      <c r="G3694" s="11" t="n">
        <v>1</v>
      </c>
      <c r="H3694" s="8" t="n">
        <v>11.88</v>
      </c>
      <c r="I3694" s="8" t="n">
        <v>11.88</v>
      </c>
      <c r="J3694" s="8" t="n"/>
      <c r="K3694" s="7" t="inlineStr">
        <is>
          <t>SEM COTAÇÃO</t>
        </is>
      </c>
      <c r="L3694" s="8" t="n"/>
      <c r="M3694" s="12" t="n"/>
      <c r="N3694" s="7" t="inlineStr"/>
      <c r="O3694" s="7" t="inlineStr"/>
    </row>
    <row r="3695">
      <c r="A3695" s="7" t="n">
        <v>611341</v>
      </c>
      <c r="B3695" s="10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1" t="n">
        <v>1</v>
      </c>
      <c r="G3695" s="11" t="n">
        <v>1</v>
      </c>
      <c r="H3695" s="8" t="n">
        <v>11.88</v>
      </c>
      <c r="I3695" s="8" t="n">
        <v>11.88</v>
      </c>
      <c r="J3695" s="8" t="n"/>
      <c r="K3695" s="7" t="inlineStr">
        <is>
          <t>SEM COTAÇÃO</t>
        </is>
      </c>
      <c r="L3695" s="8" t="n"/>
      <c r="M3695" s="12" t="n"/>
      <c r="N3695" s="7" t="inlineStr"/>
      <c r="O3695" s="7" t="inlineStr"/>
    </row>
    <row r="3696">
      <c r="A3696" s="7" t="n">
        <v>608341</v>
      </c>
      <c r="B3696" s="10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1" t="n">
        <v>1</v>
      </c>
      <c r="G3696" s="11" t="n">
        <v>1</v>
      </c>
      <c r="H3696" s="8" t="n">
        <v>10.08</v>
      </c>
      <c r="I3696" s="8" t="n">
        <v>10.08</v>
      </c>
      <c r="J3696" s="8" t="n"/>
      <c r="K3696" s="7" t="inlineStr">
        <is>
          <t>SEM COTAÇÃO</t>
        </is>
      </c>
      <c r="L3696" s="8" t="n"/>
      <c r="M3696" s="12" t="n"/>
      <c r="N3696" s="7" t="inlineStr"/>
      <c r="O3696" s="7" t="inlineStr"/>
    </row>
    <row r="3697">
      <c r="A3697" s="7" t="n">
        <v>608351</v>
      </c>
      <c r="B3697" s="10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1" t="n">
        <v>1</v>
      </c>
      <c r="G3697" s="11" t="n">
        <v>1</v>
      </c>
      <c r="H3697" s="8" t="n">
        <v>11.88</v>
      </c>
      <c r="I3697" s="8" t="n">
        <v>11.88</v>
      </c>
      <c r="J3697" s="8" t="n"/>
      <c r="K3697" s="7" t="inlineStr">
        <is>
          <t>SEM COTAÇÃO</t>
        </is>
      </c>
      <c r="L3697" s="8" t="n"/>
      <c r="M3697" s="12" t="n"/>
      <c r="N3697" s="7" t="inlineStr"/>
      <c r="O3697" s="7" t="inlineStr"/>
    </row>
    <row r="3698">
      <c r="A3698" s="7" t="n">
        <v>629351</v>
      </c>
      <c r="B3698" s="10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1" t="n">
        <v>1</v>
      </c>
      <c r="G3698" s="11" t="n">
        <v>1</v>
      </c>
      <c r="H3698" s="8" t="n">
        <v>11.88</v>
      </c>
      <c r="I3698" s="8" t="n">
        <v>11.88</v>
      </c>
      <c r="J3698" s="8" t="n"/>
      <c r="K3698" s="7" t="inlineStr">
        <is>
          <t>SEM COTAÇÃO</t>
        </is>
      </c>
      <c r="L3698" s="8" t="n"/>
      <c r="M3698" s="12" t="n"/>
      <c r="N3698" s="7" t="inlineStr"/>
      <c r="O3698" s="7" t="inlineStr"/>
    </row>
    <row r="3699">
      <c r="A3699" s="7" t="n">
        <v>616721</v>
      </c>
      <c r="B3699" s="10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1" t="n">
        <v>1</v>
      </c>
      <c r="G3699" s="11" t="n">
        <v>1</v>
      </c>
      <c r="H3699" s="8" t="n">
        <v>11.88</v>
      </c>
      <c r="I3699" s="8" t="n">
        <v>11.88</v>
      </c>
      <c r="J3699" s="8" t="n"/>
      <c r="K3699" s="7" t="inlineStr">
        <is>
          <t>SEM COTAÇÃO</t>
        </is>
      </c>
      <c r="L3699" s="8" t="n"/>
      <c r="M3699" s="12" t="n"/>
      <c r="N3699" s="7" t="inlineStr"/>
      <c r="O3699" s="7" t="inlineStr"/>
    </row>
    <row r="3700">
      <c r="A3700" s="7" t="n">
        <v>616731</v>
      </c>
      <c r="B3700" s="10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1" t="n">
        <v>1</v>
      </c>
      <c r="G3700" s="11" t="n">
        <v>1</v>
      </c>
      <c r="H3700" s="8" t="n">
        <v>11.88</v>
      </c>
      <c r="I3700" s="8" t="n">
        <v>11.88</v>
      </c>
      <c r="J3700" s="8" t="n"/>
      <c r="K3700" s="7" t="inlineStr">
        <is>
          <t>SEM COTAÇÃO</t>
        </is>
      </c>
      <c r="L3700" s="8" t="n"/>
      <c r="M3700" s="12" t="n"/>
      <c r="N3700" s="7" t="inlineStr"/>
      <c r="O3700" s="7" t="inlineStr"/>
    </row>
    <row r="3701">
      <c r="A3701" s="7" t="n">
        <v>114041</v>
      </c>
      <c r="B3701" s="10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1" t="n">
        <v>2</v>
      </c>
      <c r="G3701" s="11" t="n">
        <v>2</v>
      </c>
      <c r="H3701" s="8" t="n">
        <v>13.54</v>
      </c>
      <c r="I3701" s="8" t="n">
        <v>11.94</v>
      </c>
      <c r="J3701" s="8" t="n"/>
      <c r="K3701" s="7" t="inlineStr">
        <is>
          <t>SEM COTAÇÃO</t>
        </is>
      </c>
      <c r="L3701" s="8" t="n"/>
      <c r="M3701" s="12" t="n"/>
      <c r="N3701" s="7" t="inlineStr"/>
      <c r="O3701" s="7" t="inlineStr"/>
    </row>
    <row r="3702">
      <c r="A3702" s="7" t="n">
        <v>5603</v>
      </c>
      <c r="B3702" s="10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1" t="n">
        <v>1</v>
      </c>
      <c r="G3702" s="11" t="n">
        <v>1</v>
      </c>
      <c r="H3702" s="8" t="n">
        <v>8.07</v>
      </c>
      <c r="I3702" s="8" t="n">
        <v>8.07</v>
      </c>
      <c r="J3702" s="13" t="n">
        <v>8.76</v>
      </c>
      <c r="K3702" s="7" t="inlineStr">
        <is>
          <t>DIMEC</t>
        </is>
      </c>
      <c r="L3702" s="8" t="n">
        <v>8.76</v>
      </c>
      <c r="M3702" s="12">
        <f>L3702/H3702-1</f>
        <v/>
      </c>
      <c r="N3702" s="14" t="inlineStr">
        <is>
          <t>ACIMA +8.6%</t>
        </is>
      </c>
      <c r="O3702" s="7" t="inlineStr"/>
    </row>
    <row r="3703">
      <c r="A3703" s="7" t="n">
        <v>5903</v>
      </c>
      <c r="B3703" s="10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1" t="n">
        <v>1</v>
      </c>
      <c r="G3703" s="11" t="n">
        <v>1</v>
      </c>
      <c r="H3703" s="8" t="n">
        <v>8.07</v>
      </c>
      <c r="I3703" s="8" t="n">
        <v>8.07</v>
      </c>
      <c r="J3703" s="13" t="n">
        <v>8.76</v>
      </c>
      <c r="K3703" s="7" t="inlineStr">
        <is>
          <t>DIMEC</t>
        </is>
      </c>
      <c r="L3703" s="8" t="n">
        <v>8.76</v>
      </c>
      <c r="M3703" s="12">
        <f>L3703/H3703-1</f>
        <v/>
      </c>
      <c r="N3703" s="14" t="inlineStr">
        <is>
          <t>ACIMA +8.6%</t>
        </is>
      </c>
      <c r="O3703" s="7" t="inlineStr"/>
    </row>
    <row r="3704">
      <c r="A3704" s="7" t="n">
        <v>6203</v>
      </c>
      <c r="B3704" s="10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1" t="n">
        <v>1</v>
      </c>
      <c r="G3704" s="11" t="n">
        <v>1</v>
      </c>
      <c r="H3704" s="8" t="n">
        <v>8.07</v>
      </c>
      <c r="I3704" s="8" t="n">
        <v>8.07</v>
      </c>
      <c r="J3704" s="8" t="n"/>
      <c r="K3704" s="7" t="inlineStr">
        <is>
          <t>SEM COTAÇÃO</t>
        </is>
      </c>
      <c r="L3704" s="8" t="n"/>
      <c r="M3704" s="12" t="n"/>
      <c r="N3704" s="7" t="inlineStr"/>
      <c r="O3704" s="7" t="inlineStr"/>
    </row>
    <row r="3705">
      <c r="A3705" s="7" t="n">
        <v>5803</v>
      </c>
      <c r="B3705" s="10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1" t="n">
        <v>1</v>
      </c>
      <c r="G3705" s="11" t="n">
        <v>1</v>
      </c>
      <c r="H3705" s="8" t="n">
        <v>8.039999999999999</v>
      </c>
      <c r="I3705" s="8" t="n">
        <v>8.039999999999999</v>
      </c>
      <c r="J3705" s="8" t="n"/>
      <c r="K3705" s="7" t="inlineStr">
        <is>
          <t>SEM COTAÇÃO</t>
        </is>
      </c>
      <c r="L3705" s="8" t="n"/>
      <c r="M3705" s="12" t="n"/>
      <c r="N3705" s="7" t="inlineStr"/>
      <c r="O3705" s="7" t="inlineStr"/>
    </row>
    <row r="3706">
      <c r="A3706" s="7" t="n">
        <v>598301</v>
      </c>
      <c r="B3706" s="10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1" t="n">
        <v>1</v>
      </c>
      <c r="G3706" s="11" t="n">
        <v>1</v>
      </c>
      <c r="H3706" s="8" t="n">
        <v>3.71</v>
      </c>
      <c r="I3706" s="8" t="n">
        <v>3.28</v>
      </c>
      <c r="J3706" s="8" t="n"/>
      <c r="K3706" s="7" t="inlineStr">
        <is>
          <t>SEM COTAÇÃO</t>
        </is>
      </c>
      <c r="L3706" s="8" t="n"/>
      <c r="M3706" s="12" t="n"/>
      <c r="N3706" s="7" t="inlineStr"/>
      <c r="O3706" s="7" t="inlineStr"/>
    </row>
    <row r="3707">
      <c r="A3707" s="7" t="n">
        <v>598361</v>
      </c>
      <c r="B3707" s="10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1" t="n">
        <v>3</v>
      </c>
      <c r="G3707" s="11" t="n">
        <v>3</v>
      </c>
      <c r="H3707" s="8" t="n">
        <v>4.56</v>
      </c>
      <c r="I3707" s="8" t="n">
        <v>4.56</v>
      </c>
      <c r="J3707" s="8" t="n"/>
      <c r="K3707" s="7" t="inlineStr">
        <is>
          <t>SEM COTAÇÃO</t>
        </is>
      </c>
      <c r="L3707" s="8" t="n"/>
      <c r="M3707" s="12" t="n"/>
      <c r="N3707" s="7" t="inlineStr"/>
      <c r="O3707" s="7" t="inlineStr"/>
    </row>
    <row r="3708">
      <c r="A3708" s="7" t="n">
        <v>4223</v>
      </c>
      <c r="B3708" s="10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1" t="n">
        <v>10</v>
      </c>
      <c r="G3708" s="11" t="n">
        <v>10</v>
      </c>
      <c r="H3708" s="8" t="n">
        <v>2.38</v>
      </c>
      <c r="I3708" s="8" t="n">
        <v>2.38</v>
      </c>
      <c r="J3708" s="8" t="n"/>
      <c r="K3708" s="7" t="inlineStr">
        <is>
          <t>SEM COTAÇÃO</t>
        </is>
      </c>
      <c r="L3708" s="8" t="n"/>
      <c r="M3708" s="12" t="n"/>
      <c r="N3708" s="7" t="inlineStr"/>
      <c r="O3708" s="7" t="inlineStr"/>
    </row>
    <row r="3709">
      <c r="A3709" s="7" t="n">
        <v>612781</v>
      </c>
      <c r="B3709" s="10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1" t="n">
        <v>4</v>
      </c>
      <c r="G3709" s="11" t="n">
        <v>4</v>
      </c>
      <c r="H3709" s="8" t="n">
        <v>3.95</v>
      </c>
      <c r="I3709" s="8" t="n">
        <v>3.95</v>
      </c>
      <c r="J3709" s="8" t="n"/>
      <c r="K3709" s="7" t="inlineStr">
        <is>
          <t>SEM COTAÇÃO</t>
        </is>
      </c>
      <c r="L3709" s="8" t="n"/>
      <c r="M3709" s="12" t="n"/>
      <c r="N3709" s="7" t="inlineStr"/>
      <c r="O3709" s="7" t="inlineStr"/>
    </row>
    <row r="3710">
      <c r="A3710" s="7" t="n">
        <v>664401</v>
      </c>
      <c r="B3710" s="10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1" t="n">
        <v>1</v>
      </c>
      <c r="G3710" s="11" t="n">
        <v>1</v>
      </c>
      <c r="H3710" s="8" t="n">
        <v>37.9567</v>
      </c>
      <c r="I3710" s="8" t="n">
        <v>37.9567</v>
      </c>
      <c r="J3710" s="8" t="n"/>
      <c r="K3710" s="7" t="inlineStr">
        <is>
          <t>SEM COTAÇÃO</t>
        </is>
      </c>
      <c r="L3710" s="8" t="n"/>
      <c r="M3710" s="12" t="n"/>
      <c r="N3710" s="7" t="inlineStr"/>
      <c r="O3710" s="7" t="inlineStr"/>
    </row>
    <row r="3711">
      <c r="A3711" s="7" t="n">
        <v>647811</v>
      </c>
      <c r="B3711" s="10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1" t="n">
        <v>1</v>
      </c>
      <c r="G3711" s="11" t="n">
        <v>1</v>
      </c>
      <c r="H3711" s="8" t="n">
        <v>22.2</v>
      </c>
      <c r="I3711" s="8" t="n">
        <v>19.3111</v>
      </c>
      <c r="J3711" s="8" t="n"/>
      <c r="K3711" s="7" t="inlineStr">
        <is>
          <t>SEM COTAÇÃO</t>
        </is>
      </c>
      <c r="L3711" s="8" t="n"/>
      <c r="M3711" s="12" t="n"/>
      <c r="N3711" s="7" t="inlineStr"/>
      <c r="O3711" s="7" t="inlineStr"/>
    </row>
    <row r="3712">
      <c r="A3712" s="7" t="n">
        <v>553</v>
      </c>
      <c r="B3712" s="10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1" t="n">
        <v>1</v>
      </c>
      <c r="G3712" s="11" t="n">
        <v>1</v>
      </c>
      <c r="H3712" s="8" t="n">
        <v>37.74</v>
      </c>
      <c r="I3712" s="8" t="n">
        <v>31.97</v>
      </c>
      <c r="J3712" s="8" t="n"/>
      <c r="K3712" s="7" t="inlineStr">
        <is>
          <t>SEM COTAÇÃO</t>
        </is>
      </c>
      <c r="L3712" s="8" t="n"/>
      <c r="M3712" s="12" t="n"/>
      <c r="N3712" s="7" t="inlineStr"/>
      <c r="O3712" s="7" t="inlineStr"/>
    </row>
    <row r="3713">
      <c r="A3713" s="7" t="n">
        <v>544681</v>
      </c>
      <c r="B3713" s="10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1" t="n">
        <v>2</v>
      </c>
      <c r="G3713" s="11" t="n">
        <v>2</v>
      </c>
      <c r="H3713" s="8" t="n">
        <v>16.21</v>
      </c>
      <c r="I3713" s="8" t="n">
        <v>16.21</v>
      </c>
      <c r="J3713" s="8" t="n"/>
      <c r="K3713" s="7" t="inlineStr">
        <is>
          <t>SEM COTAÇÃO</t>
        </is>
      </c>
      <c r="L3713" s="8" t="n"/>
      <c r="M3713" s="12" t="n"/>
      <c r="N3713" s="7" t="inlineStr"/>
      <c r="O3713" s="7" t="inlineStr"/>
    </row>
    <row r="3714">
      <c r="A3714" s="7" t="n">
        <v>607761</v>
      </c>
      <c r="B3714" s="10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1" t="n">
        <v>2</v>
      </c>
      <c r="G3714" s="11" t="n">
        <v>2</v>
      </c>
      <c r="H3714" s="8" t="n">
        <v>18.38</v>
      </c>
      <c r="I3714" s="8" t="n">
        <v>18.38</v>
      </c>
      <c r="J3714" s="8" t="n"/>
      <c r="K3714" s="7" t="inlineStr">
        <is>
          <t>SEM COTAÇÃO</t>
        </is>
      </c>
      <c r="L3714" s="8" t="n"/>
      <c r="M3714" s="12" t="n"/>
      <c r="N3714" s="7" t="inlineStr"/>
      <c r="O3714" s="7" t="inlineStr"/>
    </row>
    <row r="3715">
      <c r="A3715" s="7" t="n">
        <v>544781</v>
      </c>
      <c r="B3715" s="10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1" t="n">
        <v>3</v>
      </c>
      <c r="G3715" s="11" t="n">
        <v>3</v>
      </c>
      <c r="H3715" s="8" t="n">
        <v>20.92</v>
      </c>
      <c r="I3715" s="8" t="n">
        <v>20.92</v>
      </c>
      <c r="J3715" s="8" t="n"/>
      <c r="K3715" s="7" t="inlineStr">
        <is>
          <t>SEM COTAÇÃO</t>
        </is>
      </c>
      <c r="L3715" s="8" t="n"/>
      <c r="M3715" s="12" t="n"/>
      <c r="N3715" s="7" t="inlineStr"/>
      <c r="O3715" s="7" t="inlineStr"/>
    </row>
    <row r="3716">
      <c r="A3716" s="7" t="n">
        <v>551901</v>
      </c>
      <c r="B3716" s="10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1" t="n">
        <v>3</v>
      </c>
      <c r="G3716" s="11" t="n">
        <v>3</v>
      </c>
      <c r="H3716" s="8" t="n">
        <v>5.59</v>
      </c>
      <c r="I3716" s="8" t="n">
        <v>5.59</v>
      </c>
      <c r="J3716" s="8" t="n"/>
      <c r="K3716" s="7" t="inlineStr">
        <is>
          <t>SEM COTAÇÃO</t>
        </is>
      </c>
      <c r="L3716" s="8" t="n"/>
      <c r="M3716" s="12" t="n"/>
      <c r="N3716" s="7" t="inlineStr"/>
      <c r="O3716" s="7" t="inlineStr"/>
    </row>
    <row r="3717">
      <c r="A3717" s="7" t="n">
        <v>598691</v>
      </c>
      <c r="B3717" s="10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1" t="n">
        <v>1</v>
      </c>
      <c r="G3717" s="11" t="n">
        <v>1</v>
      </c>
      <c r="H3717" s="8" t="n">
        <v>5.94</v>
      </c>
      <c r="I3717" s="8" t="n">
        <v>5.94</v>
      </c>
      <c r="J3717" s="8" t="n"/>
      <c r="K3717" s="7" t="inlineStr">
        <is>
          <t>SEM COTAÇÃO</t>
        </is>
      </c>
      <c r="L3717" s="8" t="n"/>
      <c r="M3717" s="12" t="n"/>
      <c r="N3717" s="7" t="inlineStr"/>
      <c r="O3717" s="7" t="inlineStr"/>
    </row>
    <row r="3718">
      <c r="A3718" s="7" t="n">
        <v>658221</v>
      </c>
      <c r="B3718" s="10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1" t="n">
        <v>1</v>
      </c>
      <c r="G3718" s="11" t="n">
        <v>1</v>
      </c>
      <c r="H3718" s="8" t="n">
        <v>32.24</v>
      </c>
      <c r="I3718" s="8" t="n">
        <v>32.24</v>
      </c>
      <c r="J3718" s="8" t="n"/>
      <c r="K3718" s="7" t="inlineStr">
        <is>
          <t>SEM COTAÇÃO</t>
        </is>
      </c>
      <c r="L3718" s="8" t="n"/>
      <c r="M3718" s="12" t="n"/>
      <c r="N3718" s="7" t="inlineStr"/>
      <c r="O3718" s="7" t="inlineStr"/>
    </row>
    <row r="3719">
      <c r="A3719" s="7" t="n">
        <v>641441</v>
      </c>
      <c r="B3719" s="10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1" t="n">
        <v>1</v>
      </c>
      <c r="G3719" s="11" t="n">
        <v>1</v>
      </c>
      <c r="H3719" s="8" t="n">
        <v>24.6</v>
      </c>
      <c r="I3719" s="8" t="n">
        <v>24.6</v>
      </c>
      <c r="J3719" s="8" t="n"/>
      <c r="K3719" s="7" t="inlineStr">
        <is>
          <t>SEM COTAÇÃO</t>
        </is>
      </c>
      <c r="L3719" s="8" t="n"/>
      <c r="M3719" s="12" t="n"/>
      <c r="N3719" s="7" t="inlineStr"/>
      <c r="O3719" s="7" t="inlineStr"/>
    </row>
    <row r="3720">
      <c r="A3720" s="7" t="n">
        <v>562261</v>
      </c>
      <c r="B3720" s="10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1" t="n">
        <v>1</v>
      </c>
      <c r="G3720" s="11" t="n">
        <v>1</v>
      </c>
      <c r="H3720" s="8" t="n">
        <v>7.47</v>
      </c>
      <c r="I3720" s="8" t="n">
        <v>7.47</v>
      </c>
      <c r="J3720" s="8" t="n"/>
      <c r="K3720" s="7" t="inlineStr">
        <is>
          <t>SEM COTAÇÃO</t>
        </is>
      </c>
      <c r="L3720" s="8" t="n"/>
      <c r="M3720" s="12" t="n"/>
      <c r="N3720" s="7" t="inlineStr"/>
      <c r="O3720" s="7" t="inlineStr"/>
    </row>
    <row r="3721">
      <c r="A3721" s="7" t="n">
        <v>567901</v>
      </c>
      <c r="B3721" s="10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1" t="n">
        <v>3</v>
      </c>
      <c r="G3721" s="11" t="n">
        <v>3</v>
      </c>
      <c r="H3721" s="8" t="n">
        <v>7.47</v>
      </c>
      <c r="I3721" s="8" t="n">
        <v>7.47</v>
      </c>
      <c r="J3721" s="8" t="n"/>
      <c r="K3721" s="7" t="inlineStr">
        <is>
          <t>SEM COTAÇÃO</t>
        </is>
      </c>
      <c r="L3721" s="8" t="n"/>
      <c r="M3721" s="12" t="n"/>
      <c r="N3721" s="7" t="inlineStr"/>
      <c r="O3721" s="7" t="inlineStr"/>
    </row>
    <row r="3722">
      <c r="A3722" s="7" t="n">
        <v>567861</v>
      </c>
      <c r="B3722" s="10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1" t="n">
        <v>1</v>
      </c>
      <c r="G3722" s="11" t="n">
        <v>1</v>
      </c>
      <c r="H3722" s="8" t="n">
        <v>7.47</v>
      </c>
      <c r="I3722" s="8" t="n">
        <v>7.47</v>
      </c>
      <c r="J3722" s="8" t="n"/>
      <c r="K3722" s="7" t="inlineStr">
        <is>
          <t>SEM COTAÇÃO</t>
        </is>
      </c>
      <c r="L3722" s="8" t="n"/>
      <c r="M3722" s="12" t="n"/>
      <c r="N3722" s="7" t="inlineStr"/>
      <c r="O3722" s="7" t="inlineStr"/>
    </row>
    <row r="3723">
      <c r="A3723" s="7" t="n">
        <v>431061</v>
      </c>
      <c r="B3723" s="10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1" t="n">
        <v>5</v>
      </c>
      <c r="G3723" s="11" t="n">
        <v>5</v>
      </c>
      <c r="H3723" s="8" t="n">
        <v>32.3</v>
      </c>
      <c r="I3723" s="8" t="n">
        <v>27.27</v>
      </c>
      <c r="J3723" s="8" t="n"/>
      <c r="K3723" s="7" t="inlineStr">
        <is>
          <t>SEM COTAÇÃO</t>
        </is>
      </c>
      <c r="L3723" s="8" t="n"/>
      <c r="M3723" s="12" t="n"/>
      <c r="N3723" s="7" t="inlineStr"/>
      <c r="O3723" s="7" t="inlineStr"/>
    </row>
    <row r="3724">
      <c r="A3724" s="7" t="n">
        <v>1603</v>
      </c>
      <c r="B3724" s="10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1" t="n">
        <v>1</v>
      </c>
      <c r="G3724" s="11" t="n">
        <v>1</v>
      </c>
      <c r="H3724" s="8" t="n">
        <v>50.15</v>
      </c>
      <c r="I3724" s="8" t="n">
        <v>50.15</v>
      </c>
      <c r="J3724" s="8" t="n"/>
      <c r="K3724" s="7" t="inlineStr">
        <is>
          <t>SEM COTAÇÃO</t>
        </is>
      </c>
      <c r="L3724" s="8" t="n"/>
      <c r="M3724" s="12" t="n"/>
      <c r="N3724" s="7" t="inlineStr"/>
      <c r="O3724" s="7" t="inlineStr"/>
    </row>
    <row r="3725">
      <c r="A3725" s="7" t="n">
        <v>590231</v>
      </c>
      <c r="B3725" s="10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1" t="n">
        <v>4</v>
      </c>
      <c r="G3725" s="11" t="n">
        <v>4</v>
      </c>
      <c r="H3725" s="8" t="n">
        <v>19.9</v>
      </c>
      <c r="I3725" s="8" t="n">
        <v>19.9</v>
      </c>
      <c r="J3725" s="8" t="n"/>
      <c r="K3725" s="7" t="inlineStr">
        <is>
          <t>SEM COTAÇÃO</t>
        </is>
      </c>
      <c r="L3725" s="8" t="n"/>
      <c r="M3725" s="12" t="n"/>
      <c r="N3725" s="7" t="inlineStr"/>
      <c r="O3725" s="7" t="inlineStr"/>
    </row>
    <row r="3726">
      <c r="A3726" s="7" t="n">
        <v>590241</v>
      </c>
      <c r="B3726" s="10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1" t="n">
        <v>1</v>
      </c>
      <c r="G3726" s="11" t="n">
        <v>1</v>
      </c>
      <c r="H3726" s="8" t="n">
        <v>25.34</v>
      </c>
      <c r="I3726" s="8" t="n">
        <v>25.34</v>
      </c>
      <c r="J3726" s="8" t="n"/>
      <c r="K3726" s="7" t="inlineStr">
        <is>
          <t>SEM COTAÇÃO</t>
        </is>
      </c>
      <c r="L3726" s="8" t="n"/>
      <c r="M3726" s="12" t="n"/>
      <c r="N3726" s="7" t="inlineStr"/>
      <c r="O3726" s="7" t="inlineStr"/>
    </row>
    <row r="3727">
      <c r="A3727" s="7" t="n">
        <v>2193</v>
      </c>
      <c r="B3727" s="10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1" t="n">
        <v>1</v>
      </c>
      <c r="G3727" s="11" t="n">
        <v>1</v>
      </c>
      <c r="H3727" s="8" t="n">
        <v>20.39</v>
      </c>
      <c r="I3727" s="8" t="n">
        <v>20.39</v>
      </c>
      <c r="J3727" s="13" t="n">
        <v>16.97</v>
      </c>
      <c r="K3727" s="7" t="inlineStr">
        <is>
          <t>DIMEC</t>
        </is>
      </c>
      <c r="L3727" s="8" t="n">
        <v>16.97</v>
      </c>
      <c r="M3727" s="12">
        <f>L3727/H3727-1</f>
        <v/>
      </c>
      <c r="N3727" s="15" t="inlineStr">
        <is>
          <t>OK (≤ menor hist.)</t>
        </is>
      </c>
      <c r="O3727" s="7" t="inlineStr"/>
    </row>
    <row r="3728">
      <c r="A3728" s="7" t="n">
        <v>557541</v>
      </c>
      <c r="B3728" s="10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1" t="n">
        <v>2</v>
      </c>
      <c r="G3728" s="11" t="n">
        <v>2</v>
      </c>
      <c r="H3728" s="8" t="n">
        <v>18.85</v>
      </c>
      <c r="I3728" s="8" t="n">
        <v>18.85</v>
      </c>
      <c r="J3728" s="8" t="n"/>
      <c r="K3728" s="7" t="inlineStr">
        <is>
          <t>SEM COTAÇÃO</t>
        </is>
      </c>
      <c r="L3728" s="8" t="n"/>
      <c r="M3728" s="12" t="n"/>
      <c r="N3728" s="7" t="inlineStr"/>
      <c r="O3728" s="7" t="inlineStr"/>
    </row>
    <row r="3729">
      <c r="A3729" s="7" t="n">
        <v>3793</v>
      </c>
      <c r="B3729" s="10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1" t="n">
        <v>2</v>
      </c>
      <c r="G3729" s="11" t="n">
        <v>2</v>
      </c>
      <c r="H3729" s="8" t="n">
        <v>8.99</v>
      </c>
      <c r="I3729" s="8" t="n">
        <v>8.99</v>
      </c>
      <c r="J3729" s="8" t="n"/>
      <c r="K3729" s="7" t="inlineStr">
        <is>
          <t>SEM COTAÇÃO</t>
        </is>
      </c>
      <c r="L3729" s="8" t="n"/>
      <c r="M3729" s="12" t="n"/>
      <c r="N3729" s="7" t="inlineStr"/>
      <c r="O3729" s="7" t="inlineStr"/>
    </row>
    <row r="3730">
      <c r="A3730" s="7" t="n">
        <v>315381</v>
      </c>
      <c r="B3730" s="10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1" t="n">
        <v>7</v>
      </c>
      <c r="G3730" s="11" t="n">
        <v>7</v>
      </c>
      <c r="H3730" s="8" t="n">
        <v>22.17</v>
      </c>
      <c r="I3730" s="8" t="n">
        <v>14.55</v>
      </c>
      <c r="J3730" s="8" t="n"/>
      <c r="K3730" s="7" t="inlineStr">
        <is>
          <t>SEM COTAÇÃO</t>
        </is>
      </c>
      <c r="L3730" s="8" t="n"/>
      <c r="M3730" s="12" t="n"/>
      <c r="N3730" s="7" t="inlineStr"/>
      <c r="O3730" s="7" t="inlineStr"/>
    </row>
    <row r="3731">
      <c r="A3731" s="7" t="n">
        <v>315361</v>
      </c>
      <c r="B3731" s="10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1" t="n">
        <v>17</v>
      </c>
      <c r="G3731" s="11" t="n">
        <v>17</v>
      </c>
      <c r="H3731" s="8" t="n">
        <v>21.536</v>
      </c>
      <c r="I3731" s="8" t="n">
        <v>14.14</v>
      </c>
      <c r="J3731" s="8" t="n"/>
      <c r="K3731" s="7" t="inlineStr">
        <is>
          <t>SEM COTAÇÃO</t>
        </is>
      </c>
      <c r="L3731" s="8" t="n"/>
      <c r="M3731" s="12" t="n"/>
      <c r="N3731" s="7" t="inlineStr"/>
      <c r="O3731" s="7" t="inlineStr"/>
    </row>
    <row r="3732">
      <c r="A3732" s="7" t="n">
        <v>315401</v>
      </c>
      <c r="B3732" s="10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1" t="n">
        <v>15</v>
      </c>
      <c r="G3732" s="11" t="n">
        <v>15</v>
      </c>
      <c r="H3732" s="8" t="n">
        <v>15.05</v>
      </c>
      <c r="I3732" s="8" t="n">
        <v>10.27</v>
      </c>
      <c r="J3732" s="8" t="n"/>
      <c r="K3732" s="7" t="inlineStr">
        <is>
          <t>SEM COTAÇÃO</t>
        </is>
      </c>
      <c r="L3732" s="8" t="n"/>
      <c r="M3732" s="12" t="n"/>
      <c r="N3732" s="7" t="inlineStr"/>
      <c r="O3732" s="7" t="inlineStr"/>
    </row>
    <row r="3733">
      <c r="A3733" s="7" t="n">
        <v>666461</v>
      </c>
      <c r="B3733" s="10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1" t="n">
        <v>1</v>
      </c>
      <c r="G3733" s="11" t="n">
        <v>1</v>
      </c>
      <c r="H3733" s="8" t="n">
        <v>20.61</v>
      </c>
      <c r="I3733" s="8" t="n">
        <v>14.57</v>
      </c>
      <c r="J3733" s="8" t="n"/>
      <c r="K3733" s="7" t="inlineStr">
        <is>
          <t>SEM COTAÇÃO</t>
        </is>
      </c>
      <c r="L3733" s="8" t="n"/>
      <c r="M3733" s="12" t="n"/>
      <c r="N3733" s="7" t="inlineStr"/>
      <c r="O3733" s="7" t="inlineStr"/>
    </row>
    <row r="3734">
      <c r="A3734" s="7" t="n">
        <v>662471</v>
      </c>
      <c r="B3734" s="10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1" t="n">
        <v>1</v>
      </c>
      <c r="G3734" s="11" t="n">
        <v>1</v>
      </c>
      <c r="H3734" s="8" t="n">
        <v>22.13</v>
      </c>
      <c r="I3734" s="8" t="n">
        <v>22.13</v>
      </c>
      <c r="J3734" s="8" t="n"/>
      <c r="K3734" s="7" t="inlineStr">
        <is>
          <t>SEM COTAÇÃO</t>
        </is>
      </c>
      <c r="L3734" s="8" t="n"/>
      <c r="M3734" s="12" t="n"/>
      <c r="N3734" s="7" t="inlineStr"/>
      <c r="O3734" s="7" t="inlineStr"/>
    </row>
    <row r="3735">
      <c r="A3735" s="7" t="n">
        <v>624511</v>
      </c>
      <c r="B3735" s="10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1" t="n">
        <v>1</v>
      </c>
      <c r="G3735" s="11" t="n">
        <v>1</v>
      </c>
      <c r="H3735" s="8" t="n">
        <v>33.23</v>
      </c>
      <c r="I3735" s="8" t="n">
        <v>29.22</v>
      </c>
      <c r="J3735" s="8" t="n"/>
      <c r="K3735" s="7" t="inlineStr">
        <is>
          <t>SEM COTAÇÃO</t>
        </is>
      </c>
      <c r="L3735" s="8" t="n"/>
      <c r="M3735" s="12" t="n"/>
      <c r="N3735" s="7" t="inlineStr"/>
      <c r="O3735" s="7" t="inlineStr"/>
    </row>
    <row r="3736">
      <c r="A3736" s="7" t="n">
        <v>4701</v>
      </c>
      <c r="B3736" s="10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1" t="n">
        <v>8</v>
      </c>
      <c r="G3736" s="11" t="n">
        <v>8</v>
      </c>
      <c r="H3736" s="8" t="n">
        <v>8.869999999999999</v>
      </c>
      <c r="I3736" s="8" t="n">
        <v>8.869999999999999</v>
      </c>
      <c r="J3736" s="13" t="n">
        <v>9.41</v>
      </c>
      <c r="K3736" s="7" t="inlineStr">
        <is>
          <t>DIMEC</t>
        </is>
      </c>
      <c r="L3736" s="8" t="n">
        <v>9.41</v>
      </c>
      <c r="M3736" s="12">
        <f>L3736/H3736-1</f>
        <v/>
      </c>
      <c r="N3736" s="14" t="inlineStr">
        <is>
          <t>ACIMA +6.1%</t>
        </is>
      </c>
      <c r="O3736" s="7" t="inlineStr"/>
    </row>
    <row r="3737">
      <c r="A3737" s="7" t="n">
        <v>330061</v>
      </c>
      <c r="B3737" s="10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1" t="n">
        <v>1</v>
      </c>
      <c r="G3737" s="11" t="n">
        <v>17</v>
      </c>
      <c r="H3737" s="8" t="n">
        <v>1.2956</v>
      </c>
      <c r="I3737" s="8" t="n">
        <v>1.2956</v>
      </c>
      <c r="J3737" s="8" t="n"/>
      <c r="K3737" s="7" t="inlineStr">
        <is>
          <t>SEM COTAÇÃO</t>
        </is>
      </c>
      <c r="L3737" s="8" t="n"/>
      <c r="M3737" s="12" t="n"/>
      <c r="N3737" s="7" t="inlineStr"/>
      <c r="O3737" s="7" t="inlineStr"/>
    </row>
    <row r="3738">
      <c r="A3738" s="7" t="n">
        <v>654801</v>
      </c>
      <c r="B3738" s="10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1" t="n">
        <v>5</v>
      </c>
      <c r="G3738" s="11" t="n">
        <v>5</v>
      </c>
      <c r="H3738" s="8" t="n">
        <v>25.49</v>
      </c>
      <c r="I3738" s="8" t="n">
        <v>24.24</v>
      </c>
      <c r="J3738" s="8" t="n"/>
      <c r="K3738" s="7" t="inlineStr">
        <is>
          <t>SEM COTAÇÃO</t>
        </is>
      </c>
      <c r="L3738" s="8" t="n"/>
      <c r="M3738" s="12" t="n"/>
      <c r="N3738" s="7" t="inlineStr"/>
      <c r="O3738" s="7" t="inlineStr"/>
    </row>
    <row r="3739">
      <c r="A3739" s="7" t="n">
        <v>619441</v>
      </c>
      <c r="B3739" s="10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1" t="n">
        <v>2</v>
      </c>
      <c r="G3739" s="11" t="n">
        <v>95</v>
      </c>
      <c r="H3739" s="8" t="n">
        <v>0.4998</v>
      </c>
      <c r="I3739" s="8" t="n">
        <v>0.4998</v>
      </c>
      <c r="J3739" s="8" t="n"/>
      <c r="K3739" s="7" t="inlineStr">
        <is>
          <t>SEM COTAÇÃO</t>
        </is>
      </c>
      <c r="L3739" s="8" t="n"/>
      <c r="M3739" s="12" t="n"/>
      <c r="N3739" s="7" t="inlineStr"/>
      <c r="O3739" s="7" t="inlineStr"/>
    </row>
    <row r="3740">
      <c r="A3740" s="7" t="n">
        <v>29703</v>
      </c>
      <c r="B3740" s="10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1" t="n">
        <v>2</v>
      </c>
      <c r="G3740" s="11" t="n">
        <v>2</v>
      </c>
      <c r="H3740" s="8" t="n">
        <v>71.40000000000001</v>
      </c>
      <c r="I3740" s="8" t="n">
        <v>71.40000000000001</v>
      </c>
      <c r="J3740" s="8" t="n"/>
      <c r="K3740" s="7" t="inlineStr">
        <is>
          <t>SEM COTAÇÃO</t>
        </is>
      </c>
      <c r="L3740" s="8" t="n"/>
      <c r="M3740" s="12" t="n"/>
      <c r="N3740" s="7" t="inlineStr"/>
      <c r="O3740" s="7" t="inlineStr"/>
    </row>
    <row r="3741">
      <c r="A3741" s="7" t="n">
        <v>644301</v>
      </c>
      <c r="B3741" s="10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1" t="n">
        <v>1</v>
      </c>
      <c r="G3741" s="11" t="n">
        <v>1</v>
      </c>
      <c r="H3741" s="8" t="n">
        <v>21.15</v>
      </c>
      <c r="I3741" s="8" t="n">
        <v>21.15</v>
      </c>
      <c r="J3741" s="8" t="n"/>
      <c r="K3741" s="7" t="inlineStr">
        <is>
          <t>SEM COTAÇÃO</t>
        </is>
      </c>
      <c r="L3741" s="8" t="n"/>
      <c r="M3741" s="12" t="n"/>
      <c r="N3741" s="7" t="inlineStr"/>
      <c r="O3741" s="7" t="inlineStr"/>
    </row>
    <row r="3742">
      <c r="A3742" s="7" t="n">
        <v>644311</v>
      </c>
      <c r="B3742" s="10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1" t="n">
        <v>1</v>
      </c>
      <c r="G3742" s="11" t="n">
        <v>1</v>
      </c>
      <c r="H3742" s="8" t="n">
        <v>24.9933</v>
      </c>
      <c r="I3742" s="8" t="n">
        <v>24.9933</v>
      </c>
      <c r="J3742" s="8" t="n"/>
      <c r="K3742" s="7" t="inlineStr">
        <is>
          <t>SEM COTAÇÃO</t>
        </is>
      </c>
      <c r="L3742" s="8" t="n"/>
      <c r="M3742" s="12" t="n"/>
      <c r="N3742" s="7" t="inlineStr"/>
      <c r="O3742" s="7" t="inlineStr"/>
    </row>
    <row r="3743">
      <c r="A3743" s="7" t="n">
        <v>662641</v>
      </c>
      <c r="B3743" s="10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1" t="n">
        <v>2</v>
      </c>
      <c r="G3743" s="11" t="n">
        <v>2</v>
      </c>
      <c r="H3743" s="8" t="n">
        <v>18.5983</v>
      </c>
      <c r="I3743" s="8" t="n">
        <v>18.5983</v>
      </c>
      <c r="J3743" s="8" t="n"/>
      <c r="K3743" s="7" t="inlineStr">
        <is>
          <t>SEM COTAÇÃO</t>
        </is>
      </c>
      <c r="L3743" s="8" t="n"/>
      <c r="M3743" s="12" t="n"/>
      <c r="N3743" s="7" t="inlineStr"/>
      <c r="O3743" s="7" t="inlineStr"/>
    </row>
    <row r="3744">
      <c r="A3744" s="7" t="n">
        <v>662631</v>
      </c>
      <c r="B3744" s="10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1" t="n">
        <v>2</v>
      </c>
      <c r="G3744" s="11" t="n">
        <v>2</v>
      </c>
      <c r="H3744" s="8" t="n">
        <v>25.4956</v>
      </c>
      <c r="I3744" s="8" t="n">
        <v>25.4956</v>
      </c>
      <c r="J3744" s="8" t="n"/>
      <c r="K3744" s="7" t="inlineStr">
        <is>
          <t>SEM COTAÇÃO</t>
        </is>
      </c>
      <c r="L3744" s="8" t="n"/>
      <c r="M3744" s="12" t="n"/>
      <c r="N3744" s="7" t="inlineStr"/>
      <c r="O3744" s="7" t="inlineStr"/>
    </row>
    <row r="3745">
      <c r="A3745" s="7" t="n">
        <v>419001</v>
      </c>
      <c r="B3745" s="10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1" t="n">
        <v>1</v>
      </c>
      <c r="G3745" s="11" t="n">
        <v>1</v>
      </c>
      <c r="H3745" s="8" t="n">
        <v>18.43</v>
      </c>
      <c r="I3745" s="8" t="n">
        <v>13.5</v>
      </c>
      <c r="J3745" s="13" t="n">
        <v>9.99</v>
      </c>
      <c r="K3745" s="7" t="inlineStr">
        <is>
          <t>DIMEC</t>
        </is>
      </c>
      <c r="L3745" s="8" t="n">
        <v>9.99</v>
      </c>
      <c r="M3745" s="12">
        <f>L3745/H3745-1</f>
        <v/>
      </c>
      <c r="N3745" s="15" t="inlineStr">
        <is>
          <t>OK (≤ menor hist.)</t>
        </is>
      </c>
      <c r="O3745" s="7" t="inlineStr"/>
    </row>
    <row r="3746">
      <c r="A3746" s="7" t="n">
        <v>696001</v>
      </c>
      <c r="B3746" s="10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1" t="n">
        <v>1</v>
      </c>
      <c r="G3746" s="11" t="n">
        <v>1</v>
      </c>
      <c r="H3746" s="8" t="n">
        <v>49.48</v>
      </c>
      <c r="I3746" s="8" t="n">
        <v>49.48</v>
      </c>
      <c r="J3746" s="8" t="n"/>
      <c r="K3746" s="7" t="inlineStr">
        <is>
          <t>SEM COTAÇÃO</t>
        </is>
      </c>
      <c r="L3746" s="8" t="n"/>
      <c r="M3746" s="12" t="n"/>
      <c r="N3746" s="7" t="inlineStr"/>
      <c r="O3746" s="7" t="inlineStr"/>
    </row>
    <row r="3747">
      <c r="A3747" s="7" t="n">
        <v>3353</v>
      </c>
      <c r="B3747" s="10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1" t="n">
        <v>2</v>
      </c>
      <c r="G3747" s="11" t="n">
        <v>2</v>
      </c>
      <c r="H3747" s="8" t="n">
        <v>6.21</v>
      </c>
      <c r="I3747" s="8" t="n">
        <v>6.21</v>
      </c>
      <c r="J3747" s="8" t="n"/>
      <c r="K3747" s="7" t="inlineStr">
        <is>
          <t>SEM COTAÇÃO</t>
        </is>
      </c>
      <c r="L3747" s="8" t="n"/>
      <c r="M3747" s="12" t="n"/>
      <c r="N3747" s="7" t="inlineStr"/>
      <c r="O3747" s="7" t="inlineStr"/>
    </row>
    <row r="3748">
      <c r="A3748" s="7" t="n">
        <v>644131</v>
      </c>
      <c r="B3748" s="10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1" t="n">
        <v>10</v>
      </c>
      <c r="G3748" s="11" t="n">
        <v>10</v>
      </c>
      <c r="H3748" s="8" t="n">
        <v>16.3</v>
      </c>
      <c r="I3748" s="8" t="n">
        <v>16.3</v>
      </c>
      <c r="J3748" s="8" t="n"/>
      <c r="K3748" s="7" t="inlineStr">
        <is>
          <t>SEM COTAÇÃO</t>
        </is>
      </c>
      <c r="L3748" s="8" t="n"/>
      <c r="M3748" s="12" t="n"/>
      <c r="N3748" s="7" t="inlineStr"/>
      <c r="O3748" s="7" t="inlineStr"/>
    </row>
    <row r="3749">
      <c r="A3749" s="7" t="n">
        <v>427821</v>
      </c>
      <c r="B3749" s="10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1" t="n">
        <v>1</v>
      </c>
      <c r="G3749" s="11" t="n">
        <v>1</v>
      </c>
      <c r="H3749" s="8" t="n">
        <v>33.14</v>
      </c>
      <c r="I3749" s="8" t="n">
        <v>28.21</v>
      </c>
      <c r="J3749" s="8" t="n"/>
      <c r="K3749" s="7" t="inlineStr">
        <is>
          <t>SEM COTAÇÃO</t>
        </is>
      </c>
      <c r="L3749" s="8" t="n"/>
      <c r="M3749" s="12" t="n"/>
      <c r="N3749" s="7" t="inlineStr"/>
      <c r="O3749" s="7" t="inlineStr"/>
    </row>
    <row r="3750">
      <c r="A3750" s="7" t="n">
        <v>427841</v>
      </c>
      <c r="B3750" s="10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1" t="n">
        <v>1</v>
      </c>
      <c r="G3750" s="11" t="n">
        <v>1</v>
      </c>
      <c r="H3750" s="8" t="n">
        <v>58.89</v>
      </c>
      <c r="I3750" s="8" t="n">
        <v>46.56</v>
      </c>
      <c r="J3750" s="8" t="n"/>
      <c r="K3750" s="7" t="inlineStr">
        <is>
          <t>SEM COTAÇÃO</t>
        </is>
      </c>
      <c r="L3750" s="8" t="n"/>
      <c r="M3750" s="12" t="n"/>
      <c r="N3750" s="7" t="inlineStr"/>
      <c r="O3750" s="7" t="inlineStr"/>
    </row>
    <row r="3751">
      <c r="A3751" s="7" t="n">
        <v>428101</v>
      </c>
      <c r="B3751" s="10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1" t="n">
        <v>1</v>
      </c>
      <c r="G3751" s="11" t="n">
        <v>1</v>
      </c>
      <c r="H3751" s="8" t="n">
        <v>3.89</v>
      </c>
      <c r="I3751" s="8" t="n">
        <v>3.89</v>
      </c>
      <c r="J3751" s="13" t="n">
        <v>7.3</v>
      </c>
      <c r="K3751" s="7" t="inlineStr">
        <is>
          <t>DIMEC</t>
        </is>
      </c>
      <c r="L3751" s="8" t="n">
        <v>7.3</v>
      </c>
      <c r="M3751" s="12">
        <f>L3751/H3751-1</f>
        <v/>
      </c>
      <c r="N3751" s="14" t="inlineStr">
        <is>
          <t>ACIMA +87.7%</t>
        </is>
      </c>
      <c r="O3751" s="7" t="inlineStr"/>
    </row>
    <row r="3752">
      <c r="A3752" s="7" t="n">
        <v>427061</v>
      </c>
      <c r="B3752" s="10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1" t="n">
        <v>4</v>
      </c>
      <c r="G3752" s="11" t="n">
        <v>4</v>
      </c>
      <c r="H3752" s="8" t="n">
        <v>5.39</v>
      </c>
      <c r="I3752" s="8" t="n">
        <v>4.69</v>
      </c>
      <c r="J3752" s="8" t="n"/>
      <c r="K3752" s="7" t="inlineStr">
        <is>
          <t>SEM COTAÇÃO</t>
        </is>
      </c>
      <c r="L3752" s="8" t="n"/>
      <c r="M3752" s="12" t="n"/>
      <c r="N3752" s="7" t="inlineStr"/>
      <c r="O3752" s="7" t="inlineStr"/>
    </row>
    <row r="3753">
      <c r="A3753" s="7" t="n">
        <v>426321</v>
      </c>
      <c r="B3753" s="10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1" t="n">
        <v>5</v>
      </c>
      <c r="G3753" s="11" t="n">
        <v>5</v>
      </c>
      <c r="H3753" s="8" t="n">
        <v>6.47</v>
      </c>
      <c r="I3753" s="8" t="n">
        <v>4.0392</v>
      </c>
      <c r="J3753" s="8" t="n"/>
      <c r="K3753" s="7" t="inlineStr">
        <is>
          <t>SEM COTAÇÃO</t>
        </is>
      </c>
      <c r="L3753" s="8" t="n"/>
      <c r="M3753" s="12" t="n"/>
      <c r="N3753" s="7" t="inlineStr"/>
      <c r="O3753" s="7" t="inlineStr"/>
    </row>
    <row r="3754">
      <c r="A3754" s="7" t="n">
        <v>425921</v>
      </c>
      <c r="B3754" s="10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1" t="n">
        <v>2</v>
      </c>
      <c r="G3754" s="11" t="n">
        <v>2</v>
      </c>
      <c r="H3754" s="8" t="n">
        <v>8.16</v>
      </c>
      <c r="I3754" s="8" t="n">
        <v>8.16</v>
      </c>
      <c r="J3754" s="8" t="n"/>
      <c r="K3754" s="7" t="inlineStr">
        <is>
          <t>SEM COTAÇÃO</t>
        </is>
      </c>
      <c r="L3754" s="8" t="n"/>
      <c r="M3754" s="12" t="n"/>
      <c r="N3754" s="7" t="inlineStr"/>
      <c r="O3754" s="7" t="inlineStr"/>
    </row>
    <row r="3755">
      <c r="A3755" s="7" t="n">
        <v>636381</v>
      </c>
      <c r="B3755" s="10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1" t="n">
        <v>1</v>
      </c>
      <c r="G3755" s="11" t="n">
        <v>1</v>
      </c>
      <c r="H3755" s="8" t="n">
        <v>8.3889</v>
      </c>
      <c r="I3755" s="8" t="n">
        <v>8.3889</v>
      </c>
      <c r="J3755" s="8" t="n"/>
      <c r="K3755" s="7" t="inlineStr">
        <is>
          <t>SEM COTAÇÃO</t>
        </is>
      </c>
      <c r="L3755" s="8" t="n"/>
      <c r="M3755" s="12" t="n"/>
      <c r="N3755" s="7" t="inlineStr"/>
      <c r="O3755" s="7" t="inlineStr"/>
    </row>
    <row r="3756">
      <c r="A3756" s="7" t="n">
        <v>428181</v>
      </c>
      <c r="B3756" s="10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1" t="n">
        <v>5</v>
      </c>
      <c r="G3756" s="11" t="n">
        <v>5</v>
      </c>
      <c r="H3756" s="8" t="n">
        <v>6.83</v>
      </c>
      <c r="I3756" s="8" t="n">
        <v>6.83</v>
      </c>
      <c r="J3756" s="13" t="n">
        <v>14.15</v>
      </c>
      <c r="K3756" s="7" t="inlineStr">
        <is>
          <t>DIMEC</t>
        </is>
      </c>
      <c r="L3756" s="8" t="n">
        <v>14.15</v>
      </c>
      <c r="M3756" s="12">
        <f>L3756/H3756-1</f>
        <v/>
      </c>
      <c r="N3756" s="14" t="inlineStr">
        <is>
          <t>ACIMA +107.2%</t>
        </is>
      </c>
      <c r="O3756" s="7" t="inlineStr">
        <is>
          <t>DIMEC: conferir emb.</t>
        </is>
      </c>
    </row>
    <row r="3757">
      <c r="A3757" s="7" t="n">
        <v>427041</v>
      </c>
      <c r="B3757" s="10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1" t="n">
        <v>19</v>
      </c>
      <c r="G3757" s="11" t="n">
        <v>19</v>
      </c>
      <c r="H3757" s="8" t="n">
        <v>7.29</v>
      </c>
      <c r="I3757" s="8" t="n">
        <v>6.11</v>
      </c>
      <c r="J3757" s="8" t="n"/>
      <c r="K3757" s="7" t="inlineStr">
        <is>
          <t>SEM COTAÇÃO</t>
        </is>
      </c>
      <c r="L3757" s="8" t="n"/>
      <c r="M3757" s="12" t="n"/>
      <c r="N3757" s="7" t="inlineStr"/>
      <c r="O3757" s="7" t="inlineStr"/>
    </row>
    <row r="3758">
      <c r="A3758" s="7" t="n">
        <v>425961</v>
      </c>
      <c r="B3758" s="10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1" t="n">
        <v>17</v>
      </c>
      <c r="G3758" s="11" t="n">
        <v>17</v>
      </c>
      <c r="H3758" s="8" t="n">
        <v>9.7325</v>
      </c>
      <c r="I3758" s="8" t="n">
        <v>6.8156</v>
      </c>
      <c r="J3758" s="8" t="n"/>
      <c r="K3758" s="7" t="inlineStr">
        <is>
          <t>SEM COTAÇÃO</t>
        </is>
      </c>
      <c r="L3758" s="8" t="n"/>
      <c r="M3758" s="12" t="n"/>
      <c r="N3758" s="7" t="inlineStr"/>
      <c r="O3758" s="7" t="inlineStr"/>
    </row>
    <row r="3759">
      <c r="A3759" s="7" t="n">
        <v>425941</v>
      </c>
      <c r="B3759" s="10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1" t="n">
        <v>6</v>
      </c>
      <c r="G3759" s="11" t="n">
        <v>6</v>
      </c>
      <c r="H3759" s="8" t="n">
        <v>10.04</v>
      </c>
      <c r="I3759" s="8" t="n">
        <v>10.04</v>
      </c>
      <c r="J3759" s="8" t="n"/>
      <c r="K3759" s="7" t="inlineStr">
        <is>
          <t>SEM COTAÇÃO</t>
        </is>
      </c>
      <c r="L3759" s="8" t="n"/>
      <c r="M3759" s="12" t="n"/>
      <c r="N3759" s="7" t="inlineStr"/>
      <c r="O3759" s="7" t="inlineStr"/>
    </row>
    <row r="3760">
      <c r="A3760" s="7" t="n">
        <v>428261</v>
      </c>
      <c r="B3760" s="10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1" t="n">
        <v>2</v>
      </c>
      <c r="G3760" s="11" t="n">
        <v>2</v>
      </c>
      <c r="H3760" s="8" t="n">
        <v>42.6</v>
      </c>
      <c r="I3760" s="8" t="n">
        <v>42.6</v>
      </c>
      <c r="J3760" s="8" t="n"/>
      <c r="K3760" s="7" t="inlineStr">
        <is>
          <t>SEM COTAÇÃO</t>
        </is>
      </c>
      <c r="L3760" s="8" t="n"/>
      <c r="M3760" s="12" t="n"/>
      <c r="N3760" s="7" t="inlineStr"/>
      <c r="O3760" s="7" t="inlineStr"/>
    </row>
    <row r="3761">
      <c r="A3761" s="7" t="n">
        <v>667251</v>
      </c>
      <c r="B3761" s="10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1" t="n">
        <v>2</v>
      </c>
      <c r="G3761" s="11" t="n">
        <v>2</v>
      </c>
      <c r="H3761" s="8" t="n">
        <v>5.9</v>
      </c>
      <c r="I3761" s="8" t="n">
        <v>5.9</v>
      </c>
      <c r="J3761" s="13" t="n">
        <v>6.13</v>
      </c>
      <c r="K3761" s="7" t="inlineStr">
        <is>
          <t>DIMEC</t>
        </is>
      </c>
      <c r="L3761" s="8" t="n">
        <v>6.13</v>
      </c>
      <c r="M3761" s="12">
        <f>L3761/H3761-1</f>
        <v/>
      </c>
      <c r="N3761" s="14" t="inlineStr">
        <is>
          <t>ACIMA +3.9%</t>
        </is>
      </c>
      <c r="O3761" s="7" t="inlineStr"/>
    </row>
    <row r="3762">
      <c r="A3762" s="7" t="n">
        <v>13403</v>
      </c>
      <c r="B3762" s="10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1" t="n">
        <v>7</v>
      </c>
      <c r="G3762" s="11" t="n">
        <v>7</v>
      </c>
      <c r="H3762" s="8" t="n">
        <v>4.86</v>
      </c>
      <c r="I3762" s="8" t="n">
        <v>4.86</v>
      </c>
      <c r="J3762" s="8" t="n"/>
      <c r="K3762" s="7" t="inlineStr">
        <is>
          <t>SEM COTAÇÃO</t>
        </is>
      </c>
      <c r="L3762" s="8" t="n"/>
      <c r="M3762" s="12" t="n"/>
      <c r="N3762" s="7" t="inlineStr"/>
      <c r="O3762" s="7" t="inlineStr"/>
    </row>
    <row r="3763">
      <c r="A3763" s="7" t="n">
        <v>13003</v>
      </c>
      <c r="B3763" s="10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1" t="n">
        <v>6</v>
      </c>
      <c r="G3763" s="11" t="n">
        <v>6</v>
      </c>
      <c r="H3763" s="8" t="n">
        <v>4.86</v>
      </c>
      <c r="I3763" s="8" t="n">
        <v>4.86</v>
      </c>
      <c r="J3763" s="8" t="n"/>
      <c r="K3763" s="7" t="inlineStr">
        <is>
          <t>SEM COTAÇÃO</t>
        </is>
      </c>
      <c r="L3763" s="8" t="n"/>
      <c r="M3763" s="12" t="n"/>
      <c r="N3763" s="7" t="inlineStr"/>
      <c r="O3763" s="7" t="inlineStr"/>
    </row>
    <row r="3764">
      <c r="A3764" s="7" t="n">
        <v>13303</v>
      </c>
      <c r="B3764" s="10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1" t="n">
        <v>9</v>
      </c>
      <c r="G3764" s="11" t="n">
        <v>9</v>
      </c>
      <c r="H3764" s="8" t="n">
        <v>4.86</v>
      </c>
      <c r="I3764" s="8" t="n">
        <v>4.86</v>
      </c>
      <c r="J3764" s="8" t="n"/>
      <c r="K3764" s="7" t="inlineStr">
        <is>
          <t>SEM COTAÇÃO</t>
        </is>
      </c>
      <c r="L3764" s="8" t="n"/>
      <c r="M3764" s="12" t="n"/>
      <c r="N3764" s="7" t="inlineStr"/>
      <c r="O3764" s="7" t="inlineStr"/>
    </row>
    <row r="3765">
      <c r="A3765" s="7" t="n">
        <v>602841</v>
      </c>
      <c r="B3765" s="10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1" t="n">
        <v>1</v>
      </c>
      <c r="G3765" s="11" t="n">
        <v>1</v>
      </c>
      <c r="H3765" s="8" t="n">
        <v>1.22</v>
      </c>
      <c r="I3765" s="8" t="n">
        <v>1.22</v>
      </c>
      <c r="J3765" s="8" t="n"/>
      <c r="K3765" s="7" t="inlineStr">
        <is>
          <t>SEM COTAÇÃO</t>
        </is>
      </c>
      <c r="L3765" s="8" t="n"/>
      <c r="M3765" s="12" t="n"/>
      <c r="N3765" s="7" t="inlineStr"/>
      <c r="O3765" s="7" t="inlineStr"/>
    </row>
    <row r="3766">
      <c r="A3766" s="7" t="n">
        <v>646031</v>
      </c>
      <c r="B3766" s="10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1" t="n">
        <v>1</v>
      </c>
      <c r="G3766" s="11" t="n">
        <v>1</v>
      </c>
      <c r="H3766" s="8" t="n">
        <v>1.22</v>
      </c>
      <c r="I3766" s="8" t="n">
        <v>1.22</v>
      </c>
      <c r="J3766" s="8" t="n"/>
      <c r="K3766" s="7" t="inlineStr">
        <is>
          <t>SEM COTAÇÃO</t>
        </is>
      </c>
      <c r="L3766" s="8" t="n"/>
      <c r="M3766" s="12" t="n"/>
      <c r="N3766" s="7" t="inlineStr"/>
      <c r="O3766" s="7" t="inlineStr"/>
    </row>
    <row r="3767">
      <c r="A3767" s="7" t="n">
        <v>646011</v>
      </c>
      <c r="B3767" s="10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1" t="n">
        <v>1</v>
      </c>
      <c r="G3767" s="11" t="n">
        <v>1</v>
      </c>
      <c r="H3767" s="8" t="n">
        <v>1.22</v>
      </c>
      <c r="I3767" s="8" t="n">
        <v>1.22</v>
      </c>
      <c r="J3767" s="8" t="n"/>
      <c r="K3767" s="7" t="inlineStr">
        <is>
          <t>SEM COTAÇÃO</t>
        </is>
      </c>
      <c r="L3767" s="8" t="n"/>
      <c r="M3767" s="12" t="n"/>
      <c r="N3767" s="7" t="inlineStr"/>
      <c r="O3767" s="7" t="inlineStr"/>
    </row>
    <row r="3768">
      <c r="A3768" s="7" t="n">
        <v>646021</v>
      </c>
      <c r="B3768" s="10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1" t="n">
        <v>1</v>
      </c>
      <c r="G3768" s="11" t="n">
        <v>1</v>
      </c>
      <c r="H3768" s="8" t="n">
        <v>1.22</v>
      </c>
      <c r="I3768" s="8" t="n">
        <v>1.22</v>
      </c>
      <c r="J3768" s="8" t="n"/>
      <c r="K3768" s="7" t="inlineStr">
        <is>
          <t>SEM COTAÇÃO</t>
        </is>
      </c>
      <c r="L3768" s="8" t="n"/>
      <c r="M3768" s="12" t="n"/>
      <c r="N3768" s="7" t="inlineStr"/>
      <c r="O3768" s="7" t="inlineStr"/>
    </row>
    <row r="3769">
      <c r="A3769" s="7" t="n">
        <v>646041</v>
      </c>
      <c r="B3769" s="10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1" t="n">
        <v>1</v>
      </c>
      <c r="G3769" s="11" t="n">
        <v>1</v>
      </c>
      <c r="H3769" s="8" t="n">
        <v>1.22</v>
      </c>
      <c r="I3769" s="8" t="n">
        <v>1.22</v>
      </c>
      <c r="J3769" s="8" t="n"/>
      <c r="K3769" s="7" t="inlineStr">
        <is>
          <t>SEM COTAÇÃO</t>
        </is>
      </c>
      <c r="L3769" s="8" t="n"/>
      <c r="M3769" s="12" t="n"/>
      <c r="N3769" s="7" t="inlineStr"/>
      <c r="O3769" s="7" t="inlineStr"/>
    </row>
    <row r="3770">
      <c r="A3770" s="7" t="n">
        <v>646051</v>
      </c>
      <c r="B3770" s="10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1" t="n">
        <v>1</v>
      </c>
      <c r="G3770" s="11" t="n">
        <v>1</v>
      </c>
      <c r="H3770" s="8" t="n">
        <v>1.22</v>
      </c>
      <c r="I3770" s="8" t="n">
        <v>1.22</v>
      </c>
      <c r="J3770" s="8" t="n"/>
      <c r="K3770" s="7" t="inlineStr">
        <is>
          <t>SEM COTAÇÃO</t>
        </is>
      </c>
      <c r="L3770" s="8" t="n"/>
      <c r="M3770" s="12" t="n"/>
      <c r="N3770" s="7" t="inlineStr"/>
      <c r="O3770" s="7" t="inlineStr"/>
    </row>
    <row r="3771">
      <c r="A3771" s="7" t="n">
        <v>646061</v>
      </c>
      <c r="B3771" s="10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1" t="n">
        <v>1</v>
      </c>
      <c r="G3771" s="11" t="n">
        <v>1</v>
      </c>
      <c r="H3771" s="8" t="n">
        <v>1.22</v>
      </c>
      <c r="I3771" s="8" t="n">
        <v>1.22</v>
      </c>
      <c r="J3771" s="8" t="n"/>
      <c r="K3771" s="7" t="inlineStr">
        <is>
          <t>SEM COTAÇÃO</t>
        </is>
      </c>
      <c r="L3771" s="8" t="n"/>
      <c r="M3771" s="12" t="n"/>
      <c r="N3771" s="7" t="inlineStr"/>
      <c r="O3771" s="7" t="inlineStr"/>
    </row>
    <row r="3772">
      <c r="A3772" s="7" t="n">
        <v>2303</v>
      </c>
      <c r="B3772" s="10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1" t="n">
        <v>4</v>
      </c>
      <c r="G3772" s="11" t="n">
        <v>4</v>
      </c>
      <c r="H3772" s="8" t="n">
        <v>1.52</v>
      </c>
      <c r="I3772" s="8" t="n">
        <v>1.52</v>
      </c>
      <c r="J3772" s="8" t="n"/>
      <c r="K3772" s="7" t="inlineStr">
        <is>
          <t>SEM COTAÇÃO</t>
        </is>
      </c>
      <c r="L3772" s="8" t="n"/>
      <c r="M3772" s="12" t="n"/>
      <c r="N3772" s="7" t="inlineStr"/>
      <c r="O3772" s="7" t="inlineStr"/>
    </row>
    <row r="3773">
      <c r="A3773" s="7" t="n">
        <v>646101</v>
      </c>
      <c r="B3773" s="10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1" t="n">
        <v>1</v>
      </c>
      <c r="G3773" s="11" t="n">
        <v>1</v>
      </c>
      <c r="H3773" s="8" t="n">
        <v>1.22</v>
      </c>
      <c r="I3773" s="8" t="n">
        <v>1.22</v>
      </c>
      <c r="J3773" s="8" t="n"/>
      <c r="K3773" s="7" t="inlineStr">
        <is>
          <t>SEM COTAÇÃO</t>
        </is>
      </c>
      <c r="L3773" s="8" t="n"/>
      <c r="M3773" s="12" t="n"/>
      <c r="N3773" s="7" t="inlineStr"/>
      <c r="O3773" s="7" t="inlineStr"/>
    </row>
    <row r="3774">
      <c r="A3774" s="7" t="n">
        <v>646091</v>
      </c>
      <c r="B3774" s="10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1" t="n">
        <v>1</v>
      </c>
      <c r="G3774" s="11" t="n">
        <v>1</v>
      </c>
      <c r="H3774" s="8" t="n">
        <v>1.22</v>
      </c>
      <c r="I3774" s="8" t="n">
        <v>1.22</v>
      </c>
      <c r="J3774" s="8" t="n"/>
      <c r="K3774" s="7" t="inlineStr">
        <is>
          <t>SEM COTAÇÃO</t>
        </is>
      </c>
      <c r="L3774" s="8" t="n"/>
      <c r="M3774" s="12" t="n"/>
      <c r="N3774" s="7" t="inlineStr"/>
      <c r="O3774" s="7" t="inlineStr"/>
    </row>
    <row r="3775">
      <c r="A3775" s="7" t="n">
        <v>602851</v>
      </c>
      <c r="B3775" s="10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1" t="n">
        <v>1</v>
      </c>
      <c r="G3775" s="11" t="n">
        <v>1</v>
      </c>
      <c r="H3775" s="8" t="n">
        <v>1.35</v>
      </c>
      <c r="I3775" s="8" t="n">
        <v>1.35</v>
      </c>
      <c r="J3775" s="8" t="n"/>
      <c r="K3775" s="7" t="inlineStr">
        <is>
          <t>SEM COTAÇÃO</t>
        </is>
      </c>
      <c r="L3775" s="8" t="n"/>
      <c r="M3775" s="12" t="n"/>
      <c r="N3775" s="7" t="inlineStr"/>
      <c r="O3775" s="7" t="inlineStr"/>
    </row>
    <row r="3776">
      <c r="A3776" s="7" t="n">
        <v>646081</v>
      </c>
      <c r="B3776" s="10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1" t="n">
        <v>1</v>
      </c>
      <c r="G3776" s="11" t="n">
        <v>1</v>
      </c>
      <c r="H3776" s="8" t="n">
        <v>1.22</v>
      </c>
      <c r="I3776" s="8" t="n">
        <v>1.22</v>
      </c>
      <c r="J3776" s="8" t="n"/>
      <c r="K3776" s="7" t="inlineStr">
        <is>
          <t>SEM COTAÇÃO</t>
        </is>
      </c>
      <c r="L3776" s="8" t="n"/>
      <c r="M3776" s="12" t="n"/>
      <c r="N3776" s="7" t="inlineStr"/>
      <c r="O3776" s="7" t="inlineStr"/>
    </row>
    <row r="3777">
      <c r="A3777" s="7" t="n">
        <v>646071</v>
      </c>
      <c r="B3777" s="10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1" t="n">
        <v>1</v>
      </c>
      <c r="G3777" s="11" t="n">
        <v>1</v>
      </c>
      <c r="H3777" s="8" t="n">
        <v>1.22</v>
      </c>
      <c r="I3777" s="8" t="n">
        <v>1.22</v>
      </c>
      <c r="J3777" s="8" t="n"/>
      <c r="K3777" s="7" t="inlineStr">
        <is>
          <t>SEM COTAÇÃO</t>
        </is>
      </c>
      <c r="L3777" s="8" t="n"/>
      <c r="M3777" s="12" t="n"/>
      <c r="N3777" s="7" t="inlineStr"/>
      <c r="O3777" s="7" t="inlineStr"/>
    </row>
    <row r="3778">
      <c r="A3778" s="7" t="n">
        <v>663181</v>
      </c>
      <c r="B3778" s="10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1" t="n">
        <v>3</v>
      </c>
      <c r="G3778" s="11" t="n">
        <v>3</v>
      </c>
      <c r="H3778" s="8" t="n">
        <v>3.1208</v>
      </c>
      <c r="I3778" s="8" t="n">
        <v>3.1208</v>
      </c>
      <c r="J3778" s="8" t="n"/>
      <c r="K3778" s="7" t="inlineStr">
        <is>
          <t>SEM COTAÇÃO</t>
        </is>
      </c>
      <c r="L3778" s="8" t="n"/>
      <c r="M3778" s="12" t="n"/>
      <c r="N3778" s="7" t="inlineStr"/>
      <c r="O3778" s="7" t="inlineStr"/>
    </row>
    <row r="3779">
      <c r="A3779" s="7" t="n">
        <v>663191</v>
      </c>
      <c r="B3779" s="10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1" t="n">
        <v>4</v>
      </c>
      <c r="G3779" s="11" t="n">
        <v>4</v>
      </c>
      <c r="H3779" s="8" t="n">
        <v>3.1208</v>
      </c>
      <c r="I3779" s="8" t="n">
        <v>3.1208</v>
      </c>
      <c r="J3779" s="8" t="n"/>
      <c r="K3779" s="7" t="inlineStr">
        <is>
          <t>SEM COTAÇÃO</t>
        </is>
      </c>
      <c r="L3779" s="8" t="n"/>
      <c r="M3779" s="12" t="n"/>
      <c r="N3779" s="7" t="inlineStr"/>
      <c r="O3779" s="7" t="inlineStr"/>
    </row>
    <row r="3780">
      <c r="A3780" s="7" t="n">
        <v>663201</v>
      </c>
      <c r="B3780" s="10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1" t="n">
        <v>3</v>
      </c>
      <c r="G3780" s="11" t="n">
        <v>3</v>
      </c>
      <c r="H3780" s="8" t="n">
        <v>3.1208</v>
      </c>
      <c r="I3780" s="8" t="n">
        <v>3.1208</v>
      </c>
      <c r="J3780" s="8" t="n"/>
      <c r="K3780" s="7" t="inlineStr">
        <is>
          <t>SEM COTAÇÃO</t>
        </is>
      </c>
      <c r="L3780" s="8" t="n"/>
      <c r="M3780" s="12" t="n"/>
      <c r="N3780" s="7" t="inlineStr"/>
      <c r="O3780" s="7" t="inlineStr"/>
    </row>
    <row r="3781">
      <c r="A3781" s="7" t="n">
        <v>663211</v>
      </c>
      <c r="B3781" s="10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1" t="n">
        <v>3</v>
      </c>
      <c r="G3781" s="11" t="n">
        <v>3</v>
      </c>
      <c r="H3781" s="8" t="n">
        <v>3.1208</v>
      </c>
      <c r="I3781" s="8" t="n">
        <v>3.1208</v>
      </c>
      <c r="J3781" s="8" t="n"/>
      <c r="K3781" s="7" t="inlineStr">
        <is>
          <t>SEM COTAÇÃO</t>
        </is>
      </c>
      <c r="L3781" s="8" t="n"/>
      <c r="M3781" s="12" t="n"/>
      <c r="N3781" s="7" t="inlineStr"/>
      <c r="O3781" s="7" t="inlineStr"/>
    </row>
    <row r="3782">
      <c r="A3782" s="7" t="n">
        <v>623921</v>
      </c>
      <c r="B3782" s="10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1" t="n">
        <v>2</v>
      </c>
      <c r="G3782" s="11" t="n">
        <v>2</v>
      </c>
      <c r="H3782" s="8" t="n">
        <v>3.75</v>
      </c>
      <c r="I3782" s="8" t="n">
        <v>3.75</v>
      </c>
      <c r="J3782" s="8" t="n"/>
      <c r="K3782" s="7" t="inlineStr">
        <is>
          <t>SEM COTAÇÃO</t>
        </is>
      </c>
      <c r="L3782" s="8" t="n"/>
      <c r="M3782" s="12" t="n"/>
      <c r="N3782" s="7" t="inlineStr"/>
      <c r="O3782" s="7" t="inlineStr"/>
    </row>
    <row r="3783">
      <c r="A3783" s="7" t="n">
        <v>234</v>
      </c>
      <c r="B3783" s="10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1" t="n">
        <v>1</v>
      </c>
      <c r="G3783" s="11" t="n">
        <v>1</v>
      </c>
      <c r="H3783" s="8" t="n"/>
      <c r="I3783" s="8" t="n"/>
      <c r="J3783" s="13" t="n">
        <v>5.74</v>
      </c>
      <c r="K3783" s="7" t="inlineStr">
        <is>
          <t>DIMEC</t>
        </is>
      </c>
      <c r="L3783" s="8" t="n">
        <v>5.74</v>
      </c>
      <c r="M3783" s="12" t="n"/>
      <c r="N3783" s="7" t="inlineStr">
        <is>
          <t>SEM HISTÓRICO</t>
        </is>
      </c>
      <c r="O3783" s="7" t="inlineStr"/>
    </row>
    <row r="3784">
      <c r="A3784" s="7" t="n">
        <v>590251</v>
      </c>
      <c r="B3784" s="10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1" t="n">
        <v>1</v>
      </c>
      <c r="G3784" s="11" t="n">
        <v>1</v>
      </c>
      <c r="H3784" s="8" t="n">
        <v>3.7046</v>
      </c>
      <c r="I3784" s="8" t="n">
        <v>3.7046</v>
      </c>
      <c r="J3784" s="8" t="n"/>
      <c r="K3784" s="7" t="inlineStr">
        <is>
          <t>SEM COTAÇÃO</t>
        </is>
      </c>
      <c r="L3784" s="8" t="n"/>
      <c r="M3784" s="12" t="n"/>
      <c r="N3784" s="7" t="inlineStr"/>
      <c r="O3784" s="7" t="inlineStr"/>
    </row>
    <row r="3785">
      <c r="A3785" s="7" t="n">
        <v>615871</v>
      </c>
      <c r="B3785" s="10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1" t="n">
        <v>4</v>
      </c>
      <c r="G3785" s="11" t="n">
        <v>4</v>
      </c>
      <c r="H3785" s="8" t="n">
        <v>3.7183</v>
      </c>
      <c r="I3785" s="8" t="n">
        <v>3.7183</v>
      </c>
      <c r="J3785" s="8" t="n"/>
      <c r="K3785" s="7" t="inlineStr">
        <is>
          <t>SEM COTAÇÃO</t>
        </is>
      </c>
      <c r="L3785" s="8" t="n"/>
      <c r="M3785" s="12" t="n"/>
      <c r="N3785" s="7" t="inlineStr"/>
      <c r="O3785" s="7" t="inlineStr"/>
    </row>
    <row r="3786">
      <c r="A3786" s="7" t="n">
        <v>615881</v>
      </c>
      <c r="B3786" s="10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1" t="n">
        <v>1</v>
      </c>
      <c r="G3786" s="11" t="n">
        <v>1</v>
      </c>
      <c r="H3786" s="8" t="n">
        <v>3.55</v>
      </c>
      <c r="I3786" s="8" t="n">
        <v>3.55</v>
      </c>
      <c r="J3786" s="8" t="n"/>
      <c r="K3786" s="7" t="inlineStr">
        <is>
          <t>SEM COTAÇÃO</t>
        </is>
      </c>
      <c r="L3786" s="8" t="n"/>
      <c r="M3786" s="12" t="n"/>
      <c r="N3786" s="7" t="inlineStr"/>
      <c r="O3786" s="7" t="inlineStr"/>
    </row>
    <row r="3787">
      <c r="A3787" s="7" t="n">
        <v>615891</v>
      </c>
      <c r="B3787" s="10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1" t="n">
        <v>4</v>
      </c>
      <c r="G3787" s="11" t="n">
        <v>4</v>
      </c>
      <c r="H3787" s="8" t="n">
        <v>5.0925</v>
      </c>
      <c r="I3787" s="8" t="n">
        <v>4.5025</v>
      </c>
      <c r="J3787" s="8" t="n"/>
      <c r="K3787" s="7" t="inlineStr">
        <is>
          <t>SEM COTAÇÃO</t>
        </is>
      </c>
      <c r="L3787" s="8" t="n"/>
      <c r="M3787" s="12" t="n"/>
      <c r="N3787" s="7" t="inlineStr"/>
      <c r="O3787" s="7" t="inlineStr"/>
    </row>
    <row r="3788">
      <c r="A3788" s="7" t="n">
        <v>615901</v>
      </c>
      <c r="B3788" s="10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1" t="n">
        <v>4</v>
      </c>
      <c r="G3788" s="11" t="n">
        <v>4</v>
      </c>
      <c r="H3788" s="8" t="n">
        <v>5.0925</v>
      </c>
      <c r="I3788" s="8" t="n">
        <v>5.0925</v>
      </c>
      <c r="J3788" s="8" t="n"/>
      <c r="K3788" s="7" t="inlineStr">
        <is>
          <t>SEM COTAÇÃO</t>
        </is>
      </c>
      <c r="L3788" s="8" t="n"/>
      <c r="M3788" s="12" t="n"/>
      <c r="N3788" s="7" t="inlineStr"/>
      <c r="O3788" s="7" t="inlineStr"/>
    </row>
    <row r="3789">
      <c r="A3789" s="7" t="n">
        <v>610851</v>
      </c>
      <c r="B3789" s="10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1" t="n">
        <v>4</v>
      </c>
      <c r="G3789" s="11" t="n">
        <v>4</v>
      </c>
      <c r="H3789" s="8" t="n">
        <v>5.0925</v>
      </c>
      <c r="I3789" s="8" t="n">
        <v>5.0925</v>
      </c>
      <c r="J3789" s="8" t="n"/>
      <c r="K3789" s="7" t="inlineStr">
        <is>
          <t>SEM COTAÇÃO</t>
        </is>
      </c>
      <c r="L3789" s="8" t="n"/>
      <c r="M3789" s="12" t="n"/>
      <c r="N3789" s="7" t="inlineStr"/>
      <c r="O3789" s="7" t="inlineStr"/>
    </row>
    <row r="3790">
      <c r="A3790" s="7" t="n">
        <v>663221</v>
      </c>
      <c r="B3790" s="10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1" t="n">
        <v>1</v>
      </c>
      <c r="G3790" s="11" t="n">
        <v>1</v>
      </c>
      <c r="H3790" s="8" t="n">
        <v>15.38</v>
      </c>
      <c r="I3790" s="8" t="n">
        <v>15.38</v>
      </c>
      <c r="J3790" s="8" t="n"/>
      <c r="K3790" s="7" t="inlineStr">
        <is>
          <t>SEM COTAÇÃO</t>
        </is>
      </c>
      <c r="L3790" s="8" t="n"/>
      <c r="M3790" s="12" t="n"/>
      <c r="N3790" s="7" t="inlineStr"/>
      <c r="O3790" s="7" t="inlineStr"/>
    </row>
    <row r="3791">
      <c r="A3791" s="7" t="n">
        <v>663231</v>
      </c>
      <c r="B3791" s="10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1" t="n">
        <v>1</v>
      </c>
      <c r="G3791" s="11" t="n">
        <v>1</v>
      </c>
      <c r="H3791" s="8" t="n">
        <v>15.38</v>
      </c>
      <c r="I3791" s="8" t="n">
        <v>15.38</v>
      </c>
      <c r="J3791" s="8" t="n"/>
      <c r="K3791" s="7" t="inlineStr">
        <is>
          <t>SEM COTAÇÃO</t>
        </is>
      </c>
      <c r="L3791" s="8" t="n"/>
      <c r="M3791" s="12" t="n"/>
      <c r="N3791" s="7" t="inlineStr"/>
      <c r="O3791" s="7" t="inlineStr"/>
    </row>
    <row r="3792">
      <c r="A3792" s="7" t="n">
        <v>660551</v>
      </c>
      <c r="B3792" s="10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1" t="n">
        <v>1</v>
      </c>
      <c r="G3792" s="11" t="n">
        <v>1</v>
      </c>
      <c r="H3792" s="8" t="n">
        <v>21.04</v>
      </c>
      <c r="I3792" s="8" t="n">
        <v>21.04</v>
      </c>
      <c r="J3792" s="8" t="n"/>
      <c r="K3792" s="7" t="inlineStr">
        <is>
          <t>SEM COTAÇÃO</t>
        </is>
      </c>
      <c r="L3792" s="8" t="n"/>
      <c r="M3792" s="12" t="n"/>
      <c r="N3792" s="7" t="inlineStr"/>
      <c r="O3792" s="7" t="inlineStr"/>
    </row>
    <row r="3793">
      <c r="A3793" s="7" t="n">
        <v>663241</v>
      </c>
      <c r="B3793" s="10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1" t="n">
        <v>1</v>
      </c>
      <c r="G3793" s="11" t="n">
        <v>1</v>
      </c>
      <c r="H3793" s="8" t="n">
        <v>11.685</v>
      </c>
      <c r="I3793" s="8" t="n">
        <v>10.565</v>
      </c>
      <c r="J3793" s="8" t="n"/>
      <c r="K3793" s="7" t="inlineStr">
        <is>
          <t>SEM COTAÇÃO</t>
        </is>
      </c>
      <c r="L3793" s="8" t="n"/>
      <c r="M3793" s="12" t="n"/>
      <c r="N3793" s="7" t="inlineStr"/>
      <c r="O3793" s="7" t="inlineStr"/>
    </row>
    <row r="3794">
      <c r="A3794" s="7" t="n">
        <v>643751</v>
      </c>
      <c r="B3794" s="10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1" t="n">
        <v>2</v>
      </c>
      <c r="G3794" s="11" t="n">
        <v>2</v>
      </c>
      <c r="H3794" s="8" t="n">
        <v>10.79</v>
      </c>
      <c r="I3794" s="8" t="n">
        <v>10.79</v>
      </c>
      <c r="J3794" s="8" t="n"/>
      <c r="K3794" s="7" t="inlineStr">
        <is>
          <t>SEM COTAÇÃO</t>
        </is>
      </c>
      <c r="L3794" s="8" t="n"/>
      <c r="M3794" s="12" t="n"/>
      <c r="N3794" s="7" t="inlineStr"/>
      <c r="O3794" s="7" t="inlineStr"/>
    </row>
    <row r="3795">
      <c r="A3795" s="7" t="n">
        <v>581321</v>
      </c>
      <c r="B3795" s="10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1" t="n">
        <v>2</v>
      </c>
      <c r="G3795" s="11" t="n">
        <v>2</v>
      </c>
      <c r="H3795" s="8" t="n">
        <v>1.76</v>
      </c>
      <c r="I3795" s="8" t="n">
        <v>1.76</v>
      </c>
      <c r="J3795" s="8" t="n"/>
      <c r="K3795" s="7" t="inlineStr">
        <is>
          <t>SEM COTAÇÃO</t>
        </is>
      </c>
      <c r="L3795" s="8" t="n"/>
      <c r="M3795" s="12" t="n"/>
      <c r="N3795" s="7" t="inlineStr"/>
      <c r="O3795" s="7" t="inlineStr"/>
    </row>
    <row r="3796">
      <c r="A3796" s="7" t="n">
        <v>2283</v>
      </c>
      <c r="B3796" s="10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1" t="n">
        <v>4</v>
      </c>
      <c r="G3796" s="11" t="n">
        <v>4</v>
      </c>
      <c r="H3796" s="8" t="n">
        <v>2.76</v>
      </c>
      <c r="I3796" s="8" t="n">
        <v>2.76</v>
      </c>
      <c r="J3796" s="8" t="n"/>
      <c r="K3796" s="7" t="inlineStr">
        <is>
          <t>SEM COTAÇÃO</t>
        </is>
      </c>
      <c r="L3796" s="8" t="n"/>
      <c r="M3796" s="12" t="n"/>
      <c r="N3796" s="7" t="inlineStr"/>
      <c r="O3796" s="7" t="inlineStr"/>
    </row>
    <row r="3797">
      <c r="A3797" s="7" t="n">
        <v>649551</v>
      </c>
      <c r="B3797" s="10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1" t="n">
        <v>1</v>
      </c>
      <c r="G3797" s="11" t="n">
        <v>1</v>
      </c>
      <c r="H3797" s="8" t="n">
        <v>2.775</v>
      </c>
      <c r="I3797" s="8" t="n">
        <v>2.775</v>
      </c>
      <c r="J3797" s="8" t="n"/>
      <c r="K3797" s="7" t="inlineStr">
        <is>
          <t>SEM COTAÇÃO</t>
        </is>
      </c>
      <c r="L3797" s="8" t="n"/>
      <c r="M3797" s="12" t="n"/>
      <c r="N3797" s="7" t="inlineStr"/>
      <c r="O3797" s="7" t="inlineStr"/>
    </row>
    <row r="3798">
      <c r="A3798" s="7" t="n">
        <v>674451</v>
      </c>
      <c r="B3798" s="10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1" t="n">
        <v>1</v>
      </c>
      <c r="G3798" s="11" t="n">
        <v>1</v>
      </c>
      <c r="H3798" s="8" t="n">
        <v>2.8033</v>
      </c>
      <c r="I3798" s="8" t="n">
        <v>2.8033</v>
      </c>
      <c r="J3798" s="8" t="n"/>
      <c r="K3798" s="7" t="inlineStr">
        <is>
          <t>SEM COTAÇÃO</t>
        </is>
      </c>
      <c r="L3798" s="8" t="n"/>
      <c r="M3798" s="12" t="n"/>
      <c r="N3798" s="7" t="inlineStr"/>
      <c r="O3798" s="7" t="inlineStr"/>
    </row>
    <row r="3799">
      <c r="A3799" s="7" t="n">
        <v>2293</v>
      </c>
      <c r="B3799" s="10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1" t="n">
        <v>1</v>
      </c>
      <c r="G3799" s="11" t="n">
        <v>1</v>
      </c>
      <c r="H3799" s="8" t="n">
        <v>2.76</v>
      </c>
      <c r="I3799" s="8" t="n">
        <v>2.76</v>
      </c>
      <c r="J3799" s="8" t="n"/>
      <c r="K3799" s="7" t="inlineStr">
        <is>
          <t>SEM COTAÇÃO</t>
        </is>
      </c>
      <c r="L3799" s="8" t="n"/>
      <c r="M3799" s="12" t="n"/>
      <c r="N3799" s="7" t="inlineStr"/>
      <c r="O3799" s="7" t="inlineStr"/>
    </row>
    <row r="3800">
      <c r="A3800" s="7" t="n">
        <v>2273</v>
      </c>
      <c r="B3800" s="10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1" t="n">
        <v>2</v>
      </c>
      <c r="G3800" s="11" t="n">
        <v>2</v>
      </c>
      <c r="H3800" s="8" t="n">
        <v>2.76</v>
      </c>
      <c r="I3800" s="8" t="n">
        <v>2.76</v>
      </c>
      <c r="J3800" s="8" t="n"/>
      <c r="K3800" s="7" t="inlineStr">
        <is>
          <t>SEM COTAÇÃO</t>
        </is>
      </c>
      <c r="L3800" s="8" t="n"/>
      <c r="M3800" s="12" t="n"/>
      <c r="N3800" s="7" t="inlineStr"/>
      <c r="O3800" s="7" t="inlineStr"/>
    </row>
    <row r="3801">
      <c r="A3801" s="7" t="n">
        <v>603091</v>
      </c>
      <c r="B3801" s="10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1" t="n">
        <v>4</v>
      </c>
      <c r="G3801" s="11" t="n">
        <v>4</v>
      </c>
      <c r="H3801" s="8" t="n">
        <v>20.385</v>
      </c>
      <c r="I3801" s="8" t="n">
        <v>17.96</v>
      </c>
      <c r="J3801" s="8" t="n"/>
      <c r="K3801" s="7" t="inlineStr">
        <is>
          <t>SEM COTAÇÃO</t>
        </is>
      </c>
      <c r="L3801" s="8" t="n"/>
      <c r="M3801" s="12" t="n"/>
      <c r="N3801" s="7" t="inlineStr"/>
      <c r="O3801" s="7" t="inlineStr"/>
    </row>
    <row r="3802">
      <c r="A3802" s="7" t="n">
        <v>603101</v>
      </c>
      <c r="B3802" s="10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1" t="n">
        <v>6</v>
      </c>
      <c r="G3802" s="11" t="n">
        <v>6</v>
      </c>
      <c r="H3802" s="8" t="n">
        <v>18.98</v>
      </c>
      <c r="I3802" s="8" t="n">
        <v>17.96</v>
      </c>
      <c r="J3802" s="8" t="n"/>
      <c r="K3802" s="7" t="inlineStr">
        <is>
          <t>SEM COTAÇÃO</t>
        </is>
      </c>
      <c r="L3802" s="8" t="n"/>
      <c r="M3802" s="12" t="n"/>
      <c r="N3802" s="7" t="inlineStr"/>
      <c r="O3802" s="7" t="inlineStr"/>
    </row>
    <row r="3803">
      <c r="A3803" s="7" t="n">
        <v>617541</v>
      </c>
      <c r="B3803" s="10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1" t="n">
        <v>5</v>
      </c>
      <c r="G3803" s="11" t="n">
        <v>5</v>
      </c>
      <c r="H3803" s="8" t="n">
        <v>6.67</v>
      </c>
      <c r="I3803" s="8" t="n">
        <v>6.67</v>
      </c>
      <c r="J3803" s="8" t="n"/>
      <c r="K3803" s="7" t="inlineStr">
        <is>
          <t>SEM COTAÇÃO</t>
        </is>
      </c>
      <c r="L3803" s="8" t="n"/>
      <c r="M3803" s="12" t="n"/>
      <c r="N3803" s="7" t="inlineStr"/>
      <c r="O3803" s="7" t="inlineStr"/>
    </row>
    <row r="3804">
      <c r="A3804" s="7" t="n">
        <v>617561</v>
      </c>
      <c r="B3804" s="10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1" t="n">
        <v>1</v>
      </c>
      <c r="G3804" s="11" t="n">
        <v>1</v>
      </c>
      <c r="H3804" s="8" t="n">
        <v>6.475</v>
      </c>
      <c r="I3804" s="8" t="n">
        <v>6.475</v>
      </c>
      <c r="J3804" s="8" t="n"/>
      <c r="K3804" s="7" t="inlineStr">
        <is>
          <t>SEM COTAÇÃO</t>
        </is>
      </c>
      <c r="L3804" s="8" t="n"/>
      <c r="M3804" s="12" t="n"/>
      <c r="N3804" s="7" t="inlineStr"/>
      <c r="O3804" s="7" t="inlineStr"/>
    </row>
    <row r="3805">
      <c r="A3805" s="7" t="n">
        <v>617551</v>
      </c>
      <c r="B3805" s="10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1" t="n">
        <v>2</v>
      </c>
      <c r="G3805" s="11" t="n">
        <v>2</v>
      </c>
      <c r="H3805" s="8" t="n">
        <v>6.8217</v>
      </c>
      <c r="I3805" s="8" t="n">
        <v>6.8217</v>
      </c>
      <c r="J3805" s="8" t="n"/>
      <c r="K3805" s="7" t="inlineStr">
        <is>
          <t>SEM COTAÇÃO</t>
        </is>
      </c>
      <c r="L3805" s="8" t="n"/>
      <c r="M3805" s="12" t="n"/>
      <c r="N3805" s="7" t="inlineStr"/>
      <c r="O3805" s="7" t="inlineStr"/>
    </row>
    <row r="3806">
      <c r="A3806" s="7" t="n">
        <v>617601</v>
      </c>
      <c r="B3806" s="10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1" t="n">
        <v>2</v>
      </c>
      <c r="G3806" s="11" t="n">
        <v>2</v>
      </c>
      <c r="H3806" s="8" t="n">
        <v>7.13</v>
      </c>
      <c r="I3806" s="8" t="n">
        <v>7.13</v>
      </c>
      <c r="J3806" s="8" t="n"/>
      <c r="K3806" s="7" t="inlineStr">
        <is>
          <t>SEM COTAÇÃO</t>
        </is>
      </c>
      <c r="L3806" s="8" t="n"/>
      <c r="M3806" s="12" t="n"/>
      <c r="N3806" s="7" t="inlineStr"/>
      <c r="O3806" s="7" t="inlineStr"/>
    </row>
    <row r="3807">
      <c r="A3807" s="7" t="n">
        <v>2503</v>
      </c>
      <c r="B3807" s="10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1" t="n">
        <v>1</v>
      </c>
      <c r="G3807" s="11" t="n">
        <v>1</v>
      </c>
      <c r="H3807" s="8" t="n">
        <v>2.83</v>
      </c>
      <c r="I3807" s="8" t="n">
        <v>2.83</v>
      </c>
      <c r="J3807" s="8" t="n"/>
      <c r="K3807" s="7" t="inlineStr">
        <is>
          <t>SEM COTAÇÃO</t>
        </is>
      </c>
      <c r="L3807" s="8" t="n"/>
      <c r="M3807" s="12" t="n"/>
      <c r="N3807" s="7" t="inlineStr"/>
      <c r="O3807" s="7" t="inlineStr"/>
    </row>
    <row r="3808">
      <c r="A3808" s="7" t="n">
        <v>598341</v>
      </c>
      <c r="B3808" s="10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1" t="n">
        <v>8</v>
      </c>
      <c r="G3808" s="11" t="n">
        <v>8</v>
      </c>
      <c r="H3808" s="8" t="n">
        <v>4.95</v>
      </c>
      <c r="I3808" s="8" t="n">
        <v>4.95</v>
      </c>
      <c r="J3808" s="8" t="n"/>
      <c r="K3808" s="7" t="inlineStr">
        <is>
          <t>SEM COTAÇÃO</t>
        </is>
      </c>
      <c r="L3808" s="8" t="n"/>
      <c r="M3808" s="12" t="n"/>
      <c r="N3808" s="7" t="inlineStr"/>
      <c r="O3808" s="7" t="inlineStr"/>
    </row>
    <row r="3809">
      <c r="A3809" s="7" t="n">
        <v>651731</v>
      </c>
      <c r="B3809" s="10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1" t="n">
        <v>1</v>
      </c>
      <c r="G3809" s="11" t="n">
        <v>1</v>
      </c>
      <c r="H3809" s="8" t="n">
        <v>12.82</v>
      </c>
      <c r="I3809" s="8" t="n">
        <v>12.82</v>
      </c>
      <c r="J3809" s="8" t="n"/>
      <c r="K3809" s="7" t="inlineStr">
        <is>
          <t>SEM COTAÇÃO</t>
        </is>
      </c>
      <c r="L3809" s="8" t="n"/>
      <c r="M3809" s="12" t="n"/>
      <c r="N3809" s="7" t="inlineStr"/>
      <c r="O3809" s="7" t="inlineStr"/>
    </row>
    <row r="3810">
      <c r="A3810" s="7" t="n">
        <v>651631</v>
      </c>
      <c r="B3810" s="10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1" t="n">
        <v>1</v>
      </c>
      <c r="G3810" s="11" t="n">
        <v>1</v>
      </c>
      <c r="H3810" s="8" t="n">
        <v>12.82</v>
      </c>
      <c r="I3810" s="8" t="n">
        <v>12.82</v>
      </c>
      <c r="J3810" s="8" t="n"/>
      <c r="K3810" s="7" t="inlineStr">
        <is>
          <t>SEM COTAÇÃO</t>
        </is>
      </c>
      <c r="L3810" s="8" t="n"/>
      <c r="M3810" s="12" t="n"/>
      <c r="N3810" s="7" t="inlineStr"/>
      <c r="O3810" s="7" t="inlineStr"/>
    </row>
    <row r="3811">
      <c r="A3811" s="7" t="n">
        <v>651651</v>
      </c>
      <c r="B3811" s="10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1" t="n">
        <v>4</v>
      </c>
      <c r="G3811" s="11" t="n">
        <v>4</v>
      </c>
      <c r="H3811" s="8" t="n">
        <v>7.99</v>
      </c>
      <c r="I3811" s="8" t="n">
        <v>7.99</v>
      </c>
      <c r="J3811" s="8" t="n"/>
      <c r="K3811" s="7" t="inlineStr">
        <is>
          <t>SEM COTAÇÃO</t>
        </is>
      </c>
      <c r="L3811" s="8" t="n"/>
      <c r="M3811" s="12" t="n"/>
      <c r="N3811" s="7" t="inlineStr"/>
      <c r="O3811" s="7" t="inlineStr"/>
    </row>
    <row r="3812">
      <c r="A3812" s="7" t="n">
        <v>651701</v>
      </c>
      <c r="B3812" s="10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1" t="n">
        <v>2</v>
      </c>
      <c r="G3812" s="11" t="n">
        <v>2</v>
      </c>
      <c r="H3812" s="8" t="n">
        <v>7.99</v>
      </c>
      <c r="I3812" s="8" t="n">
        <v>7.99</v>
      </c>
      <c r="J3812" s="8" t="n"/>
      <c r="K3812" s="7" t="inlineStr">
        <is>
          <t>SEM COTAÇÃO</t>
        </is>
      </c>
      <c r="L3812" s="8" t="n"/>
      <c r="M3812" s="12" t="n"/>
      <c r="N3812" s="7" t="inlineStr"/>
      <c r="O3812" s="7" t="inlineStr"/>
    </row>
    <row r="3813">
      <c r="A3813" s="7" t="n">
        <v>32803</v>
      </c>
      <c r="B3813" s="10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1" t="n">
        <v>2</v>
      </c>
      <c r="G3813" s="11" t="n">
        <v>2</v>
      </c>
      <c r="H3813" s="8" t="n">
        <v>3.65</v>
      </c>
      <c r="I3813" s="8" t="n">
        <v>3.65</v>
      </c>
      <c r="J3813" s="8" t="n"/>
      <c r="K3813" s="7" t="inlineStr">
        <is>
          <t>SEM COTAÇÃO</t>
        </is>
      </c>
      <c r="L3813" s="8" t="n"/>
      <c r="M3813" s="12" t="n"/>
      <c r="N3813" s="7" t="inlineStr"/>
      <c r="O3813" s="7" t="inlineStr"/>
    </row>
    <row r="3814">
      <c r="A3814" s="7" t="n">
        <v>32703</v>
      </c>
      <c r="B3814" s="10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1" t="n">
        <v>2</v>
      </c>
      <c r="G3814" s="11" t="n">
        <v>2</v>
      </c>
      <c r="H3814" s="8" t="n">
        <v>3.65</v>
      </c>
      <c r="I3814" s="8" t="n">
        <v>3.65</v>
      </c>
      <c r="J3814" s="8" t="n"/>
      <c r="K3814" s="7" t="inlineStr">
        <is>
          <t>SEM COTAÇÃO</t>
        </is>
      </c>
      <c r="L3814" s="8" t="n"/>
      <c r="M3814" s="12" t="n"/>
      <c r="N3814" s="7" t="inlineStr"/>
      <c r="O3814" s="7" t="inlineStr"/>
    </row>
    <row r="3815">
      <c r="A3815" s="7" t="n">
        <v>32603</v>
      </c>
      <c r="B3815" s="10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1" t="n">
        <v>4</v>
      </c>
      <c r="G3815" s="11" t="n">
        <v>4</v>
      </c>
      <c r="H3815" s="8" t="n">
        <v>3.65</v>
      </c>
      <c r="I3815" s="8" t="n">
        <v>3.65</v>
      </c>
      <c r="J3815" s="8" t="n"/>
      <c r="K3815" s="7" t="inlineStr">
        <is>
          <t>SEM COTAÇÃO</t>
        </is>
      </c>
      <c r="L3815" s="8" t="n"/>
      <c r="M3815" s="12" t="n"/>
      <c r="N3815" s="7" t="inlineStr"/>
      <c r="O3815" s="7" t="inlineStr"/>
    </row>
    <row r="3816">
      <c r="A3816" s="7" t="n">
        <v>665731</v>
      </c>
      <c r="B3816" s="10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1" t="n">
        <v>2</v>
      </c>
      <c r="G3816" s="11" t="n">
        <v>2</v>
      </c>
      <c r="H3816" s="8" t="n">
        <v>12.04</v>
      </c>
      <c r="I3816" s="8" t="n">
        <v>12.04</v>
      </c>
      <c r="J3816" s="8" t="n"/>
      <c r="K3816" s="7" t="inlineStr">
        <is>
          <t>SEM COTAÇÃO</t>
        </is>
      </c>
      <c r="L3816" s="8" t="n"/>
      <c r="M3816" s="12" t="n"/>
      <c r="N3816" s="7" t="inlineStr"/>
      <c r="O3816" s="7" t="inlineStr"/>
    </row>
    <row r="3817">
      <c r="A3817" s="7" t="n">
        <v>665741</v>
      </c>
      <c r="B3817" s="10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1" t="n">
        <v>1</v>
      </c>
      <c r="G3817" s="11" t="n">
        <v>1</v>
      </c>
      <c r="H3817" s="8" t="n">
        <v>12.04</v>
      </c>
      <c r="I3817" s="8" t="n">
        <v>12.04</v>
      </c>
      <c r="J3817" s="8" t="n"/>
      <c r="K3817" s="7" t="inlineStr">
        <is>
          <t>SEM COTAÇÃO</t>
        </is>
      </c>
      <c r="L3817" s="8" t="n"/>
      <c r="M3817" s="12" t="n"/>
      <c r="N3817" s="7" t="inlineStr"/>
      <c r="O3817" s="7" t="inlineStr"/>
    </row>
    <row r="3818">
      <c r="A3818" s="7" t="n">
        <v>634</v>
      </c>
      <c r="B3818" s="10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1" t="n">
        <v>4</v>
      </c>
      <c r="G3818" s="11" t="n">
        <v>4</v>
      </c>
      <c r="H3818" s="8" t="n">
        <v>22.3217</v>
      </c>
      <c r="I3818" s="8" t="n">
        <v>22.3217</v>
      </c>
      <c r="J3818" s="8" t="n"/>
      <c r="K3818" s="7" t="inlineStr">
        <is>
          <t>SEM COTAÇÃO</t>
        </is>
      </c>
      <c r="L3818" s="8" t="n"/>
      <c r="M3818" s="12" t="n"/>
      <c r="N3818" s="7" t="inlineStr"/>
      <c r="O3818" s="7" t="inlineStr"/>
    </row>
    <row r="3819">
      <c r="A3819" s="7" t="n">
        <v>843</v>
      </c>
      <c r="B3819" s="10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1" t="n">
        <v>1</v>
      </c>
      <c r="G3819" s="11" t="n">
        <v>1</v>
      </c>
      <c r="H3819" s="8" t="n">
        <v>5.79</v>
      </c>
      <c r="I3819" s="8" t="n">
        <v>5.79</v>
      </c>
      <c r="J3819" s="8" t="n"/>
      <c r="K3819" s="7" t="inlineStr">
        <is>
          <t>SEM COTAÇÃO</t>
        </is>
      </c>
      <c r="L3819" s="8" t="n"/>
      <c r="M3819" s="12" t="n"/>
      <c r="N3819" s="7" t="inlineStr"/>
      <c r="O3819" s="7" t="inlineStr"/>
    </row>
    <row r="3820">
      <c r="A3820" s="7" t="n">
        <v>567301</v>
      </c>
      <c r="B3820" s="10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1" t="n">
        <v>4</v>
      </c>
      <c r="G3820" s="11" t="n">
        <v>4</v>
      </c>
      <c r="H3820" s="8" t="n">
        <v>12.9692</v>
      </c>
      <c r="I3820" s="8" t="n">
        <v>12.9692</v>
      </c>
      <c r="J3820" s="8" t="n"/>
      <c r="K3820" s="7" t="inlineStr">
        <is>
          <t>SEM COTAÇÃO</t>
        </is>
      </c>
      <c r="L3820" s="8" t="n"/>
      <c r="M3820" s="12" t="n"/>
      <c r="N3820" s="7" t="inlineStr"/>
      <c r="O3820" s="7" t="inlineStr"/>
    </row>
    <row r="3821">
      <c r="A3821" s="7" t="n">
        <v>612361</v>
      </c>
      <c r="B3821" s="10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1" t="n">
        <v>2</v>
      </c>
      <c r="G3821" s="11" t="n">
        <v>2</v>
      </c>
      <c r="H3821" s="8" t="n">
        <v>2.31</v>
      </c>
      <c r="I3821" s="8" t="n">
        <v>2.31</v>
      </c>
      <c r="J3821" s="8" t="n"/>
      <c r="K3821" s="7" t="inlineStr">
        <is>
          <t>SEM COTAÇÃO</t>
        </is>
      </c>
      <c r="L3821" s="8" t="n"/>
      <c r="M3821" s="12" t="n"/>
      <c r="N3821" s="7" t="inlineStr"/>
      <c r="O3821" s="7" t="inlineStr"/>
    </row>
    <row r="3822">
      <c r="A3822" s="7" t="n">
        <v>612371</v>
      </c>
      <c r="B3822" s="10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1" t="n">
        <v>5</v>
      </c>
      <c r="G3822" s="11" t="n">
        <v>5</v>
      </c>
      <c r="H3822" s="8" t="n">
        <v>2.31</v>
      </c>
      <c r="I3822" s="8" t="n">
        <v>2.31</v>
      </c>
      <c r="J3822" s="8" t="n"/>
      <c r="K3822" s="7" t="inlineStr">
        <is>
          <t>SEM COTAÇÃO</t>
        </is>
      </c>
      <c r="L3822" s="8" t="n"/>
      <c r="M3822" s="12" t="n"/>
      <c r="N3822" s="7" t="inlineStr"/>
      <c r="O3822" s="7" t="inlineStr"/>
    </row>
    <row r="3823">
      <c r="A3823" s="7" t="n">
        <v>603131</v>
      </c>
      <c r="B3823" s="10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1" t="n">
        <v>3</v>
      </c>
      <c r="G3823" s="11" t="n">
        <v>3</v>
      </c>
      <c r="H3823" s="8" t="n">
        <v>28.35</v>
      </c>
      <c r="I3823" s="8" t="n">
        <v>28.35</v>
      </c>
      <c r="J3823" s="8" t="n"/>
      <c r="K3823" s="7" t="inlineStr">
        <is>
          <t>SEM COTAÇÃO</t>
        </is>
      </c>
      <c r="L3823" s="8" t="n"/>
      <c r="M3823" s="12" t="n"/>
      <c r="N3823" s="7" t="inlineStr"/>
      <c r="O3823" s="7" t="inlineStr"/>
    </row>
    <row r="3824">
      <c r="A3824" s="7" t="n">
        <v>539001</v>
      </c>
      <c r="B3824" s="10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1" t="n">
        <v>4</v>
      </c>
      <c r="G3824" s="11" t="n">
        <v>4</v>
      </c>
      <c r="H3824" s="8" t="n">
        <v>6.19</v>
      </c>
      <c r="I3824" s="8" t="n">
        <v>6.19</v>
      </c>
      <c r="J3824" s="8" t="n"/>
      <c r="K3824" s="7" t="inlineStr">
        <is>
          <t>SEM COTAÇÃO</t>
        </is>
      </c>
      <c r="L3824" s="8" t="n"/>
      <c r="M3824" s="12" t="n"/>
      <c r="N3824" s="7" t="inlineStr"/>
      <c r="O3824" s="7" t="inlineStr"/>
    </row>
    <row r="3825">
      <c r="A3825" s="7" t="n">
        <v>541901</v>
      </c>
      <c r="B3825" s="10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1" t="n">
        <v>1</v>
      </c>
      <c r="G3825" s="11" t="n">
        <v>1</v>
      </c>
      <c r="H3825" s="8" t="n">
        <v>7.8133</v>
      </c>
      <c r="I3825" s="8" t="n">
        <v>7.8133</v>
      </c>
      <c r="J3825" s="8" t="n"/>
      <c r="K3825" s="7" t="inlineStr">
        <is>
          <t>SEM COTAÇÃO</t>
        </is>
      </c>
      <c r="L3825" s="8" t="n"/>
      <c r="M3825" s="12" t="n"/>
      <c r="N3825" s="7" t="inlineStr"/>
      <c r="O3825" s="7" t="inlineStr"/>
    </row>
    <row r="3826">
      <c r="A3826" s="7" t="n">
        <v>669521</v>
      </c>
      <c r="B3826" s="10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1" t="n">
        <v>10</v>
      </c>
      <c r="G3826" s="11" t="n">
        <v>10</v>
      </c>
      <c r="H3826" s="8" t="n">
        <v>5.685</v>
      </c>
      <c r="I3826" s="8" t="n">
        <v>5.685</v>
      </c>
      <c r="J3826" s="8" t="n"/>
      <c r="K3826" s="7" t="inlineStr">
        <is>
          <t>SEM COTAÇÃO</t>
        </is>
      </c>
      <c r="L3826" s="8" t="n"/>
      <c r="M3826" s="12" t="n"/>
      <c r="N3826" s="7" t="inlineStr"/>
      <c r="O3826" s="7" t="inlineStr"/>
    </row>
    <row r="3827">
      <c r="A3827" s="7" t="n">
        <v>612701</v>
      </c>
      <c r="B3827" s="10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1" t="n">
        <v>1</v>
      </c>
      <c r="G3827" s="11" t="n">
        <v>1</v>
      </c>
      <c r="H3827" s="8" t="n">
        <v>21.65</v>
      </c>
      <c r="I3827" s="8" t="n">
        <v>21.65</v>
      </c>
      <c r="J3827" s="8" t="n"/>
      <c r="K3827" s="7" t="inlineStr">
        <is>
          <t>SEM COTAÇÃO</t>
        </is>
      </c>
      <c r="L3827" s="8" t="n"/>
      <c r="M3827" s="12" t="n"/>
      <c r="N3827" s="7" t="inlineStr"/>
      <c r="O3827" s="7" t="inlineStr"/>
    </row>
    <row r="3828">
      <c r="A3828" s="7" t="n">
        <v>612721</v>
      </c>
      <c r="B3828" s="10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1" t="n">
        <v>1</v>
      </c>
      <c r="G3828" s="11" t="n">
        <v>1</v>
      </c>
      <c r="H3828" s="8" t="n">
        <v>21.65</v>
      </c>
      <c r="I3828" s="8" t="n">
        <v>21.65</v>
      </c>
      <c r="J3828" s="8" t="n"/>
      <c r="K3828" s="7" t="inlineStr">
        <is>
          <t>SEM COTAÇÃO</t>
        </is>
      </c>
      <c r="L3828" s="8" t="n"/>
      <c r="M3828" s="12" t="n"/>
      <c r="N3828" s="7" t="inlineStr"/>
      <c r="O3828" s="7" t="inlineStr"/>
    </row>
    <row r="3829">
      <c r="A3829" s="7" t="n">
        <v>625951</v>
      </c>
      <c r="B3829" s="10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1" t="n">
        <v>3</v>
      </c>
      <c r="G3829" s="11" t="n">
        <v>3</v>
      </c>
      <c r="H3829" s="8" t="n">
        <v>21.65</v>
      </c>
      <c r="I3829" s="8" t="n">
        <v>21.65</v>
      </c>
      <c r="J3829" s="8" t="n"/>
      <c r="K3829" s="7" t="inlineStr">
        <is>
          <t>SEM COTAÇÃO</t>
        </is>
      </c>
      <c r="L3829" s="8" t="n"/>
      <c r="M3829" s="12" t="n"/>
      <c r="N3829" s="7" t="inlineStr"/>
      <c r="O3829" s="7" t="inlineStr"/>
    </row>
    <row r="3830">
      <c r="A3830" s="7" t="n">
        <v>669171</v>
      </c>
      <c r="B3830" s="10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1" t="n">
        <v>4</v>
      </c>
      <c r="G3830" s="11" t="n">
        <v>4</v>
      </c>
      <c r="H3830" s="8" t="n">
        <v>25.735</v>
      </c>
      <c r="I3830" s="8" t="n">
        <v>23.9367</v>
      </c>
      <c r="J3830" s="8" t="n"/>
      <c r="K3830" s="7" t="inlineStr">
        <is>
          <t>SEM COTAÇÃO</t>
        </is>
      </c>
      <c r="L3830" s="8" t="n"/>
      <c r="M3830" s="12" t="n"/>
      <c r="N3830" s="7" t="inlineStr"/>
      <c r="O3830" s="7" t="inlineStr"/>
    </row>
    <row r="3831">
      <c r="A3831" s="7" t="n">
        <v>614291</v>
      </c>
      <c r="B3831" s="10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1" t="n">
        <v>1</v>
      </c>
      <c r="G3831" s="11" t="n">
        <v>1</v>
      </c>
      <c r="H3831" s="8" t="n">
        <v>16.01</v>
      </c>
      <c r="I3831" s="8" t="n">
        <v>16.01</v>
      </c>
      <c r="J3831" s="8" t="n"/>
      <c r="K3831" s="7" t="inlineStr">
        <is>
          <t>SEM COTAÇÃO</t>
        </is>
      </c>
      <c r="L3831" s="8" t="n"/>
      <c r="M3831" s="12" t="n"/>
      <c r="N3831" s="7" t="inlineStr"/>
      <c r="O3831" s="7" t="inlineStr"/>
    </row>
    <row r="3832">
      <c r="A3832" s="7" t="n">
        <v>617521</v>
      </c>
      <c r="B3832" s="10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1" t="n">
        <v>3</v>
      </c>
      <c r="G3832" s="11" t="n">
        <v>3</v>
      </c>
      <c r="H3832" s="8" t="n">
        <v>12.5767</v>
      </c>
      <c r="I3832" s="8" t="n">
        <v>12.5767</v>
      </c>
      <c r="J3832" s="8" t="n"/>
      <c r="K3832" s="7" t="inlineStr">
        <is>
          <t>SEM COTAÇÃO</t>
        </is>
      </c>
      <c r="L3832" s="8" t="n"/>
      <c r="M3832" s="12" t="n"/>
      <c r="N3832" s="7" t="inlineStr"/>
      <c r="O3832" s="7" t="inlineStr"/>
    </row>
    <row r="3833">
      <c r="A3833" s="7" t="n">
        <v>548461</v>
      </c>
      <c r="B3833" s="10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1" t="n">
        <v>6</v>
      </c>
      <c r="G3833" s="11" t="n">
        <v>6</v>
      </c>
      <c r="H3833" s="8" t="n">
        <v>14.1958</v>
      </c>
      <c r="I3833" s="8" t="n">
        <v>14.1958</v>
      </c>
      <c r="J3833" s="8" t="n"/>
      <c r="K3833" s="7" t="inlineStr">
        <is>
          <t>SEM COTAÇÃO</t>
        </is>
      </c>
      <c r="L3833" s="8" t="n"/>
      <c r="M3833" s="12" t="n"/>
      <c r="N3833" s="7" t="inlineStr"/>
      <c r="O3833" s="7" t="inlineStr"/>
    </row>
    <row r="3834">
      <c r="A3834" s="7" t="n">
        <v>567921</v>
      </c>
      <c r="B3834" s="10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1" t="n">
        <v>6</v>
      </c>
      <c r="G3834" s="11" t="n">
        <v>6</v>
      </c>
      <c r="H3834" s="8" t="n">
        <v>15.72</v>
      </c>
      <c r="I3834" s="8" t="n">
        <v>14.1958</v>
      </c>
      <c r="J3834" s="8" t="n"/>
      <c r="K3834" s="7" t="inlineStr">
        <is>
          <t>SEM COTAÇÃO</t>
        </is>
      </c>
      <c r="L3834" s="8" t="n"/>
      <c r="M3834" s="12" t="n"/>
      <c r="N3834" s="7" t="inlineStr"/>
      <c r="O3834" s="7" t="inlineStr"/>
    </row>
    <row r="3835">
      <c r="A3835" s="7" t="n">
        <v>659351</v>
      </c>
      <c r="B3835" s="10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1" t="n">
        <v>5</v>
      </c>
      <c r="G3835" s="11" t="n">
        <v>5</v>
      </c>
      <c r="H3835" s="8" t="n">
        <v>12.04</v>
      </c>
      <c r="I3835" s="8" t="n">
        <v>12.04</v>
      </c>
      <c r="J3835" s="8" t="n"/>
      <c r="K3835" s="7" t="inlineStr">
        <is>
          <t>SEM COTAÇÃO</t>
        </is>
      </c>
      <c r="L3835" s="8" t="n"/>
      <c r="M3835" s="12" t="n"/>
      <c r="N3835" s="7" t="inlineStr"/>
      <c r="O3835" s="7" t="inlineStr"/>
    </row>
    <row r="3836">
      <c r="A3836" s="7" t="n">
        <v>668531</v>
      </c>
      <c r="B3836" s="10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1" t="n">
        <v>1</v>
      </c>
      <c r="G3836" s="11" t="n">
        <v>1</v>
      </c>
      <c r="H3836" s="8" t="n">
        <v>5.98</v>
      </c>
      <c r="I3836" s="8" t="n">
        <v>5.98</v>
      </c>
      <c r="J3836" s="8" t="n"/>
      <c r="K3836" s="7" t="inlineStr">
        <is>
          <t>SEM COTAÇÃO</t>
        </is>
      </c>
      <c r="L3836" s="8" t="n"/>
      <c r="M3836" s="12" t="n"/>
      <c r="N3836" s="7" t="inlineStr"/>
      <c r="O3836" s="7" t="inlineStr"/>
    </row>
    <row r="3837">
      <c r="A3837" s="7" t="n">
        <v>609901</v>
      </c>
      <c r="B3837" s="10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1" t="n">
        <v>1</v>
      </c>
      <c r="G3837" s="11" t="n">
        <v>1</v>
      </c>
      <c r="H3837" s="8" t="n">
        <v>9.42</v>
      </c>
      <c r="I3837" s="8" t="n">
        <v>9.42</v>
      </c>
      <c r="J3837" s="8" t="n"/>
      <c r="K3837" s="7" t="inlineStr">
        <is>
          <t>SEM COTAÇÃO</t>
        </is>
      </c>
      <c r="L3837" s="8" t="n"/>
      <c r="M3837" s="12" t="n"/>
      <c r="N3837" s="7" t="inlineStr"/>
      <c r="O3837" s="7" t="inlineStr"/>
    </row>
    <row r="3838">
      <c r="A3838" s="7" t="n">
        <v>638521</v>
      </c>
      <c r="B3838" s="10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1" t="n">
        <v>1</v>
      </c>
      <c r="G3838" s="11" t="n">
        <v>1</v>
      </c>
      <c r="H3838" s="8" t="n">
        <v>9.42</v>
      </c>
      <c r="I3838" s="8" t="n">
        <v>9.42</v>
      </c>
      <c r="J3838" s="8" t="n"/>
      <c r="K3838" s="7" t="inlineStr">
        <is>
          <t>SEM COTAÇÃO</t>
        </is>
      </c>
      <c r="L3838" s="8" t="n"/>
      <c r="M3838" s="12" t="n"/>
      <c r="N3838" s="7" t="inlineStr"/>
      <c r="O3838" s="7" t="inlineStr"/>
    </row>
    <row r="3839">
      <c r="A3839" s="7" t="n">
        <v>638501</v>
      </c>
      <c r="B3839" s="10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1" t="n">
        <v>1</v>
      </c>
      <c r="G3839" s="11" t="n">
        <v>1</v>
      </c>
      <c r="H3839" s="8" t="n">
        <v>9.42</v>
      </c>
      <c r="I3839" s="8" t="n">
        <v>9.42</v>
      </c>
      <c r="J3839" s="8" t="n"/>
      <c r="K3839" s="7" t="inlineStr">
        <is>
          <t>SEM COTAÇÃO</t>
        </is>
      </c>
      <c r="L3839" s="8" t="n"/>
      <c r="M3839" s="12" t="n"/>
      <c r="N3839" s="7" t="inlineStr"/>
      <c r="O3839" s="7" t="inlineStr"/>
    </row>
    <row r="3840">
      <c r="A3840" s="7" t="n">
        <v>567041</v>
      </c>
      <c r="B3840" s="10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1" t="n">
        <v>2</v>
      </c>
      <c r="G3840" s="11" t="n">
        <v>2</v>
      </c>
      <c r="H3840" s="8" t="n">
        <v>7.08</v>
      </c>
      <c r="I3840" s="8" t="n">
        <v>7.08</v>
      </c>
      <c r="J3840" s="8" t="n"/>
      <c r="K3840" s="7" t="inlineStr">
        <is>
          <t>SEM COTAÇÃO</t>
        </is>
      </c>
      <c r="L3840" s="8" t="n"/>
      <c r="M3840" s="12" t="n"/>
      <c r="N3840" s="7" t="inlineStr"/>
      <c r="O3840" s="7" t="inlineStr"/>
    </row>
    <row r="3841">
      <c r="A3841" s="7" t="n">
        <v>537401</v>
      </c>
      <c r="B3841" s="10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1" t="n">
        <v>5</v>
      </c>
      <c r="G3841" s="11" t="n">
        <v>5</v>
      </c>
      <c r="H3841" s="8" t="n">
        <v>5.94</v>
      </c>
      <c r="I3841" s="8" t="n">
        <v>5.4517</v>
      </c>
      <c r="J3841" s="8" t="n"/>
      <c r="K3841" s="7" t="inlineStr">
        <is>
          <t>SEM COTAÇÃO</t>
        </is>
      </c>
      <c r="L3841" s="8" t="n"/>
      <c r="M3841" s="12" t="n"/>
      <c r="N3841" s="7" t="inlineStr"/>
      <c r="O3841" s="7" t="inlineStr"/>
    </row>
    <row r="3842">
      <c r="A3842" s="7" t="n">
        <v>669511</v>
      </c>
      <c r="B3842" s="10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1" t="n">
        <v>1</v>
      </c>
      <c r="G3842" s="11" t="n">
        <v>1</v>
      </c>
      <c r="H3842" s="8" t="n">
        <v>9.49</v>
      </c>
      <c r="I3842" s="8" t="n">
        <v>9.49</v>
      </c>
      <c r="J3842" s="8" t="n"/>
      <c r="K3842" s="7" t="inlineStr">
        <is>
          <t>SEM COTAÇÃO</t>
        </is>
      </c>
      <c r="L3842" s="8" t="n"/>
      <c r="M3842" s="12" t="n"/>
      <c r="N3842" s="7" t="inlineStr"/>
      <c r="O3842" s="7" t="inlineStr"/>
    </row>
    <row r="3843">
      <c r="A3843" s="7" t="n">
        <v>590501</v>
      </c>
      <c r="B3843" s="10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1" t="n">
        <v>1</v>
      </c>
      <c r="G3843" s="11" t="n">
        <v>1</v>
      </c>
      <c r="H3843" s="8" t="n">
        <v>5.1508</v>
      </c>
      <c r="I3843" s="8" t="n">
        <v>5.1508</v>
      </c>
      <c r="J3843" s="8" t="n"/>
      <c r="K3843" s="7" t="inlineStr">
        <is>
          <t>SEM COTAÇÃO</t>
        </is>
      </c>
      <c r="L3843" s="8" t="n"/>
      <c r="M3843" s="12" t="n"/>
      <c r="N3843" s="7" t="inlineStr"/>
      <c r="O3843" s="7" t="inlineStr"/>
    </row>
    <row r="3844">
      <c r="A3844" s="7" t="n">
        <v>597881</v>
      </c>
      <c r="B3844" s="10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1" t="n">
        <v>1</v>
      </c>
      <c r="G3844" s="11" t="n">
        <v>1</v>
      </c>
      <c r="H3844" s="8" t="n">
        <v>5.1508</v>
      </c>
      <c r="I3844" s="8" t="n">
        <v>5.1508</v>
      </c>
      <c r="J3844" s="8" t="n"/>
      <c r="K3844" s="7" t="inlineStr">
        <is>
          <t>SEM COTAÇÃO</t>
        </is>
      </c>
      <c r="L3844" s="8" t="n"/>
      <c r="M3844" s="12" t="n"/>
      <c r="N3844" s="7" t="inlineStr"/>
      <c r="O3844" s="7" t="inlineStr"/>
    </row>
    <row r="3845">
      <c r="A3845" s="7" t="n">
        <v>613911</v>
      </c>
      <c r="B3845" s="10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1" t="n">
        <v>6</v>
      </c>
      <c r="G3845" s="11" t="n">
        <v>6</v>
      </c>
      <c r="H3845" s="8" t="n">
        <v>5.5567</v>
      </c>
      <c r="I3845" s="8" t="n">
        <v>5.5567</v>
      </c>
      <c r="J3845" s="8" t="n"/>
      <c r="K3845" s="7" t="inlineStr">
        <is>
          <t>SEM COTAÇÃO</t>
        </is>
      </c>
      <c r="L3845" s="8" t="n"/>
      <c r="M3845" s="12" t="n"/>
      <c r="N3845" s="7" t="inlineStr"/>
      <c r="O3845" s="7" t="inlineStr"/>
    </row>
    <row r="3846">
      <c r="A3846" s="7" t="n">
        <v>598501</v>
      </c>
      <c r="B3846" s="10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1" t="n">
        <v>5</v>
      </c>
      <c r="G3846" s="11" t="n">
        <v>5</v>
      </c>
      <c r="H3846" s="8" t="n">
        <v>8.68</v>
      </c>
      <c r="I3846" s="8" t="n">
        <v>7.42</v>
      </c>
      <c r="J3846" s="8" t="n"/>
      <c r="K3846" s="7" t="inlineStr">
        <is>
          <t>SEM COTAÇÃO</t>
        </is>
      </c>
      <c r="L3846" s="8" t="n"/>
      <c r="M3846" s="12" t="n"/>
      <c r="N3846" s="7" t="inlineStr"/>
      <c r="O3846" s="7" t="inlineStr"/>
    </row>
    <row r="3847">
      <c r="A3847" s="7" t="n">
        <v>571261</v>
      </c>
      <c r="B3847" s="10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1" t="n">
        <v>2</v>
      </c>
      <c r="G3847" s="11" t="n">
        <v>2</v>
      </c>
      <c r="H3847" s="8" t="n">
        <v>7.59</v>
      </c>
      <c r="I3847" s="8" t="n">
        <v>7.31</v>
      </c>
      <c r="J3847" s="8" t="n"/>
      <c r="K3847" s="7" t="inlineStr">
        <is>
          <t>SEM COTAÇÃO</t>
        </is>
      </c>
      <c r="L3847" s="8" t="n"/>
      <c r="M3847" s="12" t="n"/>
      <c r="N3847" s="7" t="inlineStr"/>
      <c r="O3847" s="7" t="inlineStr"/>
    </row>
    <row r="3848">
      <c r="A3848" s="7" t="n">
        <v>571281</v>
      </c>
      <c r="B3848" s="10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1" t="n">
        <v>6</v>
      </c>
      <c r="G3848" s="11" t="n">
        <v>6</v>
      </c>
      <c r="H3848" s="8" t="n">
        <v>7.6233</v>
      </c>
      <c r="I3848" s="8" t="n">
        <v>6.0325</v>
      </c>
      <c r="J3848" s="8" t="n"/>
      <c r="K3848" s="7" t="inlineStr">
        <is>
          <t>SEM COTAÇÃO</t>
        </is>
      </c>
      <c r="L3848" s="8" t="n"/>
      <c r="M3848" s="12" t="n"/>
      <c r="N3848" s="7" t="inlineStr"/>
      <c r="O3848" s="7" t="inlineStr"/>
    </row>
    <row r="3849">
      <c r="A3849" s="7" t="n">
        <v>623931</v>
      </c>
      <c r="B3849" s="10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1" t="n">
        <v>1</v>
      </c>
      <c r="G3849" s="11" t="n">
        <v>1</v>
      </c>
      <c r="H3849" s="8" t="n">
        <v>17.9</v>
      </c>
      <c r="I3849" s="8" t="n">
        <v>17.9</v>
      </c>
      <c r="J3849" s="8" t="n"/>
      <c r="K3849" s="7" t="inlineStr">
        <is>
          <t>SEM COTAÇÃO</t>
        </is>
      </c>
      <c r="L3849" s="8" t="n"/>
      <c r="M3849" s="12" t="n"/>
      <c r="N3849" s="7" t="inlineStr"/>
      <c r="O3849" s="7" t="inlineStr"/>
    </row>
    <row r="3850">
      <c r="A3850" s="7" t="n">
        <v>623951</v>
      </c>
      <c r="B3850" s="10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1" t="n">
        <v>2</v>
      </c>
      <c r="G3850" s="11" t="n">
        <v>2</v>
      </c>
      <c r="H3850" s="8" t="n">
        <v>18.13</v>
      </c>
      <c r="I3850" s="8" t="n">
        <v>18.13</v>
      </c>
      <c r="J3850" s="8" t="n"/>
      <c r="K3850" s="7" t="inlineStr">
        <is>
          <t>SEM COTAÇÃO</t>
        </is>
      </c>
      <c r="L3850" s="8" t="n"/>
      <c r="M3850" s="12" t="n"/>
      <c r="N3850" s="7" t="inlineStr"/>
      <c r="O3850" s="7" t="inlineStr"/>
    </row>
    <row r="3851">
      <c r="A3851" s="7" t="n">
        <v>594741</v>
      </c>
      <c r="B3851" s="10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1" t="n">
        <v>6</v>
      </c>
      <c r="G3851" s="11" t="n">
        <v>6</v>
      </c>
      <c r="H3851" s="8" t="n">
        <v>5.39</v>
      </c>
      <c r="I3851" s="8" t="n">
        <v>5.39</v>
      </c>
      <c r="J3851" s="8" t="n"/>
      <c r="K3851" s="7" t="inlineStr">
        <is>
          <t>SEM COTAÇÃO</t>
        </is>
      </c>
      <c r="L3851" s="8" t="n"/>
      <c r="M3851" s="12" t="n"/>
      <c r="N3851" s="7" t="inlineStr"/>
      <c r="O3851" s="7" t="inlineStr"/>
    </row>
    <row r="3852">
      <c r="A3852" s="7" t="n">
        <v>598511</v>
      </c>
      <c r="B3852" s="10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1" t="n">
        <v>1</v>
      </c>
      <c r="G3852" s="11" t="n">
        <v>1</v>
      </c>
      <c r="H3852" s="8" t="n">
        <v>14.63</v>
      </c>
      <c r="I3852" s="8" t="n">
        <v>14.63</v>
      </c>
      <c r="J3852" s="8" t="n"/>
      <c r="K3852" s="7" t="inlineStr">
        <is>
          <t>SEM COTAÇÃO</t>
        </is>
      </c>
      <c r="L3852" s="8" t="n"/>
      <c r="M3852" s="12" t="n"/>
      <c r="N3852" s="7" t="inlineStr"/>
      <c r="O3852" s="7" t="inlineStr"/>
    </row>
    <row r="3853">
      <c r="A3853" s="7" t="n">
        <v>613921</v>
      </c>
      <c r="B3853" s="10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1" t="n">
        <v>1</v>
      </c>
      <c r="G3853" s="11" t="n">
        <v>1</v>
      </c>
      <c r="H3853" s="8" t="n">
        <v>13.34</v>
      </c>
      <c r="I3853" s="8" t="n">
        <v>13.34</v>
      </c>
      <c r="J3853" s="8" t="n"/>
      <c r="K3853" s="7" t="inlineStr">
        <is>
          <t>SEM COTAÇÃO</t>
        </is>
      </c>
      <c r="L3853" s="8" t="n"/>
      <c r="M3853" s="12" t="n"/>
      <c r="N3853" s="7" t="inlineStr"/>
      <c r="O3853" s="7" t="inlineStr"/>
    </row>
    <row r="3854">
      <c r="A3854" s="7" t="n">
        <v>623971</v>
      </c>
      <c r="B3854" s="10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1" t="n">
        <v>1</v>
      </c>
      <c r="G3854" s="11" t="n">
        <v>1</v>
      </c>
      <c r="H3854" s="8" t="n">
        <v>19.53</v>
      </c>
      <c r="I3854" s="8" t="n">
        <v>19.53</v>
      </c>
      <c r="J3854" s="8" t="n"/>
      <c r="K3854" s="7" t="inlineStr">
        <is>
          <t>SEM COTAÇÃO</t>
        </is>
      </c>
      <c r="L3854" s="8" t="n"/>
      <c r="M3854" s="12" t="n"/>
      <c r="N3854" s="7" t="inlineStr"/>
      <c r="O3854" s="7" t="inlineStr"/>
    </row>
    <row r="3855">
      <c r="A3855" s="7" t="n">
        <v>689301</v>
      </c>
      <c r="B3855" s="10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1" t="n">
        <v>2</v>
      </c>
      <c r="G3855" s="11" t="n">
        <v>2</v>
      </c>
      <c r="H3855" s="8" t="n">
        <v>9.58</v>
      </c>
      <c r="I3855" s="8" t="n">
        <v>9.58</v>
      </c>
      <c r="J3855" s="8" t="n"/>
      <c r="K3855" s="7" t="inlineStr">
        <is>
          <t>SEM COTAÇÃO</t>
        </is>
      </c>
      <c r="L3855" s="8" t="n"/>
      <c r="M3855" s="12" t="n"/>
      <c r="N3855" s="7" t="inlineStr"/>
      <c r="O3855" s="7" t="inlineStr"/>
    </row>
    <row r="3856">
      <c r="A3856" s="7" t="n">
        <v>538881</v>
      </c>
      <c r="B3856" s="10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1" t="n">
        <v>7</v>
      </c>
      <c r="G3856" s="11" t="n">
        <v>7</v>
      </c>
      <c r="H3856" s="8" t="n">
        <v>5.9558</v>
      </c>
      <c r="I3856" s="8" t="n">
        <v>4.4775</v>
      </c>
      <c r="J3856" s="8" t="n"/>
      <c r="K3856" s="7" t="inlineStr">
        <is>
          <t>SEM COTAÇÃO</t>
        </is>
      </c>
      <c r="L3856" s="8" t="n"/>
      <c r="M3856" s="12" t="n"/>
      <c r="N3856" s="7" t="inlineStr"/>
      <c r="O3856" s="7" t="inlineStr"/>
    </row>
    <row r="3857">
      <c r="A3857" s="7" t="n">
        <v>630841</v>
      </c>
      <c r="B3857" s="10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1" t="n">
        <v>4</v>
      </c>
      <c r="G3857" s="11" t="n">
        <v>4</v>
      </c>
      <c r="H3857" s="8" t="n">
        <v>13.2817</v>
      </c>
      <c r="I3857" s="8" t="n">
        <v>13.2817</v>
      </c>
      <c r="J3857" s="8" t="n"/>
      <c r="K3857" s="7" t="inlineStr">
        <is>
          <t>SEM COTAÇÃO</t>
        </is>
      </c>
      <c r="L3857" s="8" t="n"/>
      <c r="M3857" s="12" t="n"/>
      <c r="N3857" s="7" t="inlineStr"/>
      <c r="O3857" s="7" t="inlineStr"/>
    </row>
    <row r="3858">
      <c r="A3858" s="7" t="n">
        <v>663261</v>
      </c>
      <c r="B3858" s="10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1" t="n">
        <v>4</v>
      </c>
      <c r="G3858" s="11" t="n">
        <v>4</v>
      </c>
      <c r="H3858" s="8" t="n">
        <v>2.6061</v>
      </c>
      <c r="I3858" s="8" t="n">
        <v>2.6061</v>
      </c>
      <c r="J3858" s="8" t="n"/>
      <c r="K3858" s="7" t="inlineStr">
        <is>
          <t>SEM COTAÇÃO</t>
        </is>
      </c>
      <c r="L3858" s="8" t="n"/>
      <c r="M3858" s="12" t="n"/>
      <c r="N3858" s="7" t="inlineStr"/>
      <c r="O3858" s="7" t="inlineStr"/>
    </row>
    <row r="3859">
      <c r="A3859" s="7" t="n">
        <v>663271</v>
      </c>
      <c r="B3859" s="10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1" t="n">
        <v>2</v>
      </c>
      <c r="G3859" s="11" t="n">
        <v>2</v>
      </c>
      <c r="H3859" s="8" t="n">
        <v>1.8925</v>
      </c>
      <c r="I3859" s="8" t="n">
        <v>1.8925</v>
      </c>
      <c r="J3859" s="8" t="n"/>
      <c r="K3859" s="7" t="inlineStr">
        <is>
          <t>SEM COTAÇÃO</t>
        </is>
      </c>
      <c r="L3859" s="8" t="n"/>
      <c r="M3859" s="12" t="n"/>
      <c r="N3859" s="7" t="inlineStr"/>
      <c r="O3859" s="7" t="inlineStr"/>
    </row>
    <row r="3860">
      <c r="A3860" s="7" t="n">
        <v>663281</v>
      </c>
      <c r="B3860" s="10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1" t="n">
        <v>3</v>
      </c>
      <c r="G3860" s="11" t="n">
        <v>3</v>
      </c>
      <c r="H3860" s="8" t="n">
        <v>2.8712</v>
      </c>
      <c r="I3860" s="8" t="n">
        <v>2.8712</v>
      </c>
      <c r="J3860" s="8" t="n"/>
      <c r="K3860" s="7" t="inlineStr">
        <is>
          <t>SEM COTAÇÃO</t>
        </is>
      </c>
      <c r="L3860" s="8" t="n"/>
      <c r="M3860" s="12" t="n"/>
      <c r="N3860" s="7" t="inlineStr"/>
      <c r="O3860" s="7" t="inlineStr"/>
    </row>
    <row r="3861">
      <c r="A3861" s="7" t="n">
        <v>552661</v>
      </c>
      <c r="B3861" s="10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1" t="n">
        <v>3</v>
      </c>
      <c r="G3861" s="11" t="n">
        <v>3</v>
      </c>
      <c r="H3861" s="8" t="n">
        <v>14.1958</v>
      </c>
      <c r="I3861" s="8" t="n">
        <v>14.1958</v>
      </c>
      <c r="J3861" s="8" t="n"/>
      <c r="K3861" s="7" t="inlineStr">
        <is>
          <t>SEM COTAÇÃO</t>
        </is>
      </c>
      <c r="L3861" s="8" t="n"/>
      <c r="M3861" s="12" t="n"/>
      <c r="N3861" s="7" t="inlineStr"/>
      <c r="O3861" s="7" t="inlineStr"/>
    </row>
    <row r="3862">
      <c r="A3862" s="7" t="n">
        <v>551381</v>
      </c>
      <c r="B3862" s="10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1" t="n">
        <v>5</v>
      </c>
      <c r="G3862" s="11" t="n">
        <v>5</v>
      </c>
      <c r="H3862" s="8" t="n">
        <v>10.5242</v>
      </c>
      <c r="I3862" s="8" t="n">
        <v>10.5242</v>
      </c>
      <c r="J3862" s="8" t="n"/>
      <c r="K3862" s="7" t="inlineStr">
        <is>
          <t>SEM COTAÇÃO</t>
        </is>
      </c>
      <c r="L3862" s="8" t="n"/>
      <c r="M3862" s="12" t="n"/>
      <c r="N3862" s="7" t="inlineStr"/>
      <c r="O3862" s="7" t="inlineStr"/>
    </row>
    <row r="3863">
      <c r="A3863" s="7" t="n">
        <v>551161</v>
      </c>
      <c r="B3863" s="10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1" t="n">
        <v>4</v>
      </c>
      <c r="G3863" s="11" t="n">
        <v>4</v>
      </c>
      <c r="H3863" s="8" t="n">
        <v>4.8892</v>
      </c>
      <c r="I3863" s="8" t="n">
        <v>4.8892</v>
      </c>
      <c r="J3863" s="8" t="n"/>
      <c r="K3863" s="7" t="inlineStr">
        <is>
          <t>SEM COTAÇÃO</t>
        </is>
      </c>
      <c r="L3863" s="8" t="n"/>
      <c r="M3863" s="12" t="n"/>
      <c r="N3863" s="7" t="inlineStr"/>
      <c r="O3863" s="7" t="inlineStr"/>
    </row>
    <row r="3864">
      <c r="A3864" s="7" t="n">
        <v>551181</v>
      </c>
      <c r="B3864" s="10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1" t="n">
        <v>4</v>
      </c>
      <c r="G3864" s="11" t="n">
        <v>4</v>
      </c>
      <c r="H3864" s="8" t="n">
        <v>5.9825</v>
      </c>
      <c r="I3864" s="8" t="n">
        <v>5.9825</v>
      </c>
      <c r="J3864" s="8" t="n"/>
      <c r="K3864" s="7" t="inlineStr">
        <is>
          <t>SEM COTAÇÃO</t>
        </is>
      </c>
      <c r="L3864" s="8" t="n"/>
      <c r="M3864" s="12" t="n"/>
      <c r="N3864" s="7" t="inlineStr"/>
      <c r="O3864" s="7" t="inlineStr"/>
    </row>
    <row r="3865">
      <c r="A3865" s="7" t="n">
        <v>554601</v>
      </c>
      <c r="B3865" s="10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1" t="n">
        <v>14</v>
      </c>
      <c r="G3865" s="11" t="n">
        <v>14</v>
      </c>
      <c r="H3865" s="8" t="n">
        <v>15.72</v>
      </c>
      <c r="I3865" s="8" t="n">
        <v>12.59</v>
      </c>
      <c r="J3865" s="8" t="n"/>
      <c r="K3865" s="7" t="inlineStr">
        <is>
          <t>SEM COTAÇÃO</t>
        </is>
      </c>
      <c r="L3865" s="8" t="n"/>
      <c r="M3865" s="12" t="n"/>
      <c r="N3865" s="7" t="inlineStr"/>
      <c r="O3865" s="7" t="inlineStr"/>
    </row>
    <row r="3866">
      <c r="A3866" s="7" t="n">
        <v>637861</v>
      </c>
      <c r="B3866" s="10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1" t="n">
        <v>1</v>
      </c>
      <c r="G3866" s="11" t="n">
        <v>1</v>
      </c>
      <c r="H3866" s="8" t="n">
        <v>4.7658</v>
      </c>
      <c r="I3866" s="8" t="n">
        <v>4.7658</v>
      </c>
      <c r="J3866" s="8" t="n"/>
      <c r="K3866" s="7" t="inlineStr">
        <is>
          <t>SEM COTAÇÃO</t>
        </is>
      </c>
      <c r="L3866" s="8" t="n"/>
      <c r="M3866" s="12" t="n"/>
      <c r="N3866" s="7" t="inlineStr"/>
      <c r="O3866" s="7" t="inlineStr"/>
    </row>
    <row r="3867">
      <c r="A3867" s="7" t="n">
        <v>567081</v>
      </c>
      <c r="B3867" s="10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1" t="n">
        <v>1</v>
      </c>
      <c r="G3867" s="11" t="n">
        <v>1</v>
      </c>
      <c r="H3867" s="8" t="n">
        <v>3.13</v>
      </c>
      <c r="I3867" s="8" t="n">
        <v>3.13</v>
      </c>
      <c r="J3867" s="8" t="n"/>
      <c r="K3867" s="7" t="inlineStr">
        <is>
          <t>SEM COTAÇÃO</t>
        </is>
      </c>
      <c r="L3867" s="8" t="n"/>
      <c r="M3867" s="12" t="n"/>
      <c r="N3867" s="7" t="inlineStr"/>
      <c r="O3867" s="7" t="inlineStr"/>
    </row>
    <row r="3868">
      <c r="A3868" s="7" t="n">
        <v>611001</v>
      </c>
      <c r="B3868" s="10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1" t="n">
        <v>1</v>
      </c>
      <c r="G3868" s="11" t="n">
        <v>1</v>
      </c>
      <c r="H3868" s="8" t="n">
        <v>23.5633</v>
      </c>
      <c r="I3868" s="8" t="n">
        <v>23.5633</v>
      </c>
      <c r="J3868" s="8" t="n"/>
      <c r="K3868" s="7" t="inlineStr">
        <is>
          <t>SEM COTAÇÃO</t>
        </is>
      </c>
      <c r="L3868" s="8" t="n"/>
      <c r="M3868" s="12" t="n"/>
      <c r="N3868" s="7" t="inlineStr"/>
      <c r="O3868" s="7" t="inlineStr"/>
    </row>
    <row r="3869">
      <c r="A3869" s="7" t="n">
        <v>604601</v>
      </c>
      <c r="B3869" s="10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1" t="n">
        <v>1</v>
      </c>
      <c r="G3869" s="11" t="n">
        <v>1</v>
      </c>
      <c r="H3869" s="8" t="n">
        <v>2.2525</v>
      </c>
      <c r="I3869" s="8" t="n">
        <v>2.2525</v>
      </c>
      <c r="J3869" s="8" t="n"/>
      <c r="K3869" s="7" t="inlineStr">
        <is>
          <t>SEM COTAÇÃO</t>
        </is>
      </c>
      <c r="L3869" s="8" t="n"/>
      <c r="M3869" s="12" t="n"/>
      <c r="N3869" s="7" t="inlineStr"/>
      <c r="O3869" s="7" t="inlineStr"/>
    </row>
    <row r="3870">
      <c r="A3870" s="7" t="n">
        <v>588981</v>
      </c>
      <c r="B3870" s="10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1" t="n">
        <v>6</v>
      </c>
      <c r="G3870" s="11" t="n">
        <v>6</v>
      </c>
      <c r="H3870" s="8" t="n">
        <v>8.85</v>
      </c>
      <c r="I3870" s="8" t="n">
        <v>8.85</v>
      </c>
      <c r="J3870" s="8" t="n"/>
      <c r="K3870" s="7" t="inlineStr">
        <is>
          <t>SEM COTAÇÃO</t>
        </is>
      </c>
      <c r="L3870" s="8" t="n"/>
      <c r="M3870" s="12" t="n"/>
      <c r="N3870" s="7" t="inlineStr"/>
      <c r="O3870" s="7" t="inlineStr"/>
    </row>
    <row r="3871">
      <c r="A3871" s="7" t="n">
        <v>615401</v>
      </c>
      <c r="B3871" s="10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1" t="n">
        <v>1</v>
      </c>
      <c r="G3871" s="11" t="n">
        <v>1</v>
      </c>
      <c r="H3871" s="8" t="n">
        <v>17</v>
      </c>
      <c r="I3871" s="8" t="n">
        <v>17</v>
      </c>
      <c r="J3871" s="8" t="n"/>
      <c r="K3871" s="7" t="inlineStr">
        <is>
          <t>SEM COTAÇÃO</t>
        </is>
      </c>
      <c r="L3871" s="8" t="n"/>
      <c r="M3871" s="12" t="n"/>
      <c r="N3871" s="7" t="inlineStr"/>
      <c r="O3871" s="7" t="inlineStr"/>
    </row>
    <row r="3872">
      <c r="A3872" s="7" t="n">
        <v>603011</v>
      </c>
      <c r="B3872" s="10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1" t="n">
        <v>2</v>
      </c>
      <c r="G3872" s="11" t="n">
        <v>2</v>
      </c>
      <c r="H3872" s="8" t="n">
        <v>17.17</v>
      </c>
      <c r="I3872" s="8" t="n">
        <v>16.0133</v>
      </c>
      <c r="J3872" s="8" t="n"/>
      <c r="K3872" s="7" t="inlineStr">
        <is>
          <t>SEM COTAÇÃO</t>
        </is>
      </c>
      <c r="L3872" s="8" t="n"/>
      <c r="M3872" s="12" t="n"/>
      <c r="N3872" s="7" t="inlineStr"/>
      <c r="O3872" s="7" t="inlineStr"/>
    </row>
    <row r="3873">
      <c r="A3873" s="7" t="n">
        <v>588991</v>
      </c>
      <c r="B3873" s="10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1" t="n">
        <v>1</v>
      </c>
      <c r="G3873" s="11" t="n">
        <v>1</v>
      </c>
      <c r="H3873" s="8" t="n">
        <v>5.7883</v>
      </c>
      <c r="I3873" s="8" t="n">
        <v>5.7883</v>
      </c>
      <c r="J3873" s="8" t="n"/>
      <c r="K3873" s="7" t="inlineStr">
        <is>
          <t>SEM COTAÇÃO</t>
        </is>
      </c>
      <c r="L3873" s="8" t="n"/>
      <c r="M3873" s="12" t="n"/>
      <c r="N3873" s="7" t="inlineStr"/>
      <c r="O3873" s="7" t="inlineStr"/>
    </row>
    <row r="3874">
      <c r="A3874" s="7" t="n">
        <v>610831</v>
      </c>
      <c r="B3874" s="10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1" t="n">
        <v>1</v>
      </c>
      <c r="G3874" s="11" t="n">
        <v>1</v>
      </c>
      <c r="H3874" s="8" t="n">
        <v>3.92</v>
      </c>
      <c r="I3874" s="8" t="n">
        <v>3.92</v>
      </c>
      <c r="J3874" s="8" t="n"/>
      <c r="K3874" s="7" t="inlineStr">
        <is>
          <t>SEM COTAÇÃO</t>
        </is>
      </c>
      <c r="L3874" s="8" t="n"/>
      <c r="M3874" s="12" t="n"/>
      <c r="N3874" s="7" t="inlineStr"/>
      <c r="O3874" s="7" t="inlineStr"/>
    </row>
    <row r="3875">
      <c r="A3875" s="7" t="n">
        <v>637871</v>
      </c>
      <c r="B3875" s="10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1" t="n">
        <v>2</v>
      </c>
      <c r="G3875" s="11" t="n">
        <v>2</v>
      </c>
      <c r="H3875" s="8" t="n">
        <v>4.7658</v>
      </c>
      <c r="I3875" s="8" t="n">
        <v>4.7658</v>
      </c>
      <c r="J3875" s="8" t="n"/>
      <c r="K3875" s="7" t="inlineStr">
        <is>
          <t>SEM COTAÇÃO</t>
        </is>
      </c>
      <c r="L3875" s="8" t="n"/>
      <c r="M3875" s="12" t="n"/>
      <c r="N3875" s="7" t="inlineStr"/>
      <c r="O3875" s="7" t="inlineStr"/>
    </row>
    <row r="3876">
      <c r="A3876" s="7" t="n">
        <v>637881</v>
      </c>
      <c r="B3876" s="10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1" t="n">
        <v>1</v>
      </c>
      <c r="G3876" s="11" t="n">
        <v>1</v>
      </c>
      <c r="H3876" s="8" t="n">
        <v>4.1667</v>
      </c>
      <c r="I3876" s="8" t="n">
        <v>4.1667</v>
      </c>
      <c r="J3876" s="8" t="n"/>
      <c r="K3876" s="7" t="inlineStr">
        <is>
          <t>SEM COTAÇÃO</t>
        </is>
      </c>
      <c r="L3876" s="8" t="n"/>
      <c r="M3876" s="12" t="n"/>
      <c r="N3876" s="7" t="inlineStr"/>
      <c r="O3876" s="7" t="inlineStr"/>
    </row>
    <row r="3877">
      <c r="A3877" s="7" t="n">
        <v>637891</v>
      </c>
      <c r="B3877" s="10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1" t="n">
        <v>1</v>
      </c>
      <c r="G3877" s="11" t="n">
        <v>1</v>
      </c>
      <c r="H3877" s="8" t="n">
        <v>4.1667</v>
      </c>
      <c r="I3877" s="8" t="n">
        <v>4.1667</v>
      </c>
      <c r="J3877" s="8" t="n"/>
      <c r="K3877" s="7" t="inlineStr">
        <is>
          <t>SEM COTAÇÃO</t>
        </is>
      </c>
      <c r="L3877" s="8" t="n"/>
      <c r="M3877" s="12" t="n"/>
      <c r="N3877" s="7" t="inlineStr"/>
      <c r="O3877" s="7" t="inlineStr"/>
    </row>
    <row r="3878">
      <c r="A3878" s="7" t="n">
        <v>598471</v>
      </c>
      <c r="B3878" s="10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1" t="n">
        <v>4</v>
      </c>
      <c r="G3878" s="11" t="n">
        <v>4</v>
      </c>
      <c r="H3878" s="8" t="n">
        <v>2.84</v>
      </c>
      <c r="I3878" s="8" t="n">
        <v>2.5867</v>
      </c>
      <c r="J3878" s="8" t="n"/>
      <c r="K3878" s="7" t="inlineStr">
        <is>
          <t>SEM COTAÇÃO</t>
        </is>
      </c>
      <c r="L3878" s="8" t="n"/>
      <c r="M3878" s="12" t="n"/>
      <c r="N3878" s="7" t="inlineStr"/>
      <c r="O3878" s="7" t="inlineStr"/>
    </row>
    <row r="3879">
      <c r="A3879" s="7" t="n">
        <v>598481</v>
      </c>
      <c r="B3879" s="10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1" t="n">
        <v>1</v>
      </c>
      <c r="G3879" s="11" t="n">
        <v>2</v>
      </c>
      <c r="H3879" s="8" t="n">
        <v>35.535</v>
      </c>
      <c r="I3879" s="8" t="n">
        <v>35.535</v>
      </c>
      <c r="J3879" s="8" t="n"/>
      <c r="K3879" s="7" t="inlineStr">
        <is>
          <t>SEM COTAÇÃO</t>
        </is>
      </c>
      <c r="L3879" s="8" t="n"/>
      <c r="M3879" s="12" t="n"/>
      <c r="N3879" s="7" t="inlineStr"/>
      <c r="O3879" s="7" t="inlineStr"/>
    </row>
    <row r="3880">
      <c r="A3880" s="7" t="n">
        <v>651621</v>
      </c>
      <c r="B3880" s="10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1" t="n">
        <v>1</v>
      </c>
      <c r="G3880" s="11" t="n">
        <v>1</v>
      </c>
      <c r="H3880" s="8" t="n">
        <v>9.5608</v>
      </c>
      <c r="I3880" s="8" t="n">
        <v>9.5608</v>
      </c>
      <c r="J3880" s="8" t="n"/>
      <c r="K3880" s="7" t="inlineStr">
        <is>
          <t>SEM COTAÇÃO</t>
        </is>
      </c>
      <c r="L3880" s="8" t="n"/>
      <c r="M3880" s="12" t="n"/>
      <c r="N3880" s="7" t="inlineStr"/>
      <c r="O3880" s="7" t="inlineStr"/>
    </row>
    <row r="3881">
      <c r="A3881" s="7" t="n">
        <v>17103</v>
      </c>
      <c r="B3881" s="10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1" t="n">
        <v>2</v>
      </c>
      <c r="G3881" s="11" t="n">
        <v>2</v>
      </c>
      <c r="H3881" s="8" t="n">
        <v>5.15</v>
      </c>
      <c r="I3881" s="8" t="n">
        <v>5.15</v>
      </c>
      <c r="J3881" s="8" t="n"/>
      <c r="K3881" s="7" t="inlineStr">
        <is>
          <t>SEM COTAÇÃO</t>
        </is>
      </c>
      <c r="L3881" s="8" t="n"/>
      <c r="M3881" s="12" t="n"/>
      <c r="N3881" s="7" t="inlineStr"/>
      <c r="O3881" s="7" t="inlineStr"/>
    </row>
    <row r="3882">
      <c r="A3882" s="7" t="n">
        <v>579901</v>
      </c>
      <c r="B3882" s="10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1" t="n">
        <v>1</v>
      </c>
      <c r="G3882" s="11" t="n">
        <v>1</v>
      </c>
      <c r="H3882" s="8" t="n">
        <v>3.55</v>
      </c>
      <c r="I3882" s="8" t="n">
        <v>3.55</v>
      </c>
      <c r="J3882" s="8" t="n"/>
      <c r="K3882" s="7" t="inlineStr">
        <is>
          <t>SEM COTAÇÃO</t>
        </is>
      </c>
      <c r="L3882" s="8" t="n"/>
      <c r="M3882" s="12" t="n"/>
      <c r="N3882" s="7" t="inlineStr"/>
      <c r="O3882" s="7" t="inlineStr"/>
    </row>
    <row r="3883">
      <c r="A3883" s="7" t="n">
        <v>614301</v>
      </c>
      <c r="B3883" s="10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1" t="n">
        <v>2</v>
      </c>
      <c r="G3883" s="11" t="n">
        <v>2</v>
      </c>
      <c r="H3883" s="8" t="n">
        <v>13.89</v>
      </c>
      <c r="I3883" s="8" t="n">
        <v>13.89</v>
      </c>
      <c r="J3883" s="8" t="n"/>
      <c r="K3883" s="7" t="inlineStr">
        <is>
          <t>SEM COTAÇÃO</t>
        </is>
      </c>
      <c r="L3883" s="8" t="n"/>
      <c r="M3883" s="12" t="n"/>
      <c r="N3883" s="7" t="inlineStr"/>
      <c r="O3883" s="7" t="inlineStr"/>
    </row>
    <row r="3884">
      <c r="A3884" s="7" t="n">
        <v>655931</v>
      </c>
      <c r="B3884" s="10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1" t="n">
        <v>1</v>
      </c>
      <c r="G3884" s="11" t="n">
        <v>1</v>
      </c>
      <c r="H3884" s="8" t="n">
        <v>5.6</v>
      </c>
      <c r="I3884" s="8" t="n">
        <v>5.6</v>
      </c>
      <c r="J3884" s="8" t="n"/>
      <c r="K3884" s="7" t="inlineStr">
        <is>
          <t>SEM COTAÇÃO</t>
        </is>
      </c>
      <c r="L3884" s="8" t="n"/>
      <c r="M3884" s="12" t="n"/>
      <c r="N3884" s="7" t="inlineStr"/>
      <c r="O3884" s="7" t="inlineStr"/>
    </row>
    <row r="3885">
      <c r="A3885" s="7" t="n">
        <v>660911</v>
      </c>
      <c r="B3885" s="10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1" t="n">
        <v>4</v>
      </c>
      <c r="G3885" s="11" t="n">
        <v>4</v>
      </c>
      <c r="H3885" s="8" t="n">
        <v>5.6</v>
      </c>
      <c r="I3885" s="8" t="n">
        <v>5.6</v>
      </c>
      <c r="J3885" s="8" t="n"/>
      <c r="K3885" s="7" t="inlineStr">
        <is>
          <t>SEM COTAÇÃO</t>
        </is>
      </c>
      <c r="L3885" s="8" t="n"/>
      <c r="M3885" s="12" t="n"/>
      <c r="N3885" s="7" t="inlineStr"/>
      <c r="O3885" s="7" t="inlineStr"/>
    </row>
    <row r="3886">
      <c r="A3886" s="7" t="n">
        <v>660901</v>
      </c>
      <c r="B3886" s="10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1" t="n">
        <v>2</v>
      </c>
      <c r="G3886" s="11" t="n">
        <v>2</v>
      </c>
      <c r="H3886" s="8" t="n">
        <v>5.6</v>
      </c>
      <c r="I3886" s="8" t="n">
        <v>5.6</v>
      </c>
      <c r="J3886" s="8" t="n"/>
      <c r="K3886" s="7" t="inlineStr">
        <is>
          <t>SEM COTAÇÃO</t>
        </is>
      </c>
      <c r="L3886" s="8" t="n"/>
      <c r="M3886" s="12" t="n"/>
      <c r="N3886" s="7" t="inlineStr"/>
      <c r="O3886" s="7" t="inlineStr"/>
    </row>
    <row r="3887">
      <c r="A3887" s="7" t="n">
        <v>577181</v>
      </c>
      <c r="B3887" s="10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1" t="n">
        <v>3</v>
      </c>
      <c r="G3887" s="11" t="n">
        <v>3</v>
      </c>
      <c r="H3887" s="8" t="n">
        <v>9.27</v>
      </c>
      <c r="I3887" s="8" t="n">
        <v>9.27</v>
      </c>
      <c r="J3887" s="8" t="n"/>
      <c r="K3887" s="7" t="inlineStr">
        <is>
          <t>SEM COTAÇÃO</t>
        </is>
      </c>
      <c r="L3887" s="8" t="n"/>
      <c r="M3887" s="12" t="n"/>
      <c r="N3887" s="7" t="inlineStr"/>
      <c r="O3887" s="7" t="inlineStr"/>
    </row>
    <row r="3888">
      <c r="A3888" s="7" t="n">
        <v>577161</v>
      </c>
      <c r="B3888" s="10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1" t="n">
        <v>8</v>
      </c>
      <c r="G3888" s="11" t="n">
        <v>8</v>
      </c>
      <c r="H3888" s="8" t="n">
        <v>12.4633</v>
      </c>
      <c r="I3888" s="8" t="n">
        <v>12.4633</v>
      </c>
      <c r="J3888" s="8" t="n"/>
      <c r="K3888" s="7" t="inlineStr">
        <is>
          <t>SEM COTAÇÃO</t>
        </is>
      </c>
      <c r="L3888" s="8" t="n"/>
      <c r="M3888" s="12" t="n"/>
      <c r="N3888" s="7" t="inlineStr"/>
      <c r="O3888" s="7" t="inlineStr"/>
    </row>
    <row r="3889">
      <c r="A3889" s="7" t="n">
        <v>605611</v>
      </c>
      <c r="B3889" s="10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1" t="n">
        <v>1</v>
      </c>
      <c r="G3889" s="11" t="n">
        <v>1</v>
      </c>
      <c r="H3889" s="8" t="n">
        <v>4.9258</v>
      </c>
      <c r="I3889" s="8" t="n">
        <v>4.9258</v>
      </c>
      <c r="J3889" s="8" t="n"/>
      <c r="K3889" s="7" t="inlineStr">
        <is>
          <t>SEM COTAÇÃO</t>
        </is>
      </c>
      <c r="L3889" s="8" t="n"/>
      <c r="M3889" s="12" t="n"/>
      <c r="N3889" s="7" t="inlineStr"/>
      <c r="O3889" s="7" t="inlineStr"/>
    </row>
    <row r="3890">
      <c r="A3890" s="7" t="n">
        <v>646961</v>
      </c>
      <c r="B3890" s="10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1" t="n">
        <v>1</v>
      </c>
      <c r="G3890" s="11" t="n">
        <v>1</v>
      </c>
      <c r="H3890" s="8" t="n">
        <v>8.25</v>
      </c>
      <c r="I3890" s="8" t="n">
        <v>8.25</v>
      </c>
      <c r="J3890" s="8" t="n"/>
      <c r="K3890" s="7" t="inlineStr">
        <is>
          <t>SEM COTAÇÃO</t>
        </is>
      </c>
      <c r="L3890" s="8" t="n"/>
      <c r="M3890" s="12" t="n"/>
      <c r="N3890" s="7" t="inlineStr"/>
      <c r="O3890" s="7" t="inlineStr"/>
    </row>
    <row r="3891">
      <c r="A3891" s="7" t="n">
        <v>569901</v>
      </c>
      <c r="B3891" s="10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1" t="n">
        <v>4</v>
      </c>
      <c r="G3891" s="11" t="n">
        <v>4</v>
      </c>
      <c r="H3891" s="8" t="n">
        <v>7.9925</v>
      </c>
      <c r="I3891" s="8" t="n">
        <v>7.9925</v>
      </c>
      <c r="J3891" s="8" t="n"/>
      <c r="K3891" s="7" t="inlineStr">
        <is>
          <t>SEM COTAÇÃO</t>
        </is>
      </c>
      <c r="L3891" s="8" t="n"/>
      <c r="M3891" s="12" t="n"/>
      <c r="N3891" s="7" t="inlineStr"/>
      <c r="O3891" s="7" t="inlineStr"/>
    </row>
    <row r="3892">
      <c r="A3892" s="7" t="n">
        <v>569921</v>
      </c>
      <c r="B3892" s="10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1" t="n">
        <v>1</v>
      </c>
      <c r="G3892" s="11" t="n">
        <v>1</v>
      </c>
      <c r="H3892" s="8" t="n">
        <v>5.98</v>
      </c>
      <c r="I3892" s="8" t="n">
        <v>5.98</v>
      </c>
      <c r="J3892" s="8" t="n"/>
      <c r="K3892" s="7" t="inlineStr">
        <is>
          <t>SEM COTAÇÃO</t>
        </is>
      </c>
      <c r="L3892" s="8" t="n"/>
      <c r="M3892" s="12" t="n"/>
      <c r="N3892" s="7" t="inlineStr"/>
      <c r="O3892" s="7" t="inlineStr"/>
    </row>
    <row r="3893">
      <c r="A3893" s="7" t="n">
        <v>604561</v>
      </c>
      <c r="B3893" s="10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1" t="n">
        <v>1</v>
      </c>
      <c r="G3893" s="11" t="n">
        <v>1</v>
      </c>
      <c r="H3893" s="8" t="n">
        <v>7.95</v>
      </c>
      <c r="I3893" s="8" t="n">
        <v>7.35</v>
      </c>
      <c r="J3893" s="8" t="n"/>
      <c r="K3893" s="7" t="inlineStr">
        <is>
          <t>SEM COTAÇÃO</t>
        </is>
      </c>
      <c r="L3893" s="8" t="n"/>
      <c r="M3893" s="12" t="n"/>
      <c r="N3893" s="7" t="inlineStr"/>
      <c r="O3893" s="7" t="inlineStr"/>
    </row>
    <row r="3894">
      <c r="A3894" s="7" t="n">
        <v>604571</v>
      </c>
      <c r="B3894" s="10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1" t="n">
        <v>1</v>
      </c>
      <c r="G3894" s="11" t="n">
        <v>1</v>
      </c>
      <c r="H3894" s="8" t="n">
        <v>6.48</v>
      </c>
      <c r="I3894" s="8" t="n">
        <v>6.48</v>
      </c>
      <c r="J3894" s="8" t="n"/>
      <c r="K3894" s="7" t="inlineStr">
        <is>
          <t>SEM COTAÇÃO</t>
        </is>
      </c>
      <c r="L3894" s="8" t="n"/>
      <c r="M3894" s="12" t="n"/>
      <c r="N3894" s="7" t="inlineStr"/>
      <c r="O3894" s="7" t="inlineStr"/>
    </row>
    <row r="3895">
      <c r="A3895" s="7" t="n">
        <v>604581</v>
      </c>
      <c r="B3895" s="10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1" t="n">
        <v>1</v>
      </c>
      <c r="G3895" s="11" t="n">
        <v>1</v>
      </c>
      <c r="H3895" s="8" t="n">
        <v>6.68</v>
      </c>
      <c r="I3895" s="8" t="n">
        <v>6.68</v>
      </c>
      <c r="J3895" s="8" t="n"/>
      <c r="K3895" s="7" t="inlineStr">
        <is>
          <t>SEM COTAÇÃO</t>
        </is>
      </c>
      <c r="L3895" s="8" t="n"/>
      <c r="M3895" s="12" t="n"/>
      <c r="N3895" s="7" t="inlineStr"/>
      <c r="O3895" s="7" t="inlineStr"/>
    </row>
    <row r="3896">
      <c r="A3896" s="7" t="n">
        <v>604611</v>
      </c>
      <c r="B3896" s="10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1" t="n">
        <v>1</v>
      </c>
      <c r="G3896" s="11" t="n">
        <v>1</v>
      </c>
      <c r="H3896" s="8" t="n">
        <v>2.5367</v>
      </c>
      <c r="I3896" s="8" t="n">
        <v>2.5367</v>
      </c>
      <c r="J3896" s="8" t="n"/>
      <c r="K3896" s="7" t="inlineStr">
        <is>
          <t>SEM COTAÇÃO</t>
        </is>
      </c>
      <c r="L3896" s="8" t="n"/>
      <c r="M3896" s="12" t="n"/>
      <c r="N3896" s="7" t="inlineStr"/>
      <c r="O3896" s="7" t="inlineStr"/>
    </row>
    <row r="3897">
      <c r="A3897" s="7" t="n">
        <v>650651</v>
      </c>
      <c r="B3897" s="10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1" t="n">
        <v>1</v>
      </c>
      <c r="G3897" s="11" t="n">
        <v>1</v>
      </c>
      <c r="H3897" s="8" t="n">
        <v>2</v>
      </c>
      <c r="I3897" s="8" t="n">
        <v>2</v>
      </c>
      <c r="J3897" s="8" t="n"/>
      <c r="K3897" s="7" t="inlineStr">
        <is>
          <t>SEM COTAÇÃO</t>
        </is>
      </c>
      <c r="L3897" s="8" t="n"/>
      <c r="M3897" s="12" t="n"/>
      <c r="N3897" s="7" t="inlineStr"/>
      <c r="O3897" s="7" t="inlineStr"/>
    </row>
    <row r="3898">
      <c r="A3898" s="7" t="n">
        <v>549061</v>
      </c>
      <c r="B3898" s="10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1" t="n">
        <v>7</v>
      </c>
      <c r="G3898" s="11" t="n">
        <v>7</v>
      </c>
      <c r="H3898" s="8" t="n">
        <v>18.98</v>
      </c>
      <c r="I3898" s="8" t="n">
        <v>16.72</v>
      </c>
      <c r="J3898" s="8" t="n"/>
      <c r="K3898" s="7" t="inlineStr">
        <is>
          <t>SEM COTAÇÃO</t>
        </is>
      </c>
      <c r="L3898" s="8" t="n"/>
      <c r="M3898" s="12" t="n"/>
      <c r="N3898" s="7" t="inlineStr"/>
      <c r="O3898" s="7" t="inlineStr"/>
    </row>
    <row r="3899">
      <c r="A3899" s="7" t="n">
        <v>555281</v>
      </c>
      <c r="B3899" s="10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1" t="n">
        <v>1</v>
      </c>
      <c r="G3899" s="11" t="n">
        <v>1</v>
      </c>
      <c r="H3899" s="8" t="n">
        <v>9.826700000000001</v>
      </c>
      <c r="I3899" s="8" t="n">
        <v>9.826700000000001</v>
      </c>
      <c r="J3899" s="8" t="n"/>
      <c r="K3899" s="7" t="inlineStr">
        <is>
          <t>SEM COTAÇÃO</t>
        </is>
      </c>
      <c r="L3899" s="8" t="n"/>
      <c r="M3899" s="12" t="n"/>
      <c r="N3899" s="7" t="inlineStr"/>
      <c r="O3899" s="7" t="inlineStr"/>
    </row>
    <row r="3900">
      <c r="A3900" s="7" t="n">
        <v>538781</v>
      </c>
      <c r="B3900" s="10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1" t="n">
        <v>8</v>
      </c>
      <c r="G3900" s="11" t="n">
        <v>8</v>
      </c>
      <c r="H3900" s="8" t="n">
        <v>2.28</v>
      </c>
      <c r="I3900" s="8" t="n">
        <v>2.28</v>
      </c>
      <c r="J3900" s="8" t="n"/>
      <c r="K3900" s="7" t="inlineStr">
        <is>
          <t>SEM COTAÇÃO</t>
        </is>
      </c>
      <c r="L3900" s="8" t="n"/>
      <c r="M3900" s="12" t="n"/>
      <c r="N3900" s="7" t="inlineStr"/>
      <c r="O3900" s="7" t="inlineStr"/>
    </row>
    <row r="3901">
      <c r="A3901" s="7" t="n">
        <v>537201</v>
      </c>
      <c r="B3901" s="10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1" t="n">
        <v>71</v>
      </c>
      <c r="G3901" s="11" t="n">
        <v>71</v>
      </c>
      <c r="H3901" s="8" t="n">
        <v>6.6661</v>
      </c>
      <c r="I3901" s="8" t="n">
        <v>6.363</v>
      </c>
      <c r="J3901" s="8" t="n"/>
      <c r="K3901" s="7" t="inlineStr">
        <is>
          <t>SEM COTAÇÃO</t>
        </is>
      </c>
      <c r="L3901" s="8" t="n"/>
      <c r="M3901" s="12" t="n"/>
      <c r="N3901" s="7" t="inlineStr"/>
      <c r="O3901" s="7" t="inlineStr"/>
    </row>
    <row r="3902">
      <c r="A3902" s="7" t="n">
        <v>538761</v>
      </c>
      <c r="B3902" s="10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1" t="n">
        <v>1</v>
      </c>
      <c r="G3902" s="11" t="n">
        <v>1</v>
      </c>
      <c r="H3902" s="8" t="n">
        <v>1.8925</v>
      </c>
      <c r="I3902" s="8" t="n">
        <v>1.8925</v>
      </c>
      <c r="J3902" s="8" t="n"/>
      <c r="K3902" s="7" t="inlineStr">
        <is>
          <t>SEM COTAÇÃO</t>
        </is>
      </c>
      <c r="L3902" s="8" t="n"/>
      <c r="M3902" s="12" t="n"/>
      <c r="N3902" s="7" t="inlineStr"/>
      <c r="O3902" s="7" t="inlineStr"/>
    </row>
    <row r="3903">
      <c r="A3903" s="7" t="n">
        <v>538801</v>
      </c>
      <c r="B3903" s="10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1" t="n">
        <v>3</v>
      </c>
      <c r="G3903" s="11" t="n">
        <v>3</v>
      </c>
      <c r="H3903" s="8" t="n">
        <v>1.8925</v>
      </c>
      <c r="I3903" s="8" t="n">
        <v>1.8925</v>
      </c>
      <c r="J3903" s="8" t="n"/>
      <c r="K3903" s="7" t="inlineStr">
        <is>
          <t>SEM COTAÇÃO</t>
        </is>
      </c>
      <c r="L3903" s="8" t="n"/>
      <c r="M3903" s="12" t="n"/>
      <c r="N3903" s="7" t="inlineStr"/>
      <c r="O3903" s="7" t="inlineStr"/>
    </row>
    <row r="3904">
      <c r="A3904" s="7" t="n">
        <v>538521</v>
      </c>
      <c r="B3904" s="10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1" t="n">
        <v>4</v>
      </c>
      <c r="G3904" s="11" t="n">
        <v>4</v>
      </c>
      <c r="H3904" s="8" t="n">
        <v>2.84</v>
      </c>
      <c r="I3904" s="8" t="n">
        <v>2.84</v>
      </c>
      <c r="J3904" s="8" t="n"/>
      <c r="K3904" s="7" t="inlineStr">
        <is>
          <t>SEM COTAÇÃO</t>
        </is>
      </c>
      <c r="L3904" s="8" t="n"/>
      <c r="M3904" s="12" t="n"/>
      <c r="N3904" s="7" t="inlineStr"/>
      <c r="O3904" s="7" t="inlineStr"/>
    </row>
    <row r="3905">
      <c r="A3905" s="7" t="n">
        <v>552301</v>
      </c>
      <c r="B3905" s="10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1" t="n">
        <v>10</v>
      </c>
      <c r="G3905" s="11" t="n">
        <v>10</v>
      </c>
      <c r="H3905" s="8" t="n">
        <v>6.665</v>
      </c>
      <c r="I3905" s="8" t="n">
        <v>6.4504</v>
      </c>
      <c r="J3905" s="8" t="n"/>
      <c r="K3905" s="7" t="inlineStr">
        <is>
          <t>SEM COTAÇÃO</t>
        </is>
      </c>
      <c r="L3905" s="8" t="n"/>
      <c r="M3905" s="12" t="n"/>
      <c r="N3905" s="7" t="inlineStr"/>
      <c r="O3905" s="7" t="inlineStr"/>
    </row>
    <row r="3906">
      <c r="A3906" s="7" t="n">
        <v>536801</v>
      </c>
      <c r="B3906" s="10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1" t="n">
        <v>11</v>
      </c>
      <c r="G3906" s="11" t="n">
        <v>11</v>
      </c>
      <c r="H3906" s="8" t="n">
        <v>4.6</v>
      </c>
      <c r="I3906" s="8" t="n">
        <v>4.6</v>
      </c>
      <c r="J3906" s="8" t="n"/>
      <c r="K3906" s="7" t="inlineStr">
        <is>
          <t>SEM COTAÇÃO</t>
        </is>
      </c>
      <c r="L3906" s="8" t="n"/>
      <c r="M3906" s="12" t="n"/>
      <c r="N3906" s="7" t="inlineStr"/>
      <c r="O3906" s="7" t="inlineStr"/>
    </row>
    <row r="3907">
      <c r="A3907" s="7" t="n">
        <v>104</v>
      </c>
      <c r="B3907" s="10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1" t="n">
        <v>1</v>
      </c>
      <c r="G3907" s="11" t="n">
        <v>1</v>
      </c>
      <c r="H3907" s="8" t="n">
        <v>26.19</v>
      </c>
      <c r="I3907" s="8" t="n">
        <v>21.2</v>
      </c>
      <c r="J3907" s="8" t="n"/>
      <c r="K3907" s="7" t="inlineStr">
        <is>
          <t>SEM COTAÇÃO</t>
        </is>
      </c>
      <c r="L3907" s="8" t="n"/>
      <c r="M3907" s="12" t="n"/>
      <c r="N3907" s="7" t="inlineStr"/>
      <c r="O3907" s="7" t="inlineStr"/>
    </row>
    <row r="3908">
      <c r="A3908" s="7" t="n">
        <v>667331</v>
      </c>
      <c r="B3908" s="10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1" t="n">
        <v>3</v>
      </c>
      <c r="G3908" s="11" t="n">
        <v>3</v>
      </c>
      <c r="H3908" s="8" t="n">
        <v>11.15</v>
      </c>
      <c r="I3908" s="8" t="n">
        <v>11.15</v>
      </c>
      <c r="J3908" s="8" t="n"/>
      <c r="K3908" s="7" t="inlineStr">
        <is>
          <t>SEM COTAÇÃO</t>
        </is>
      </c>
      <c r="L3908" s="8" t="n"/>
      <c r="M3908" s="12" t="n"/>
      <c r="N3908" s="7" t="inlineStr"/>
      <c r="O3908" s="7" t="inlineStr"/>
    </row>
    <row r="3909">
      <c r="A3909" s="7" t="n">
        <v>652381</v>
      </c>
      <c r="B3909" s="10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1" t="n">
        <v>1</v>
      </c>
      <c r="G3909" s="11" t="n">
        <v>1</v>
      </c>
      <c r="H3909" s="8" t="n">
        <v>9.07</v>
      </c>
      <c r="I3909" s="8" t="n">
        <v>9.07</v>
      </c>
      <c r="J3909" s="8" t="n"/>
      <c r="K3909" s="7" t="inlineStr">
        <is>
          <t>SEM COTAÇÃO</t>
        </is>
      </c>
      <c r="L3909" s="8" t="n"/>
      <c r="M3909" s="12" t="n"/>
      <c r="N3909" s="7" t="inlineStr"/>
      <c r="O3909" s="7" t="inlineStr"/>
    </row>
    <row r="3910">
      <c r="A3910" s="7" t="n">
        <v>627731</v>
      </c>
      <c r="B3910" s="10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1" t="n">
        <v>1</v>
      </c>
      <c r="G3910" s="11" t="n">
        <v>1</v>
      </c>
      <c r="H3910" s="8" t="n">
        <v>1.76</v>
      </c>
      <c r="I3910" s="8" t="n">
        <v>1.76</v>
      </c>
      <c r="J3910" s="8" t="n"/>
      <c r="K3910" s="7" t="inlineStr">
        <is>
          <t>SEM COTAÇÃO</t>
        </is>
      </c>
      <c r="L3910" s="8" t="n"/>
      <c r="M3910" s="12" t="n"/>
      <c r="N3910" s="7" t="inlineStr"/>
      <c r="O3910" s="7" t="inlineStr"/>
    </row>
    <row r="3911">
      <c r="A3911" s="7" t="n">
        <v>627741</v>
      </c>
      <c r="B3911" s="10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1" t="n">
        <v>1</v>
      </c>
      <c r="G3911" s="11" t="n">
        <v>1</v>
      </c>
      <c r="H3911" s="8" t="n">
        <v>1.76</v>
      </c>
      <c r="I3911" s="8" t="n">
        <v>1.76</v>
      </c>
      <c r="J3911" s="8" t="n"/>
      <c r="K3911" s="7" t="inlineStr">
        <is>
          <t>SEM COTAÇÃO</t>
        </is>
      </c>
      <c r="L3911" s="8" t="n"/>
      <c r="M3911" s="12" t="n"/>
      <c r="N3911" s="7" t="inlineStr"/>
      <c r="O3911" s="7" t="inlineStr"/>
    </row>
    <row r="3912">
      <c r="A3912" s="7" t="n">
        <v>627751</v>
      </c>
      <c r="B3912" s="10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1" t="n">
        <v>1</v>
      </c>
      <c r="G3912" s="11" t="n">
        <v>1</v>
      </c>
      <c r="H3912" s="8" t="n">
        <v>1.76</v>
      </c>
      <c r="I3912" s="8" t="n">
        <v>1.76</v>
      </c>
      <c r="J3912" s="8" t="n"/>
      <c r="K3912" s="7" t="inlineStr">
        <is>
          <t>SEM COTAÇÃO</t>
        </is>
      </c>
      <c r="L3912" s="8" t="n"/>
      <c r="M3912" s="12" t="n"/>
      <c r="N3912" s="7" t="inlineStr"/>
      <c r="O3912" s="7" t="inlineStr"/>
    </row>
    <row r="3913">
      <c r="A3913" s="7" t="n">
        <v>538681</v>
      </c>
      <c r="B3913" s="10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1" t="n">
        <v>1</v>
      </c>
      <c r="G3913" s="11" t="n">
        <v>1</v>
      </c>
      <c r="H3913" s="8" t="n">
        <v>1.76</v>
      </c>
      <c r="I3913" s="8" t="n">
        <v>1.76</v>
      </c>
      <c r="J3913" s="8" t="n"/>
      <c r="K3913" s="7" t="inlineStr">
        <is>
          <t>SEM COTAÇÃO</t>
        </is>
      </c>
      <c r="L3913" s="8" t="n"/>
      <c r="M3913" s="12" t="n"/>
      <c r="N3913" s="7" t="inlineStr"/>
      <c r="O3913" s="7" t="inlineStr"/>
    </row>
    <row r="3914">
      <c r="A3914" s="7" t="n">
        <v>538741</v>
      </c>
      <c r="B3914" s="10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1" t="n">
        <v>1</v>
      </c>
      <c r="G3914" s="11" t="n">
        <v>1</v>
      </c>
      <c r="H3914" s="8" t="n">
        <v>1.76</v>
      </c>
      <c r="I3914" s="8" t="n">
        <v>1.76</v>
      </c>
      <c r="J3914" s="8" t="n"/>
      <c r="K3914" s="7" t="inlineStr">
        <is>
          <t>SEM COTAÇÃO</t>
        </is>
      </c>
      <c r="L3914" s="8" t="n"/>
      <c r="M3914" s="12" t="n"/>
      <c r="N3914" s="7" t="inlineStr"/>
      <c r="O3914" s="7" t="inlineStr"/>
    </row>
    <row r="3915">
      <c r="A3915" s="7" t="n">
        <v>545341</v>
      </c>
      <c r="B3915" s="10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1" t="n">
        <v>4</v>
      </c>
      <c r="G3915" s="11" t="n">
        <v>4</v>
      </c>
      <c r="H3915" s="8" t="n">
        <v>4.55</v>
      </c>
      <c r="I3915" s="8" t="n">
        <v>4.55</v>
      </c>
      <c r="J3915" s="8" t="n"/>
      <c r="K3915" s="7" t="inlineStr">
        <is>
          <t>SEM COTAÇÃO</t>
        </is>
      </c>
      <c r="L3915" s="8" t="n"/>
      <c r="M3915" s="12" t="n"/>
      <c r="N3915" s="7" t="inlineStr"/>
      <c r="O3915" s="7" t="inlineStr"/>
    </row>
    <row r="3916">
      <c r="A3916" s="7" t="n">
        <v>647681</v>
      </c>
      <c r="B3916" s="10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1" t="n">
        <v>8</v>
      </c>
      <c r="G3916" s="11" t="n">
        <v>8</v>
      </c>
      <c r="H3916" s="8" t="n">
        <v>3.65</v>
      </c>
      <c r="I3916" s="8" t="n">
        <v>3.65</v>
      </c>
      <c r="J3916" s="8" t="n"/>
      <c r="K3916" s="7" t="inlineStr">
        <is>
          <t>SEM COTAÇÃO</t>
        </is>
      </c>
      <c r="L3916" s="8" t="n"/>
      <c r="M3916" s="12" t="n"/>
      <c r="N3916" s="7" t="inlineStr"/>
      <c r="O3916" s="7" t="inlineStr"/>
    </row>
    <row r="3917">
      <c r="A3917" s="7" t="n">
        <v>674361</v>
      </c>
      <c r="B3917" s="10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1" t="n">
        <v>7</v>
      </c>
      <c r="G3917" s="11" t="n">
        <v>7</v>
      </c>
      <c r="H3917" s="8" t="n">
        <v>3.35</v>
      </c>
      <c r="I3917" s="8" t="n">
        <v>3.35</v>
      </c>
      <c r="J3917" s="13" t="n">
        <v>3.33</v>
      </c>
      <c r="K3917" s="7" t="inlineStr">
        <is>
          <t>DIMEC</t>
        </is>
      </c>
      <c r="L3917" s="8" t="n">
        <v>3.33</v>
      </c>
      <c r="M3917" s="12">
        <f>L3917/H3917-1</f>
        <v/>
      </c>
      <c r="N3917" s="15" t="inlineStr">
        <is>
          <t>OK (≤ menor hist.)</t>
        </is>
      </c>
      <c r="O3917" s="7" t="inlineStr"/>
    </row>
    <row r="3918">
      <c r="A3918" s="7" t="n">
        <v>674311</v>
      </c>
      <c r="B3918" s="10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1" t="n">
        <v>1</v>
      </c>
      <c r="G3918" s="11" t="n">
        <v>1</v>
      </c>
      <c r="H3918" s="8" t="n">
        <v>5.95</v>
      </c>
      <c r="I3918" s="8" t="n">
        <v>5.95</v>
      </c>
      <c r="J3918" s="8" t="n"/>
      <c r="K3918" s="7" t="inlineStr">
        <is>
          <t>SEM COTAÇÃO</t>
        </is>
      </c>
      <c r="L3918" s="8" t="n"/>
      <c r="M3918" s="12" t="n"/>
      <c r="N3918" s="7" t="inlineStr"/>
      <c r="O3918" s="7" t="inlineStr"/>
    </row>
    <row r="3919">
      <c r="A3919" s="7" t="n">
        <v>690601</v>
      </c>
      <c r="B3919" s="10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1" t="n">
        <v>2</v>
      </c>
      <c r="G3919" s="11" t="n">
        <v>2</v>
      </c>
      <c r="H3919" s="8" t="n">
        <v>5.78</v>
      </c>
      <c r="I3919" s="8" t="n">
        <v>5.78</v>
      </c>
      <c r="J3919" s="8" t="n"/>
      <c r="K3919" s="7" t="inlineStr">
        <is>
          <t>SEM COTAÇÃO</t>
        </is>
      </c>
      <c r="L3919" s="8" t="n"/>
      <c r="M3919" s="12" t="n"/>
      <c r="N3919" s="7" t="inlineStr"/>
      <c r="O3919" s="7" t="inlineStr"/>
    </row>
    <row r="3920">
      <c r="A3920" s="7" t="n">
        <v>647691</v>
      </c>
      <c r="B3920" s="10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1" t="n">
        <v>2</v>
      </c>
      <c r="G3920" s="11" t="n">
        <v>2</v>
      </c>
      <c r="H3920" s="8" t="n">
        <v>3.65</v>
      </c>
      <c r="I3920" s="8" t="n">
        <v>3.65</v>
      </c>
      <c r="J3920" s="8" t="n"/>
      <c r="K3920" s="7" t="inlineStr">
        <is>
          <t>SEM COTAÇÃO</t>
        </is>
      </c>
      <c r="L3920" s="8" t="n"/>
      <c r="M3920" s="12" t="n"/>
      <c r="N3920" s="7" t="inlineStr"/>
      <c r="O3920" s="7" t="inlineStr"/>
    </row>
    <row r="3921">
      <c r="A3921" s="7" t="n">
        <v>690301</v>
      </c>
      <c r="B3921" s="10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1" t="n">
        <v>3</v>
      </c>
      <c r="G3921" s="11" t="n">
        <v>3</v>
      </c>
      <c r="H3921" s="8" t="n">
        <v>5.78</v>
      </c>
      <c r="I3921" s="8" t="n">
        <v>5.78</v>
      </c>
      <c r="J3921" s="8" t="n"/>
      <c r="K3921" s="7" t="inlineStr">
        <is>
          <t>SEM COTAÇÃO</t>
        </is>
      </c>
      <c r="L3921" s="8" t="n"/>
      <c r="M3921" s="12" t="n"/>
      <c r="N3921" s="7" t="inlineStr"/>
      <c r="O3921" s="7" t="inlineStr"/>
    </row>
    <row r="3922">
      <c r="A3922" s="7" t="n">
        <v>1503</v>
      </c>
      <c r="B3922" s="10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1" t="n">
        <v>3</v>
      </c>
      <c r="G3922" s="11" t="n">
        <v>3</v>
      </c>
      <c r="H3922" s="8" t="n">
        <v>3.38</v>
      </c>
      <c r="I3922" s="8" t="n">
        <v>3.38</v>
      </c>
      <c r="J3922" s="13" t="n">
        <v>3.36</v>
      </c>
      <c r="K3922" s="7" t="inlineStr">
        <is>
          <t>DIMEC</t>
        </is>
      </c>
      <c r="L3922" s="8" t="n">
        <v>3.36</v>
      </c>
      <c r="M3922" s="12">
        <f>L3922/H3922-1</f>
        <v/>
      </c>
      <c r="N3922" s="15" t="inlineStr">
        <is>
          <t>OK (≤ menor hist.)</t>
        </is>
      </c>
      <c r="O3922" s="7" t="inlineStr"/>
    </row>
    <row r="3923">
      <c r="A3923" s="7" t="n">
        <v>647671</v>
      </c>
      <c r="B3923" s="10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1" t="n">
        <v>3</v>
      </c>
      <c r="G3923" s="11" t="n">
        <v>3</v>
      </c>
      <c r="H3923" s="8" t="n">
        <v>5.95</v>
      </c>
      <c r="I3923" s="8" t="n">
        <v>5.95</v>
      </c>
      <c r="J3923" s="8" t="n"/>
      <c r="K3923" s="7" t="inlineStr">
        <is>
          <t>SEM COTAÇÃO</t>
        </is>
      </c>
      <c r="L3923" s="8" t="n"/>
      <c r="M3923" s="12" t="n"/>
      <c r="N3923" s="7" t="inlineStr"/>
      <c r="O3923" s="7" t="inlineStr"/>
    </row>
    <row r="3924">
      <c r="A3924" s="7" t="n">
        <v>647661</v>
      </c>
      <c r="B3924" s="10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1" t="n">
        <v>4</v>
      </c>
      <c r="G3924" s="11" t="n">
        <v>4</v>
      </c>
      <c r="H3924" s="8" t="n">
        <v>5.95</v>
      </c>
      <c r="I3924" s="8" t="n">
        <v>5.95</v>
      </c>
      <c r="J3924" s="8" t="n"/>
      <c r="K3924" s="7" t="inlineStr">
        <is>
          <t>SEM COTAÇÃO</t>
        </is>
      </c>
      <c r="L3924" s="8" t="n"/>
      <c r="M3924" s="12" t="n"/>
      <c r="N3924" s="7" t="inlineStr"/>
      <c r="O3924" s="7" t="inlineStr"/>
    </row>
    <row r="3925">
      <c r="A3925" s="7" t="n">
        <v>638171</v>
      </c>
      <c r="B3925" s="10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1" t="n">
        <v>1</v>
      </c>
      <c r="G3925" s="11" t="n">
        <v>1</v>
      </c>
      <c r="H3925" s="8" t="n">
        <v>16.65</v>
      </c>
      <c r="I3925" s="8" t="n">
        <v>16.65</v>
      </c>
      <c r="J3925" s="8" t="n"/>
      <c r="K3925" s="7" t="inlineStr">
        <is>
          <t>SEM COTAÇÃO</t>
        </is>
      </c>
      <c r="L3925" s="8" t="n"/>
      <c r="M3925" s="12" t="n"/>
      <c r="N3925" s="7" t="inlineStr"/>
      <c r="O3925" s="7" t="inlineStr"/>
    </row>
    <row r="3926">
      <c r="A3926" s="7" t="n">
        <v>540441</v>
      </c>
      <c r="B3926" s="10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1" t="n">
        <v>1</v>
      </c>
      <c r="G3926" s="11" t="n">
        <v>1</v>
      </c>
      <c r="H3926" s="8" t="n">
        <v>10.64</v>
      </c>
      <c r="I3926" s="8" t="n">
        <v>10.64</v>
      </c>
      <c r="J3926" s="8" t="n"/>
      <c r="K3926" s="7" t="inlineStr">
        <is>
          <t>SEM COTAÇÃO</t>
        </is>
      </c>
      <c r="L3926" s="8" t="n"/>
      <c r="M3926" s="12" t="n"/>
      <c r="N3926" s="7" t="inlineStr"/>
      <c r="O3926" s="7" t="inlineStr"/>
    </row>
    <row r="3927">
      <c r="A3927" s="7" t="n">
        <v>535801</v>
      </c>
      <c r="B3927" s="10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1" t="n">
        <v>5</v>
      </c>
      <c r="G3927" s="11" t="n">
        <v>5</v>
      </c>
      <c r="H3927" s="8" t="n">
        <v>18.92</v>
      </c>
      <c r="I3927" s="8" t="n">
        <v>18.61</v>
      </c>
      <c r="J3927" s="8" t="n"/>
      <c r="K3927" s="7" t="inlineStr">
        <is>
          <t>SEM COTAÇÃO</t>
        </is>
      </c>
      <c r="L3927" s="8" t="n"/>
      <c r="M3927" s="12" t="n"/>
      <c r="N3927" s="7" t="inlineStr"/>
      <c r="O3927" s="7" t="inlineStr"/>
    </row>
    <row r="3928">
      <c r="A3928" s="7" t="n">
        <v>45</v>
      </c>
      <c r="B3928" s="10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1" t="n">
        <v>1</v>
      </c>
      <c r="G3928" s="11" t="n">
        <v>1</v>
      </c>
      <c r="H3928" s="8" t="n"/>
      <c r="I3928" s="8" t="n"/>
      <c r="J3928" s="8" t="n"/>
      <c r="K3928" s="7" t="inlineStr">
        <is>
          <t>SEM COTAÇÃO</t>
        </is>
      </c>
      <c r="L3928" s="8" t="n"/>
      <c r="M3928" s="12" t="n"/>
      <c r="N3928" s="7" t="inlineStr"/>
      <c r="O3928" s="7" t="inlineStr"/>
    </row>
    <row r="3929">
      <c r="A3929" s="7" t="n">
        <v>543801</v>
      </c>
      <c r="B3929" s="10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1" t="n">
        <v>2</v>
      </c>
      <c r="G3929" s="11" t="n">
        <v>2</v>
      </c>
      <c r="H3929" s="8" t="n">
        <v>17.92</v>
      </c>
      <c r="I3929" s="8" t="n">
        <v>17.92</v>
      </c>
      <c r="J3929" s="8" t="n"/>
      <c r="K3929" s="7" t="inlineStr">
        <is>
          <t>SEM COTAÇÃO</t>
        </is>
      </c>
      <c r="L3929" s="8" t="n"/>
      <c r="M3929" s="12" t="n"/>
      <c r="N3929" s="7" t="inlineStr"/>
      <c r="O3929" s="7" t="inlineStr"/>
    </row>
    <row r="3930">
      <c r="A3930" s="7" t="n">
        <v>535741</v>
      </c>
      <c r="B3930" s="10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1" t="n">
        <v>3</v>
      </c>
      <c r="G3930" s="11" t="n">
        <v>3</v>
      </c>
      <c r="H3930" s="8" t="n">
        <v>17.7647</v>
      </c>
      <c r="I3930" s="8" t="n">
        <v>16.0142</v>
      </c>
      <c r="J3930" s="8" t="n"/>
      <c r="K3930" s="7" t="inlineStr">
        <is>
          <t>SEM COTAÇÃO</t>
        </is>
      </c>
      <c r="L3930" s="8" t="n"/>
      <c r="M3930" s="12" t="n"/>
      <c r="N3930" s="7" t="inlineStr"/>
      <c r="O3930" s="7" t="inlineStr"/>
    </row>
    <row r="3931">
      <c r="A3931" s="7" t="n">
        <v>535581</v>
      </c>
      <c r="B3931" s="10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1" t="n">
        <v>3</v>
      </c>
      <c r="G3931" s="11" t="n">
        <v>3</v>
      </c>
      <c r="H3931" s="8" t="n">
        <v>7.6233</v>
      </c>
      <c r="I3931" s="8" t="n">
        <v>7.0783</v>
      </c>
      <c r="J3931" s="8" t="n"/>
      <c r="K3931" s="7" t="inlineStr">
        <is>
          <t>SEM COTAÇÃO</t>
        </is>
      </c>
      <c r="L3931" s="8" t="n"/>
      <c r="M3931" s="12" t="n"/>
      <c r="N3931" s="7" t="inlineStr"/>
      <c r="O3931" s="7" t="inlineStr"/>
    </row>
    <row r="3932">
      <c r="A3932" s="7" t="n">
        <v>535621</v>
      </c>
      <c r="B3932" s="10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1" t="n">
        <v>6</v>
      </c>
      <c r="G3932" s="11" t="n">
        <v>6</v>
      </c>
      <c r="H3932" s="8" t="n">
        <v>8.775</v>
      </c>
      <c r="I3932" s="8" t="n">
        <v>7.0783</v>
      </c>
      <c r="J3932" s="8" t="n"/>
      <c r="K3932" s="7" t="inlineStr">
        <is>
          <t>SEM COTAÇÃO</t>
        </is>
      </c>
      <c r="L3932" s="8" t="n"/>
      <c r="M3932" s="12" t="n"/>
      <c r="N3932" s="7" t="inlineStr"/>
      <c r="O3932" s="7" t="inlineStr"/>
    </row>
    <row r="3933">
      <c r="A3933" s="7" t="n">
        <v>577781</v>
      </c>
      <c r="B3933" s="10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1" t="n">
        <v>1</v>
      </c>
      <c r="G3933" s="11" t="n">
        <v>2</v>
      </c>
      <c r="H3933" s="8" t="n">
        <v>7.845</v>
      </c>
      <c r="I3933" s="8" t="n">
        <v>7.845</v>
      </c>
      <c r="J3933" s="8" t="n"/>
      <c r="K3933" s="7" t="inlineStr">
        <is>
          <t>SEM COTAÇÃO</t>
        </is>
      </c>
      <c r="L3933" s="8" t="n"/>
      <c r="M3933" s="12" t="n"/>
      <c r="N3933" s="7" t="inlineStr"/>
      <c r="O3933" s="7" t="inlineStr"/>
    </row>
    <row r="3934">
      <c r="A3934" s="7" t="n">
        <v>544</v>
      </c>
      <c r="B3934" s="10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1" t="n">
        <v>1</v>
      </c>
      <c r="G3934" s="11" t="n">
        <v>1</v>
      </c>
      <c r="H3934" s="8" t="n"/>
      <c r="I3934" s="8" t="n"/>
      <c r="J3934" s="8" t="n"/>
      <c r="K3934" s="7" t="inlineStr">
        <is>
          <t>SEM COTAÇÃO</t>
        </is>
      </c>
      <c r="L3934" s="8" t="n"/>
      <c r="M3934" s="12" t="n"/>
      <c r="N3934" s="7" t="inlineStr"/>
      <c r="O3934" s="7" t="inlineStr"/>
    </row>
    <row r="3935">
      <c r="A3935" s="7" t="n">
        <v>531721</v>
      </c>
      <c r="B3935" s="10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1" t="n">
        <v>5</v>
      </c>
      <c r="G3935" s="11" t="n">
        <v>5</v>
      </c>
      <c r="H3935" s="8" t="n">
        <v>2.49</v>
      </c>
      <c r="I3935" s="8" t="n">
        <v>2.23</v>
      </c>
      <c r="J3935" s="13" t="n">
        <v>2.36</v>
      </c>
      <c r="K3935" s="7" t="inlineStr">
        <is>
          <t>DIMEC</t>
        </is>
      </c>
      <c r="L3935" s="8" t="n">
        <v>2.36</v>
      </c>
      <c r="M3935" s="12">
        <f>L3935/H3935-1</f>
        <v/>
      </c>
      <c r="N3935" s="15" t="inlineStr">
        <is>
          <t>OK (≤ últ. compra)</t>
        </is>
      </c>
      <c r="O3935" s="7" t="inlineStr"/>
    </row>
    <row r="3936">
      <c r="A3936" s="7" t="n">
        <v>638161</v>
      </c>
      <c r="B3936" s="10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1" t="n">
        <v>3</v>
      </c>
      <c r="G3936" s="11" t="n">
        <v>3</v>
      </c>
      <c r="H3936" s="8" t="n">
        <v>13.07</v>
      </c>
      <c r="I3936" s="8" t="n">
        <v>12.71</v>
      </c>
      <c r="J3936" s="8" t="n"/>
      <c r="K3936" s="7" t="inlineStr">
        <is>
          <t>SEM COTAÇÃO</t>
        </is>
      </c>
      <c r="L3936" s="8" t="n"/>
      <c r="M3936" s="12" t="n"/>
      <c r="N3936" s="7" t="inlineStr"/>
      <c r="O3936" s="7" t="inlineStr"/>
    </row>
    <row r="3937">
      <c r="A3937" s="7" t="n">
        <v>632881</v>
      </c>
      <c r="B3937" s="10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1" t="n">
        <v>12</v>
      </c>
      <c r="G3937" s="11" t="n">
        <v>12</v>
      </c>
      <c r="H3937" s="8" t="n">
        <v>3.93</v>
      </c>
      <c r="I3937" s="8" t="n">
        <v>3.93</v>
      </c>
      <c r="J3937" s="8" t="n"/>
      <c r="K3937" s="7" t="inlineStr">
        <is>
          <t>SEM COTAÇÃO</t>
        </is>
      </c>
      <c r="L3937" s="8" t="n"/>
      <c r="M3937" s="12" t="n"/>
      <c r="N3937" s="7" t="inlineStr"/>
      <c r="O3937" s="7" t="inlineStr"/>
    </row>
    <row r="3938">
      <c r="A3938" s="7" t="n">
        <v>636991</v>
      </c>
      <c r="B3938" s="10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1" t="n">
        <v>6</v>
      </c>
      <c r="G3938" s="11" t="n">
        <v>6</v>
      </c>
      <c r="H3938" s="8" t="n">
        <v>5.81</v>
      </c>
      <c r="I3938" s="8" t="n">
        <v>5.81</v>
      </c>
      <c r="J3938" s="8" t="n"/>
      <c r="K3938" s="7" t="inlineStr">
        <is>
          <t>SEM COTAÇÃO</t>
        </is>
      </c>
      <c r="L3938" s="8" t="n"/>
      <c r="M3938" s="12" t="n"/>
      <c r="N3938" s="7" t="inlineStr"/>
      <c r="O3938" s="7" t="inlineStr"/>
    </row>
    <row r="3939">
      <c r="A3939" s="7" t="n">
        <v>638141</v>
      </c>
      <c r="B3939" s="10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1" t="n">
        <v>2</v>
      </c>
      <c r="G3939" s="11" t="n">
        <v>2</v>
      </c>
      <c r="H3939" s="8" t="n">
        <v>9.4</v>
      </c>
      <c r="I3939" s="8" t="n">
        <v>9.4</v>
      </c>
      <c r="J3939" s="8" t="n"/>
      <c r="K3939" s="7" t="inlineStr">
        <is>
          <t>SEM COTAÇÃO</t>
        </is>
      </c>
      <c r="L3939" s="8" t="n"/>
      <c r="M3939" s="12" t="n"/>
      <c r="N3939" s="7" t="inlineStr"/>
      <c r="O3939" s="7" t="inlineStr"/>
    </row>
    <row r="3940">
      <c r="A3940" s="7" t="n">
        <v>636051</v>
      </c>
      <c r="B3940" s="10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1" t="n">
        <v>4</v>
      </c>
      <c r="G3940" s="11" t="n">
        <v>4</v>
      </c>
      <c r="H3940" s="8" t="n">
        <v>4.94</v>
      </c>
      <c r="I3940" s="8" t="n">
        <v>4.94</v>
      </c>
      <c r="J3940" s="8" t="n"/>
      <c r="K3940" s="7" t="inlineStr">
        <is>
          <t>SEM COTAÇÃO</t>
        </is>
      </c>
      <c r="L3940" s="8" t="n"/>
      <c r="M3940" s="12" t="n"/>
      <c r="N3940" s="7" t="inlineStr"/>
      <c r="O3940" s="7" t="inlineStr"/>
    </row>
    <row r="3941">
      <c r="A3941" s="7" t="n">
        <v>655121</v>
      </c>
      <c r="B3941" s="10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1" t="n">
        <v>1</v>
      </c>
      <c r="G3941" s="11" t="n">
        <v>1</v>
      </c>
      <c r="H3941" s="8" t="n">
        <v>9.720000000000001</v>
      </c>
      <c r="I3941" s="8" t="n">
        <v>9.720000000000001</v>
      </c>
      <c r="J3941" s="8" t="n"/>
      <c r="K3941" s="7" t="inlineStr">
        <is>
          <t>SEM COTAÇÃO</t>
        </is>
      </c>
      <c r="L3941" s="8" t="n"/>
      <c r="M3941" s="12" t="n"/>
      <c r="N3941" s="7" t="inlineStr"/>
      <c r="O3941" s="7" t="inlineStr"/>
    </row>
    <row r="3942">
      <c r="A3942" s="7" t="n">
        <v>637001</v>
      </c>
      <c r="B3942" s="10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1" t="n">
        <v>1</v>
      </c>
      <c r="G3942" s="11" t="n">
        <v>1</v>
      </c>
      <c r="H3942" s="8" t="n">
        <v>6.57</v>
      </c>
      <c r="I3942" s="8" t="n">
        <v>6.57</v>
      </c>
      <c r="J3942" s="8" t="n"/>
      <c r="K3942" s="7" t="inlineStr">
        <is>
          <t>SEM COTAÇÃO</t>
        </is>
      </c>
      <c r="L3942" s="8" t="n"/>
      <c r="M3942" s="12" t="n"/>
      <c r="N3942" s="7" t="inlineStr"/>
      <c r="O3942" s="7" t="inlineStr"/>
    </row>
    <row r="3943">
      <c r="A3943" s="7" t="n">
        <v>637011</v>
      </c>
      <c r="B3943" s="10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1" t="n">
        <v>4</v>
      </c>
      <c r="G3943" s="11" t="n">
        <v>4</v>
      </c>
      <c r="H3943" s="8" t="n">
        <v>9.65</v>
      </c>
      <c r="I3943" s="8" t="n">
        <v>9.65</v>
      </c>
      <c r="J3943" s="8" t="n"/>
      <c r="K3943" s="7" t="inlineStr">
        <is>
          <t>SEM COTAÇÃO</t>
        </is>
      </c>
      <c r="L3943" s="8" t="n"/>
      <c r="M3943" s="12" t="n"/>
      <c r="N3943" s="7" t="inlineStr"/>
      <c r="O3943" s="7" t="inlineStr"/>
    </row>
    <row r="3944">
      <c r="A3944" s="7" t="n">
        <v>637021</v>
      </c>
      <c r="B3944" s="10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1" t="n">
        <v>3</v>
      </c>
      <c r="G3944" s="11" t="n">
        <v>3</v>
      </c>
      <c r="H3944" s="8" t="n">
        <v>9.619999999999999</v>
      </c>
      <c r="I3944" s="8" t="n">
        <v>9.619999999999999</v>
      </c>
      <c r="J3944" s="8" t="n"/>
      <c r="K3944" s="7" t="inlineStr">
        <is>
          <t>SEM COTAÇÃO</t>
        </is>
      </c>
      <c r="L3944" s="8" t="n"/>
      <c r="M3944" s="12" t="n"/>
      <c r="N3944" s="7" t="inlineStr"/>
      <c r="O3944" s="7" t="inlineStr"/>
    </row>
    <row r="3945">
      <c r="A3945" s="7" t="n">
        <v>655111</v>
      </c>
      <c r="B3945" s="10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1" t="n">
        <v>8</v>
      </c>
      <c r="G3945" s="11" t="n">
        <v>8</v>
      </c>
      <c r="H3945" s="8" t="n">
        <v>5.81</v>
      </c>
      <c r="I3945" s="8" t="n">
        <v>5.81</v>
      </c>
      <c r="J3945" s="8" t="n"/>
      <c r="K3945" s="7" t="inlineStr">
        <is>
          <t>SEM COTAÇÃO</t>
        </is>
      </c>
      <c r="L3945" s="8" t="n"/>
      <c r="M3945" s="12" t="n"/>
      <c r="N3945" s="7" t="inlineStr"/>
      <c r="O3945" s="7" t="inlineStr"/>
    </row>
    <row r="3946">
      <c r="A3946" s="7" t="n">
        <v>638151</v>
      </c>
      <c r="B3946" s="10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1" t="n">
        <v>1</v>
      </c>
      <c r="G3946" s="11" t="n">
        <v>1</v>
      </c>
      <c r="H3946" s="8" t="n">
        <v>8.800000000000001</v>
      </c>
      <c r="I3946" s="8" t="n">
        <v>8.800000000000001</v>
      </c>
      <c r="J3946" s="8" t="n"/>
      <c r="K3946" s="7" t="inlineStr">
        <is>
          <t>SEM COTAÇÃO</t>
        </is>
      </c>
      <c r="L3946" s="8" t="n"/>
      <c r="M3946" s="12" t="n"/>
      <c r="N3946" s="7" t="inlineStr"/>
      <c r="O3946" s="7" t="inlineStr"/>
    </row>
    <row r="3947">
      <c r="A3947" s="7" t="n">
        <v>640621</v>
      </c>
      <c r="B3947" s="10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1" t="n">
        <v>5</v>
      </c>
      <c r="G3947" s="11" t="n">
        <v>5</v>
      </c>
      <c r="H3947" s="8" t="n">
        <v>2.24</v>
      </c>
      <c r="I3947" s="8" t="n">
        <v>2.24</v>
      </c>
      <c r="J3947" s="8" t="n"/>
      <c r="K3947" s="7" t="inlineStr">
        <is>
          <t>SEM COTAÇÃO</t>
        </is>
      </c>
      <c r="L3947" s="8" t="n"/>
      <c r="M3947" s="12" t="n"/>
      <c r="N3947" s="7" t="inlineStr"/>
      <c r="O3947" s="7" t="inlineStr"/>
    </row>
    <row r="3948">
      <c r="A3948" s="7" t="n">
        <v>640661</v>
      </c>
      <c r="B3948" s="10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1" t="n">
        <v>7</v>
      </c>
      <c r="G3948" s="11" t="n">
        <v>7</v>
      </c>
      <c r="H3948" s="8" t="n">
        <v>12.19</v>
      </c>
      <c r="I3948" s="8" t="n">
        <v>12.19</v>
      </c>
      <c r="J3948" s="8" t="n"/>
      <c r="K3948" s="7" t="inlineStr">
        <is>
          <t>SEM COTAÇÃO</t>
        </is>
      </c>
      <c r="L3948" s="8" t="n"/>
      <c r="M3948" s="12" t="n"/>
      <c r="N3948" s="7" t="inlineStr"/>
      <c r="O3948" s="7" t="inlineStr"/>
    </row>
    <row r="3949">
      <c r="A3949" s="7" t="n">
        <v>664471</v>
      </c>
      <c r="B3949" s="10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1" t="n">
        <v>1</v>
      </c>
      <c r="G3949" s="11" t="n">
        <v>1</v>
      </c>
      <c r="H3949" s="8" t="n">
        <v>3.41</v>
      </c>
      <c r="I3949" s="8" t="n">
        <v>3.41</v>
      </c>
      <c r="J3949" s="8" t="n"/>
      <c r="K3949" s="7" t="inlineStr">
        <is>
          <t>SEM COTAÇÃO</t>
        </is>
      </c>
      <c r="L3949" s="8" t="n"/>
      <c r="M3949" s="12" t="n"/>
      <c r="N3949" s="7" t="inlineStr"/>
      <c r="O3949" s="7" t="inlineStr"/>
    </row>
    <row r="3950">
      <c r="A3950" s="7" t="n">
        <v>638121</v>
      </c>
      <c r="B3950" s="10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1" t="n">
        <v>3</v>
      </c>
      <c r="G3950" s="11" t="n">
        <v>3</v>
      </c>
      <c r="H3950" s="8" t="n">
        <v>5.14</v>
      </c>
      <c r="I3950" s="8" t="n">
        <v>5.14</v>
      </c>
      <c r="J3950" s="8" t="n"/>
      <c r="K3950" s="7" t="inlineStr">
        <is>
          <t>SEM COTAÇÃO</t>
        </is>
      </c>
      <c r="L3950" s="8" t="n"/>
      <c r="M3950" s="12" t="n"/>
      <c r="N3950" s="7" t="inlineStr"/>
      <c r="O3950" s="7" t="inlineStr"/>
    </row>
    <row r="3951">
      <c r="A3951" s="7" t="n">
        <v>606731</v>
      </c>
      <c r="B3951" s="10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1" t="n">
        <v>3</v>
      </c>
      <c r="G3951" s="11" t="n">
        <v>3</v>
      </c>
      <c r="H3951" s="8" t="n">
        <v>7.49</v>
      </c>
      <c r="I3951" s="8" t="n">
        <v>7.49</v>
      </c>
      <c r="J3951" s="8" t="n"/>
      <c r="K3951" s="7" t="inlineStr">
        <is>
          <t>SEM COTAÇÃO</t>
        </is>
      </c>
      <c r="L3951" s="8" t="n"/>
      <c r="M3951" s="12" t="n"/>
      <c r="N3951" s="7" t="inlineStr"/>
      <c r="O3951" s="7" t="inlineStr"/>
    </row>
    <row r="3952">
      <c r="A3952" s="7" t="n">
        <v>646701</v>
      </c>
      <c r="B3952" s="10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1" t="n">
        <v>1</v>
      </c>
      <c r="G3952" s="11" t="n">
        <v>1</v>
      </c>
      <c r="H3952" s="8" t="n">
        <v>14.09</v>
      </c>
      <c r="I3952" s="8" t="n">
        <v>14.09</v>
      </c>
      <c r="J3952" s="8" t="n"/>
      <c r="K3952" s="7" t="inlineStr">
        <is>
          <t>SEM COTAÇÃO</t>
        </is>
      </c>
      <c r="L3952" s="8" t="n"/>
      <c r="M3952" s="12" t="n"/>
      <c r="N3952" s="7" t="inlineStr"/>
      <c r="O3952" s="7" t="inlineStr"/>
    </row>
    <row r="3953">
      <c r="A3953" s="7" t="n">
        <v>632961</v>
      </c>
      <c r="B3953" s="10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1" t="n">
        <v>11</v>
      </c>
      <c r="G3953" s="11" t="n">
        <v>11</v>
      </c>
      <c r="H3953" s="8" t="n">
        <v>13.07</v>
      </c>
      <c r="I3953" s="8" t="n">
        <v>12.63</v>
      </c>
      <c r="J3953" s="8" t="n"/>
      <c r="K3953" s="7" t="inlineStr">
        <is>
          <t>SEM COTAÇÃO</t>
        </is>
      </c>
      <c r="L3953" s="8" t="n"/>
      <c r="M3953" s="12" t="n"/>
      <c r="N3953" s="7" t="inlineStr"/>
      <c r="O3953" s="7" t="inlineStr"/>
    </row>
    <row r="3954">
      <c r="A3954" s="7" t="n">
        <v>632901</v>
      </c>
      <c r="B3954" s="10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1" t="n">
        <v>13</v>
      </c>
      <c r="G3954" s="11" t="n">
        <v>13</v>
      </c>
      <c r="H3954" s="8" t="n">
        <v>3.93</v>
      </c>
      <c r="I3954" s="8" t="n">
        <v>3.93</v>
      </c>
      <c r="J3954" s="8" t="n"/>
      <c r="K3954" s="7" t="inlineStr">
        <is>
          <t>SEM COTAÇÃO</t>
        </is>
      </c>
      <c r="L3954" s="8" t="n"/>
      <c r="M3954" s="12" t="n"/>
      <c r="N3954" s="7" t="inlineStr"/>
      <c r="O3954" s="7" t="inlineStr"/>
    </row>
    <row r="3955">
      <c r="A3955" s="7" t="n">
        <v>646711</v>
      </c>
      <c r="B3955" s="10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1" t="n">
        <v>1</v>
      </c>
      <c r="G3955" s="11" t="n">
        <v>1</v>
      </c>
      <c r="H3955" s="8" t="n">
        <v>14.09</v>
      </c>
      <c r="I3955" s="8" t="n">
        <v>14.09</v>
      </c>
      <c r="J3955" s="8" t="n"/>
      <c r="K3955" s="7" t="inlineStr">
        <is>
          <t>SEM COTAÇÃO</t>
        </is>
      </c>
      <c r="L3955" s="8" t="n"/>
      <c r="M3955" s="12" t="n"/>
      <c r="N3955" s="7" t="inlineStr"/>
      <c r="O3955" s="7" t="inlineStr"/>
    </row>
    <row r="3956">
      <c r="A3956" s="7" t="n">
        <v>632941</v>
      </c>
      <c r="B3956" s="10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1" t="n">
        <v>38</v>
      </c>
      <c r="G3956" s="11" t="n">
        <v>38</v>
      </c>
      <c r="H3956" s="8" t="n">
        <v>4.91</v>
      </c>
      <c r="I3956" s="8" t="n">
        <v>4.91</v>
      </c>
      <c r="J3956" s="8" t="n"/>
      <c r="K3956" s="7" t="inlineStr">
        <is>
          <t>SEM COTAÇÃO</t>
        </is>
      </c>
      <c r="L3956" s="8" t="n"/>
      <c r="M3956" s="12" t="n"/>
      <c r="N3956" s="7" t="inlineStr"/>
      <c r="O3956" s="7" t="inlineStr"/>
    </row>
    <row r="3957">
      <c r="A3957" s="7" t="n">
        <v>632931</v>
      </c>
      <c r="B3957" s="10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1" t="n">
        <v>25</v>
      </c>
      <c r="G3957" s="11" t="n">
        <v>25</v>
      </c>
      <c r="H3957" s="8" t="n">
        <v>9.710000000000001</v>
      </c>
      <c r="I3957" s="8" t="n">
        <v>9.710000000000001</v>
      </c>
      <c r="J3957" s="8" t="n"/>
      <c r="K3957" s="7" t="inlineStr">
        <is>
          <t>SEM COTAÇÃO</t>
        </is>
      </c>
      <c r="L3957" s="8" t="n"/>
      <c r="M3957" s="12" t="n"/>
      <c r="N3957" s="7" t="inlineStr"/>
      <c r="O3957" s="7" t="inlineStr"/>
    </row>
    <row r="3958">
      <c r="A3958" s="7" t="n">
        <v>632911</v>
      </c>
      <c r="B3958" s="10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1" t="n">
        <v>44</v>
      </c>
      <c r="G3958" s="11" t="n">
        <v>44</v>
      </c>
      <c r="H3958" s="8" t="n">
        <v>3.93</v>
      </c>
      <c r="I3958" s="8" t="n">
        <v>3.93</v>
      </c>
      <c r="J3958" s="8" t="n"/>
      <c r="K3958" s="7" t="inlineStr">
        <is>
          <t>SEM COTAÇÃO</t>
        </is>
      </c>
      <c r="L3958" s="8" t="n"/>
      <c r="M3958" s="12" t="n"/>
      <c r="N3958" s="7" t="inlineStr"/>
      <c r="O3958" s="7" t="inlineStr"/>
    </row>
    <row r="3959">
      <c r="A3959" s="7" t="n">
        <v>632971</v>
      </c>
      <c r="B3959" s="10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1" t="n">
        <v>8</v>
      </c>
      <c r="G3959" s="11" t="n">
        <v>8</v>
      </c>
      <c r="H3959" s="8" t="n">
        <v>13.07</v>
      </c>
      <c r="I3959" s="8" t="n">
        <v>12.71</v>
      </c>
      <c r="J3959" s="8" t="n"/>
      <c r="K3959" s="7" t="inlineStr">
        <is>
          <t>SEM COTAÇÃO</t>
        </is>
      </c>
      <c r="L3959" s="8" t="n"/>
      <c r="M3959" s="12" t="n"/>
      <c r="N3959" s="7" t="inlineStr"/>
      <c r="O3959" s="7" t="inlineStr"/>
    </row>
    <row r="3960">
      <c r="A3960" s="7" t="n">
        <v>632921</v>
      </c>
      <c r="B3960" s="10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1" t="n">
        <v>18</v>
      </c>
      <c r="G3960" s="11" t="n">
        <v>18</v>
      </c>
      <c r="H3960" s="8" t="n">
        <v>5.81</v>
      </c>
      <c r="I3960" s="8" t="n">
        <v>5.81</v>
      </c>
      <c r="J3960" s="8" t="n"/>
      <c r="K3960" s="7" t="inlineStr">
        <is>
          <t>SEM COTAÇÃO</t>
        </is>
      </c>
      <c r="L3960" s="8" t="n"/>
      <c r="M3960" s="12" t="n"/>
      <c r="N3960" s="7" t="inlineStr"/>
      <c r="O3960" s="7" t="inlineStr"/>
    </row>
    <row r="3961">
      <c r="A3961" s="7" t="n">
        <v>636041</v>
      </c>
      <c r="B3961" s="10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1" t="n">
        <v>4</v>
      </c>
      <c r="G3961" s="11" t="n">
        <v>4</v>
      </c>
      <c r="H3961" s="8" t="n">
        <v>9.4</v>
      </c>
      <c r="I3961" s="8" t="n">
        <v>9.4</v>
      </c>
      <c r="J3961" s="8" t="n"/>
      <c r="K3961" s="7" t="inlineStr">
        <is>
          <t>SEM COTAÇÃO</t>
        </is>
      </c>
      <c r="L3961" s="8" t="n"/>
      <c r="M3961" s="12" t="n"/>
      <c r="N3961" s="7" t="inlineStr"/>
      <c r="O3961" s="7" t="inlineStr"/>
    </row>
    <row r="3962">
      <c r="A3962" s="7" t="n">
        <v>655131</v>
      </c>
      <c r="B3962" s="10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1" t="n">
        <v>2</v>
      </c>
      <c r="G3962" s="11" t="n">
        <v>2</v>
      </c>
      <c r="H3962" s="8" t="n">
        <v>1.82</v>
      </c>
      <c r="I3962" s="8" t="n">
        <v>1.82</v>
      </c>
      <c r="J3962" s="8" t="n"/>
      <c r="K3962" s="7" t="inlineStr">
        <is>
          <t>SEM COTAÇÃO</t>
        </is>
      </c>
      <c r="L3962" s="8" t="n"/>
      <c r="M3962" s="12" t="n"/>
      <c r="N3962" s="7" t="inlineStr"/>
      <c r="O3962" s="7" t="inlineStr"/>
    </row>
    <row r="3963">
      <c r="A3963" s="7" t="n">
        <v>664671</v>
      </c>
      <c r="B3963" s="10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1" t="n">
        <v>1</v>
      </c>
      <c r="G3963" s="11" t="n">
        <v>1</v>
      </c>
      <c r="H3963" s="8" t="n">
        <v>4.71</v>
      </c>
      <c r="I3963" s="8" t="n">
        <v>4.71</v>
      </c>
      <c r="J3963" s="8" t="n"/>
      <c r="K3963" s="7" t="inlineStr">
        <is>
          <t>SEM COTAÇÃO</t>
        </is>
      </c>
      <c r="L3963" s="8" t="n"/>
      <c r="M3963" s="12" t="n"/>
      <c r="N3963" s="7" t="inlineStr"/>
      <c r="O3963" s="7" t="inlineStr"/>
    </row>
    <row r="3964">
      <c r="A3964" s="7" t="n">
        <v>664481</v>
      </c>
      <c r="B3964" s="10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1" t="n">
        <v>1</v>
      </c>
      <c r="G3964" s="11" t="n">
        <v>1</v>
      </c>
      <c r="H3964" s="8" t="n">
        <v>8.76</v>
      </c>
      <c r="I3964" s="8" t="n">
        <v>8.76</v>
      </c>
      <c r="J3964" s="8" t="n"/>
      <c r="K3964" s="7" t="inlineStr">
        <is>
          <t>SEM COTAÇÃO</t>
        </is>
      </c>
      <c r="L3964" s="8" t="n"/>
      <c r="M3964" s="12" t="n"/>
      <c r="N3964" s="7" t="inlineStr"/>
      <c r="O3964" s="7" t="inlineStr"/>
    </row>
    <row r="3965">
      <c r="A3965" s="7" t="n">
        <v>607871</v>
      </c>
      <c r="B3965" s="10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1" t="n">
        <v>1</v>
      </c>
      <c r="G3965" s="11" t="n">
        <v>1</v>
      </c>
      <c r="H3965" s="8" t="n">
        <v>9.27</v>
      </c>
      <c r="I3965" s="8" t="n">
        <v>9.27</v>
      </c>
      <c r="J3965" s="8" t="n"/>
      <c r="K3965" s="7" t="inlineStr">
        <is>
          <t>SEM COTAÇÃO</t>
        </is>
      </c>
      <c r="L3965" s="8" t="n"/>
      <c r="M3965" s="12" t="n"/>
      <c r="N3965" s="7" t="inlineStr"/>
      <c r="O3965" s="7" t="inlineStr"/>
    </row>
    <row r="3966">
      <c r="A3966" s="7" t="n">
        <v>636061</v>
      </c>
      <c r="B3966" s="10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1" t="n">
        <v>8</v>
      </c>
      <c r="G3966" s="11" t="n">
        <v>8</v>
      </c>
      <c r="H3966" s="8" t="n">
        <v>2.92</v>
      </c>
      <c r="I3966" s="8" t="n">
        <v>2.92</v>
      </c>
      <c r="J3966" s="8" t="n"/>
      <c r="K3966" s="7" t="inlineStr">
        <is>
          <t>SEM COTAÇÃO</t>
        </is>
      </c>
      <c r="L3966" s="8" t="n"/>
      <c r="M3966" s="12" t="n"/>
      <c r="N3966" s="7" t="inlineStr"/>
      <c r="O3966" s="7" t="inlineStr"/>
    </row>
    <row r="3967">
      <c r="A3967" s="7" t="n">
        <v>613991</v>
      </c>
      <c r="B3967" s="10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1" t="n">
        <v>1</v>
      </c>
      <c r="G3967" s="11" t="n">
        <v>1</v>
      </c>
      <c r="H3967" s="8" t="n">
        <v>9.02</v>
      </c>
      <c r="I3967" s="8" t="n">
        <v>9.02</v>
      </c>
      <c r="J3967" s="8" t="n"/>
      <c r="K3967" s="7" t="inlineStr">
        <is>
          <t>SEM COTAÇÃO</t>
        </is>
      </c>
      <c r="L3967" s="8" t="n"/>
      <c r="M3967" s="12" t="n"/>
      <c r="N3967" s="7" t="inlineStr"/>
      <c r="O3967" s="7" t="inlineStr"/>
    </row>
    <row r="3968">
      <c r="A3968" s="7" t="n">
        <v>640631</v>
      </c>
      <c r="B3968" s="10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1" t="n">
        <v>5</v>
      </c>
      <c r="G3968" s="11" t="n">
        <v>5</v>
      </c>
      <c r="H3968" s="8" t="n">
        <v>2.24</v>
      </c>
      <c r="I3968" s="8" t="n">
        <v>2.24</v>
      </c>
      <c r="J3968" s="8" t="n"/>
      <c r="K3968" s="7" t="inlineStr">
        <is>
          <t>SEM COTAÇÃO</t>
        </is>
      </c>
      <c r="L3968" s="8" t="n"/>
      <c r="M3968" s="12" t="n"/>
      <c r="N3968" s="7" t="inlineStr"/>
      <c r="O3968" s="7" t="inlineStr"/>
    </row>
    <row r="3969">
      <c r="A3969" s="7" t="n">
        <v>640651</v>
      </c>
      <c r="B3969" s="10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1" t="n">
        <v>1</v>
      </c>
      <c r="G3969" s="11" t="n">
        <v>1</v>
      </c>
      <c r="H3969" s="8" t="n">
        <v>8.789999999999999</v>
      </c>
      <c r="I3969" s="8" t="n">
        <v>8.789999999999999</v>
      </c>
      <c r="J3969" s="8" t="n"/>
      <c r="K3969" s="7" t="inlineStr">
        <is>
          <t>SEM COTAÇÃO</t>
        </is>
      </c>
      <c r="L3969" s="8" t="n"/>
      <c r="M3969" s="12" t="n"/>
      <c r="N3969" s="7" t="inlineStr"/>
      <c r="O3969" s="7" t="inlineStr"/>
    </row>
    <row r="3970">
      <c r="A3970" s="7" t="n">
        <v>646721</v>
      </c>
      <c r="B3970" s="10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1" t="n">
        <v>1</v>
      </c>
      <c r="G3970" s="11" t="n">
        <v>1</v>
      </c>
      <c r="H3970" s="8" t="n">
        <v>11.65</v>
      </c>
      <c r="I3970" s="8" t="n">
        <v>11.65</v>
      </c>
      <c r="J3970" s="8" t="n"/>
      <c r="K3970" s="7" t="inlineStr">
        <is>
          <t>SEM COTAÇÃO</t>
        </is>
      </c>
      <c r="L3970" s="8" t="n"/>
      <c r="M3970" s="12" t="n"/>
      <c r="N3970" s="7" t="inlineStr"/>
      <c r="O3970" s="7" t="inlineStr"/>
    </row>
    <row r="3971">
      <c r="A3971" s="7" t="n">
        <v>4193</v>
      </c>
      <c r="B3971" s="10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1" t="n">
        <v>3</v>
      </c>
      <c r="G3971" s="11" t="n">
        <v>3</v>
      </c>
      <c r="H3971" s="8" t="n">
        <v>12.19</v>
      </c>
      <c r="I3971" s="8" t="n">
        <v>12.19</v>
      </c>
      <c r="J3971" s="8" t="n"/>
      <c r="K3971" s="7" t="inlineStr">
        <is>
          <t>SEM COTAÇÃO</t>
        </is>
      </c>
      <c r="L3971" s="8" t="n"/>
      <c r="M3971" s="12" t="n"/>
      <c r="N3971" s="7" t="inlineStr"/>
      <c r="O3971" s="7" t="inlineStr"/>
    </row>
    <row r="3972">
      <c r="A3972" s="7" t="n">
        <v>643161</v>
      </c>
      <c r="B3972" s="10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1" t="n">
        <v>5</v>
      </c>
      <c r="G3972" s="11" t="n">
        <v>5</v>
      </c>
      <c r="H3972" s="8" t="n">
        <v>4.91</v>
      </c>
      <c r="I3972" s="8" t="n">
        <v>4.91</v>
      </c>
      <c r="J3972" s="8" t="n"/>
      <c r="K3972" s="7" t="inlineStr">
        <is>
          <t>SEM COTAÇÃO</t>
        </is>
      </c>
      <c r="L3972" s="8" t="n"/>
      <c r="M3972" s="12" t="n"/>
      <c r="N3972" s="7" t="inlineStr"/>
      <c r="O3972" s="7" t="inlineStr"/>
    </row>
    <row r="3973">
      <c r="A3973" s="7" t="n">
        <v>636981</v>
      </c>
      <c r="B3973" s="10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1" t="n">
        <v>1</v>
      </c>
      <c r="G3973" s="11" t="n">
        <v>1</v>
      </c>
      <c r="H3973" s="8" t="n">
        <v>9.27</v>
      </c>
      <c r="I3973" s="8" t="n">
        <v>9.27</v>
      </c>
      <c r="J3973" s="8" t="n"/>
      <c r="K3973" s="7" t="inlineStr">
        <is>
          <t>SEM COTAÇÃO</t>
        </is>
      </c>
      <c r="L3973" s="8" t="n"/>
      <c r="M3973" s="12" t="n"/>
      <c r="N3973" s="7" t="inlineStr"/>
      <c r="O3973" s="7" t="inlineStr"/>
    </row>
    <row r="3974">
      <c r="A3974" s="7" t="n">
        <v>661811</v>
      </c>
      <c r="B3974" s="10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1" t="n">
        <v>1</v>
      </c>
      <c r="G3974" s="11" t="n">
        <v>1</v>
      </c>
      <c r="H3974" s="8" t="n">
        <v>8.880000000000001</v>
      </c>
      <c r="I3974" s="8" t="n">
        <v>8.880000000000001</v>
      </c>
      <c r="J3974" s="8" t="n"/>
      <c r="K3974" s="7" t="inlineStr">
        <is>
          <t>SEM COTAÇÃO</t>
        </is>
      </c>
      <c r="L3974" s="8" t="n"/>
      <c r="M3974" s="12" t="n"/>
      <c r="N3974" s="7" t="inlineStr"/>
      <c r="O3974" s="7" t="inlineStr"/>
    </row>
    <row r="3975">
      <c r="A3975" s="7" t="n">
        <v>638091</v>
      </c>
      <c r="B3975" s="10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1" t="n">
        <v>20</v>
      </c>
      <c r="G3975" s="11" t="n">
        <v>20</v>
      </c>
      <c r="H3975" s="8" t="n">
        <v>10.67</v>
      </c>
      <c r="I3975" s="8" t="n">
        <v>10.28</v>
      </c>
      <c r="J3975" s="8" t="n"/>
      <c r="K3975" s="7" t="inlineStr">
        <is>
          <t>SEM COTAÇÃO</t>
        </is>
      </c>
      <c r="L3975" s="8" t="n"/>
      <c r="M3975" s="12" t="n"/>
      <c r="N3975" s="7" t="inlineStr"/>
      <c r="O3975" s="7" t="inlineStr"/>
    </row>
    <row r="3976">
      <c r="A3976" s="7" t="n">
        <v>639821</v>
      </c>
      <c r="B3976" s="10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1" t="n">
        <v>1</v>
      </c>
      <c r="G3976" s="11" t="n">
        <v>1</v>
      </c>
      <c r="H3976" s="8" t="n">
        <v>9.02</v>
      </c>
      <c r="I3976" s="8" t="n">
        <v>9.02</v>
      </c>
      <c r="J3976" s="8" t="n"/>
      <c r="K3976" s="7" t="inlineStr">
        <is>
          <t>SEM COTAÇÃO</t>
        </is>
      </c>
      <c r="L3976" s="8" t="n"/>
      <c r="M3976" s="12" t="n"/>
      <c r="N3976" s="7" t="inlineStr"/>
      <c r="O3976" s="7" t="inlineStr"/>
    </row>
    <row r="3977">
      <c r="A3977" s="7" t="n">
        <v>13261</v>
      </c>
      <c r="B3977" s="10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1" t="n">
        <v>4</v>
      </c>
      <c r="G3977" s="11" t="n">
        <v>71</v>
      </c>
      <c r="H3977" s="8" t="n">
        <v>0.4995</v>
      </c>
      <c r="I3977" s="8" t="n">
        <v>0.4495</v>
      </c>
      <c r="J3977" s="8" t="n"/>
      <c r="K3977" s="7" t="inlineStr">
        <is>
          <t>SEM COTAÇÃO</t>
        </is>
      </c>
      <c r="L3977" s="8" t="n"/>
      <c r="M3977" s="12" t="n"/>
      <c r="N3977" s="7" t="inlineStr"/>
      <c r="O3977" s="7" t="inlineStr"/>
    </row>
    <row r="3978">
      <c r="A3978" s="7" t="n">
        <v>627571</v>
      </c>
      <c r="B3978" s="10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1" t="n">
        <v>1</v>
      </c>
      <c r="G3978" s="11" t="n">
        <v>1</v>
      </c>
      <c r="H3978" s="8" t="n">
        <v>11.88</v>
      </c>
      <c r="I3978" s="8" t="n">
        <v>11.88</v>
      </c>
      <c r="J3978" s="8" t="n"/>
      <c r="K3978" s="7" t="inlineStr">
        <is>
          <t>SEM COTAÇÃO</t>
        </is>
      </c>
      <c r="L3978" s="8" t="n"/>
      <c r="M3978" s="12" t="n"/>
      <c r="N3978" s="7" t="inlineStr"/>
      <c r="O3978" s="7" t="inlineStr"/>
    </row>
    <row r="3979">
      <c r="A3979" s="7" t="n">
        <v>620361</v>
      </c>
      <c r="B3979" s="10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1" t="n">
        <v>1</v>
      </c>
      <c r="G3979" s="11" t="n">
        <v>1</v>
      </c>
      <c r="H3979" s="8" t="n">
        <v>15.03</v>
      </c>
      <c r="I3979" s="8" t="n">
        <v>15.03</v>
      </c>
      <c r="J3979" s="8" t="n"/>
      <c r="K3979" s="7" t="inlineStr">
        <is>
          <t>SEM COTAÇÃO</t>
        </is>
      </c>
      <c r="L3979" s="8" t="n"/>
      <c r="M3979" s="12" t="n"/>
      <c r="N3979" s="7" t="inlineStr"/>
      <c r="O3979" s="7" t="inlineStr"/>
    </row>
    <row r="3980">
      <c r="A3980" s="7" t="n">
        <v>595801</v>
      </c>
      <c r="B3980" s="10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1" t="n">
        <v>3</v>
      </c>
      <c r="G3980" s="11" t="n">
        <v>3</v>
      </c>
      <c r="H3980" s="8" t="n">
        <v>8.25</v>
      </c>
      <c r="I3980" s="8" t="n">
        <v>8.25</v>
      </c>
      <c r="J3980" s="8" t="n"/>
      <c r="K3980" s="7" t="inlineStr">
        <is>
          <t>SEM COTAÇÃO</t>
        </is>
      </c>
      <c r="L3980" s="8" t="n"/>
      <c r="M3980" s="12" t="n"/>
      <c r="N3980" s="7" t="inlineStr"/>
      <c r="O3980" s="7" t="inlineStr"/>
    </row>
    <row r="3981">
      <c r="A3981" s="7" t="n">
        <v>648381</v>
      </c>
      <c r="B3981" s="10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1" t="n">
        <v>1</v>
      </c>
      <c r="G3981" s="11" t="n">
        <v>1</v>
      </c>
      <c r="H3981" s="8" t="n">
        <v>14.32</v>
      </c>
      <c r="I3981" s="8" t="n">
        <v>14.32</v>
      </c>
      <c r="J3981" s="8" t="n"/>
      <c r="K3981" s="7" t="inlineStr">
        <is>
          <t>SEM COTAÇÃO</t>
        </is>
      </c>
      <c r="L3981" s="8" t="n"/>
      <c r="M3981" s="12" t="n"/>
      <c r="N3981" s="7" t="inlineStr"/>
      <c r="O3981" s="7" t="inlineStr"/>
    </row>
    <row r="3982">
      <c r="A3982" s="7" t="n">
        <v>620591</v>
      </c>
      <c r="B3982" s="10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1" t="n">
        <v>1</v>
      </c>
      <c r="G3982" s="11" t="n">
        <v>1</v>
      </c>
      <c r="H3982" s="8" t="n">
        <v>20.2</v>
      </c>
      <c r="I3982" s="8" t="n">
        <v>20.2</v>
      </c>
      <c r="J3982" s="8" t="n"/>
      <c r="K3982" s="7" t="inlineStr">
        <is>
          <t>SEM COTAÇÃO</t>
        </is>
      </c>
      <c r="L3982" s="8" t="n"/>
      <c r="M3982" s="12" t="n"/>
      <c r="N3982" s="7" t="inlineStr"/>
      <c r="O3982" s="7" t="inlineStr"/>
    </row>
    <row r="3983">
      <c r="A3983" s="7" t="n">
        <v>616291</v>
      </c>
      <c r="B3983" s="10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1" t="n">
        <v>1</v>
      </c>
      <c r="G3983" s="11" t="n">
        <v>1</v>
      </c>
      <c r="H3983" s="8" t="n">
        <v>19.23</v>
      </c>
      <c r="I3983" s="8" t="n">
        <v>19.23</v>
      </c>
      <c r="J3983" s="8" t="n"/>
      <c r="K3983" s="7" t="inlineStr">
        <is>
          <t>SEM COTAÇÃO</t>
        </is>
      </c>
      <c r="L3983" s="8" t="n"/>
      <c r="M3983" s="12" t="n"/>
      <c r="N3983" s="7" t="inlineStr"/>
      <c r="O3983" s="7" t="inlineStr"/>
    </row>
    <row r="3984">
      <c r="A3984" s="7" t="n">
        <v>620371</v>
      </c>
      <c r="B3984" s="10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1" t="n">
        <v>1</v>
      </c>
      <c r="G3984" s="11" t="n">
        <v>1</v>
      </c>
      <c r="H3984" s="8" t="n">
        <v>10.95</v>
      </c>
      <c r="I3984" s="8" t="n">
        <v>10.95</v>
      </c>
      <c r="J3984" s="8" t="n"/>
      <c r="K3984" s="7" t="inlineStr">
        <is>
          <t>SEM COTAÇÃO</t>
        </is>
      </c>
      <c r="L3984" s="8" t="n"/>
      <c r="M3984" s="12" t="n"/>
      <c r="N3984" s="7" t="inlineStr"/>
      <c r="O3984" s="7" t="inlineStr"/>
    </row>
    <row r="3985">
      <c r="A3985" s="7" t="n">
        <v>620321</v>
      </c>
      <c r="B3985" s="10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1" t="n">
        <v>1</v>
      </c>
      <c r="G3985" s="11" t="n">
        <v>1</v>
      </c>
      <c r="H3985" s="8" t="n">
        <v>17.86</v>
      </c>
      <c r="I3985" s="8" t="n">
        <v>17.86</v>
      </c>
      <c r="J3985" s="8" t="n"/>
      <c r="K3985" s="7" t="inlineStr">
        <is>
          <t>SEM COTAÇÃO</t>
        </is>
      </c>
      <c r="L3985" s="8" t="n"/>
      <c r="M3985" s="12" t="n"/>
      <c r="N3985" s="7" t="inlineStr"/>
      <c r="O3985" s="7" t="inlineStr"/>
    </row>
    <row r="3986">
      <c r="A3986" s="7" t="n">
        <v>620391</v>
      </c>
      <c r="B3986" s="10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1" t="n">
        <v>2</v>
      </c>
      <c r="G3986" s="11" t="n">
        <v>2</v>
      </c>
      <c r="H3986" s="8" t="n">
        <v>21.94</v>
      </c>
      <c r="I3986" s="8" t="n">
        <v>21.94</v>
      </c>
      <c r="J3986" s="8" t="n"/>
      <c r="K3986" s="7" t="inlineStr">
        <is>
          <t>SEM COTAÇÃO</t>
        </is>
      </c>
      <c r="L3986" s="8" t="n"/>
      <c r="M3986" s="12" t="n"/>
      <c r="N3986" s="7" t="inlineStr"/>
      <c r="O3986" s="7" t="inlineStr"/>
    </row>
    <row r="3987">
      <c r="A3987" s="7" t="n">
        <v>620551</v>
      </c>
      <c r="B3987" s="10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1" t="n">
        <v>1</v>
      </c>
      <c r="G3987" s="11" t="n">
        <v>1</v>
      </c>
      <c r="H3987" s="8" t="n">
        <v>16.03</v>
      </c>
      <c r="I3987" s="8" t="n">
        <v>16.03</v>
      </c>
      <c r="J3987" s="8" t="n"/>
      <c r="K3987" s="7" t="inlineStr">
        <is>
          <t>SEM COTAÇÃO</t>
        </is>
      </c>
      <c r="L3987" s="8" t="n"/>
      <c r="M3987" s="12" t="n"/>
      <c r="N3987" s="7" t="inlineStr"/>
      <c r="O3987" s="7" t="inlineStr"/>
    </row>
    <row r="3988">
      <c r="A3988" s="7" t="n">
        <v>619731</v>
      </c>
      <c r="B3988" s="10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1" t="n">
        <v>1</v>
      </c>
      <c r="G3988" s="11" t="n">
        <v>1</v>
      </c>
      <c r="H3988" s="8" t="n">
        <v>16.21</v>
      </c>
      <c r="I3988" s="8" t="n">
        <v>16.21</v>
      </c>
      <c r="J3988" s="8" t="n"/>
      <c r="K3988" s="7" t="inlineStr">
        <is>
          <t>SEM COTAÇÃO</t>
        </is>
      </c>
      <c r="L3988" s="8" t="n"/>
      <c r="M3988" s="12" t="n"/>
      <c r="N3988" s="7" t="inlineStr"/>
      <c r="O3988" s="7" t="inlineStr"/>
    </row>
    <row r="3989">
      <c r="A3989" s="7" t="n">
        <v>587661</v>
      </c>
      <c r="B3989" s="10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1" t="n">
        <v>1</v>
      </c>
      <c r="G3989" s="11" t="n">
        <v>1</v>
      </c>
      <c r="H3989" s="8" t="n">
        <v>16.03</v>
      </c>
      <c r="I3989" s="8" t="n">
        <v>16.03</v>
      </c>
      <c r="J3989" s="8" t="n"/>
      <c r="K3989" s="7" t="inlineStr">
        <is>
          <t>SEM COTAÇÃO</t>
        </is>
      </c>
      <c r="L3989" s="8" t="n"/>
      <c r="M3989" s="12" t="n"/>
      <c r="N3989" s="7" t="inlineStr"/>
      <c r="O3989" s="7" t="inlineStr"/>
    </row>
    <row r="3990">
      <c r="A3990" s="7" t="n">
        <v>627641</v>
      </c>
      <c r="B3990" s="10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1" t="n">
        <v>1</v>
      </c>
      <c r="G3990" s="11" t="n">
        <v>1</v>
      </c>
      <c r="H3990" s="8" t="n">
        <v>17.77</v>
      </c>
      <c r="I3990" s="8" t="n">
        <v>17.42</v>
      </c>
      <c r="J3990" s="8" t="n"/>
      <c r="K3990" s="7" t="inlineStr">
        <is>
          <t>SEM COTAÇÃO</t>
        </is>
      </c>
      <c r="L3990" s="8" t="n"/>
      <c r="M3990" s="12" t="n"/>
      <c r="N3990" s="7" t="inlineStr"/>
      <c r="O3990" s="7" t="inlineStr"/>
    </row>
    <row r="3991">
      <c r="A3991" s="7" t="n">
        <v>627631</v>
      </c>
      <c r="B3991" s="10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1" t="n">
        <v>2</v>
      </c>
      <c r="G3991" s="11" t="n">
        <v>2</v>
      </c>
      <c r="H3991" s="8" t="n">
        <v>17.5</v>
      </c>
      <c r="I3991" s="8" t="n">
        <v>17.5</v>
      </c>
      <c r="J3991" s="8" t="n"/>
      <c r="K3991" s="7" t="inlineStr">
        <is>
          <t>SEM COTAÇÃO</t>
        </is>
      </c>
      <c r="L3991" s="8" t="n"/>
      <c r="M3991" s="12" t="n"/>
      <c r="N3991" s="7" t="inlineStr"/>
      <c r="O3991" s="7" t="inlineStr"/>
    </row>
    <row r="3992">
      <c r="A3992" s="7" t="n">
        <v>587861</v>
      </c>
      <c r="B3992" s="10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1" t="n">
        <v>1</v>
      </c>
      <c r="G3992" s="11" t="n">
        <v>1</v>
      </c>
      <c r="H3992" s="8" t="n">
        <v>15.14</v>
      </c>
      <c r="I3992" s="8" t="n">
        <v>15.14</v>
      </c>
      <c r="J3992" s="8" t="n"/>
      <c r="K3992" s="7" t="inlineStr">
        <is>
          <t>SEM COTAÇÃO</t>
        </is>
      </c>
      <c r="L3992" s="8" t="n"/>
      <c r="M3992" s="12" t="n"/>
      <c r="N3992" s="7" t="inlineStr"/>
      <c r="O3992" s="7" t="inlineStr"/>
    </row>
    <row r="3993">
      <c r="A3993" s="7" t="n">
        <v>595791</v>
      </c>
      <c r="B3993" s="10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1" t="n">
        <v>1</v>
      </c>
      <c r="G3993" s="11" t="n">
        <v>1</v>
      </c>
      <c r="H3993" s="8" t="n">
        <v>15.21</v>
      </c>
      <c r="I3993" s="8" t="n">
        <v>14.76</v>
      </c>
      <c r="J3993" s="8" t="n"/>
      <c r="K3993" s="7" t="inlineStr">
        <is>
          <t>SEM COTAÇÃO</t>
        </is>
      </c>
      <c r="L3993" s="8" t="n"/>
      <c r="M3993" s="12" t="n"/>
      <c r="N3993" s="7" t="inlineStr"/>
      <c r="O3993" s="7" t="inlineStr"/>
    </row>
    <row r="3994">
      <c r="A3994" s="7" t="n">
        <v>620461</v>
      </c>
      <c r="B3994" s="10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1" t="n">
        <v>1</v>
      </c>
      <c r="G3994" s="11" t="n">
        <v>1</v>
      </c>
      <c r="H3994" s="8" t="n">
        <v>22.25</v>
      </c>
      <c r="I3994" s="8" t="n">
        <v>22.25</v>
      </c>
      <c r="J3994" s="8" t="n"/>
      <c r="K3994" s="7" t="inlineStr">
        <is>
          <t>SEM COTAÇÃO</t>
        </is>
      </c>
      <c r="L3994" s="8" t="n"/>
      <c r="M3994" s="12" t="n"/>
      <c r="N3994" s="7" t="inlineStr"/>
      <c r="O3994" s="7" t="inlineStr"/>
    </row>
    <row r="3995">
      <c r="A3995" s="7" t="n">
        <v>620221</v>
      </c>
      <c r="B3995" s="10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1" t="n">
        <v>1</v>
      </c>
      <c r="G3995" s="11" t="n">
        <v>1</v>
      </c>
      <c r="H3995" s="8" t="n">
        <v>15.11</v>
      </c>
      <c r="I3995" s="8" t="n">
        <v>15.11</v>
      </c>
      <c r="J3995" s="8" t="n"/>
      <c r="K3995" s="7" t="inlineStr">
        <is>
          <t>SEM COTAÇÃO</t>
        </is>
      </c>
      <c r="L3995" s="8" t="n"/>
      <c r="M3995" s="12" t="n"/>
      <c r="N3995" s="7" t="inlineStr"/>
      <c r="O3995" s="7" t="inlineStr"/>
    </row>
    <row r="3996">
      <c r="A3996" s="7" t="n">
        <v>619721</v>
      </c>
      <c r="B3996" s="10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1" t="n">
        <v>4</v>
      </c>
      <c r="G3996" s="11" t="n">
        <v>4</v>
      </c>
      <c r="H3996" s="8" t="n">
        <v>16.03</v>
      </c>
      <c r="I3996" s="8" t="n">
        <v>16.03</v>
      </c>
      <c r="J3996" s="8" t="n"/>
      <c r="K3996" s="7" t="inlineStr">
        <is>
          <t>SEM COTAÇÃO</t>
        </is>
      </c>
      <c r="L3996" s="8" t="n"/>
      <c r="M3996" s="12" t="n"/>
      <c r="N3996" s="7" t="inlineStr"/>
      <c r="O3996" s="7" t="inlineStr"/>
    </row>
    <row r="3997">
      <c r="A3997" s="7" t="n">
        <v>431301</v>
      </c>
      <c r="B3997" s="10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1" t="n">
        <v>2</v>
      </c>
      <c r="G3997" s="11" t="n">
        <v>2</v>
      </c>
      <c r="H3997" s="8" t="n">
        <v>14.86</v>
      </c>
      <c r="I3997" s="8" t="n">
        <v>14.325</v>
      </c>
      <c r="J3997" s="8" t="n"/>
      <c r="K3997" s="7" t="inlineStr">
        <is>
          <t>SEM COTAÇÃO</t>
        </is>
      </c>
      <c r="L3997" s="8" t="n"/>
      <c r="M3997" s="12" t="n"/>
      <c r="N3997" s="7" t="inlineStr"/>
      <c r="O3997" s="7" t="inlineStr"/>
    </row>
    <row r="3998">
      <c r="A3998" s="7" t="n">
        <v>318421</v>
      </c>
      <c r="B3998" s="10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1" t="n">
        <v>36</v>
      </c>
      <c r="G3998" s="11" t="n">
        <v>36</v>
      </c>
      <c r="H3998" s="8" t="n">
        <v>8.029500000000001</v>
      </c>
      <c r="I3998" s="8" t="n">
        <v>6.1254</v>
      </c>
      <c r="J3998" s="8" t="n"/>
      <c r="K3998" s="7" t="inlineStr">
        <is>
          <t>SEM COTAÇÃO</t>
        </is>
      </c>
      <c r="L3998" s="8" t="n"/>
      <c r="M3998" s="12" t="n"/>
      <c r="N3998" s="7" t="inlineStr"/>
      <c r="O3998" s="7" t="inlineStr"/>
    </row>
    <row r="3999">
      <c r="A3999" s="7" t="n">
        <v>318441</v>
      </c>
      <c r="B3999" s="10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1" t="n">
        <v>61</v>
      </c>
      <c r="G3999" s="11" t="n">
        <v>61</v>
      </c>
      <c r="H3999" s="8" t="n">
        <v>15.3803</v>
      </c>
      <c r="I3999" s="8" t="n">
        <v>11.0372</v>
      </c>
      <c r="J3999" s="8" t="n"/>
      <c r="K3999" s="7" t="inlineStr">
        <is>
          <t>SEM COTAÇÃO</t>
        </is>
      </c>
      <c r="L3999" s="8" t="n"/>
      <c r="M3999" s="12" t="n"/>
      <c r="N3999" s="7" t="inlineStr"/>
      <c r="O3999" s="7" t="inlineStr"/>
    </row>
    <row r="4000">
      <c r="A4000" s="7" t="n">
        <v>431321</v>
      </c>
      <c r="B4000" s="10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1" t="n">
        <v>1</v>
      </c>
      <c r="G4000" s="11" t="n">
        <v>1</v>
      </c>
      <c r="H4000" s="8" t="n">
        <v>37.6733</v>
      </c>
      <c r="I4000" s="8" t="n">
        <v>32.5533</v>
      </c>
      <c r="J4000" s="8" t="n"/>
      <c r="K4000" s="7" t="inlineStr">
        <is>
          <t>SEM COTAÇÃO</t>
        </is>
      </c>
      <c r="L4000" s="8" t="n"/>
      <c r="M4000" s="12" t="n"/>
      <c r="N4000" s="7" t="inlineStr"/>
      <c r="O4000" s="7" t="inlineStr"/>
    </row>
    <row r="4001">
      <c r="A4001" s="7" t="n">
        <v>318381</v>
      </c>
      <c r="B4001" s="10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1" t="n">
        <v>32</v>
      </c>
      <c r="G4001" s="11" t="n">
        <v>32</v>
      </c>
      <c r="H4001" s="8" t="n">
        <v>8.486000000000001</v>
      </c>
      <c r="I4001" s="8" t="n">
        <v>6.9125</v>
      </c>
      <c r="J4001" s="8" t="n"/>
      <c r="K4001" s="7" t="inlineStr">
        <is>
          <t>SEM COTAÇÃO</t>
        </is>
      </c>
      <c r="L4001" s="8" t="n"/>
      <c r="M4001" s="12" t="n"/>
      <c r="N4001" s="7" t="inlineStr"/>
      <c r="O4001" s="7" t="inlineStr"/>
    </row>
    <row r="4002">
      <c r="A4002" s="7" t="n">
        <v>318461</v>
      </c>
      <c r="B4002" s="10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1" t="n">
        <v>30</v>
      </c>
      <c r="G4002" s="11" t="n">
        <v>30</v>
      </c>
      <c r="H4002" s="8" t="n">
        <v>4.0246</v>
      </c>
      <c r="I4002" s="8" t="n">
        <v>3.075</v>
      </c>
      <c r="J4002" s="8" t="n"/>
      <c r="K4002" s="7" t="inlineStr">
        <is>
          <t>SEM COTAÇÃO</t>
        </is>
      </c>
      <c r="L4002" s="8" t="n"/>
      <c r="M4002" s="12" t="n"/>
      <c r="N4002" s="7" t="inlineStr"/>
      <c r="O4002" s="7" t="inlineStr"/>
    </row>
    <row r="4003">
      <c r="A4003" s="7" t="n">
        <v>623011</v>
      </c>
      <c r="B4003" s="10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1" t="n">
        <v>2</v>
      </c>
      <c r="G4003" s="11" t="n">
        <v>2</v>
      </c>
      <c r="H4003" s="8" t="n">
        <v>15.66</v>
      </c>
      <c r="I4003" s="8" t="n">
        <v>11.075</v>
      </c>
      <c r="J4003" s="8" t="n"/>
      <c r="K4003" s="7" t="inlineStr">
        <is>
          <t>SEM COTAÇÃO</t>
        </is>
      </c>
      <c r="L4003" s="8" t="n"/>
      <c r="M4003" s="12" t="n"/>
      <c r="N4003" s="7" t="inlineStr"/>
      <c r="O4003" s="7" t="inlineStr"/>
    </row>
    <row r="4004">
      <c r="A4004" s="7" t="n">
        <v>660401</v>
      </c>
      <c r="B4004" s="10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1" t="n">
        <v>1</v>
      </c>
      <c r="G4004" s="11" t="n">
        <v>1</v>
      </c>
      <c r="H4004" s="8" t="n">
        <v>31.3</v>
      </c>
      <c r="I4004" s="8" t="n">
        <v>29.42</v>
      </c>
      <c r="J4004" s="8" t="n"/>
      <c r="K4004" s="7" t="inlineStr">
        <is>
          <t>SEM COTAÇÃO</t>
        </is>
      </c>
      <c r="L4004" s="8" t="n"/>
      <c r="M4004" s="12" t="n"/>
      <c r="N4004" s="7" t="inlineStr"/>
      <c r="O4004" s="7" t="inlineStr"/>
    </row>
    <row r="4005">
      <c r="A4005" s="7" t="n">
        <v>616701</v>
      </c>
      <c r="B4005" s="10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1" t="n">
        <v>1</v>
      </c>
      <c r="G4005" s="11" t="n">
        <v>1</v>
      </c>
      <c r="H4005" s="8" t="n">
        <v>1.63</v>
      </c>
      <c r="I4005" s="8" t="n">
        <v>1.63</v>
      </c>
      <c r="J4005" s="8" t="n"/>
      <c r="K4005" s="7" t="inlineStr">
        <is>
          <t>SEM COTAÇÃO</t>
        </is>
      </c>
      <c r="L4005" s="8" t="n"/>
      <c r="M4005" s="12" t="n"/>
      <c r="N4005" s="7" t="inlineStr"/>
      <c r="O4005" s="7" t="inlineStr"/>
    </row>
    <row r="4006">
      <c r="A4006" s="7" t="n">
        <v>629101</v>
      </c>
      <c r="B4006" s="10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1" t="n">
        <v>1</v>
      </c>
      <c r="G4006" s="11" t="n">
        <v>1</v>
      </c>
      <c r="H4006" s="8" t="n">
        <v>9.289999999999999</v>
      </c>
      <c r="I4006" s="8" t="n">
        <v>9.289999999999999</v>
      </c>
      <c r="J4006" s="8" t="n"/>
      <c r="K4006" s="7" t="inlineStr">
        <is>
          <t>SEM COTAÇÃO</t>
        </is>
      </c>
      <c r="L4006" s="8" t="n"/>
      <c r="M4006" s="12" t="n"/>
      <c r="N4006" s="7" t="inlineStr"/>
      <c r="O4006" s="7" t="inlineStr"/>
    </row>
    <row r="4007">
      <c r="A4007" s="7" t="n">
        <v>628621</v>
      </c>
      <c r="B4007" s="10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1" t="n">
        <v>2</v>
      </c>
      <c r="G4007" s="11" t="n">
        <v>2</v>
      </c>
      <c r="H4007" s="8" t="n">
        <v>8.31</v>
      </c>
      <c r="I4007" s="8" t="n">
        <v>7.53</v>
      </c>
      <c r="J4007" s="8" t="n"/>
      <c r="K4007" s="7" t="inlineStr">
        <is>
          <t>SEM COTAÇÃO</t>
        </is>
      </c>
      <c r="L4007" s="8" t="n"/>
      <c r="M4007" s="12" t="n"/>
      <c r="N4007" s="7" t="inlineStr"/>
      <c r="O4007" s="7" t="inlineStr"/>
    </row>
    <row r="4008">
      <c r="A4008" s="7" t="n">
        <v>628971</v>
      </c>
      <c r="B4008" s="10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1" t="n">
        <v>8</v>
      </c>
      <c r="G4008" s="11" t="n">
        <v>8</v>
      </c>
      <c r="H4008" s="8" t="n">
        <v>7.88</v>
      </c>
      <c r="I4008" s="8" t="n">
        <v>7.53</v>
      </c>
      <c r="J4008" s="8" t="n"/>
      <c r="K4008" s="7" t="inlineStr">
        <is>
          <t>SEM COTAÇÃO</t>
        </is>
      </c>
      <c r="L4008" s="8" t="n"/>
      <c r="M4008" s="12" t="n"/>
      <c r="N4008" s="7" t="inlineStr"/>
      <c r="O4008" s="7" t="inlineStr"/>
    </row>
    <row r="4009">
      <c r="A4009" s="7" t="n">
        <v>576081</v>
      </c>
      <c r="B4009" s="10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1" t="n">
        <v>4</v>
      </c>
      <c r="G4009" s="11" t="n">
        <v>4</v>
      </c>
      <c r="H4009" s="8" t="n">
        <v>11.685</v>
      </c>
      <c r="I4009" s="8" t="n">
        <v>11.5333</v>
      </c>
      <c r="J4009" s="8" t="n"/>
      <c r="K4009" s="7" t="inlineStr">
        <is>
          <t>SEM COTAÇÃO</t>
        </is>
      </c>
      <c r="L4009" s="8" t="n"/>
      <c r="M4009" s="12" t="n"/>
      <c r="N4009" s="7" t="inlineStr"/>
      <c r="O4009" s="7" t="inlineStr"/>
    </row>
    <row r="4010">
      <c r="A4010" s="7" t="n">
        <v>575521</v>
      </c>
      <c r="B4010" s="10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1" t="n">
        <v>1</v>
      </c>
      <c r="G4010" s="11" t="n">
        <v>1</v>
      </c>
      <c r="H4010" s="8" t="n">
        <v>12.6</v>
      </c>
      <c r="I4010" s="8" t="n">
        <v>12.6</v>
      </c>
      <c r="J4010" s="8" t="n"/>
      <c r="K4010" s="7" t="inlineStr">
        <is>
          <t>SEM COTAÇÃO</t>
        </is>
      </c>
      <c r="L4010" s="8" t="n"/>
      <c r="M4010" s="12" t="n"/>
      <c r="N4010" s="7" t="inlineStr"/>
      <c r="O4010" s="7" t="inlineStr"/>
    </row>
    <row r="4011">
      <c r="A4011" s="7" t="n">
        <v>631681</v>
      </c>
      <c r="B4011" s="10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1" t="n">
        <v>2</v>
      </c>
      <c r="G4011" s="11" t="n">
        <v>2</v>
      </c>
      <c r="H4011" s="8" t="n">
        <v>12.17</v>
      </c>
      <c r="I4011" s="8" t="n">
        <v>10.7908</v>
      </c>
      <c r="J4011" s="8" t="n"/>
      <c r="K4011" s="7" t="inlineStr">
        <is>
          <t>SEM COTAÇÃO</t>
        </is>
      </c>
      <c r="L4011" s="8" t="n"/>
      <c r="M4011" s="12" t="n"/>
      <c r="N4011" s="7" t="inlineStr"/>
      <c r="O4011" s="7" t="inlineStr"/>
    </row>
    <row r="4012">
      <c r="A4012" s="7" t="n">
        <v>575221</v>
      </c>
      <c r="B4012" s="10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1" t="n">
        <v>1</v>
      </c>
      <c r="G4012" s="11" t="n">
        <v>1</v>
      </c>
      <c r="H4012" s="8" t="n">
        <v>10.11</v>
      </c>
      <c r="I4012" s="8" t="n">
        <v>10.11</v>
      </c>
      <c r="J4012" s="8" t="n"/>
      <c r="K4012" s="7" t="inlineStr">
        <is>
          <t>SEM COTAÇÃO</t>
        </is>
      </c>
      <c r="L4012" s="8" t="n"/>
      <c r="M4012" s="12" t="n"/>
      <c r="N4012" s="7" t="inlineStr"/>
      <c r="O4012" s="7" t="inlineStr"/>
    </row>
    <row r="4013">
      <c r="A4013" s="7" t="n">
        <v>575381</v>
      </c>
      <c r="B4013" s="10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1" t="n">
        <v>1</v>
      </c>
      <c r="G4013" s="11" t="n">
        <v>1</v>
      </c>
      <c r="H4013" s="8" t="n">
        <v>10.11</v>
      </c>
      <c r="I4013" s="8" t="n">
        <v>10.11</v>
      </c>
      <c r="J4013" s="8" t="n"/>
      <c r="K4013" s="7" t="inlineStr">
        <is>
          <t>SEM COTAÇÃO</t>
        </is>
      </c>
      <c r="L4013" s="8" t="n"/>
      <c r="M4013" s="12" t="n"/>
      <c r="N4013" s="7" t="inlineStr"/>
      <c r="O4013" s="7" t="inlineStr"/>
    </row>
    <row r="4014">
      <c r="A4014" s="7" t="n">
        <v>635281</v>
      </c>
      <c r="B4014" s="10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1" t="n">
        <v>1</v>
      </c>
      <c r="G4014" s="11" t="n">
        <v>1</v>
      </c>
      <c r="H4014" s="8" t="n">
        <v>15.68</v>
      </c>
      <c r="I4014" s="8" t="n">
        <v>15.68</v>
      </c>
      <c r="J4014" s="8" t="n"/>
      <c r="K4014" s="7" t="inlineStr">
        <is>
          <t>SEM COTAÇÃO</t>
        </is>
      </c>
      <c r="L4014" s="8" t="n"/>
      <c r="M4014" s="12" t="n"/>
      <c r="N4014" s="7" t="inlineStr"/>
      <c r="O4014" s="7" t="inlineStr"/>
    </row>
    <row r="4015">
      <c r="A4015" s="7" t="n">
        <v>653871</v>
      </c>
      <c r="B4015" s="10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1" t="n">
        <v>3</v>
      </c>
      <c r="G4015" s="11" t="n">
        <v>3</v>
      </c>
      <c r="H4015" s="8" t="n">
        <v>5.94</v>
      </c>
      <c r="I4015" s="8" t="n">
        <v>5.94</v>
      </c>
      <c r="J4015" s="8" t="n"/>
      <c r="K4015" s="7" t="inlineStr">
        <is>
          <t>SEM COTAÇÃO</t>
        </is>
      </c>
      <c r="L4015" s="8" t="n"/>
      <c r="M4015" s="12" t="n"/>
      <c r="N4015" s="7" t="inlineStr"/>
      <c r="O4015" s="7" t="inlineStr"/>
    </row>
    <row r="4016">
      <c r="A4016" s="7" t="n">
        <v>575781</v>
      </c>
      <c r="B4016" s="10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1" t="n">
        <v>6</v>
      </c>
      <c r="G4016" s="11" t="n">
        <v>6</v>
      </c>
      <c r="H4016" s="8" t="n">
        <v>8.026</v>
      </c>
      <c r="I4016" s="8" t="n">
        <v>7.67</v>
      </c>
      <c r="J4016" s="8" t="n"/>
      <c r="K4016" s="7" t="inlineStr">
        <is>
          <t>SEM COTAÇÃO</t>
        </is>
      </c>
      <c r="L4016" s="8" t="n"/>
      <c r="M4016" s="12" t="n"/>
      <c r="N4016" s="7" t="inlineStr"/>
      <c r="O4016" s="7" t="inlineStr"/>
    </row>
    <row r="4017">
      <c r="A4017" s="7" t="n">
        <v>586881</v>
      </c>
      <c r="B4017" s="10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1" t="n">
        <v>1</v>
      </c>
      <c r="G4017" s="11" t="n">
        <v>1</v>
      </c>
      <c r="H4017" s="8" t="n">
        <v>1.9775</v>
      </c>
      <c r="I4017" s="8" t="n">
        <v>1.9775</v>
      </c>
      <c r="J4017" s="8" t="n"/>
      <c r="K4017" s="7" t="inlineStr">
        <is>
          <t>SEM COTAÇÃO</t>
        </is>
      </c>
      <c r="L4017" s="8" t="n"/>
      <c r="M4017" s="12" t="n"/>
      <c r="N4017" s="7" t="inlineStr"/>
      <c r="O4017" s="7" t="inlineStr"/>
    </row>
    <row r="4018">
      <c r="A4018" s="7" t="n">
        <v>636211</v>
      </c>
      <c r="B4018" s="10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1" t="n">
        <v>2</v>
      </c>
      <c r="G4018" s="11" t="n">
        <v>2</v>
      </c>
      <c r="H4018" s="8" t="n">
        <v>4.2117</v>
      </c>
      <c r="I4018" s="8" t="n">
        <v>4.2117</v>
      </c>
      <c r="J4018" s="8" t="n"/>
      <c r="K4018" s="7" t="inlineStr">
        <is>
          <t>SEM COTAÇÃO</t>
        </is>
      </c>
      <c r="L4018" s="8" t="n"/>
      <c r="M4018" s="12" t="n"/>
      <c r="N4018" s="7" t="inlineStr"/>
      <c r="O4018" s="7" t="inlineStr"/>
    </row>
    <row r="4019">
      <c r="A4019" s="7" t="n">
        <v>540721</v>
      </c>
      <c r="B4019" s="10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1" t="n">
        <v>7</v>
      </c>
      <c r="G4019" s="11" t="n">
        <v>7</v>
      </c>
      <c r="H4019" s="8" t="n">
        <v>4.95</v>
      </c>
      <c r="I4019" s="8" t="n">
        <v>4.95</v>
      </c>
      <c r="J4019" s="8" t="n"/>
      <c r="K4019" s="7" t="inlineStr">
        <is>
          <t>SEM COTAÇÃO</t>
        </is>
      </c>
      <c r="L4019" s="8" t="n"/>
      <c r="M4019" s="12" t="n"/>
      <c r="N4019" s="7" t="inlineStr"/>
      <c r="O4019" s="7" t="inlineStr"/>
    </row>
    <row r="4020">
      <c r="A4020" s="7" t="n">
        <v>593601</v>
      </c>
      <c r="B4020" s="10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1" t="n">
        <v>3</v>
      </c>
      <c r="G4020" s="11" t="n">
        <v>3</v>
      </c>
      <c r="H4020" s="8" t="n">
        <v>35.33</v>
      </c>
      <c r="I4020" s="8" t="n">
        <v>35.33</v>
      </c>
      <c r="J4020" s="8" t="n"/>
      <c r="K4020" s="7" t="inlineStr">
        <is>
          <t>SEM COTAÇÃO</t>
        </is>
      </c>
      <c r="L4020" s="8" t="n"/>
      <c r="M4020" s="12" t="n"/>
      <c r="N4020" s="7" t="inlineStr"/>
      <c r="O4020" s="7" t="inlineStr"/>
    </row>
    <row r="4021">
      <c r="A4021" s="7" t="n">
        <v>557721</v>
      </c>
      <c r="B4021" s="10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1" t="n">
        <v>77</v>
      </c>
      <c r="G4021" s="11" t="n">
        <v>77</v>
      </c>
      <c r="H4021" s="8" t="n">
        <v>0.39</v>
      </c>
      <c r="I4021" s="8" t="n">
        <v>0.39</v>
      </c>
      <c r="J4021" s="8" t="n"/>
      <c r="K4021" s="7" t="inlineStr">
        <is>
          <t>SEM COTAÇÃO</t>
        </is>
      </c>
      <c r="L4021" s="8" t="n"/>
      <c r="M4021" s="12" t="n"/>
      <c r="N4021" s="7" t="inlineStr"/>
      <c r="O4021" s="7" t="inlineStr"/>
    </row>
    <row r="4022">
      <c r="A4022" s="7" t="n">
        <v>619021</v>
      </c>
      <c r="B4022" s="10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1" t="n">
        <v>2</v>
      </c>
      <c r="G4022" s="11" t="n">
        <v>2</v>
      </c>
      <c r="H4022" s="8" t="n">
        <v>0.7662</v>
      </c>
      <c r="I4022" s="8" t="n">
        <v>0.7662</v>
      </c>
      <c r="J4022" s="8" t="n"/>
      <c r="K4022" s="7" t="inlineStr">
        <is>
          <t>SEM COTAÇÃO</t>
        </is>
      </c>
      <c r="L4022" s="8" t="n"/>
      <c r="M4022" s="12" t="n"/>
      <c r="N4022" s="7" t="inlineStr"/>
      <c r="O4022" s="7" t="inlineStr"/>
    </row>
    <row r="4023">
      <c r="A4023" s="7" t="n">
        <v>620831</v>
      </c>
      <c r="B4023" s="10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1" t="n">
        <v>1</v>
      </c>
      <c r="G4023" s="11" t="n">
        <v>1</v>
      </c>
      <c r="H4023" s="8" t="n">
        <v>0.33</v>
      </c>
      <c r="I4023" s="8" t="n">
        <v>0.33</v>
      </c>
      <c r="J4023" s="8" t="n"/>
      <c r="K4023" s="7" t="inlineStr">
        <is>
          <t>SEM COTAÇÃO</t>
        </is>
      </c>
      <c r="L4023" s="8" t="n"/>
      <c r="M4023" s="12" t="n"/>
      <c r="N4023" s="7" t="inlineStr"/>
      <c r="O4023" s="7" t="inlineStr"/>
    </row>
    <row r="4024">
      <c r="A4024" s="7" t="n">
        <v>620821</v>
      </c>
      <c r="B4024" s="10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1" t="n">
        <v>1</v>
      </c>
      <c r="G4024" s="11" t="n">
        <v>1</v>
      </c>
      <c r="H4024" s="8" t="n">
        <v>0.33</v>
      </c>
      <c r="I4024" s="8" t="n">
        <v>0.33</v>
      </c>
      <c r="J4024" s="8" t="n"/>
      <c r="K4024" s="7" t="inlineStr">
        <is>
          <t>SEM COTAÇÃO</t>
        </is>
      </c>
      <c r="L4024" s="8" t="n"/>
      <c r="M4024" s="12" t="n"/>
      <c r="N4024" s="7" t="inlineStr"/>
      <c r="O4024" s="7" t="inlineStr"/>
    </row>
    <row r="4025">
      <c r="A4025" s="7" t="n">
        <v>682401</v>
      </c>
      <c r="B4025" s="10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1" t="n">
        <v>1</v>
      </c>
      <c r="G4025" s="11" t="n">
        <v>2</v>
      </c>
      <c r="H4025" s="8" t="n">
        <v>6.9208</v>
      </c>
      <c r="I4025" s="8" t="n">
        <v>6.9208</v>
      </c>
      <c r="J4025" s="8" t="n"/>
      <c r="K4025" s="7" t="inlineStr">
        <is>
          <t>SEM COTAÇÃO</t>
        </is>
      </c>
      <c r="L4025" s="8" t="n"/>
      <c r="M4025" s="12" t="n"/>
      <c r="N4025" s="7" t="inlineStr"/>
      <c r="O4025" s="7" t="inlineStr"/>
    </row>
    <row r="4026">
      <c r="A4026" s="7" t="n">
        <v>648661</v>
      </c>
      <c r="B4026" s="10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1" t="n">
        <v>9</v>
      </c>
      <c r="G4026" s="11" t="n">
        <v>9</v>
      </c>
      <c r="H4026" s="8" t="n">
        <v>5.0925</v>
      </c>
      <c r="I4026" s="8" t="n">
        <v>4.5022</v>
      </c>
      <c r="J4026" s="8" t="n"/>
      <c r="K4026" s="7" t="inlineStr">
        <is>
          <t>SEM COTAÇÃO</t>
        </is>
      </c>
      <c r="L4026" s="8" t="n"/>
      <c r="M4026" s="12" t="n"/>
      <c r="N4026" s="7" t="inlineStr"/>
      <c r="O4026" s="7" t="inlineStr"/>
    </row>
    <row r="4027">
      <c r="A4027" s="7" t="n">
        <v>648651</v>
      </c>
      <c r="B4027" s="10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1" t="n">
        <v>6</v>
      </c>
      <c r="G4027" s="11" t="n">
        <v>6</v>
      </c>
      <c r="H4027" s="8" t="n">
        <v>7.88</v>
      </c>
      <c r="I4027" s="8" t="n">
        <v>7.5292</v>
      </c>
      <c r="J4027" s="8" t="n"/>
      <c r="K4027" s="7" t="inlineStr">
        <is>
          <t>SEM COTAÇÃO</t>
        </is>
      </c>
      <c r="L4027" s="8" t="n"/>
      <c r="M4027" s="12" t="n"/>
      <c r="N4027" s="7" t="inlineStr"/>
      <c r="O4027" s="7" t="inlineStr"/>
    </row>
    <row r="4028">
      <c r="A4028" s="7" t="n">
        <v>548641</v>
      </c>
      <c r="B4028" s="10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1" t="n">
        <v>1</v>
      </c>
      <c r="G4028" s="11" t="n">
        <v>1</v>
      </c>
      <c r="H4028" s="8" t="n"/>
      <c r="I4028" s="8" t="n"/>
      <c r="J4028" s="8" t="n"/>
      <c r="K4028" s="7" t="inlineStr">
        <is>
          <t>SEM COTAÇÃO</t>
        </is>
      </c>
      <c r="L4028" s="8" t="n"/>
      <c r="M4028" s="12" t="n"/>
      <c r="N4028" s="7" t="inlineStr"/>
      <c r="O4028" s="7" t="inlineStr"/>
    </row>
    <row r="4029">
      <c r="A4029" s="7" t="n">
        <v>643671</v>
      </c>
      <c r="B4029" s="10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1" t="n">
        <v>2</v>
      </c>
      <c r="G4029" s="11" t="n">
        <v>13</v>
      </c>
      <c r="H4029" s="8" t="n">
        <v>0.7312</v>
      </c>
      <c r="I4029" s="8" t="n">
        <v>0.7312</v>
      </c>
      <c r="J4029" s="8" t="n"/>
      <c r="K4029" s="7" t="inlineStr">
        <is>
          <t>SEM COTAÇÃO</t>
        </is>
      </c>
      <c r="L4029" s="8" t="n"/>
      <c r="M4029" s="12" t="n"/>
      <c r="N4029" s="7" t="inlineStr"/>
      <c r="O4029" s="7" t="inlineStr"/>
    </row>
    <row r="4030">
      <c r="A4030" s="7" t="n">
        <v>654661</v>
      </c>
      <c r="B4030" s="10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1" t="n">
        <v>1</v>
      </c>
      <c r="G4030" s="11" t="n">
        <v>1</v>
      </c>
      <c r="H4030" s="8" t="n">
        <v>28.07</v>
      </c>
      <c r="I4030" s="8" t="n">
        <v>22.78</v>
      </c>
      <c r="J4030" s="8" t="n"/>
      <c r="K4030" s="7" t="inlineStr">
        <is>
          <t>SEM COTAÇÃO</t>
        </is>
      </c>
      <c r="L4030" s="8" t="n"/>
      <c r="M4030" s="12" t="n"/>
      <c r="N4030" s="7" t="inlineStr"/>
      <c r="O4030" s="7" t="inlineStr"/>
    </row>
    <row r="4031">
      <c r="A4031" s="7" t="n">
        <v>431481</v>
      </c>
      <c r="B4031" s="10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1" t="n">
        <v>54</v>
      </c>
      <c r="G4031" s="11" t="n">
        <v>54</v>
      </c>
      <c r="H4031" s="8" t="n">
        <v>2.65</v>
      </c>
      <c r="I4031" s="8" t="n">
        <v>2.16</v>
      </c>
      <c r="J4031" s="13" t="n">
        <v>2.67</v>
      </c>
      <c r="K4031" s="7" t="inlineStr">
        <is>
          <t>DIMEC</t>
        </is>
      </c>
      <c r="L4031" s="8" t="n">
        <v>2.67</v>
      </c>
      <c r="M4031" s="12">
        <f>L4031/H4031-1</f>
        <v/>
      </c>
      <c r="N4031" s="14" t="inlineStr">
        <is>
          <t>ACIMA +0.8%</t>
        </is>
      </c>
      <c r="O4031" s="7" t="inlineStr"/>
    </row>
    <row r="4032">
      <c r="A4032" s="7" t="n">
        <v>432381</v>
      </c>
      <c r="B4032" s="10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1" t="n">
        <v>9</v>
      </c>
      <c r="G4032" s="11" t="n">
        <v>9</v>
      </c>
      <c r="H4032" s="8" t="n">
        <v>4.054</v>
      </c>
      <c r="I4032" s="8" t="n">
        <v>4.054</v>
      </c>
      <c r="J4032" s="8" t="n"/>
      <c r="K4032" s="7" t="inlineStr">
        <is>
          <t>SEM COTAÇÃO</t>
        </is>
      </c>
      <c r="L4032" s="8" t="n"/>
      <c r="M4032" s="12" t="n"/>
      <c r="N4032" s="7" t="inlineStr"/>
      <c r="O4032" s="7" t="inlineStr"/>
    </row>
    <row r="4033">
      <c r="A4033" s="7" t="n">
        <v>432121</v>
      </c>
      <c r="B4033" s="10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1" t="n">
        <v>134</v>
      </c>
      <c r="G4033" s="11" t="n">
        <v>134</v>
      </c>
      <c r="H4033" s="8" t="n">
        <v>2.49</v>
      </c>
      <c r="I4033" s="8" t="n">
        <v>2.39</v>
      </c>
      <c r="J4033" s="13" t="n">
        <v>2.61</v>
      </c>
      <c r="K4033" s="7" t="inlineStr">
        <is>
          <t>DIMEC</t>
        </is>
      </c>
      <c r="L4033" s="8" t="n">
        <v>2.61</v>
      </c>
      <c r="M4033" s="12">
        <f>L4033/H4033-1</f>
        <v/>
      </c>
      <c r="N4033" s="14" t="inlineStr">
        <is>
          <t>ACIMA +4.8%</t>
        </is>
      </c>
      <c r="O4033" s="7" t="inlineStr"/>
    </row>
    <row r="4034">
      <c r="A4034" s="7" t="n">
        <v>648361</v>
      </c>
      <c r="B4034" s="10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1" t="n">
        <v>1</v>
      </c>
      <c r="G4034" s="11" t="n">
        <v>1</v>
      </c>
      <c r="H4034" s="8" t="n">
        <v>20.61</v>
      </c>
      <c r="I4034" s="8" t="n">
        <v>17.3012</v>
      </c>
      <c r="J4034" s="8" t="n"/>
      <c r="K4034" s="7" t="inlineStr">
        <is>
          <t>SEM COTAÇÃO</t>
        </is>
      </c>
      <c r="L4034" s="8" t="n"/>
      <c r="M4034" s="12" t="n"/>
      <c r="N4034" s="7" t="inlineStr"/>
      <c r="O4034" s="7" t="inlineStr"/>
    </row>
    <row r="4035">
      <c r="A4035" s="7" t="n">
        <v>586921</v>
      </c>
      <c r="B4035" s="10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1" t="n">
        <v>1</v>
      </c>
      <c r="G4035" s="11" t="n">
        <v>1</v>
      </c>
      <c r="H4035" s="8" t="n">
        <v>8.35</v>
      </c>
      <c r="I4035" s="8" t="n">
        <v>8.35</v>
      </c>
      <c r="J4035" s="8" t="n"/>
      <c r="K4035" s="7" t="inlineStr">
        <is>
          <t>SEM COTAÇÃO</t>
        </is>
      </c>
      <c r="L4035" s="8" t="n"/>
      <c r="M4035" s="12" t="n"/>
      <c r="N4035" s="7" t="inlineStr"/>
      <c r="O4035" s="7" t="inlineStr"/>
    </row>
    <row r="4036">
      <c r="A4036" s="7" t="n">
        <v>548861</v>
      </c>
      <c r="B4036" s="10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1" t="n">
        <v>1</v>
      </c>
      <c r="G4036" s="11" t="n">
        <v>1</v>
      </c>
      <c r="H4036" s="8" t="n">
        <v>8.35</v>
      </c>
      <c r="I4036" s="8" t="n">
        <v>8.35</v>
      </c>
      <c r="J4036" s="8" t="n"/>
      <c r="K4036" s="7" t="inlineStr">
        <is>
          <t>SEM COTAÇÃO</t>
        </is>
      </c>
      <c r="L4036" s="8" t="n"/>
      <c r="M4036" s="12" t="n"/>
      <c r="N4036" s="7" t="inlineStr"/>
      <c r="O4036" s="7" t="inlineStr"/>
    </row>
    <row r="4037">
      <c r="A4037" s="7" t="n">
        <v>660561</v>
      </c>
      <c r="B4037" s="10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1" t="n">
        <v>1</v>
      </c>
      <c r="G4037" s="11" t="n">
        <v>1</v>
      </c>
      <c r="H4037" s="8" t="n">
        <v>14.87</v>
      </c>
      <c r="I4037" s="8" t="n">
        <v>14.87</v>
      </c>
      <c r="J4037" s="8" t="n"/>
      <c r="K4037" s="7" t="inlineStr">
        <is>
          <t>SEM COTAÇÃO</t>
        </is>
      </c>
      <c r="L4037" s="8" t="n"/>
      <c r="M4037" s="12" t="n"/>
      <c r="N4037" s="7" t="inlineStr"/>
      <c r="O4037" s="7" t="inlineStr"/>
    </row>
    <row r="4038">
      <c r="A4038" s="7" t="n">
        <v>663301</v>
      </c>
      <c r="B4038" s="10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1" t="n">
        <v>1</v>
      </c>
      <c r="G4038" s="11" t="n">
        <v>1</v>
      </c>
      <c r="H4038" s="8" t="n">
        <v>13.2233</v>
      </c>
      <c r="I4038" s="8" t="n">
        <v>13.2233</v>
      </c>
      <c r="J4038" s="8" t="n"/>
      <c r="K4038" s="7" t="inlineStr">
        <is>
          <t>SEM COTAÇÃO</t>
        </is>
      </c>
      <c r="L4038" s="8" t="n"/>
      <c r="M4038" s="12" t="n"/>
      <c r="N4038" s="7" t="inlineStr"/>
      <c r="O4038" s="7" t="inlineStr"/>
    </row>
    <row r="4039">
      <c r="A4039" s="7" t="n">
        <v>660571</v>
      </c>
      <c r="B4039" s="10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1" t="n">
        <v>2</v>
      </c>
      <c r="G4039" s="11" t="n">
        <v>2</v>
      </c>
      <c r="H4039" s="8" t="n">
        <v>14.185</v>
      </c>
      <c r="I4039" s="8" t="n">
        <v>13.29</v>
      </c>
      <c r="J4039" s="8" t="n"/>
      <c r="K4039" s="7" t="inlineStr">
        <is>
          <t>SEM COTAÇÃO</t>
        </is>
      </c>
      <c r="L4039" s="8" t="n"/>
      <c r="M4039" s="12" t="n"/>
      <c r="N4039" s="7" t="inlineStr"/>
      <c r="O4039" s="7" t="inlineStr"/>
    </row>
    <row r="4040">
      <c r="A4040" s="7" t="n">
        <v>621681</v>
      </c>
      <c r="B4040" s="10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1" t="n">
        <v>1</v>
      </c>
      <c r="G4040" s="11" t="n">
        <v>1</v>
      </c>
      <c r="H4040" s="8" t="n">
        <v>7.45</v>
      </c>
      <c r="I4040" s="8" t="n">
        <v>7.45</v>
      </c>
      <c r="J4040" s="8" t="n"/>
      <c r="K4040" s="7" t="inlineStr">
        <is>
          <t>SEM COTAÇÃO</t>
        </is>
      </c>
      <c r="L4040" s="8" t="n"/>
      <c r="M4040" s="12" t="n"/>
      <c r="N4040" s="7" t="inlineStr"/>
      <c r="O4040" s="7" t="inlineStr"/>
    </row>
    <row r="4041">
      <c r="A4041" s="7" t="n">
        <v>244781</v>
      </c>
      <c r="B4041" s="10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1" t="n">
        <v>14</v>
      </c>
      <c r="G4041" s="11" t="n">
        <v>14</v>
      </c>
      <c r="H4041" s="8" t="n">
        <v>25.11</v>
      </c>
      <c r="I4041" s="8" t="n">
        <v>18.6354</v>
      </c>
      <c r="J4041" s="8" t="n"/>
      <c r="K4041" s="7" t="inlineStr">
        <is>
          <t>SEM COTAÇÃO</t>
        </is>
      </c>
      <c r="L4041" s="8" t="n"/>
      <c r="M4041" s="12" t="n"/>
      <c r="N4041" s="7" t="inlineStr"/>
      <c r="O4041" s="7" t="inlineStr"/>
    </row>
    <row r="4042">
      <c r="A4042" s="7" t="n">
        <v>4281</v>
      </c>
      <c r="B4042" s="10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1" t="n">
        <v>10</v>
      </c>
      <c r="G4042" s="11" t="n">
        <v>10</v>
      </c>
      <c r="H4042" s="8" t="n">
        <v>18.6713</v>
      </c>
      <c r="I4042" s="8" t="n">
        <v>16.7667</v>
      </c>
      <c r="J4042" s="8" t="n"/>
      <c r="K4042" s="7" t="inlineStr">
        <is>
          <t>SEM COTAÇÃO</t>
        </is>
      </c>
      <c r="L4042" s="8" t="n"/>
      <c r="M4042" s="12" t="n"/>
      <c r="N4042" s="7" t="inlineStr"/>
      <c r="O4042" s="7" t="inlineStr"/>
    </row>
    <row r="4043">
      <c r="A4043" s="7" t="n">
        <v>4601</v>
      </c>
      <c r="B4043" s="10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1" t="n">
        <v>26</v>
      </c>
      <c r="G4043" s="11" t="n">
        <v>26</v>
      </c>
      <c r="H4043" s="8" t="n">
        <v>26.38</v>
      </c>
      <c r="I4043" s="8" t="n">
        <v>24.35</v>
      </c>
      <c r="J4043" s="8" t="n"/>
      <c r="K4043" s="7" t="inlineStr">
        <is>
          <t>SEM COTAÇÃO</t>
        </is>
      </c>
      <c r="L4043" s="8" t="n"/>
      <c r="M4043" s="12" t="n"/>
      <c r="N4043" s="7" t="inlineStr"/>
      <c r="O4043" s="7" t="inlineStr"/>
    </row>
    <row r="4044">
      <c r="A4044" s="7" t="n">
        <v>444281</v>
      </c>
      <c r="B4044" s="10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1" t="n">
        <v>4</v>
      </c>
      <c r="G4044" s="11" t="n">
        <v>4</v>
      </c>
      <c r="H4044" s="8" t="n">
        <v>31.175</v>
      </c>
      <c r="I4044" s="8" t="n">
        <v>28.245</v>
      </c>
      <c r="J4044" s="8" t="n"/>
      <c r="K4044" s="7" t="inlineStr">
        <is>
          <t>SEM COTAÇÃO</t>
        </is>
      </c>
      <c r="L4044" s="8" t="n"/>
      <c r="M4044" s="12" t="n"/>
      <c r="N4044" s="7" t="inlineStr"/>
      <c r="O4044" s="7" t="inlineStr"/>
    </row>
    <row r="4045">
      <c r="A4045" s="7" t="n">
        <v>661711</v>
      </c>
      <c r="B4045" s="10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1" t="n">
        <v>2</v>
      </c>
      <c r="G4045" s="11" t="n">
        <v>2</v>
      </c>
      <c r="H4045" s="8" t="n">
        <v>3.79</v>
      </c>
      <c r="I4045" s="8" t="n">
        <v>3.79</v>
      </c>
      <c r="J4045" s="8" t="n"/>
      <c r="K4045" s="7" t="inlineStr">
        <is>
          <t>SEM COTAÇÃO</t>
        </is>
      </c>
      <c r="L4045" s="8" t="n"/>
      <c r="M4045" s="12" t="n"/>
      <c r="N4045" s="7" t="inlineStr"/>
      <c r="O4045" s="7" t="inlineStr"/>
    </row>
    <row r="4046">
      <c r="A4046" s="7" t="n">
        <v>649211</v>
      </c>
      <c r="B4046" s="10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1" t="n">
        <v>8</v>
      </c>
      <c r="G4046" s="11" t="n">
        <v>8</v>
      </c>
      <c r="H4046" s="8" t="n">
        <v>14.64</v>
      </c>
      <c r="I4046" s="8" t="n">
        <v>14.64</v>
      </c>
      <c r="J4046" s="8" t="n"/>
      <c r="K4046" s="7" t="inlineStr">
        <is>
          <t>SEM COTAÇÃO</t>
        </is>
      </c>
      <c r="L4046" s="8" t="n"/>
      <c r="M4046" s="12" t="n"/>
      <c r="N4046" s="7" t="inlineStr"/>
      <c r="O4046" s="7" t="inlineStr"/>
    </row>
    <row r="4047">
      <c r="A4047" s="7" t="n">
        <v>595881</v>
      </c>
      <c r="B4047" s="10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1" t="n">
        <v>1</v>
      </c>
      <c r="G4047" s="11" t="n">
        <v>10</v>
      </c>
      <c r="H4047" s="8" t="n">
        <v>1.1044</v>
      </c>
      <c r="I4047" s="8" t="n">
        <v>0.1072</v>
      </c>
      <c r="J4047" s="8" t="n"/>
      <c r="K4047" s="7" t="inlineStr">
        <is>
          <t>SEM COTAÇÃO</t>
        </is>
      </c>
      <c r="L4047" s="8" t="n"/>
      <c r="M4047" s="12" t="n"/>
      <c r="N4047" s="7" t="inlineStr"/>
      <c r="O4047" s="7" t="inlineStr"/>
    </row>
    <row r="4048">
      <c r="A4048" s="7" t="n">
        <v>662811</v>
      </c>
      <c r="B4048" s="10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1" t="n">
        <v>14</v>
      </c>
      <c r="G4048" s="11" t="n">
        <v>14</v>
      </c>
      <c r="H4048" s="8" t="n">
        <v>0.85</v>
      </c>
      <c r="I4048" s="8" t="n">
        <v>0.85</v>
      </c>
      <c r="J4048" s="8" t="n"/>
      <c r="K4048" s="7" t="inlineStr">
        <is>
          <t>SEM COTAÇÃO</t>
        </is>
      </c>
      <c r="L4048" s="8" t="n"/>
      <c r="M4048" s="12" t="n"/>
      <c r="N4048" s="7" t="inlineStr"/>
      <c r="O4048" s="7" t="inlineStr"/>
    </row>
    <row r="4049">
      <c r="A4049" s="7" t="n">
        <v>544061</v>
      </c>
      <c r="B4049" s="10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1" t="n">
        <v>1</v>
      </c>
      <c r="G4049" s="11" t="n">
        <v>1</v>
      </c>
      <c r="H4049" s="8" t="n"/>
      <c r="I4049" s="8" t="n"/>
      <c r="J4049" s="8" t="n"/>
      <c r="K4049" s="7" t="inlineStr">
        <is>
          <t>SEM COTAÇÃO</t>
        </is>
      </c>
      <c r="L4049" s="8" t="n"/>
      <c r="M4049" s="12" t="n"/>
      <c r="N4049" s="7" t="inlineStr"/>
      <c r="O4049" s="7" t="inlineStr"/>
    </row>
    <row r="4050">
      <c r="A4050" s="7" t="n">
        <v>666911</v>
      </c>
      <c r="B4050" s="10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1" t="n">
        <v>9</v>
      </c>
      <c r="G4050" s="11" t="n">
        <v>9</v>
      </c>
      <c r="H4050" s="8" t="n"/>
      <c r="I4050" s="8" t="n"/>
      <c r="J4050" s="8" t="n"/>
      <c r="K4050" s="7" t="inlineStr">
        <is>
          <t>SEM COTAÇÃO</t>
        </is>
      </c>
      <c r="L4050" s="8" t="n"/>
      <c r="M4050" s="12" t="n"/>
      <c r="N4050" s="7" t="inlineStr"/>
      <c r="O4050" s="7" t="inlineStr"/>
    </row>
    <row r="4051">
      <c r="A4051" s="7" t="n">
        <v>591231</v>
      </c>
      <c r="B4051" s="10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1" t="n">
        <v>2</v>
      </c>
      <c r="G4051" s="11" t="n">
        <v>2</v>
      </c>
      <c r="H4051" s="8" t="n">
        <v>0.27</v>
      </c>
      <c r="I4051" s="8" t="n">
        <v>0.27</v>
      </c>
      <c r="J4051" s="8" t="n"/>
      <c r="K4051" s="7" t="inlineStr">
        <is>
          <t>SEM COTAÇÃO</t>
        </is>
      </c>
      <c r="L4051" s="8" t="n"/>
      <c r="M4051" s="12" t="n"/>
      <c r="N4051" s="7" t="inlineStr"/>
      <c r="O4051" s="7" t="inlineStr"/>
    </row>
    <row r="4052">
      <c r="A4052" s="7" t="n">
        <v>631591</v>
      </c>
      <c r="B4052" s="10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1" t="n">
        <v>553</v>
      </c>
      <c r="G4052" s="11" t="n">
        <v>553</v>
      </c>
      <c r="H4052" s="8" t="n">
        <v>0.5</v>
      </c>
      <c r="I4052" s="8" t="n">
        <v>0.45</v>
      </c>
      <c r="J4052" s="8" t="n"/>
      <c r="K4052" s="7" t="inlineStr">
        <is>
          <t>SEM COTAÇÃO</t>
        </is>
      </c>
      <c r="L4052" s="8" t="n"/>
      <c r="M4052" s="12" t="n"/>
      <c r="N4052" s="7" t="inlineStr"/>
      <c r="O4052" s="7" t="inlineStr"/>
    </row>
    <row r="4053">
      <c r="A4053" s="7" t="n">
        <v>671301</v>
      </c>
      <c r="B4053" s="10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1" t="n">
        <v>24</v>
      </c>
      <c r="G4053" s="11" t="n">
        <v>24</v>
      </c>
      <c r="H4053" s="8" t="n">
        <v>0.59</v>
      </c>
      <c r="I4053" s="8" t="n">
        <v>0.59</v>
      </c>
      <c r="J4053" s="13" t="n">
        <v>0.89</v>
      </c>
      <c r="K4053" s="7" t="inlineStr">
        <is>
          <t>DIMEC</t>
        </is>
      </c>
      <c r="L4053" s="8" t="n">
        <v>0.89</v>
      </c>
      <c r="M4053" s="12">
        <f>L4053/H4053-1</f>
        <v/>
      </c>
      <c r="N4053" s="14" t="inlineStr">
        <is>
          <t>ACIMA +50.8%</t>
        </is>
      </c>
      <c r="O4053" s="7" t="inlineStr"/>
    </row>
    <row r="4054">
      <c r="A4054" s="7" t="n">
        <v>639041</v>
      </c>
      <c r="B4054" s="10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1" t="n">
        <v>76</v>
      </c>
      <c r="G4054" s="11" t="n">
        <v>76</v>
      </c>
      <c r="H4054" s="8" t="n">
        <v>0.64</v>
      </c>
      <c r="I4054" s="8" t="n">
        <v>0.64</v>
      </c>
      <c r="J4054" s="13" t="n">
        <v>0.57</v>
      </c>
      <c r="K4054" s="7" t="inlineStr">
        <is>
          <t>DIMEC</t>
        </is>
      </c>
      <c r="L4054" s="8" t="n">
        <v>0.57</v>
      </c>
      <c r="M4054" s="12">
        <f>L4054/H4054-1</f>
        <v/>
      </c>
      <c r="N4054" s="15" t="inlineStr">
        <is>
          <t>OK (≤ menor hist.)</t>
        </is>
      </c>
      <c r="O4054" s="7" t="inlineStr"/>
    </row>
    <row r="4055">
      <c r="A4055" s="7" t="n">
        <v>620801</v>
      </c>
      <c r="B4055" s="10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1" t="n">
        <v>1</v>
      </c>
      <c r="G4055" s="11" t="n">
        <v>1</v>
      </c>
      <c r="H4055" s="8" t="n">
        <v>0.45</v>
      </c>
      <c r="I4055" s="8" t="n">
        <v>0.45</v>
      </c>
      <c r="J4055" s="8" t="n"/>
      <c r="K4055" s="7" t="inlineStr">
        <is>
          <t>SEM COTAÇÃO</t>
        </is>
      </c>
      <c r="L4055" s="8" t="n"/>
      <c r="M4055" s="12" t="n"/>
      <c r="N4055" s="7" t="inlineStr"/>
      <c r="O4055" s="7" t="inlineStr"/>
    </row>
    <row r="4056">
      <c r="A4056" s="7" t="n">
        <v>531781</v>
      </c>
      <c r="B4056" s="10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1" t="n">
        <v>125</v>
      </c>
      <c r="G4056" s="11" t="n">
        <v>125</v>
      </c>
      <c r="H4056" s="8" t="n">
        <v>0.24</v>
      </c>
      <c r="I4056" s="8" t="n">
        <v>0.24</v>
      </c>
      <c r="J4056" s="8" t="n"/>
      <c r="K4056" s="7" t="inlineStr">
        <is>
          <t>SEM COTAÇÃO</t>
        </is>
      </c>
      <c r="L4056" s="8" t="n"/>
      <c r="M4056" s="12" t="n"/>
      <c r="N4056" s="7" t="inlineStr"/>
      <c r="O4056" s="7" t="inlineStr"/>
    </row>
    <row r="4057">
      <c r="A4057" s="7" t="n">
        <v>668411</v>
      </c>
      <c r="B4057" s="10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1" t="n">
        <v>29</v>
      </c>
      <c r="G4057" s="11" t="n">
        <v>29</v>
      </c>
      <c r="H4057" s="8" t="n">
        <v>0.31</v>
      </c>
      <c r="I4057" s="8" t="n">
        <v>0.31</v>
      </c>
      <c r="J4057" s="8" t="n"/>
      <c r="K4057" s="7" t="inlineStr">
        <is>
          <t>SEM COTAÇÃO</t>
        </is>
      </c>
      <c r="L4057" s="8" t="n"/>
      <c r="M4057" s="12" t="n"/>
      <c r="N4057" s="7" t="inlineStr"/>
      <c r="O4057" s="7" t="inlineStr"/>
    </row>
    <row r="4058">
      <c r="A4058" s="7" t="n">
        <v>2883</v>
      </c>
      <c r="B4058" s="10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1" t="n">
        <v>2</v>
      </c>
      <c r="G4058" s="11" t="n">
        <v>2</v>
      </c>
      <c r="H4058" s="8" t="n">
        <v>0.3</v>
      </c>
      <c r="I4058" s="8" t="n">
        <v>0.3</v>
      </c>
      <c r="J4058" s="8" t="n"/>
      <c r="K4058" s="7" t="inlineStr">
        <is>
          <t>SEM COTAÇÃO</t>
        </is>
      </c>
      <c r="L4058" s="8" t="n"/>
      <c r="M4058" s="12" t="n"/>
      <c r="N4058" s="7" t="inlineStr"/>
      <c r="O4058" s="7" t="inlineStr"/>
    </row>
    <row r="4059">
      <c r="A4059" s="7" t="n">
        <v>620791</v>
      </c>
      <c r="B4059" s="10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1" t="n">
        <v>1</v>
      </c>
      <c r="G4059" s="11" t="n">
        <v>1</v>
      </c>
      <c r="H4059" s="8" t="n">
        <v>0.35</v>
      </c>
      <c r="I4059" s="8" t="n">
        <v>0.35</v>
      </c>
      <c r="J4059" s="8" t="n"/>
      <c r="K4059" s="7" t="inlineStr">
        <is>
          <t>SEM COTAÇÃO</t>
        </is>
      </c>
      <c r="L4059" s="8" t="n"/>
      <c r="M4059" s="12" t="n"/>
      <c r="N4059" s="7" t="inlineStr"/>
      <c r="O4059" s="7" t="inlineStr"/>
    </row>
    <row r="4060">
      <c r="A4060" s="7" t="n">
        <v>273</v>
      </c>
      <c r="B4060" s="10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1" t="n">
        <v>3</v>
      </c>
      <c r="G4060" s="11" t="n">
        <v>3</v>
      </c>
      <c r="H4060" s="8" t="n">
        <v>0.35</v>
      </c>
      <c r="I4060" s="8" t="n">
        <v>0.35</v>
      </c>
      <c r="J4060" s="8" t="n"/>
      <c r="K4060" s="7" t="inlineStr">
        <is>
          <t>SEM COTAÇÃO</t>
        </is>
      </c>
      <c r="L4060" s="8" t="n"/>
      <c r="M4060" s="12" t="n"/>
      <c r="N4060" s="7" t="inlineStr"/>
      <c r="O4060" s="7" t="inlineStr"/>
    </row>
    <row r="4061">
      <c r="A4061" s="7" t="n">
        <v>671361</v>
      </c>
      <c r="B4061" s="10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1" t="n">
        <v>87</v>
      </c>
      <c r="G4061" s="11" t="n">
        <v>87</v>
      </c>
      <c r="H4061" s="8" t="n">
        <v>0.35</v>
      </c>
      <c r="I4061" s="8" t="n">
        <v>0.35</v>
      </c>
      <c r="J4061" s="8" t="n"/>
      <c r="K4061" s="7" t="inlineStr">
        <is>
          <t>SEM COTAÇÃO</t>
        </is>
      </c>
      <c r="L4061" s="8" t="n"/>
      <c r="M4061" s="12" t="n"/>
      <c r="N4061" s="7" t="inlineStr"/>
      <c r="O4061" s="7" t="inlineStr"/>
    </row>
    <row r="4062">
      <c r="A4062" s="7" t="n">
        <v>671371</v>
      </c>
      <c r="B4062" s="10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1" t="n">
        <v>3</v>
      </c>
      <c r="G4062" s="11" t="n">
        <v>3</v>
      </c>
      <c r="H4062" s="8" t="n">
        <v>0.35</v>
      </c>
      <c r="I4062" s="8" t="n">
        <v>0.35</v>
      </c>
      <c r="J4062" s="8" t="n"/>
      <c r="K4062" s="7" t="inlineStr">
        <is>
          <t>SEM COTAÇÃO</t>
        </is>
      </c>
      <c r="L4062" s="8" t="n"/>
      <c r="M4062" s="12" t="n"/>
      <c r="N4062" s="7" t="inlineStr"/>
      <c r="O4062" s="7" t="inlineStr"/>
    </row>
    <row r="4063">
      <c r="A4063" s="7" t="n">
        <v>615031</v>
      </c>
      <c r="B4063" s="10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1" t="n">
        <v>1</v>
      </c>
      <c r="G4063" s="11" t="n">
        <v>1</v>
      </c>
      <c r="H4063" s="8" t="n">
        <v>0.73</v>
      </c>
      <c r="I4063" s="8" t="n">
        <v>0.73</v>
      </c>
      <c r="J4063" s="8" t="n"/>
      <c r="K4063" s="7" t="inlineStr">
        <is>
          <t>SEM COTAÇÃO</t>
        </is>
      </c>
      <c r="L4063" s="8" t="n"/>
      <c r="M4063" s="12" t="n"/>
      <c r="N4063" s="7" t="inlineStr"/>
      <c r="O4063" s="7" t="inlineStr"/>
    </row>
    <row r="4064">
      <c r="A4064" s="7" t="n">
        <v>30903</v>
      </c>
      <c r="B4064" s="10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1" t="n">
        <v>110</v>
      </c>
      <c r="G4064" s="11" t="n">
        <v>110</v>
      </c>
      <c r="H4064" s="8" t="n">
        <v>1.79</v>
      </c>
      <c r="I4064" s="8" t="n">
        <v>1.79</v>
      </c>
      <c r="J4064" s="8" t="n"/>
      <c r="K4064" s="7" t="inlineStr">
        <is>
          <t>SEM COTAÇÃO</t>
        </is>
      </c>
      <c r="L4064" s="8" t="n"/>
      <c r="M4064" s="12" t="n"/>
      <c r="N4064" s="7" t="inlineStr"/>
      <c r="O4064" s="7" t="inlineStr"/>
    </row>
    <row r="4065">
      <c r="A4065" s="7" t="n">
        <v>671101</v>
      </c>
      <c r="B4065" s="10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1" t="n">
        <v>1</v>
      </c>
      <c r="G4065" s="11" t="n">
        <v>1</v>
      </c>
      <c r="H4065" s="8" t="n">
        <v>15.69</v>
      </c>
      <c r="I4065" s="8" t="n">
        <v>15.69</v>
      </c>
      <c r="J4065" s="8" t="n"/>
      <c r="K4065" s="7" t="inlineStr">
        <is>
          <t>SEM COTAÇÃO</t>
        </is>
      </c>
      <c r="L4065" s="8" t="n"/>
      <c r="M4065" s="12" t="n"/>
      <c r="N4065" s="7" t="inlineStr"/>
      <c r="O4065" s="7" t="inlineStr"/>
    </row>
    <row r="4066">
      <c r="A4066" s="7" t="n">
        <v>671051</v>
      </c>
      <c r="B4066" s="10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1" t="n">
        <v>5</v>
      </c>
      <c r="G4066" s="11" t="n">
        <v>5</v>
      </c>
      <c r="H4066" s="8" t="n">
        <v>17.5833</v>
      </c>
      <c r="I4066" s="8" t="n">
        <v>17.5833</v>
      </c>
      <c r="J4066" s="8" t="n"/>
      <c r="K4066" s="7" t="inlineStr">
        <is>
          <t>SEM COTAÇÃO</t>
        </is>
      </c>
      <c r="L4066" s="8" t="n"/>
      <c r="M4066" s="12" t="n"/>
      <c r="N4066" s="7" t="inlineStr"/>
      <c r="O4066" s="7" t="inlineStr"/>
    </row>
    <row r="4067">
      <c r="A4067" s="7" t="n">
        <v>671161</v>
      </c>
      <c r="B4067" s="10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1" t="n">
        <v>2</v>
      </c>
      <c r="G4067" s="11" t="n">
        <v>2</v>
      </c>
      <c r="H4067" s="8" t="n">
        <v>14.82</v>
      </c>
      <c r="I4067" s="8" t="n">
        <v>14.69</v>
      </c>
      <c r="J4067" s="8" t="n"/>
      <c r="K4067" s="7" t="inlineStr">
        <is>
          <t>SEM COTAÇÃO</t>
        </is>
      </c>
      <c r="L4067" s="8" t="n"/>
      <c r="M4067" s="12" t="n"/>
      <c r="N4067" s="7" t="inlineStr"/>
      <c r="O4067" s="7" t="inlineStr"/>
    </row>
    <row r="4068">
      <c r="A4068" s="7" t="n">
        <v>670971</v>
      </c>
      <c r="B4068" s="10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1" t="n">
        <v>2</v>
      </c>
      <c r="G4068" s="11" t="n">
        <v>2</v>
      </c>
      <c r="H4068" s="8" t="n">
        <v>20.49</v>
      </c>
      <c r="I4068" s="8" t="n">
        <v>20.49</v>
      </c>
      <c r="J4068" s="8" t="n"/>
      <c r="K4068" s="7" t="inlineStr">
        <is>
          <t>SEM COTAÇÃO</t>
        </is>
      </c>
      <c r="L4068" s="8" t="n"/>
      <c r="M4068" s="12" t="n"/>
      <c r="N4068" s="7" t="inlineStr"/>
      <c r="O4068" s="7" t="inlineStr"/>
    </row>
    <row r="4069">
      <c r="A4069" s="7" t="n">
        <v>671141</v>
      </c>
      <c r="B4069" s="10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1" t="n">
        <v>1</v>
      </c>
      <c r="G4069" s="11" t="n">
        <v>1</v>
      </c>
      <c r="H4069" s="8" t="n">
        <v>15.84</v>
      </c>
      <c r="I4069" s="8" t="n">
        <v>15.84</v>
      </c>
      <c r="J4069" s="8" t="n"/>
      <c r="K4069" s="7" t="inlineStr">
        <is>
          <t>SEM COTAÇÃO</t>
        </is>
      </c>
      <c r="L4069" s="8" t="n"/>
      <c r="M4069" s="12" t="n"/>
      <c r="N4069" s="7" t="inlineStr"/>
      <c r="O4069" s="7" t="inlineStr"/>
    </row>
    <row r="4070">
      <c r="A4070" s="7" t="n">
        <v>704401</v>
      </c>
      <c r="B4070" s="10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1" t="n">
        <v>128</v>
      </c>
      <c r="G4070" s="11" t="n">
        <v>128</v>
      </c>
      <c r="H4070" s="8" t="n">
        <v>1.45</v>
      </c>
      <c r="I4070" s="8" t="n">
        <v>1.45</v>
      </c>
      <c r="J4070" s="8" t="n"/>
      <c r="K4070" s="7" t="inlineStr">
        <is>
          <t>SEM COTAÇÃO</t>
        </is>
      </c>
      <c r="L4070" s="8" t="n"/>
      <c r="M4070" s="12" t="n"/>
      <c r="N4070" s="7" t="inlineStr"/>
      <c r="O4070" s="7" t="inlineStr"/>
    </row>
    <row r="4071">
      <c r="A4071" s="7" t="n">
        <v>685901</v>
      </c>
      <c r="B4071" s="10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1" t="n">
        <v>14</v>
      </c>
      <c r="G4071" s="11" t="n">
        <v>14</v>
      </c>
      <c r="H4071" s="8" t="n">
        <v>14.69</v>
      </c>
      <c r="I4071" s="8" t="n">
        <v>13.46</v>
      </c>
      <c r="J4071" s="8" t="n"/>
      <c r="K4071" s="7" t="inlineStr">
        <is>
          <t>SEM COTAÇÃO</t>
        </is>
      </c>
      <c r="L4071" s="8" t="n"/>
      <c r="M4071" s="12" t="n"/>
      <c r="N4071" s="7" t="inlineStr"/>
      <c r="O4071" s="7" t="inlineStr"/>
    </row>
    <row r="4072">
      <c r="A4072" s="7" t="n">
        <v>666851</v>
      </c>
      <c r="B4072" s="10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1" t="n">
        <v>62</v>
      </c>
      <c r="G4072" s="11" t="n">
        <v>62</v>
      </c>
      <c r="H4072" s="8" t="n"/>
      <c r="I4072" s="8" t="n"/>
      <c r="J4072" s="8" t="n"/>
      <c r="K4072" s="7" t="inlineStr">
        <is>
          <t>SEM COTAÇÃO</t>
        </is>
      </c>
      <c r="L4072" s="8" t="n"/>
      <c r="M4072" s="12" t="n"/>
      <c r="N4072" s="7" t="inlineStr"/>
      <c r="O4072" s="7" t="inlineStr"/>
    </row>
    <row r="4073">
      <c r="A4073" s="7" t="n">
        <v>634151</v>
      </c>
      <c r="B4073" s="10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1" t="n">
        <v>136</v>
      </c>
      <c r="G4073" s="11" t="n">
        <v>136</v>
      </c>
      <c r="H4073" s="8" t="n">
        <v>0.38</v>
      </c>
      <c r="I4073" s="8" t="n">
        <v>0.35</v>
      </c>
      <c r="J4073" s="8" t="n"/>
      <c r="K4073" s="7" t="inlineStr">
        <is>
          <t>SEM COTAÇÃO</t>
        </is>
      </c>
      <c r="L4073" s="8" t="n"/>
      <c r="M4073" s="12" t="n"/>
      <c r="N4073" s="7" t="inlineStr"/>
      <c r="O4073" s="7" t="inlineStr"/>
    </row>
    <row r="4074">
      <c r="A4074" s="7" t="n">
        <v>596571</v>
      </c>
      <c r="B4074" s="10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1" t="n">
        <v>185</v>
      </c>
      <c r="G4074" s="11" t="n">
        <v>185</v>
      </c>
      <c r="H4074" s="8" t="n">
        <v>0.35</v>
      </c>
      <c r="I4074" s="8" t="n">
        <v>0.35</v>
      </c>
      <c r="J4074" s="8" t="n"/>
      <c r="K4074" s="7" t="inlineStr">
        <is>
          <t>SEM COTAÇÃO</t>
        </is>
      </c>
      <c r="L4074" s="8" t="n"/>
      <c r="M4074" s="12" t="n"/>
      <c r="N4074" s="7" t="inlineStr"/>
      <c r="O4074" s="7" t="inlineStr"/>
    </row>
    <row r="4075">
      <c r="A4075" s="7" t="n">
        <v>671381</v>
      </c>
      <c r="B4075" s="10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1" t="n">
        <v>8</v>
      </c>
      <c r="G4075" s="11" t="n">
        <v>8</v>
      </c>
      <c r="H4075" s="8" t="n">
        <v>0.35</v>
      </c>
      <c r="I4075" s="8" t="n">
        <v>0.35</v>
      </c>
      <c r="J4075" s="8" t="n"/>
      <c r="K4075" s="7" t="inlineStr">
        <is>
          <t>SEM COTAÇÃO</t>
        </is>
      </c>
      <c r="L4075" s="8" t="n"/>
      <c r="M4075" s="12" t="n"/>
      <c r="N4075" s="7" t="inlineStr"/>
      <c r="O4075" s="7" t="inlineStr"/>
    </row>
    <row r="4076">
      <c r="A4076" s="7" t="n">
        <v>636831</v>
      </c>
      <c r="B4076" s="10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1" t="n">
        <v>2</v>
      </c>
      <c r="G4076" s="11" t="n">
        <v>2</v>
      </c>
      <c r="H4076" s="8" t="n">
        <v>38.7</v>
      </c>
      <c r="I4076" s="8" t="n">
        <v>38.7</v>
      </c>
      <c r="J4076" s="8" t="n"/>
      <c r="K4076" s="7" t="inlineStr">
        <is>
          <t>SEM COTAÇÃO</t>
        </is>
      </c>
      <c r="L4076" s="8" t="n"/>
      <c r="M4076" s="12" t="n"/>
      <c r="N4076" s="7" t="inlineStr"/>
      <c r="O4076" s="7" t="inlineStr"/>
    </row>
    <row r="4077">
      <c r="A4077" s="7" t="n">
        <v>662741</v>
      </c>
      <c r="B4077" s="10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1" t="n">
        <v>6</v>
      </c>
      <c r="G4077" s="11" t="n">
        <v>6</v>
      </c>
      <c r="H4077" s="8" t="n">
        <v>34.895</v>
      </c>
      <c r="I4077" s="8" t="n">
        <v>31.2633</v>
      </c>
      <c r="J4077" s="8" t="n"/>
      <c r="K4077" s="7" t="inlineStr">
        <is>
          <t>SEM COTAÇÃO</t>
        </is>
      </c>
      <c r="L4077" s="8" t="n"/>
      <c r="M4077" s="12" t="n"/>
      <c r="N4077" s="7" t="inlineStr"/>
      <c r="O4077" s="7" t="inlineStr"/>
    </row>
    <row r="4078">
      <c r="A4078" s="7" t="n">
        <v>662751</v>
      </c>
      <c r="B4078" s="10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1" t="n">
        <v>2</v>
      </c>
      <c r="G4078" s="11" t="n">
        <v>2</v>
      </c>
      <c r="H4078" s="8" t="n">
        <v>34.89</v>
      </c>
      <c r="I4078" s="8" t="n">
        <v>34.3683</v>
      </c>
      <c r="J4078" s="8" t="n"/>
      <c r="K4078" s="7" t="inlineStr">
        <is>
          <t>SEM COTAÇÃO</t>
        </is>
      </c>
      <c r="L4078" s="8" t="n"/>
      <c r="M4078" s="12" t="n"/>
      <c r="N4078" s="7" t="inlineStr"/>
      <c r="O4078" s="7" t="inlineStr"/>
    </row>
    <row r="4079">
      <c r="A4079" s="7" t="n">
        <v>662821</v>
      </c>
      <c r="B4079" s="10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1" t="n">
        <v>2</v>
      </c>
      <c r="G4079" s="11" t="n">
        <v>2</v>
      </c>
      <c r="H4079" s="8" t="n">
        <v>33.72</v>
      </c>
      <c r="I4079" s="8" t="n">
        <v>33.72</v>
      </c>
      <c r="J4079" s="8" t="n"/>
      <c r="K4079" s="7" t="inlineStr">
        <is>
          <t>SEM COTAÇÃO</t>
        </is>
      </c>
      <c r="L4079" s="8" t="n"/>
      <c r="M4079" s="12" t="n"/>
      <c r="N4079" s="7" t="inlineStr"/>
      <c r="O4079" s="7" t="inlineStr"/>
    </row>
    <row r="4080">
      <c r="A4080" s="7" t="n">
        <v>696101</v>
      </c>
      <c r="B4080" s="10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1" t="n">
        <v>1</v>
      </c>
      <c r="G4080" s="11" t="n">
        <v>1</v>
      </c>
      <c r="H4080" s="8" t="n">
        <v>53.39</v>
      </c>
      <c r="I4080" s="8" t="n">
        <v>53.39</v>
      </c>
      <c r="J4080" s="8" t="n"/>
      <c r="K4080" s="7" t="inlineStr">
        <is>
          <t>SEM COTAÇÃO</t>
        </is>
      </c>
      <c r="L4080" s="8" t="n"/>
      <c r="M4080" s="12" t="n"/>
      <c r="N4080" s="7" t="inlineStr"/>
      <c r="O4080" s="7" t="inlineStr"/>
    </row>
    <row r="4081">
      <c r="A4081" s="7" t="n">
        <v>610381</v>
      </c>
      <c r="B4081" s="10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1" t="n">
        <v>1</v>
      </c>
      <c r="G4081" s="11" t="n">
        <v>1</v>
      </c>
      <c r="H4081" s="8" t="n">
        <v>9.56</v>
      </c>
      <c r="I4081" s="8" t="n">
        <v>9.56</v>
      </c>
      <c r="J4081" s="8" t="n"/>
      <c r="K4081" s="7" t="inlineStr">
        <is>
          <t>SEM COTAÇÃO</t>
        </is>
      </c>
      <c r="L4081" s="8" t="n"/>
      <c r="M4081" s="12" t="n"/>
      <c r="N4081" s="7" t="inlineStr"/>
      <c r="O4081" s="7" t="inlineStr"/>
    </row>
    <row r="4082">
      <c r="A4082" s="7" t="n">
        <v>610391</v>
      </c>
      <c r="B4082" s="10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1" t="n">
        <v>1</v>
      </c>
      <c r="G4082" s="11" t="n">
        <v>1</v>
      </c>
      <c r="H4082" s="8" t="n">
        <v>9.56</v>
      </c>
      <c r="I4082" s="8" t="n">
        <v>9.56</v>
      </c>
      <c r="J4082" s="8" t="n"/>
      <c r="K4082" s="7" t="inlineStr">
        <is>
          <t>SEM COTAÇÃO</t>
        </is>
      </c>
      <c r="L4082" s="8" t="n"/>
      <c r="M4082" s="12" t="n"/>
      <c r="N4082" s="7" t="inlineStr"/>
      <c r="O4082" s="7" t="inlineStr"/>
    </row>
    <row r="4083">
      <c r="A4083" s="7" t="n">
        <v>610581</v>
      </c>
      <c r="B4083" s="10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1" t="n">
        <v>1</v>
      </c>
      <c r="G4083" s="11" t="n">
        <v>1</v>
      </c>
      <c r="H4083" s="8" t="n">
        <v>12.29</v>
      </c>
      <c r="I4083" s="8" t="n">
        <v>12.29</v>
      </c>
      <c r="J4083" s="8" t="n"/>
      <c r="K4083" s="7" t="inlineStr">
        <is>
          <t>SEM COTAÇÃO</t>
        </is>
      </c>
      <c r="L4083" s="8" t="n"/>
      <c r="M4083" s="12" t="n"/>
      <c r="N4083" s="7" t="inlineStr"/>
      <c r="O4083" s="7" t="inlineStr"/>
    </row>
    <row r="4084">
      <c r="A4084" s="7" t="n">
        <v>610571</v>
      </c>
      <c r="B4084" s="10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1" t="n">
        <v>1</v>
      </c>
      <c r="G4084" s="11" t="n">
        <v>1</v>
      </c>
      <c r="H4084" s="8" t="n">
        <v>9.56</v>
      </c>
      <c r="I4084" s="8" t="n">
        <v>9.56</v>
      </c>
      <c r="J4084" s="8" t="n"/>
      <c r="K4084" s="7" t="inlineStr">
        <is>
          <t>SEM COTAÇÃO</t>
        </is>
      </c>
      <c r="L4084" s="8" t="n"/>
      <c r="M4084" s="12" t="n"/>
      <c r="N4084" s="7" t="inlineStr"/>
      <c r="O4084" s="7" t="inlineStr"/>
    </row>
    <row r="4085">
      <c r="A4085" s="7" t="n">
        <v>610561</v>
      </c>
      <c r="B4085" s="10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1" t="n">
        <v>1</v>
      </c>
      <c r="G4085" s="11" t="n">
        <v>1</v>
      </c>
      <c r="H4085" s="8" t="n">
        <v>9.56</v>
      </c>
      <c r="I4085" s="8" t="n">
        <v>9.56</v>
      </c>
      <c r="J4085" s="8" t="n"/>
      <c r="K4085" s="7" t="inlineStr">
        <is>
          <t>SEM COTAÇÃO</t>
        </is>
      </c>
      <c r="L4085" s="8" t="n"/>
      <c r="M4085" s="12" t="n"/>
      <c r="N4085" s="7" t="inlineStr"/>
      <c r="O4085" s="7" t="inlineStr"/>
    </row>
    <row r="4086">
      <c r="A4086" s="7" t="n">
        <v>610531</v>
      </c>
      <c r="B4086" s="10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1" t="n">
        <v>1</v>
      </c>
      <c r="G4086" s="11" t="n">
        <v>1</v>
      </c>
      <c r="H4086" s="8" t="n">
        <v>9.56</v>
      </c>
      <c r="I4086" s="8" t="n">
        <v>9.56</v>
      </c>
      <c r="J4086" s="8" t="n"/>
      <c r="K4086" s="7" t="inlineStr">
        <is>
          <t>SEM COTAÇÃO</t>
        </is>
      </c>
      <c r="L4086" s="8" t="n"/>
      <c r="M4086" s="12" t="n"/>
      <c r="N4086" s="7" t="inlineStr"/>
      <c r="O4086" s="7" t="inlineStr"/>
    </row>
    <row r="4087">
      <c r="A4087" s="7" t="n">
        <v>582641</v>
      </c>
      <c r="B4087" s="10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1" t="n">
        <v>2</v>
      </c>
      <c r="G4087" s="11" t="n">
        <v>2</v>
      </c>
      <c r="H4087" s="8" t="n">
        <v>13.5</v>
      </c>
      <c r="I4087" s="8" t="n">
        <v>11.0167</v>
      </c>
      <c r="J4087" s="8" t="n"/>
      <c r="K4087" s="7" t="inlineStr">
        <is>
          <t>SEM COTAÇÃO</t>
        </is>
      </c>
      <c r="L4087" s="8" t="n"/>
      <c r="M4087" s="12" t="n"/>
      <c r="N4087" s="7" t="inlineStr"/>
      <c r="O4087" s="7" t="inlineStr"/>
    </row>
    <row r="4088">
      <c r="A4088" s="7" t="n">
        <v>591831</v>
      </c>
      <c r="B4088" s="10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1" t="n">
        <v>1</v>
      </c>
      <c r="G4088" s="11" t="n">
        <v>1</v>
      </c>
      <c r="H4088" s="8" t="n">
        <v>10.15</v>
      </c>
      <c r="I4088" s="8" t="n">
        <v>10.15</v>
      </c>
      <c r="J4088" s="8" t="n"/>
      <c r="K4088" s="7" t="inlineStr">
        <is>
          <t>SEM COTAÇÃO</t>
        </is>
      </c>
      <c r="L4088" s="8" t="n"/>
      <c r="M4088" s="12" t="n"/>
      <c r="N4088" s="7" t="inlineStr"/>
      <c r="O4088" s="7" t="inlineStr"/>
    </row>
    <row r="4089">
      <c r="A4089" s="7" t="n">
        <v>546621</v>
      </c>
      <c r="B4089" s="10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1" t="n">
        <v>2</v>
      </c>
      <c r="G4089" s="11" t="n">
        <v>2</v>
      </c>
      <c r="H4089" s="8" t="n">
        <v>14.9942</v>
      </c>
      <c r="I4089" s="8" t="n">
        <v>14.0525</v>
      </c>
      <c r="J4089" s="8" t="n"/>
      <c r="K4089" s="7" t="inlineStr">
        <is>
          <t>SEM COTAÇÃO</t>
        </is>
      </c>
      <c r="L4089" s="8" t="n"/>
      <c r="M4089" s="12" t="n"/>
      <c r="N4089" s="7" t="inlineStr"/>
      <c r="O4089" s="7" t="inlineStr"/>
    </row>
    <row r="4090">
      <c r="A4090" s="7" t="n">
        <v>545941</v>
      </c>
      <c r="B4090" s="10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1" t="n">
        <v>3</v>
      </c>
      <c r="G4090" s="11" t="n">
        <v>3</v>
      </c>
      <c r="H4090" s="8" t="n">
        <v>14.1067</v>
      </c>
      <c r="I4090" s="8" t="n">
        <v>14.0525</v>
      </c>
      <c r="J4090" s="8" t="n"/>
      <c r="K4090" s="7" t="inlineStr">
        <is>
          <t>SEM COTAÇÃO</t>
        </is>
      </c>
      <c r="L4090" s="8" t="n"/>
      <c r="M4090" s="12" t="n"/>
      <c r="N4090" s="7" t="inlineStr"/>
      <c r="O4090" s="7" t="inlineStr"/>
    </row>
    <row r="4091">
      <c r="A4091" s="7" t="n">
        <v>551361</v>
      </c>
      <c r="B4091" s="10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1" t="n">
        <v>1</v>
      </c>
      <c r="G4091" s="11" t="n">
        <v>1</v>
      </c>
      <c r="H4091" s="8" t="n">
        <v>10.15</v>
      </c>
      <c r="I4091" s="8" t="n">
        <v>10.15</v>
      </c>
      <c r="J4091" s="8" t="n"/>
      <c r="K4091" s="7" t="inlineStr">
        <is>
          <t>SEM COTAÇÃO</t>
        </is>
      </c>
      <c r="L4091" s="8" t="n"/>
      <c r="M4091" s="12" t="n"/>
      <c r="N4091" s="7" t="inlineStr"/>
      <c r="O4091" s="7" t="inlineStr"/>
    </row>
    <row r="4092">
      <c r="A4092" s="7" t="n">
        <v>591841</v>
      </c>
      <c r="B4092" s="10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1" t="n">
        <v>1</v>
      </c>
      <c r="G4092" s="11" t="n">
        <v>1</v>
      </c>
      <c r="H4092" s="8" t="n">
        <v>10.15</v>
      </c>
      <c r="I4092" s="8" t="n">
        <v>10.15</v>
      </c>
      <c r="J4092" s="8" t="n"/>
      <c r="K4092" s="7" t="inlineStr">
        <is>
          <t>SEM COTAÇÃO</t>
        </is>
      </c>
      <c r="L4092" s="8" t="n"/>
      <c r="M4092" s="12" t="n"/>
      <c r="N4092" s="7" t="inlineStr"/>
      <c r="O4092" s="7" t="inlineStr"/>
    </row>
    <row r="4093">
      <c r="A4093" s="7" t="n">
        <v>546641</v>
      </c>
      <c r="B4093" s="10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1" t="n">
        <v>2</v>
      </c>
      <c r="G4093" s="11" t="n">
        <v>2</v>
      </c>
      <c r="H4093" s="8" t="n">
        <v>14.11</v>
      </c>
      <c r="I4093" s="8" t="n">
        <v>14.11</v>
      </c>
      <c r="J4093" s="8" t="n"/>
      <c r="K4093" s="7" t="inlineStr">
        <is>
          <t>SEM COTAÇÃO</t>
        </is>
      </c>
      <c r="L4093" s="8" t="n"/>
      <c r="M4093" s="12" t="n"/>
      <c r="N4093" s="7" t="inlineStr"/>
      <c r="O4093" s="7" t="inlineStr"/>
    </row>
    <row r="4094">
      <c r="A4094" s="7" t="n">
        <v>591851</v>
      </c>
      <c r="B4094" s="10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1" t="n">
        <v>2</v>
      </c>
      <c r="G4094" s="11" t="n">
        <v>2</v>
      </c>
      <c r="H4094" s="8" t="n">
        <v>14.85</v>
      </c>
      <c r="I4094" s="8" t="n">
        <v>14.0525</v>
      </c>
      <c r="J4094" s="8" t="n"/>
      <c r="K4094" s="7" t="inlineStr">
        <is>
          <t>SEM COTAÇÃO</t>
        </is>
      </c>
      <c r="L4094" s="8" t="n"/>
      <c r="M4094" s="12" t="n"/>
      <c r="N4094" s="7" t="inlineStr"/>
      <c r="O4094" s="7" t="inlineStr"/>
    </row>
    <row r="4095">
      <c r="A4095" s="7" t="n">
        <v>672851</v>
      </c>
      <c r="B4095" s="10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1" t="n">
        <v>2</v>
      </c>
      <c r="G4095" s="11" t="n">
        <v>2</v>
      </c>
      <c r="H4095" s="8" t="n">
        <v>32.18</v>
      </c>
      <c r="I4095" s="8" t="n">
        <v>32.18</v>
      </c>
      <c r="J4095" s="8" t="n"/>
      <c r="K4095" s="7" t="inlineStr">
        <is>
          <t>SEM COTAÇÃO</t>
        </is>
      </c>
      <c r="L4095" s="8" t="n"/>
      <c r="M4095" s="12" t="n"/>
      <c r="N4095" s="7" t="inlineStr"/>
      <c r="O4095" s="7" t="inlineStr"/>
    </row>
    <row r="4096">
      <c r="A4096" s="7" t="n">
        <v>596931</v>
      </c>
      <c r="B4096" s="10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1" t="n">
        <v>3</v>
      </c>
      <c r="G4096" s="11" t="n">
        <v>3</v>
      </c>
      <c r="H4096" s="8" t="n">
        <v>9.66</v>
      </c>
      <c r="I4096" s="8" t="n">
        <v>9.66</v>
      </c>
      <c r="J4096" s="8" t="n"/>
      <c r="K4096" s="7" t="inlineStr">
        <is>
          <t>SEM COTAÇÃO</t>
        </is>
      </c>
      <c r="L4096" s="8" t="n"/>
      <c r="M4096" s="12" t="n"/>
      <c r="N4096" s="7" t="inlineStr"/>
      <c r="O4096" s="7" t="inlineStr"/>
    </row>
    <row r="4097">
      <c r="A4097" s="7" t="n">
        <v>571101</v>
      </c>
      <c r="B4097" s="10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1" t="n">
        <v>2</v>
      </c>
      <c r="G4097" s="11" t="n">
        <v>2</v>
      </c>
      <c r="H4097" s="8" t="n">
        <v>13.45</v>
      </c>
      <c r="I4097" s="8" t="n">
        <v>13.45</v>
      </c>
      <c r="J4097" s="8" t="n"/>
      <c r="K4097" s="7" t="inlineStr">
        <is>
          <t>SEM COTAÇÃO</t>
        </is>
      </c>
      <c r="L4097" s="8" t="n"/>
      <c r="M4097" s="12" t="n"/>
      <c r="N4097" s="7" t="inlineStr"/>
      <c r="O4097" s="7" t="inlineStr"/>
    </row>
    <row r="4098">
      <c r="A4098" s="7" t="n">
        <v>596921</v>
      </c>
      <c r="B4098" s="10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1" t="n">
        <v>1</v>
      </c>
      <c r="G4098" s="11" t="n">
        <v>1</v>
      </c>
      <c r="H4098" s="8" t="n">
        <v>15.68</v>
      </c>
      <c r="I4098" s="8" t="n">
        <v>15.68</v>
      </c>
      <c r="J4098" s="8" t="n"/>
      <c r="K4098" s="7" t="inlineStr">
        <is>
          <t>SEM COTAÇÃO</t>
        </is>
      </c>
      <c r="L4098" s="8" t="n"/>
      <c r="M4098" s="12" t="n"/>
      <c r="N4098" s="7" t="inlineStr"/>
      <c r="O4098" s="7" t="inlineStr"/>
    </row>
    <row r="4099">
      <c r="A4099" s="7" t="n">
        <v>571141</v>
      </c>
      <c r="B4099" s="10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1" t="n">
        <v>1</v>
      </c>
      <c r="G4099" s="11" t="n">
        <v>1</v>
      </c>
      <c r="H4099" s="8" t="n">
        <v>11.81</v>
      </c>
      <c r="I4099" s="8" t="n">
        <v>11.81</v>
      </c>
      <c r="J4099" s="8" t="n"/>
      <c r="K4099" s="7" t="inlineStr">
        <is>
          <t>SEM COTAÇÃO</t>
        </is>
      </c>
      <c r="L4099" s="8" t="n"/>
      <c r="M4099" s="12" t="n"/>
      <c r="N4099" s="7" t="inlineStr"/>
      <c r="O4099" s="7" t="inlineStr"/>
    </row>
    <row r="4100">
      <c r="A4100" s="7" t="n">
        <v>596911</v>
      </c>
      <c r="B4100" s="10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1" t="n">
        <v>1</v>
      </c>
      <c r="G4100" s="11" t="n">
        <v>1</v>
      </c>
      <c r="H4100" s="8" t="n">
        <v>10.29</v>
      </c>
      <c r="I4100" s="8" t="n">
        <v>10.29</v>
      </c>
      <c r="J4100" s="8" t="n"/>
      <c r="K4100" s="7" t="inlineStr">
        <is>
          <t>SEM COTAÇÃO</t>
        </is>
      </c>
      <c r="L4100" s="8" t="n"/>
      <c r="M4100" s="12" t="n"/>
      <c r="N4100" s="7" t="inlineStr"/>
      <c r="O4100" s="7" t="inlineStr"/>
    </row>
    <row r="4101">
      <c r="A4101" s="7" t="n">
        <v>623111</v>
      </c>
      <c r="B4101" s="10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1" t="n">
        <v>2</v>
      </c>
      <c r="G4101" s="11" t="n">
        <v>2</v>
      </c>
      <c r="H4101" s="8" t="n">
        <v>12.3533</v>
      </c>
      <c r="I4101" s="8" t="n">
        <v>10.7567</v>
      </c>
      <c r="J4101" s="8" t="n"/>
      <c r="K4101" s="7" t="inlineStr">
        <is>
          <t>SEM COTAÇÃO</t>
        </is>
      </c>
      <c r="L4101" s="8" t="n"/>
      <c r="M4101" s="12" t="n"/>
      <c r="N4101" s="7" t="inlineStr"/>
      <c r="O4101" s="7" t="inlineStr"/>
    </row>
    <row r="4102">
      <c r="A4102" s="7" t="n">
        <v>609851</v>
      </c>
      <c r="B4102" s="10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1" t="n">
        <v>1</v>
      </c>
      <c r="G4102" s="11" t="n">
        <v>1</v>
      </c>
      <c r="H4102" s="8" t="n">
        <v>13.5</v>
      </c>
      <c r="I4102" s="8" t="n">
        <v>11.0167</v>
      </c>
      <c r="J4102" s="8" t="n"/>
      <c r="K4102" s="7" t="inlineStr">
        <is>
          <t>SEM COTAÇÃO</t>
        </is>
      </c>
      <c r="L4102" s="8" t="n"/>
      <c r="M4102" s="12" t="n"/>
      <c r="N4102" s="7" t="inlineStr"/>
      <c r="O4102" s="7" t="inlineStr"/>
    </row>
    <row r="4103">
      <c r="A4103" s="7" t="n">
        <v>609861</v>
      </c>
      <c r="B4103" s="10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1" t="n">
        <v>1</v>
      </c>
      <c r="G4103" s="11" t="n">
        <v>1</v>
      </c>
      <c r="H4103" s="8" t="n">
        <v>14.04</v>
      </c>
      <c r="I4103" s="8" t="n">
        <v>11.0167</v>
      </c>
      <c r="J4103" s="8" t="n"/>
      <c r="K4103" s="7" t="inlineStr">
        <is>
          <t>SEM COTAÇÃO</t>
        </is>
      </c>
      <c r="L4103" s="8" t="n"/>
      <c r="M4103" s="12" t="n"/>
      <c r="N4103" s="7" t="inlineStr"/>
      <c r="O4103" s="7" t="inlineStr"/>
    </row>
    <row r="4104">
      <c r="A4104" s="7" t="n">
        <v>646301</v>
      </c>
      <c r="B4104" s="10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1" t="n">
        <v>1</v>
      </c>
      <c r="G4104" s="11" t="n">
        <v>1</v>
      </c>
      <c r="H4104" s="8" t="n">
        <v>30.68</v>
      </c>
      <c r="I4104" s="8" t="n">
        <v>30.68</v>
      </c>
      <c r="J4104" s="8" t="n"/>
      <c r="K4104" s="7" t="inlineStr">
        <is>
          <t>SEM COTAÇÃO</t>
        </is>
      </c>
      <c r="L4104" s="8" t="n"/>
      <c r="M4104" s="12" t="n"/>
      <c r="N4104" s="7" t="inlineStr"/>
      <c r="O4104" s="7" t="inlineStr"/>
    </row>
    <row r="4105">
      <c r="A4105" s="7" t="n">
        <v>623061</v>
      </c>
      <c r="B4105" s="10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1" t="n">
        <v>4</v>
      </c>
      <c r="G4105" s="11" t="n">
        <v>4</v>
      </c>
      <c r="H4105" s="8" t="n">
        <v>25.82</v>
      </c>
      <c r="I4105" s="8" t="n">
        <v>25.82</v>
      </c>
      <c r="J4105" s="8" t="n"/>
      <c r="K4105" s="7" t="inlineStr">
        <is>
          <t>SEM COTAÇÃO</t>
        </is>
      </c>
      <c r="L4105" s="8" t="n"/>
      <c r="M4105" s="12" t="n"/>
      <c r="N4105" s="7" t="inlineStr"/>
      <c r="O4105" s="7" t="inlineStr"/>
    </row>
    <row r="4106">
      <c r="A4106" s="7" t="n">
        <v>672151</v>
      </c>
      <c r="B4106" s="10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1" t="n">
        <v>2</v>
      </c>
      <c r="G4106" s="11" t="n">
        <v>2</v>
      </c>
      <c r="H4106" s="8" t="n">
        <v>14.9</v>
      </c>
      <c r="I4106" s="8" t="n">
        <v>12.96</v>
      </c>
      <c r="J4106" s="8" t="n"/>
      <c r="K4106" s="7" t="inlineStr">
        <is>
          <t>SEM COTAÇÃO</t>
        </is>
      </c>
      <c r="L4106" s="8" t="n"/>
      <c r="M4106" s="12" t="n"/>
      <c r="N4106" s="7" t="inlineStr"/>
      <c r="O4106" s="7" t="inlineStr"/>
    </row>
    <row r="4107">
      <c r="A4107" s="7" t="n">
        <v>617041</v>
      </c>
      <c r="B4107" s="10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1" t="n">
        <v>1</v>
      </c>
      <c r="G4107" s="11" t="n">
        <v>1</v>
      </c>
      <c r="H4107" s="8" t="n">
        <v>12.85</v>
      </c>
      <c r="I4107" s="8" t="n">
        <v>12.85</v>
      </c>
      <c r="J4107" s="8" t="n"/>
      <c r="K4107" s="7" t="inlineStr">
        <is>
          <t>SEM COTAÇÃO</t>
        </is>
      </c>
      <c r="L4107" s="8" t="n"/>
      <c r="M4107" s="12" t="n"/>
      <c r="N4107" s="7" t="inlineStr"/>
      <c r="O4107" s="7" t="inlineStr"/>
    </row>
    <row r="4108">
      <c r="A4108" s="7" t="n">
        <v>656971</v>
      </c>
      <c r="B4108" s="10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1" t="n">
        <v>10</v>
      </c>
      <c r="G4108" s="11" t="n">
        <v>10</v>
      </c>
      <c r="H4108" s="8" t="n">
        <v>13.5</v>
      </c>
      <c r="I4108" s="8" t="n">
        <v>10.7567</v>
      </c>
      <c r="J4108" s="8" t="n"/>
      <c r="K4108" s="7" t="inlineStr">
        <is>
          <t>SEM COTAÇÃO</t>
        </is>
      </c>
      <c r="L4108" s="8" t="n"/>
      <c r="M4108" s="12" t="n"/>
      <c r="N4108" s="7" t="inlineStr"/>
      <c r="O4108" s="7" t="inlineStr"/>
    </row>
    <row r="4109">
      <c r="A4109" s="7" t="n">
        <v>617401</v>
      </c>
      <c r="B4109" s="10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1" t="n">
        <v>1</v>
      </c>
      <c r="G4109" s="11" t="n">
        <v>1</v>
      </c>
      <c r="H4109" s="8" t="n">
        <v>17.23</v>
      </c>
      <c r="I4109" s="8" t="n">
        <v>17.23</v>
      </c>
      <c r="J4109" s="8" t="n"/>
      <c r="K4109" s="7" t="inlineStr">
        <is>
          <t>SEM COTAÇÃO</t>
        </is>
      </c>
      <c r="L4109" s="8" t="n"/>
      <c r="M4109" s="12" t="n"/>
      <c r="N4109" s="7" t="inlineStr"/>
      <c r="O4109" s="7" t="inlineStr"/>
    </row>
    <row r="4110">
      <c r="A4110" s="7" t="n">
        <v>638631</v>
      </c>
      <c r="B4110" s="10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1" t="n">
        <v>1</v>
      </c>
      <c r="G4110" s="11" t="n">
        <v>1</v>
      </c>
      <c r="H4110" s="8" t="n">
        <v>14.39</v>
      </c>
      <c r="I4110" s="8" t="n">
        <v>14.39</v>
      </c>
      <c r="J4110" s="8" t="n"/>
      <c r="K4110" s="7" t="inlineStr">
        <is>
          <t>SEM COTAÇÃO</t>
        </is>
      </c>
      <c r="L4110" s="8" t="n"/>
      <c r="M4110" s="12" t="n"/>
      <c r="N4110" s="7" t="inlineStr"/>
      <c r="O4110" s="7" t="inlineStr"/>
    </row>
    <row r="4111">
      <c r="A4111" s="7" t="n">
        <v>638551</v>
      </c>
      <c r="B4111" s="10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1" t="n">
        <v>3</v>
      </c>
      <c r="G4111" s="11" t="n">
        <v>3</v>
      </c>
      <c r="H4111" s="8" t="n">
        <v>11.5292</v>
      </c>
      <c r="I4111" s="8" t="n">
        <v>11.5292</v>
      </c>
      <c r="J4111" s="8" t="n"/>
      <c r="K4111" s="7" t="inlineStr">
        <is>
          <t>SEM COTAÇÃO</t>
        </is>
      </c>
      <c r="L4111" s="8" t="n"/>
      <c r="M4111" s="12" t="n"/>
      <c r="N4111" s="7" t="inlineStr"/>
      <c r="O4111" s="7" t="inlineStr"/>
    </row>
    <row r="4112">
      <c r="A4112" s="7" t="n">
        <v>659421</v>
      </c>
      <c r="B4112" s="10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1" t="n">
        <v>1</v>
      </c>
      <c r="G4112" s="11" t="n">
        <v>1</v>
      </c>
      <c r="H4112" s="8" t="n">
        <v>13.44</v>
      </c>
      <c r="I4112" s="8" t="n">
        <v>13.44</v>
      </c>
      <c r="J4112" s="8" t="n"/>
      <c r="K4112" s="7" t="inlineStr">
        <is>
          <t>SEM COTAÇÃO</t>
        </is>
      </c>
      <c r="L4112" s="8" t="n"/>
      <c r="M4112" s="12" t="n"/>
      <c r="N4112" s="7" t="inlineStr"/>
      <c r="O4112" s="7" t="inlineStr"/>
    </row>
    <row r="4113">
      <c r="A4113" s="7" t="n">
        <v>651641</v>
      </c>
      <c r="B4113" s="10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1" t="n">
        <v>2</v>
      </c>
      <c r="G4113" s="11" t="n">
        <v>2</v>
      </c>
      <c r="H4113" s="8" t="n">
        <v>10.34</v>
      </c>
      <c r="I4113" s="8" t="n">
        <v>10.34</v>
      </c>
      <c r="J4113" s="8" t="n"/>
      <c r="K4113" s="7" t="inlineStr">
        <is>
          <t>SEM COTAÇÃO</t>
        </is>
      </c>
      <c r="L4113" s="8" t="n"/>
      <c r="M4113" s="12" t="n"/>
      <c r="N4113" s="7" t="inlineStr"/>
      <c r="O4113" s="7" t="inlineStr"/>
    </row>
    <row r="4114">
      <c r="A4114" s="7" t="n">
        <v>651761</v>
      </c>
      <c r="B4114" s="10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1" t="n">
        <v>1</v>
      </c>
      <c r="G4114" s="11" t="n">
        <v>1</v>
      </c>
      <c r="H4114" s="8" t="n">
        <v>10.34</v>
      </c>
      <c r="I4114" s="8" t="n">
        <v>10.34</v>
      </c>
      <c r="J4114" s="8" t="n"/>
      <c r="K4114" s="7" t="inlineStr">
        <is>
          <t>SEM COTAÇÃO</t>
        </is>
      </c>
      <c r="L4114" s="8" t="n"/>
      <c r="M4114" s="12" t="n"/>
      <c r="N4114" s="7" t="inlineStr"/>
      <c r="O4114" s="7" t="inlineStr"/>
    </row>
    <row r="4115">
      <c r="A4115" s="7" t="n">
        <v>2453</v>
      </c>
      <c r="B4115" s="10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1" t="n">
        <v>2</v>
      </c>
      <c r="G4115" s="11" t="n">
        <v>2</v>
      </c>
      <c r="H4115" s="8" t="n">
        <v>14.4</v>
      </c>
      <c r="I4115" s="8" t="n">
        <v>13.1</v>
      </c>
      <c r="J4115" s="8" t="n"/>
      <c r="K4115" s="7" t="inlineStr">
        <is>
          <t>SEM COTAÇÃO</t>
        </is>
      </c>
      <c r="L4115" s="8" t="n"/>
      <c r="M4115" s="12" t="n"/>
      <c r="N4115" s="7" t="inlineStr"/>
      <c r="O4115" s="7" t="inlineStr"/>
    </row>
    <row r="4116">
      <c r="A4116" s="7" t="n">
        <v>649651</v>
      </c>
      <c r="B4116" s="10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1" t="n">
        <v>1</v>
      </c>
      <c r="G4116" s="11" t="n">
        <v>1</v>
      </c>
      <c r="H4116" s="8" t="n">
        <v>21.21</v>
      </c>
      <c r="I4116" s="8" t="n">
        <v>21.21</v>
      </c>
      <c r="J4116" s="8" t="n"/>
      <c r="K4116" s="7" t="inlineStr">
        <is>
          <t>SEM COTAÇÃO</t>
        </is>
      </c>
      <c r="L4116" s="8" t="n"/>
      <c r="M4116" s="12" t="n"/>
      <c r="N4116" s="7" t="inlineStr"/>
      <c r="O4116" s="7" t="inlineStr"/>
    </row>
    <row r="4117">
      <c r="A4117" s="7" t="n">
        <v>638461</v>
      </c>
      <c r="B4117" s="10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1" t="n">
        <v>2</v>
      </c>
      <c r="G4117" s="11" t="n">
        <v>2</v>
      </c>
      <c r="H4117" s="8" t="n">
        <v>25.28</v>
      </c>
      <c r="I4117" s="8" t="n">
        <v>25.27</v>
      </c>
      <c r="J4117" s="8" t="n"/>
      <c r="K4117" s="7" t="inlineStr">
        <is>
          <t>SEM COTAÇÃO</t>
        </is>
      </c>
      <c r="L4117" s="8" t="n"/>
      <c r="M4117" s="12" t="n"/>
      <c r="N4117" s="7" t="inlineStr"/>
      <c r="O4117" s="7" t="inlineStr"/>
    </row>
    <row r="4118">
      <c r="A4118" s="7" t="n">
        <v>569361</v>
      </c>
      <c r="B4118" s="10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1" t="n">
        <v>1</v>
      </c>
      <c r="G4118" s="11" t="n">
        <v>1</v>
      </c>
      <c r="H4118" s="8" t="n">
        <v>9.255000000000001</v>
      </c>
      <c r="I4118" s="8" t="n">
        <v>9.255000000000001</v>
      </c>
      <c r="J4118" s="8" t="n"/>
      <c r="K4118" s="7" t="inlineStr">
        <is>
          <t>SEM COTAÇÃO</t>
        </is>
      </c>
      <c r="L4118" s="8" t="n"/>
      <c r="M4118" s="12" t="n"/>
      <c r="N4118" s="7" t="inlineStr"/>
      <c r="O4118" s="7" t="inlineStr"/>
    </row>
    <row r="4119">
      <c r="A4119" s="7" t="n">
        <v>596881</v>
      </c>
      <c r="B4119" s="10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1" t="n">
        <v>1</v>
      </c>
      <c r="G4119" s="11" t="n">
        <v>1</v>
      </c>
      <c r="H4119" s="8" t="n">
        <v>9.18</v>
      </c>
      <c r="I4119" s="8" t="n">
        <v>9.18</v>
      </c>
      <c r="J4119" s="8" t="n"/>
      <c r="K4119" s="7" t="inlineStr">
        <is>
          <t>SEM COTAÇÃO</t>
        </is>
      </c>
      <c r="L4119" s="8" t="n"/>
      <c r="M4119" s="12" t="n"/>
      <c r="N4119" s="7" t="inlineStr"/>
      <c r="O4119" s="7" t="inlineStr"/>
    </row>
    <row r="4120">
      <c r="A4120" s="7" t="n">
        <v>569401</v>
      </c>
      <c r="B4120" s="10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1" t="n">
        <v>1</v>
      </c>
      <c r="G4120" s="11" t="n">
        <v>1</v>
      </c>
      <c r="H4120" s="8" t="n">
        <v>9.6333</v>
      </c>
      <c r="I4120" s="8" t="n">
        <v>9.6333</v>
      </c>
      <c r="J4120" s="8" t="n"/>
      <c r="K4120" s="7" t="inlineStr">
        <is>
          <t>SEM COTAÇÃO</t>
        </is>
      </c>
      <c r="L4120" s="8" t="n"/>
      <c r="M4120" s="12" t="n"/>
      <c r="N4120" s="7" t="inlineStr"/>
      <c r="O4120" s="7" t="inlineStr"/>
    </row>
    <row r="4121">
      <c r="A4121" s="7" t="n">
        <v>590001</v>
      </c>
      <c r="B4121" s="10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1" t="n">
        <v>1</v>
      </c>
      <c r="G4121" s="11" t="n">
        <v>1</v>
      </c>
      <c r="H4121" s="8" t="n">
        <v>9.6333</v>
      </c>
      <c r="I4121" s="8" t="n">
        <v>9.255000000000001</v>
      </c>
      <c r="J4121" s="8" t="n"/>
      <c r="K4121" s="7" t="inlineStr">
        <is>
          <t>SEM COTAÇÃO</t>
        </is>
      </c>
      <c r="L4121" s="8" t="n"/>
      <c r="M4121" s="12" t="n"/>
      <c r="N4121" s="7" t="inlineStr"/>
      <c r="O4121" s="7" t="inlineStr"/>
    </row>
    <row r="4122">
      <c r="A4122" s="7" t="n">
        <v>569441</v>
      </c>
      <c r="B4122" s="10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1" t="n">
        <v>1</v>
      </c>
      <c r="G4122" s="11" t="n">
        <v>1</v>
      </c>
      <c r="H4122" s="8" t="n">
        <v>9.18</v>
      </c>
      <c r="I4122" s="8" t="n">
        <v>9.18</v>
      </c>
      <c r="J4122" s="8" t="n"/>
      <c r="K4122" s="7" t="inlineStr">
        <is>
          <t>SEM COTAÇÃO</t>
        </is>
      </c>
      <c r="L4122" s="8" t="n"/>
      <c r="M4122" s="12" t="n"/>
      <c r="N4122" s="7" t="inlineStr"/>
      <c r="O4122" s="7" t="inlineStr"/>
    </row>
    <row r="4123">
      <c r="A4123" s="7" t="n">
        <v>569461</v>
      </c>
      <c r="B4123" s="10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1" t="n">
        <v>5</v>
      </c>
      <c r="G4123" s="11" t="n">
        <v>5</v>
      </c>
      <c r="H4123" s="8" t="n">
        <v>9.914199999999999</v>
      </c>
      <c r="I4123" s="8" t="n">
        <v>9.914199999999999</v>
      </c>
      <c r="J4123" s="8" t="n"/>
      <c r="K4123" s="7" t="inlineStr">
        <is>
          <t>SEM COTAÇÃO</t>
        </is>
      </c>
      <c r="L4123" s="8" t="n"/>
      <c r="M4123" s="12" t="n"/>
      <c r="N4123" s="7" t="inlineStr"/>
      <c r="O4123" s="7" t="inlineStr"/>
    </row>
    <row r="4124">
      <c r="A4124" s="7" t="n">
        <v>569481</v>
      </c>
      <c r="B4124" s="10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1" t="n">
        <v>4</v>
      </c>
      <c r="G4124" s="11" t="n">
        <v>4</v>
      </c>
      <c r="H4124" s="8" t="n">
        <v>9.255000000000001</v>
      </c>
      <c r="I4124" s="8" t="n">
        <v>9.255000000000001</v>
      </c>
      <c r="J4124" s="8" t="n"/>
      <c r="K4124" s="7" t="inlineStr">
        <is>
          <t>SEM COTAÇÃO</t>
        </is>
      </c>
      <c r="L4124" s="8" t="n"/>
      <c r="M4124" s="12" t="n"/>
      <c r="N4124" s="7" t="inlineStr"/>
      <c r="O4124" s="7" t="inlineStr"/>
    </row>
    <row r="4125">
      <c r="A4125" s="7" t="n">
        <v>656891</v>
      </c>
      <c r="B4125" s="10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1" t="n">
        <v>2</v>
      </c>
      <c r="G4125" s="11" t="n">
        <v>2</v>
      </c>
      <c r="H4125" s="8" t="n">
        <v>34.14</v>
      </c>
      <c r="I4125" s="8" t="n">
        <v>34.14</v>
      </c>
      <c r="J4125" s="8" t="n"/>
      <c r="K4125" s="7" t="inlineStr">
        <is>
          <t>SEM COTAÇÃO</t>
        </is>
      </c>
      <c r="L4125" s="8" t="n"/>
      <c r="M4125" s="12" t="n"/>
      <c r="N4125" s="7" t="inlineStr"/>
      <c r="O4125" s="7" t="inlineStr"/>
    </row>
    <row r="4126">
      <c r="A4126" s="7" t="n">
        <v>649681</v>
      </c>
      <c r="B4126" s="10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1" t="n">
        <v>1</v>
      </c>
      <c r="G4126" s="11" t="n">
        <v>1</v>
      </c>
      <c r="H4126" s="8" t="n">
        <v>32.6</v>
      </c>
      <c r="I4126" s="8" t="n">
        <v>32.6</v>
      </c>
      <c r="J4126" s="8" t="n"/>
      <c r="K4126" s="7" t="inlineStr">
        <is>
          <t>SEM COTAÇÃO</t>
        </is>
      </c>
      <c r="L4126" s="8" t="n"/>
      <c r="M4126" s="12" t="n"/>
      <c r="N4126" s="7" t="inlineStr"/>
      <c r="O4126" s="7" t="inlineStr"/>
    </row>
    <row r="4127">
      <c r="A4127" s="7" t="n">
        <v>651351</v>
      </c>
      <c r="B4127" s="10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1" t="n">
        <v>4</v>
      </c>
      <c r="G4127" s="11" t="n">
        <v>4</v>
      </c>
      <c r="H4127" s="8" t="n">
        <v>32.6</v>
      </c>
      <c r="I4127" s="8" t="n">
        <v>32.6</v>
      </c>
      <c r="J4127" s="8" t="n"/>
      <c r="K4127" s="7" t="inlineStr">
        <is>
          <t>SEM COTAÇÃO</t>
        </is>
      </c>
      <c r="L4127" s="8" t="n"/>
      <c r="M4127" s="12" t="n"/>
      <c r="N4127" s="7" t="inlineStr"/>
      <c r="O4127" s="7" t="inlineStr"/>
    </row>
    <row r="4128">
      <c r="A4128" s="7" t="n">
        <v>649661</v>
      </c>
      <c r="B4128" s="10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1" t="n">
        <v>2</v>
      </c>
      <c r="G4128" s="11" t="n">
        <v>2</v>
      </c>
      <c r="H4128" s="8" t="n">
        <v>32.6</v>
      </c>
      <c r="I4128" s="8" t="n">
        <v>32.6</v>
      </c>
      <c r="J4128" s="8" t="n"/>
      <c r="K4128" s="7" t="inlineStr">
        <is>
          <t>SEM COTAÇÃO</t>
        </is>
      </c>
      <c r="L4128" s="8" t="n"/>
      <c r="M4128" s="12" t="n"/>
      <c r="N4128" s="7" t="inlineStr"/>
      <c r="O4128" s="7" t="inlineStr"/>
    </row>
    <row r="4129">
      <c r="A4129" s="7" t="n">
        <v>649581</v>
      </c>
      <c r="B4129" s="10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1" t="n">
        <v>1</v>
      </c>
      <c r="G4129" s="11" t="n">
        <v>1</v>
      </c>
      <c r="H4129" s="8" t="n">
        <v>32.6</v>
      </c>
      <c r="I4129" s="8" t="n">
        <v>32.6</v>
      </c>
      <c r="J4129" s="8" t="n"/>
      <c r="K4129" s="7" t="inlineStr">
        <is>
          <t>SEM COTAÇÃO</t>
        </is>
      </c>
      <c r="L4129" s="8" t="n"/>
      <c r="M4129" s="12" t="n"/>
      <c r="N4129" s="7" t="inlineStr"/>
      <c r="O4129" s="7" t="inlineStr"/>
    </row>
    <row r="4130">
      <c r="A4130" s="7" t="n">
        <v>2683</v>
      </c>
      <c r="B4130" s="10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1" t="n">
        <v>1</v>
      </c>
      <c r="G4130" s="11" t="n">
        <v>1</v>
      </c>
      <c r="H4130" s="8" t="n">
        <v>9.56</v>
      </c>
      <c r="I4130" s="8" t="n">
        <v>9.56</v>
      </c>
      <c r="J4130" s="8" t="n"/>
      <c r="K4130" s="7" t="inlineStr">
        <is>
          <t>SEM COTAÇÃO</t>
        </is>
      </c>
      <c r="L4130" s="8" t="n"/>
      <c r="M4130" s="12" t="n"/>
      <c r="N4130" s="7" t="inlineStr"/>
      <c r="O4130" s="7" t="inlineStr"/>
    </row>
    <row r="4131">
      <c r="A4131" s="7" t="n">
        <v>576801</v>
      </c>
      <c r="B4131" s="10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1" t="n">
        <v>1</v>
      </c>
      <c r="G4131" s="11" t="n">
        <v>1</v>
      </c>
      <c r="H4131" s="8" t="n">
        <v>14.86</v>
      </c>
      <c r="I4131" s="8" t="n">
        <v>14.86</v>
      </c>
      <c r="J4131" s="8" t="n"/>
      <c r="K4131" s="7" t="inlineStr">
        <is>
          <t>SEM COTAÇÃO</t>
        </is>
      </c>
      <c r="L4131" s="8" t="n"/>
      <c r="M4131" s="12" t="n"/>
      <c r="N4131" s="7" t="inlineStr"/>
      <c r="O4131" s="7" t="inlineStr"/>
    </row>
    <row r="4132">
      <c r="A4132" s="7" t="n">
        <v>576901</v>
      </c>
      <c r="B4132" s="10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1" t="n">
        <v>1</v>
      </c>
      <c r="G4132" s="11" t="n">
        <v>1</v>
      </c>
      <c r="H4132" s="8" t="n">
        <v>9.56</v>
      </c>
      <c r="I4132" s="8" t="n">
        <v>9.56</v>
      </c>
      <c r="J4132" s="8" t="n"/>
      <c r="K4132" s="7" t="inlineStr">
        <is>
          <t>SEM COTAÇÃO</t>
        </is>
      </c>
      <c r="L4132" s="8" t="n"/>
      <c r="M4132" s="12" t="n"/>
      <c r="N4132" s="7" t="inlineStr"/>
      <c r="O4132" s="7" t="inlineStr"/>
    </row>
    <row r="4133">
      <c r="A4133" s="7" t="n">
        <v>589971</v>
      </c>
      <c r="B4133" s="10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1" t="n">
        <v>1</v>
      </c>
      <c r="G4133" s="11" t="n">
        <v>1</v>
      </c>
      <c r="H4133" s="8" t="n">
        <v>13.45</v>
      </c>
      <c r="I4133" s="8" t="n">
        <v>13.45</v>
      </c>
      <c r="J4133" s="8" t="n"/>
      <c r="K4133" s="7" t="inlineStr">
        <is>
          <t>SEM COTAÇÃO</t>
        </is>
      </c>
      <c r="L4133" s="8" t="n"/>
      <c r="M4133" s="12" t="n"/>
      <c r="N4133" s="7" t="inlineStr"/>
      <c r="O4133" s="7" t="inlineStr"/>
    </row>
    <row r="4134">
      <c r="A4134" s="7" t="n">
        <v>589981</v>
      </c>
      <c r="B4134" s="10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1" t="n">
        <v>1</v>
      </c>
      <c r="G4134" s="11" t="n">
        <v>1</v>
      </c>
      <c r="H4134" s="8" t="n">
        <v>13.45</v>
      </c>
      <c r="I4134" s="8" t="n">
        <v>13.45</v>
      </c>
      <c r="J4134" s="8" t="n"/>
      <c r="K4134" s="7" t="inlineStr">
        <is>
          <t>SEM COTAÇÃO</t>
        </is>
      </c>
      <c r="L4134" s="8" t="n"/>
      <c r="M4134" s="12" t="n"/>
      <c r="N4134" s="7" t="inlineStr"/>
      <c r="O4134" s="7" t="inlineStr"/>
    </row>
    <row r="4135">
      <c r="A4135" s="7" t="n">
        <v>589991</v>
      </c>
      <c r="B4135" s="10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1" t="n">
        <v>1</v>
      </c>
      <c r="G4135" s="11" t="n">
        <v>1</v>
      </c>
      <c r="H4135" s="8" t="n">
        <v>14.7</v>
      </c>
      <c r="I4135" s="8" t="n">
        <v>14.7</v>
      </c>
      <c r="J4135" s="8" t="n"/>
      <c r="K4135" s="7" t="inlineStr">
        <is>
          <t>SEM COTAÇÃO</t>
        </is>
      </c>
      <c r="L4135" s="8" t="n"/>
      <c r="M4135" s="12" t="n"/>
      <c r="N4135" s="7" t="inlineStr"/>
      <c r="O4135" s="7" t="inlineStr"/>
    </row>
    <row r="4136">
      <c r="A4136" s="7" t="n">
        <v>582701</v>
      </c>
      <c r="B4136" s="10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1" t="n">
        <v>1</v>
      </c>
      <c r="G4136" s="11" t="n">
        <v>1</v>
      </c>
      <c r="H4136" s="8" t="n">
        <v>12.58</v>
      </c>
      <c r="I4136" s="8" t="n">
        <v>12.58</v>
      </c>
      <c r="J4136" s="8" t="n"/>
      <c r="K4136" s="7" t="inlineStr">
        <is>
          <t>SEM COTAÇÃO</t>
        </is>
      </c>
      <c r="L4136" s="8" t="n"/>
      <c r="M4136" s="12" t="n"/>
      <c r="N4136" s="7" t="inlineStr"/>
      <c r="O4136" s="7" t="inlineStr"/>
    </row>
    <row r="4137">
      <c r="A4137" s="7" t="n">
        <v>668351</v>
      </c>
      <c r="B4137" s="10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1" t="n">
        <v>1</v>
      </c>
      <c r="G4137" s="11" t="n">
        <v>1</v>
      </c>
      <c r="H4137" s="8" t="n"/>
      <c r="I4137" s="8" t="n"/>
      <c r="J4137" s="8" t="n"/>
      <c r="K4137" s="7" t="inlineStr">
        <is>
          <t>SEM COTAÇÃO</t>
        </is>
      </c>
      <c r="L4137" s="8" t="n"/>
      <c r="M4137" s="12" t="n"/>
      <c r="N4137" s="7" t="inlineStr"/>
      <c r="O4137" s="7" t="inlineStr"/>
    </row>
    <row r="4138">
      <c r="A4138" s="7" t="n">
        <v>668361</v>
      </c>
      <c r="B4138" s="10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1" t="n">
        <v>1</v>
      </c>
      <c r="G4138" s="11" t="n">
        <v>1</v>
      </c>
      <c r="H4138" s="8" t="n"/>
      <c r="I4138" s="8" t="n"/>
      <c r="J4138" s="8" t="n"/>
      <c r="K4138" s="7" t="inlineStr">
        <is>
          <t>SEM COTAÇÃO</t>
        </is>
      </c>
      <c r="L4138" s="8" t="n"/>
      <c r="M4138" s="12" t="n"/>
      <c r="N4138" s="7" t="inlineStr"/>
      <c r="O4138" s="7" t="inlineStr"/>
    </row>
    <row r="4139">
      <c r="A4139" s="7" t="n">
        <v>668371</v>
      </c>
      <c r="B4139" s="10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1" t="n">
        <v>1</v>
      </c>
      <c r="G4139" s="11" t="n">
        <v>1</v>
      </c>
      <c r="H4139" s="8" t="n"/>
      <c r="I4139" s="8" t="n"/>
      <c r="J4139" s="8" t="n"/>
      <c r="K4139" s="7" t="inlineStr">
        <is>
          <t>SEM COTAÇÃO</t>
        </is>
      </c>
      <c r="L4139" s="8" t="n"/>
      <c r="M4139" s="12" t="n"/>
      <c r="N4139" s="7" t="inlineStr"/>
      <c r="O4139" s="7" t="inlineStr"/>
    </row>
    <row r="4140">
      <c r="A4140" s="7" t="n">
        <v>668381</v>
      </c>
      <c r="B4140" s="10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1" t="n">
        <v>1</v>
      </c>
      <c r="G4140" s="11" t="n">
        <v>1</v>
      </c>
      <c r="H4140" s="8" t="n"/>
      <c r="I4140" s="8" t="n"/>
      <c r="J4140" s="8" t="n"/>
      <c r="K4140" s="7" t="inlineStr">
        <is>
          <t>SEM COTAÇÃO</t>
        </is>
      </c>
      <c r="L4140" s="8" t="n"/>
      <c r="M4140" s="12" t="n"/>
      <c r="N4140" s="7" t="inlineStr"/>
      <c r="O4140" s="7" t="inlineStr"/>
    </row>
    <row r="4141">
      <c r="A4141" s="7" t="n">
        <v>668401</v>
      </c>
      <c r="B4141" s="10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1" t="n">
        <v>1</v>
      </c>
      <c r="G4141" s="11" t="n">
        <v>1</v>
      </c>
      <c r="H4141" s="8" t="n"/>
      <c r="I4141" s="8" t="n"/>
      <c r="J4141" s="8" t="n"/>
      <c r="K4141" s="7" t="inlineStr">
        <is>
          <t>SEM COTAÇÃO</t>
        </is>
      </c>
      <c r="L4141" s="8" t="n"/>
      <c r="M4141" s="12" t="n"/>
      <c r="N4141" s="7" t="inlineStr"/>
      <c r="O4141" s="7" t="inlineStr"/>
    </row>
    <row r="4142">
      <c r="A4142" s="7" t="n">
        <v>667791</v>
      </c>
      <c r="B4142" s="10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1" t="n">
        <v>1</v>
      </c>
      <c r="G4142" s="11" t="n">
        <v>1</v>
      </c>
      <c r="H4142" s="8" t="n">
        <v>18.48</v>
      </c>
      <c r="I4142" s="8" t="n">
        <v>18.48</v>
      </c>
      <c r="J4142" s="8" t="n"/>
      <c r="K4142" s="7" t="inlineStr">
        <is>
          <t>SEM COTAÇÃO</t>
        </is>
      </c>
      <c r="L4142" s="8" t="n"/>
      <c r="M4142" s="12" t="n"/>
      <c r="N4142" s="7" t="inlineStr"/>
      <c r="O4142" s="7" t="inlineStr"/>
    </row>
    <row r="4143">
      <c r="A4143" s="7" t="n">
        <v>646931</v>
      </c>
      <c r="B4143" s="10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1" t="n">
        <v>1</v>
      </c>
      <c r="G4143" s="11" t="n">
        <v>1</v>
      </c>
      <c r="H4143" s="8" t="n">
        <v>6.63</v>
      </c>
      <c r="I4143" s="8" t="n">
        <v>6.63</v>
      </c>
      <c r="J4143" s="8" t="n"/>
      <c r="K4143" s="7" t="inlineStr">
        <is>
          <t>SEM COTAÇÃO</t>
        </is>
      </c>
      <c r="L4143" s="8" t="n"/>
      <c r="M4143" s="12" t="n"/>
      <c r="N4143" s="7" t="inlineStr"/>
      <c r="O4143" s="7" t="inlineStr"/>
    </row>
    <row r="4144">
      <c r="A4144" s="7" t="n">
        <v>614691</v>
      </c>
      <c r="B4144" s="10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1" t="n">
        <v>1</v>
      </c>
      <c r="G4144" s="11" t="n">
        <v>1</v>
      </c>
      <c r="H4144" s="8" t="n">
        <v>15.63</v>
      </c>
      <c r="I4144" s="8" t="n">
        <v>15.63</v>
      </c>
      <c r="J4144" s="8" t="n"/>
      <c r="K4144" s="7" t="inlineStr">
        <is>
          <t>SEM COTAÇÃO</t>
        </is>
      </c>
      <c r="L4144" s="8" t="n"/>
      <c r="M4144" s="12" t="n"/>
      <c r="N4144" s="7" t="inlineStr"/>
      <c r="O4144" s="7" t="inlineStr"/>
    </row>
    <row r="4145">
      <c r="A4145" s="7" t="n">
        <v>614681</v>
      </c>
      <c r="B4145" s="10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1" t="n">
        <v>1</v>
      </c>
      <c r="G4145" s="11" t="n">
        <v>1</v>
      </c>
      <c r="H4145" s="8" t="n">
        <v>13.41</v>
      </c>
      <c r="I4145" s="8" t="n">
        <v>13.41</v>
      </c>
      <c r="J4145" s="8" t="n"/>
      <c r="K4145" s="7" t="inlineStr">
        <is>
          <t>SEM COTAÇÃO</t>
        </is>
      </c>
      <c r="L4145" s="8" t="n"/>
      <c r="M4145" s="12" t="n"/>
      <c r="N4145" s="7" t="inlineStr"/>
      <c r="O4145" s="7" t="inlineStr"/>
    </row>
    <row r="4146">
      <c r="A4146" s="7" t="n">
        <v>599971</v>
      </c>
      <c r="B4146" s="10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1" t="n">
        <v>1</v>
      </c>
      <c r="G4146" s="11" t="n">
        <v>1</v>
      </c>
      <c r="H4146" s="8" t="n">
        <v>26.75</v>
      </c>
      <c r="I4146" s="8" t="n">
        <v>26.75</v>
      </c>
      <c r="J4146" s="8" t="n"/>
      <c r="K4146" s="7" t="inlineStr">
        <is>
          <t>SEM COTAÇÃO</t>
        </is>
      </c>
      <c r="L4146" s="8" t="n"/>
      <c r="M4146" s="12" t="n"/>
      <c r="N4146" s="7" t="inlineStr"/>
      <c r="O4146" s="7" t="inlineStr"/>
    </row>
    <row r="4147">
      <c r="A4147" s="7" t="n">
        <v>592821</v>
      </c>
      <c r="B4147" s="10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1" t="n">
        <v>1</v>
      </c>
      <c r="G4147" s="11" t="n">
        <v>1</v>
      </c>
      <c r="H4147" s="8" t="n">
        <v>13.78</v>
      </c>
      <c r="I4147" s="8" t="n">
        <v>13.78</v>
      </c>
      <c r="J4147" s="8" t="n"/>
      <c r="K4147" s="7" t="inlineStr">
        <is>
          <t>SEM COTAÇÃO</t>
        </is>
      </c>
      <c r="L4147" s="8" t="n"/>
      <c r="M4147" s="12" t="n"/>
      <c r="N4147" s="7" t="inlineStr"/>
      <c r="O4147" s="7" t="inlineStr"/>
    </row>
    <row r="4148">
      <c r="A4148" s="7" t="n">
        <v>658261</v>
      </c>
      <c r="B4148" s="10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1" t="n">
        <v>1</v>
      </c>
      <c r="G4148" s="11" t="n">
        <v>1</v>
      </c>
      <c r="H4148" s="8" t="n">
        <v>13.78</v>
      </c>
      <c r="I4148" s="8" t="n">
        <v>13.78</v>
      </c>
      <c r="J4148" s="8" t="n"/>
      <c r="K4148" s="7" t="inlineStr">
        <is>
          <t>SEM COTAÇÃO</t>
        </is>
      </c>
      <c r="L4148" s="8" t="n"/>
      <c r="M4148" s="12" t="n"/>
      <c r="N4148" s="7" t="inlineStr"/>
      <c r="O4148" s="7" t="inlineStr"/>
    </row>
    <row r="4149">
      <c r="A4149" s="7" t="n">
        <v>581721</v>
      </c>
      <c r="B4149" s="10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1" t="n">
        <v>2</v>
      </c>
      <c r="G4149" s="11" t="n">
        <v>2</v>
      </c>
      <c r="H4149" s="8" t="n">
        <v>27.42</v>
      </c>
      <c r="I4149" s="8" t="n">
        <v>27.42</v>
      </c>
      <c r="J4149" s="8" t="n"/>
      <c r="K4149" s="7" t="inlineStr">
        <is>
          <t>SEM COTAÇÃO</t>
        </is>
      </c>
      <c r="L4149" s="8" t="n"/>
      <c r="M4149" s="12" t="n"/>
      <c r="N4149" s="7" t="inlineStr"/>
      <c r="O4149" s="7" t="inlineStr"/>
    </row>
    <row r="4150">
      <c r="A4150" s="7" t="n">
        <v>533621</v>
      </c>
      <c r="B4150" s="10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1" t="n">
        <v>3</v>
      </c>
      <c r="G4150" s="11" t="n">
        <v>3</v>
      </c>
      <c r="H4150" s="8" t="n">
        <v>25.33</v>
      </c>
      <c r="I4150" s="8" t="n">
        <v>22.438</v>
      </c>
      <c r="J4150" s="8" t="n"/>
      <c r="K4150" s="7" t="inlineStr">
        <is>
          <t>SEM COTAÇÃO</t>
        </is>
      </c>
      <c r="L4150" s="8" t="n"/>
      <c r="M4150" s="12" t="n"/>
      <c r="N4150" s="7" t="inlineStr"/>
      <c r="O4150" s="7" t="inlineStr"/>
    </row>
    <row r="4151">
      <c r="A4151" s="7" t="n">
        <v>551341</v>
      </c>
      <c r="B4151" s="10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1" t="n">
        <v>2</v>
      </c>
      <c r="G4151" s="11" t="n">
        <v>2</v>
      </c>
      <c r="H4151" s="8" t="n">
        <v>14.0517</v>
      </c>
      <c r="I4151" s="8" t="n">
        <v>14.0517</v>
      </c>
      <c r="J4151" s="8" t="n"/>
      <c r="K4151" s="7" t="inlineStr">
        <is>
          <t>SEM COTAÇÃO</t>
        </is>
      </c>
      <c r="L4151" s="8" t="n"/>
      <c r="M4151" s="12" t="n"/>
      <c r="N4151" s="7" t="inlineStr"/>
      <c r="O4151" s="7" t="inlineStr"/>
    </row>
    <row r="4152">
      <c r="A4152" s="7" t="n">
        <v>545561</v>
      </c>
      <c r="B4152" s="10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1" t="n">
        <v>5</v>
      </c>
      <c r="G4152" s="11" t="n">
        <v>5</v>
      </c>
      <c r="H4152" s="8" t="n">
        <v>9.630000000000001</v>
      </c>
      <c r="I4152" s="8" t="n">
        <v>9.255000000000001</v>
      </c>
      <c r="J4152" s="8" t="n"/>
      <c r="K4152" s="7" t="inlineStr">
        <is>
          <t>SEM COTAÇÃO</t>
        </is>
      </c>
      <c r="L4152" s="8" t="n"/>
      <c r="M4152" s="12" t="n"/>
      <c r="N4152" s="7" t="inlineStr"/>
      <c r="O4152" s="7" t="inlineStr"/>
    </row>
    <row r="4153">
      <c r="A4153" s="7" t="n">
        <v>581981</v>
      </c>
      <c r="B4153" s="10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1" t="n">
        <v>1</v>
      </c>
      <c r="G4153" s="11" t="n">
        <v>1</v>
      </c>
      <c r="H4153" s="8" t="n">
        <v>23.04</v>
      </c>
      <c r="I4153" s="8" t="n">
        <v>23.04</v>
      </c>
      <c r="J4153" s="8" t="n"/>
      <c r="K4153" s="7" t="inlineStr">
        <is>
          <t>SEM COTAÇÃO</t>
        </is>
      </c>
      <c r="L4153" s="8" t="n"/>
      <c r="M4153" s="12" t="n"/>
      <c r="N4153" s="7" t="inlineStr"/>
      <c r="O4153" s="7" t="inlineStr"/>
    </row>
    <row r="4154">
      <c r="A4154" s="7" t="n">
        <v>593071</v>
      </c>
      <c r="B4154" s="10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1" t="n">
        <v>2</v>
      </c>
      <c r="G4154" s="11" t="n">
        <v>2</v>
      </c>
      <c r="H4154" s="8" t="n">
        <v>13.78</v>
      </c>
      <c r="I4154" s="8" t="n">
        <v>13.78</v>
      </c>
      <c r="J4154" s="8" t="n"/>
      <c r="K4154" s="7" t="inlineStr">
        <is>
          <t>SEM COTAÇÃO</t>
        </is>
      </c>
      <c r="L4154" s="8" t="n"/>
      <c r="M4154" s="12" t="n"/>
      <c r="N4154" s="7" t="inlineStr"/>
      <c r="O4154" s="7" t="inlineStr"/>
    </row>
    <row r="4155">
      <c r="A4155" s="7" t="n">
        <v>662421</v>
      </c>
      <c r="B4155" s="10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1" t="n">
        <v>4</v>
      </c>
      <c r="G4155" s="11" t="n">
        <v>4</v>
      </c>
      <c r="H4155" s="8" t="n">
        <v>32.85</v>
      </c>
      <c r="I4155" s="8" t="n">
        <v>32.85</v>
      </c>
      <c r="J4155" s="8" t="n"/>
      <c r="K4155" s="7" t="inlineStr">
        <is>
          <t>SEM COTAÇÃO</t>
        </is>
      </c>
      <c r="L4155" s="8" t="n"/>
      <c r="M4155" s="12" t="n"/>
      <c r="N4155" s="7" t="inlineStr"/>
      <c r="O4155" s="7" t="inlineStr"/>
    </row>
    <row r="4156">
      <c r="A4156" s="7" t="n">
        <v>233</v>
      </c>
      <c r="B4156" s="10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1" t="n">
        <v>1</v>
      </c>
      <c r="G4156" s="11" t="n">
        <v>1</v>
      </c>
      <c r="H4156" s="8" t="n">
        <v>39.62</v>
      </c>
      <c r="I4156" s="8" t="n">
        <v>39.62</v>
      </c>
      <c r="J4156" s="8" t="n"/>
      <c r="K4156" s="7" t="inlineStr">
        <is>
          <t>SEM COTAÇÃO</t>
        </is>
      </c>
      <c r="L4156" s="8" t="n"/>
      <c r="M4156" s="12" t="n"/>
      <c r="N4156" s="7" t="inlineStr"/>
      <c r="O4156" s="7" t="inlineStr"/>
    </row>
    <row r="4157">
      <c r="A4157" s="7" t="n">
        <v>576981</v>
      </c>
      <c r="B4157" s="10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1" t="n">
        <v>2</v>
      </c>
      <c r="G4157" s="11" t="n">
        <v>2</v>
      </c>
      <c r="H4157" s="8" t="n">
        <v>9.549200000000001</v>
      </c>
      <c r="I4157" s="8" t="n">
        <v>9.549200000000001</v>
      </c>
      <c r="J4157" s="8" t="n"/>
      <c r="K4157" s="7" t="inlineStr">
        <is>
          <t>SEM COTAÇÃO</t>
        </is>
      </c>
      <c r="L4157" s="8" t="n"/>
      <c r="M4157" s="12" t="n"/>
      <c r="N4157" s="7" t="inlineStr"/>
      <c r="O4157" s="7" t="inlineStr"/>
    </row>
    <row r="4158">
      <c r="A4158" s="7" t="n">
        <v>83</v>
      </c>
      <c r="B4158" s="10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1" t="n">
        <v>1</v>
      </c>
      <c r="G4158" s="11" t="n">
        <v>1</v>
      </c>
      <c r="H4158" s="8" t="n">
        <v>13.78</v>
      </c>
      <c r="I4158" s="8" t="n">
        <v>13.78</v>
      </c>
      <c r="J4158" s="8" t="n"/>
      <c r="K4158" s="7" t="inlineStr">
        <is>
          <t>SEM COTAÇÃO</t>
        </is>
      </c>
      <c r="L4158" s="8" t="n"/>
      <c r="M4158" s="12" t="n"/>
      <c r="N4158" s="7" t="inlineStr"/>
      <c r="O4158" s="7" t="inlineStr"/>
    </row>
    <row r="4159">
      <c r="A4159" s="7" t="n">
        <v>600011</v>
      </c>
      <c r="B4159" s="10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1" t="n">
        <v>1</v>
      </c>
      <c r="G4159" s="11" t="n">
        <v>1</v>
      </c>
      <c r="H4159" s="8" t="n">
        <v>30.13</v>
      </c>
      <c r="I4159" s="8" t="n">
        <v>30.13</v>
      </c>
      <c r="J4159" s="8" t="n"/>
      <c r="K4159" s="7" t="inlineStr">
        <is>
          <t>SEM COTAÇÃO</t>
        </is>
      </c>
      <c r="L4159" s="8" t="n"/>
      <c r="M4159" s="12" t="n"/>
      <c r="N4159" s="7" t="inlineStr"/>
      <c r="O4159" s="7" t="inlineStr"/>
    </row>
    <row r="4160">
      <c r="A4160" s="7" t="n">
        <v>659521</v>
      </c>
      <c r="B4160" s="10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1" t="n">
        <v>1</v>
      </c>
      <c r="G4160" s="11" t="n">
        <v>1</v>
      </c>
      <c r="H4160" s="8" t="n">
        <v>19.4</v>
      </c>
      <c r="I4160" s="8" t="n">
        <v>19.4</v>
      </c>
      <c r="J4160" s="8" t="n"/>
      <c r="K4160" s="7" t="inlineStr">
        <is>
          <t>SEM COTAÇÃO</t>
        </is>
      </c>
      <c r="L4160" s="8" t="n"/>
      <c r="M4160" s="12" t="n"/>
      <c r="N4160" s="7" t="inlineStr"/>
      <c r="O4160" s="7" t="inlineStr"/>
    </row>
    <row r="4161">
      <c r="A4161" s="7" t="n">
        <v>592951</v>
      </c>
      <c r="B4161" s="10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1" t="n">
        <v>1</v>
      </c>
      <c r="G4161" s="11" t="n">
        <v>1</v>
      </c>
      <c r="H4161" s="8" t="n">
        <v>15.47</v>
      </c>
      <c r="I4161" s="8" t="n">
        <v>15.47</v>
      </c>
      <c r="J4161" s="8" t="n"/>
      <c r="K4161" s="7" t="inlineStr">
        <is>
          <t>SEM COTAÇÃO</t>
        </is>
      </c>
      <c r="L4161" s="8" t="n"/>
      <c r="M4161" s="12" t="n"/>
      <c r="N4161" s="7" t="inlineStr"/>
      <c r="O4161" s="7" t="inlineStr"/>
    </row>
    <row r="4162">
      <c r="A4162" s="7" t="n">
        <v>534481</v>
      </c>
      <c r="B4162" s="10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1" t="n">
        <v>1</v>
      </c>
      <c r="G4162" s="11" t="n">
        <v>1</v>
      </c>
      <c r="H4162" s="8" t="n">
        <v>10.22</v>
      </c>
      <c r="I4162" s="8" t="n">
        <v>10.22</v>
      </c>
      <c r="J4162" s="8" t="n"/>
      <c r="K4162" s="7" t="inlineStr">
        <is>
          <t>SEM COTAÇÃO</t>
        </is>
      </c>
      <c r="L4162" s="8" t="n"/>
      <c r="M4162" s="12" t="n"/>
      <c r="N4162" s="7" t="inlineStr"/>
      <c r="O4162" s="7" t="inlineStr"/>
    </row>
    <row r="4163">
      <c r="A4163" s="7" t="n">
        <v>593081</v>
      </c>
      <c r="B4163" s="10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1" t="n">
        <v>1</v>
      </c>
      <c r="G4163" s="11" t="n">
        <v>1</v>
      </c>
      <c r="H4163" s="8" t="n">
        <v>23.04</v>
      </c>
      <c r="I4163" s="8" t="n">
        <v>23.04</v>
      </c>
      <c r="J4163" s="8" t="n"/>
      <c r="K4163" s="7" t="inlineStr">
        <is>
          <t>SEM COTAÇÃO</t>
        </is>
      </c>
      <c r="L4163" s="8" t="n"/>
      <c r="M4163" s="12" t="n"/>
      <c r="N4163" s="7" t="inlineStr"/>
      <c r="O4163" s="7" t="inlineStr"/>
    </row>
    <row r="4164">
      <c r="A4164" s="7" t="n">
        <v>641501</v>
      </c>
      <c r="B4164" s="10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1" t="n">
        <v>2</v>
      </c>
      <c r="G4164" s="11" t="n">
        <v>2</v>
      </c>
      <c r="H4164" s="8" t="n">
        <v>25.7</v>
      </c>
      <c r="I4164" s="8" t="n">
        <v>25.7</v>
      </c>
      <c r="J4164" s="8" t="n"/>
      <c r="K4164" s="7" t="inlineStr">
        <is>
          <t>SEM COTAÇÃO</t>
        </is>
      </c>
      <c r="L4164" s="8" t="n"/>
      <c r="M4164" s="12" t="n"/>
      <c r="N4164" s="7" t="inlineStr"/>
      <c r="O4164" s="7" t="inlineStr"/>
    </row>
    <row r="4165">
      <c r="A4165" s="7" t="n">
        <v>633201</v>
      </c>
      <c r="B4165" s="10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1" t="n">
        <v>1</v>
      </c>
      <c r="G4165" s="11" t="n">
        <v>1</v>
      </c>
      <c r="H4165" s="8" t="n">
        <v>40.13</v>
      </c>
      <c r="I4165" s="8" t="n">
        <v>40.13</v>
      </c>
      <c r="J4165" s="8" t="n"/>
      <c r="K4165" s="7" t="inlineStr">
        <is>
          <t>SEM COTAÇÃO</t>
        </is>
      </c>
      <c r="L4165" s="8" t="n"/>
      <c r="M4165" s="12" t="n"/>
      <c r="N4165" s="7" t="inlineStr"/>
      <c r="O4165" s="7" t="inlineStr"/>
    </row>
    <row r="4166">
      <c r="A4166" s="7" t="n">
        <v>589621</v>
      </c>
      <c r="B4166" s="10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1" t="n">
        <v>1</v>
      </c>
      <c r="G4166" s="11" t="n">
        <v>1</v>
      </c>
      <c r="H4166" s="8" t="n">
        <v>36.4</v>
      </c>
      <c r="I4166" s="8" t="n">
        <v>36.4</v>
      </c>
      <c r="J4166" s="8" t="n"/>
      <c r="K4166" s="7" t="inlineStr">
        <is>
          <t>SEM COTAÇÃO</t>
        </is>
      </c>
      <c r="L4166" s="8" t="n"/>
      <c r="M4166" s="12" t="n"/>
      <c r="N4166" s="7" t="inlineStr"/>
      <c r="O4166" s="7" t="inlineStr"/>
    </row>
    <row r="4167">
      <c r="A4167" s="7" t="n">
        <v>562381</v>
      </c>
      <c r="B4167" s="10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1" t="n">
        <v>2</v>
      </c>
      <c r="G4167" s="11" t="n">
        <v>2</v>
      </c>
      <c r="H4167" s="8" t="n">
        <v>6.94</v>
      </c>
      <c r="I4167" s="8" t="n">
        <v>6.94</v>
      </c>
      <c r="J4167" s="8" t="n"/>
      <c r="K4167" s="7" t="inlineStr">
        <is>
          <t>SEM COTAÇÃO</t>
        </is>
      </c>
      <c r="L4167" s="8" t="n"/>
      <c r="M4167" s="12" t="n"/>
      <c r="N4167" s="7" t="inlineStr"/>
      <c r="O4167" s="7" t="inlineStr"/>
    </row>
    <row r="4168">
      <c r="A4168" s="7" t="n">
        <v>669951</v>
      </c>
      <c r="B4168" s="10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1" t="n">
        <v>1</v>
      </c>
      <c r="G4168" s="11" t="n">
        <v>1</v>
      </c>
      <c r="H4168" s="8" t="n">
        <v>11.55</v>
      </c>
      <c r="I4168" s="8" t="n">
        <v>11.55</v>
      </c>
      <c r="J4168" s="8" t="n"/>
      <c r="K4168" s="7" t="inlineStr">
        <is>
          <t>SEM COTAÇÃO</t>
        </is>
      </c>
      <c r="L4168" s="8" t="n"/>
      <c r="M4168" s="12" t="n"/>
      <c r="N4168" s="7" t="inlineStr"/>
      <c r="O4168" s="7" t="inlineStr"/>
    </row>
    <row r="4169">
      <c r="A4169" s="7" t="n">
        <v>668541</v>
      </c>
      <c r="B4169" s="10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1" t="n">
        <v>1</v>
      </c>
      <c r="G4169" s="11" t="n">
        <v>1</v>
      </c>
      <c r="H4169" s="8" t="n">
        <v>16.98</v>
      </c>
      <c r="I4169" s="8" t="n">
        <v>16.98</v>
      </c>
      <c r="J4169" s="8" t="n"/>
      <c r="K4169" s="7" t="inlineStr">
        <is>
          <t>SEM COTAÇÃO</t>
        </is>
      </c>
      <c r="L4169" s="8" t="n"/>
      <c r="M4169" s="12" t="n"/>
      <c r="N4169" s="7" t="inlineStr"/>
      <c r="O4169" s="7" t="inlineStr"/>
    </row>
    <row r="4170">
      <c r="A4170" s="7" t="n">
        <v>668461</v>
      </c>
      <c r="B4170" s="10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1" t="n">
        <v>1</v>
      </c>
      <c r="G4170" s="11" t="n">
        <v>1</v>
      </c>
      <c r="H4170" s="8" t="n">
        <v>16.97</v>
      </c>
      <c r="I4170" s="8" t="n">
        <v>16.97</v>
      </c>
      <c r="J4170" s="8" t="n"/>
      <c r="K4170" s="7" t="inlineStr">
        <is>
          <t>SEM COTAÇÃO</t>
        </is>
      </c>
      <c r="L4170" s="8" t="n"/>
      <c r="M4170" s="12" t="n"/>
      <c r="N4170" s="7" t="inlineStr"/>
      <c r="O4170" s="7" t="inlineStr"/>
    </row>
    <row r="4171">
      <c r="A4171" s="7" t="n">
        <v>617121</v>
      </c>
      <c r="B4171" s="10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1" t="n">
        <v>1</v>
      </c>
      <c r="G4171" s="11" t="n">
        <v>1</v>
      </c>
      <c r="H4171" s="8" t="n">
        <v>12.22</v>
      </c>
      <c r="I4171" s="8" t="n">
        <v>12.22</v>
      </c>
      <c r="J4171" s="8" t="n"/>
      <c r="K4171" s="7" t="inlineStr">
        <is>
          <t>SEM COTAÇÃO</t>
        </is>
      </c>
      <c r="L4171" s="8" t="n"/>
      <c r="M4171" s="12" t="n"/>
      <c r="N4171" s="7" t="inlineStr"/>
      <c r="O4171" s="7" t="inlineStr"/>
    </row>
    <row r="4172">
      <c r="A4172" s="7" t="n">
        <v>567321</v>
      </c>
      <c r="B4172" s="10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1" t="n">
        <v>1</v>
      </c>
      <c r="G4172" s="11" t="n">
        <v>1</v>
      </c>
      <c r="H4172" s="8" t="n">
        <v>17.8506</v>
      </c>
      <c r="I4172" s="8" t="n">
        <v>17.8506</v>
      </c>
      <c r="J4172" s="8" t="n"/>
      <c r="K4172" s="7" t="inlineStr">
        <is>
          <t>SEM COTAÇÃO</t>
        </is>
      </c>
      <c r="L4172" s="8" t="n"/>
      <c r="M4172" s="12" t="n"/>
      <c r="N4172" s="7" t="inlineStr"/>
      <c r="O4172" s="7" t="inlineStr"/>
    </row>
    <row r="4173">
      <c r="A4173" s="7" t="n">
        <v>556721</v>
      </c>
      <c r="B4173" s="10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1" t="n">
        <v>4</v>
      </c>
      <c r="G4173" s="11" t="n">
        <v>4</v>
      </c>
      <c r="H4173" s="8" t="n">
        <v>15.1533</v>
      </c>
      <c r="I4173" s="8" t="n">
        <v>12.915</v>
      </c>
      <c r="J4173" s="8" t="n"/>
      <c r="K4173" s="7" t="inlineStr">
        <is>
          <t>SEM COTAÇÃO</t>
        </is>
      </c>
      <c r="L4173" s="8" t="n"/>
      <c r="M4173" s="12" t="n"/>
      <c r="N4173" s="7" t="inlineStr"/>
      <c r="O4173" s="7" t="inlineStr"/>
    </row>
    <row r="4174">
      <c r="A4174" s="7" t="n">
        <v>663321</v>
      </c>
      <c r="B4174" s="10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1" t="n">
        <v>1</v>
      </c>
      <c r="G4174" s="11" t="n">
        <v>1</v>
      </c>
      <c r="H4174" s="8" t="n">
        <v>10.14</v>
      </c>
      <c r="I4174" s="8" t="n">
        <v>10.14</v>
      </c>
      <c r="J4174" s="8" t="n"/>
      <c r="K4174" s="7" t="inlineStr">
        <is>
          <t>SEM COTAÇÃO</t>
        </is>
      </c>
      <c r="L4174" s="8" t="n"/>
      <c r="M4174" s="12" t="n"/>
      <c r="N4174" s="7" t="inlineStr"/>
      <c r="O4174" s="7" t="inlineStr"/>
    </row>
    <row r="4175">
      <c r="A4175" s="7" t="n">
        <v>660581</v>
      </c>
      <c r="B4175" s="10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1" t="n">
        <v>1</v>
      </c>
      <c r="G4175" s="11" t="n">
        <v>1</v>
      </c>
      <c r="H4175" s="8" t="n">
        <v>9.255000000000001</v>
      </c>
      <c r="I4175" s="8" t="n">
        <v>9.255000000000001</v>
      </c>
      <c r="J4175" s="8" t="n"/>
      <c r="K4175" s="7" t="inlineStr">
        <is>
          <t>SEM COTAÇÃO</t>
        </is>
      </c>
      <c r="L4175" s="8" t="n"/>
      <c r="M4175" s="12" t="n"/>
      <c r="N4175" s="7" t="inlineStr"/>
      <c r="O4175" s="7" t="inlineStr"/>
    </row>
    <row r="4176">
      <c r="A4176" s="7" t="n">
        <v>844</v>
      </c>
      <c r="B4176" s="10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1" t="n">
        <v>1</v>
      </c>
      <c r="G4176" s="11" t="n">
        <v>1</v>
      </c>
      <c r="H4176" s="8" t="n">
        <v>29.05</v>
      </c>
      <c r="I4176" s="8" t="n">
        <v>21.23</v>
      </c>
      <c r="J4176" s="8" t="n"/>
      <c r="K4176" s="7" t="inlineStr">
        <is>
          <t>SEM COTAÇÃO</t>
        </is>
      </c>
      <c r="L4176" s="8" t="n"/>
      <c r="M4176" s="12" t="n"/>
      <c r="N4176" s="7" t="inlineStr"/>
      <c r="O4176" s="7" t="inlineStr"/>
    </row>
    <row r="4177">
      <c r="A4177" s="7" t="n">
        <v>660591</v>
      </c>
      <c r="B4177" s="10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1" t="n">
        <v>1</v>
      </c>
      <c r="G4177" s="11" t="n">
        <v>1</v>
      </c>
      <c r="H4177" s="8" t="n">
        <v>23.88</v>
      </c>
      <c r="I4177" s="8" t="n">
        <v>23.88</v>
      </c>
      <c r="J4177" s="8" t="n"/>
      <c r="K4177" s="7" t="inlineStr">
        <is>
          <t>SEM COTAÇÃO</t>
        </is>
      </c>
      <c r="L4177" s="8" t="n"/>
      <c r="M4177" s="12" t="n"/>
      <c r="N4177" s="7" t="inlineStr"/>
      <c r="O4177" s="7" t="inlineStr"/>
    </row>
    <row r="4178">
      <c r="A4178" s="7" t="n">
        <v>663331</v>
      </c>
      <c r="B4178" s="10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1" t="n">
        <v>2</v>
      </c>
      <c r="G4178" s="11" t="n">
        <v>2</v>
      </c>
      <c r="H4178" s="8" t="n">
        <v>13.37</v>
      </c>
      <c r="I4178" s="8" t="n">
        <v>13.37</v>
      </c>
      <c r="J4178" s="8" t="n"/>
      <c r="K4178" s="7" t="inlineStr">
        <is>
          <t>SEM COTAÇÃO</t>
        </is>
      </c>
      <c r="L4178" s="8" t="n"/>
      <c r="M4178" s="12" t="n"/>
      <c r="N4178" s="7" t="inlineStr"/>
      <c r="O4178" s="7" t="inlineStr"/>
    </row>
    <row r="4179">
      <c r="A4179" s="7" t="n">
        <v>635241</v>
      </c>
      <c r="B4179" s="10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1" t="n">
        <v>2</v>
      </c>
      <c r="G4179" s="11" t="n">
        <v>2</v>
      </c>
      <c r="H4179" s="8" t="n">
        <v>61.85</v>
      </c>
      <c r="I4179" s="8" t="n">
        <v>61.85</v>
      </c>
      <c r="J4179" s="8" t="n"/>
      <c r="K4179" s="7" t="inlineStr">
        <is>
          <t>SEM COTAÇÃO</t>
        </is>
      </c>
      <c r="L4179" s="8" t="n"/>
      <c r="M4179" s="12" t="n"/>
      <c r="N4179" s="7" t="inlineStr"/>
      <c r="O4179" s="7" t="inlineStr"/>
    </row>
    <row r="4180">
      <c r="A4180" s="7" t="n">
        <v>661821</v>
      </c>
      <c r="B4180" s="10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1" t="n">
        <v>1</v>
      </c>
      <c r="G4180" s="11" t="n">
        <v>1</v>
      </c>
      <c r="H4180" s="8" t="n">
        <v>44.19</v>
      </c>
      <c r="I4180" s="8" t="n">
        <v>44.19</v>
      </c>
      <c r="J4180" s="8" t="n"/>
      <c r="K4180" s="7" t="inlineStr">
        <is>
          <t>SEM COTAÇÃO</t>
        </is>
      </c>
      <c r="L4180" s="8" t="n"/>
      <c r="M4180" s="12" t="n"/>
      <c r="N4180" s="7" t="inlineStr"/>
      <c r="O4180" s="7" t="inlineStr"/>
    </row>
    <row r="4181">
      <c r="A4181" s="7" t="n">
        <v>635261</v>
      </c>
      <c r="B4181" s="10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1" t="n">
        <v>1</v>
      </c>
      <c r="G4181" s="11" t="n">
        <v>1</v>
      </c>
      <c r="H4181" s="8" t="n">
        <v>42.58</v>
      </c>
      <c r="I4181" s="8" t="n">
        <v>42.58</v>
      </c>
      <c r="J4181" s="8" t="n"/>
      <c r="K4181" s="7" t="inlineStr">
        <is>
          <t>SEM COTAÇÃO</t>
        </is>
      </c>
      <c r="L4181" s="8" t="n"/>
      <c r="M4181" s="12" t="n"/>
      <c r="N4181" s="7" t="inlineStr"/>
      <c r="O4181" s="7" t="inlineStr"/>
    </row>
    <row r="4182">
      <c r="A4182" s="7" t="n">
        <v>634941</v>
      </c>
      <c r="B4182" s="10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1" t="n">
        <v>1</v>
      </c>
      <c r="G4182" s="11" t="n">
        <v>1</v>
      </c>
      <c r="H4182" s="8" t="n">
        <v>38.32</v>
      </c>
      <c r="I4182" s="8" t="n">
        <v>38.32</v>
      </c>
      <c r="J4182" s="8" t="n"/>
      <c r="K4182" s="7" t="inlineStr">
        <is>
          <t>SEM COTAÇÃO</t>
        </is>
      </c>
      <c r="L4182" s="8" t="n"/>
      <c r="M4182" s="12" t="n"/>
      <c r="N4182" s="7" t="inlineStr"/>
      <c r="O4182" s="7" t="inlineStr"/>
    </row>
    <row r="4183">
      <c r="A4183" s="7" t="n">
        <v>109721</v>
      </c>
      <c r="B4183" s="10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1" t="n">
        <v>2</v>
      </c>
      <c r="G4183" s="11" t="n">
        <v>2</v>
      </c>
      <c r="H4183" s="8" t="n">
        <v>27.52</v>
      </c>
      <c r="I4183" s="8" t="n">
        <v>25.95</v>
      </c>
      <c r="J4183" s="8" t="n"/>
      <c r="K4183" s="7" t="inlineStr">
        <is>
          <t>SEM COTAÇÃO</t>
        </is>
      </c>
      <c r="L4183" s="8" t="n"/>
      <c r="M4183" s="12" t="n"/>
      <c r="N4183" s="7" t="inlineStr"/>
      <c r="O4183" s="7" t="inlineStr"/>
    </row>
    <row r="4184">
      <c r="A4184" s="7" t="n">
        <v>605291</v>
      </c>
      <c r="B4184" s="10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1" t="n">
        <v>5</v>
      </c>
      <c r="G4184" s="11" t="n">
        <v>5</v>
      </c>
      <c r="H4184" s="8" t="n">
        <v>19.2467</v>
      </c>
      <c r="I4184" s="8" t="n">
        <v>15.4333</v>
      </c>
      <c r="J4184" s="8" t="n"/>
      <c r="K4184" s="7" t="inlineStr">
        <is>
          <t>SEM COTAÇÃO</t>
        </is>
      </c>
      <c r="L4184" s="8" t="n"/>
      <c r="M4184" s="12" t="n"/>
      <c r="N4184" s="7" t="inlineStr"/>
      <c r="O4184" s="7" t="inlineStr"/>
    </row>
    <row r="4185">
      <c r="A4185" s="7" t="n">
        <v>433941</v>
      </c>
      <c r="B4185" s="10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1" t="n">
        <v>1</v>
      </c>
      <c r="G4185" s="11" t="n">
        <v>1</v>
      </c>
      <c r="H4185" s="8" t="n">
        <v>57.7867</v>
      </c>
      <c r="I4185" s="8" t="n">
        <v>51.28</v>
      </c>
      <c r="J4185" s="8" t="n"/>
      <c r="K4185" s="7" t="inlineStr">
        <is>
          <t>SEM COTAÇÃO</t>
        </is>
      </c>
      <c r="L4185" s="8" t="n"/>
      <c r="M4185" s="12" t="n"/>
      <c r="N4185" s="7" t="inlineStr"/>
      <c r="O4185" s="7" t="inlineStr"/>
    </row>
    <row r="4186">
      <c r="A4186" s="7" t="n">
        <v>434001</v>
      </c>
      <c r="B4186" s="10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1" t="n">
        <v>3</v>
      </c>
      <c r="G4186" s="11" t="n">
        <v>3</v>
      </c>
      <c r="H4186" s="8" t="n">
        <v>92.47</v>
      </c>
      <c r="I4186" s="8" t="n">
        <v>84.03</v>
      </c>
      <c r="J4186" s="8" t="n"/>
      <c r="K4186" s="7" t="inlineStr">
        <is>
          <t>SEM COTAÇÃO</t>
        </is>
      </c>
      <c r="L4186" s="8" t="n"/>
      <c r="M4186" s="12" t="n"/>
      <c r="N4186" s="7" t="inlineStr"/>
      <c r="O4186" s="7" t="inlineStr"/>
    </row>
    <row r="4187">
      <c r="A4187" s="7" t="n">
        <v>433961</v>
      </c>
      <c r="B4187" s="10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1" t="n">
        <v>1</v>
      </c>
      <c r="G4187" s="11" t="n">
        <v>1</v>
      </c>
      <c r="H4187" s="8" t="n">
        <v>128.47</v>
      </c>
      <c r="I4187" s="8" t="n">
        <v>128.47</v>
      </c>
      <c r="J4187" s="8" t="n"/>
      <c r="K4187" s="7" t="inlineStr">
        <is>
          <t>SEM COTAÇÃO</t>
        </is>
      </c>
      <c r="L4187" s="8" t="n"/>
      <c r="M4187" s="12" t="n"/>
      <c r="N4187" s="7" t="inlineStr"/>
      <c r="O4187" s="7" t="inlineStr"/>
    </row>
    <row r="4188">
      <c r="A4188" s="7" t="n">
        <v>538261</v>
      </c>
      <c r="B4188" s="10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1" t="n">
        <v>4</v>
      </c>
      <c r="G4188" s="11" t="n">
        <v>4</v>
      </c>
      <c r="H4188" s="8" t="n">
        <v>7.68</v>
      </c>
      <c r="I4188" s="8" t="n">
        <v>7.63</v>
      </c>
      <c r="J4188" s="13" t="n">
        <v>7.98</v>
      </c>
      <c r="K4188" s="7" t="inlineStr">
        <is>
          <t>DIMEC</t>
        </is>
      </c>
      <c r="L4188" s="8" t="n">
        <v>7.98</v>
      </c>
      <c r="M4188" s="12">
        <f>L4188/H4188-1</f>
        <v/>
      </c>
      <c r="N4188" s="14" t="inlineStr">
        <is>
          <t>ACIMA +3.9%</t>
        </is>
      </c>
      <c r="O4188" s="7" t="inlineStr"/>
    </row>
    <row r="4189">
      <c r="A4189" s="7" t="n">
        <v>626961</v>
      </c>
      <c r="B4189" s="10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1" t="n">
        <v>7</v>
      </c>
      <c r="G4189" s="11" t="n">
        <v>7</v>
      </c>
      <c r="H4189" s="8" t="n">
        <v>3.2333</v>
      </c>
      <c r="I4189" s="8" t="n">
        <v>2.5302</v>
      </c>
      <c r="J4189" s="8" t="n"/>
      <c r="K4189" s="7" t="inlineStr">
        <is>
          <t>SEM COTAÇÃO</t>
        </is>
      </c>
      <c r="L4189" s="8" t="n"/>
      <c r="M4189" s="12" t="n"/>
      <c r="N4189" s="7" t="inlineStr"/>
      <c r="O4189" s="7" t="inlineStr"/>
    </row>
    <row r="4190">
      <c r="A4190" s="7" t="n">
        <v>643171</v>
      </c>
      <c r="B4190" s="10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1" t="n">
        <v>31</v>
      </c>
      <c r="G4190" s="11" t="n">
        <v>31</v>
      </c>
      <c r="H4190" s="8" t="n">
        <v>2.9995</v>
      </c>
      <c r="I4190" s="8" t="n">
        <v>2.9995</v>
      </c>
      <c r="J4190" s="8" t="n"/>
      <c r="K4190" s="7" t="inlineStr">
        <is>
          <t>SEM COTAÇÃO</t>
        </is>
      </c>
      <c r="L4190" s="8" t="n"/>
      <c r="M4190" s="12" t="n"/>
      <c r="N4190" s="7" t="inlineStr"/>
      <c r="O4190" s="7" t="inlineStr"/>
    </row>
    <row r="4191">
      <c r="A4191" s="7" t="n">
        <v>638851</v>
      </c>
      <c r="B4191" s="10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1" t="n">
        <v>10</v>
      </c>
      <c r="G4191" s="11" t="n">
        <v>10</v>
      </c>
      <c r="H4191" s="8" t="n">
        <v>2.5777</v>
      </c>
      <c r="I4191" s="8" t="n">
        <v>2.5777</v>
      </c>
      <c r="J4191" s="8" t="n"/>
      <c r="K4191" s="7" t="inlineStr">
        <is>
          <t>SEM COTAÇÃO</t>
        </is>
      </c>
      <c r="L4191" s="8" t="n"/>
      <c r="M4191" s="12" t="n"/>
      <c r="N4191" s="7" t="inlineStr"/>
      <c r="O4191" s="7" t="inlineStr"/>
    </row>
    <row r="4192">
      <c r="A4192" s="7" t="n">
        <v>619851</v>
      </c>
      <c r="B4192" s="10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1" t="n">
        <v>16</v>
      </c>
      <c r="G4192" s="11" t="n">
        <v>16</v>
      </c>
      <c r="H4192" s="8" t="n">
        <v>2.97</v>
      </c>
      <c r="I4192" s="8" t="n">
        <v>2.97</v>
      </c>
      <c r="J4192" s="13" t="n">
        <v>2.97</v>
      </c>
      <c r="K4192" s="7" t="inlineStr">
        <is>
          <t>DIMEC</t>
        </is>
      </c>
      <c r="L4192" s="8" t="n">
        <v>2.97</v>
      </c>
      <c r="M4192" s="12">
        <f>L4192/H4192-1</f>
        <v/>
      </c>
      <c r="N4192" s="15" t="inlineStr">
        <is>
          <t>OK (≤ menor hist.)</t>
        </is>
      </c>
      <c r="O4192" s="7" t="inlineStr"/>
    </row>
    <row r="4193">
      <c r="A4193" s="7" t="n">
        <v>555741</v>
      </c>
      <c r="B4193" s="10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1" t="n">
        <v>63</v>
      </c>
      <c r="G4193" s="11" t="n">
        <v>63</v>
      </c>
      <c r="H4193" s="8" t="n">
        <v>2.32</v>
      </c>
      <c r="I4193" s="8" t="n">
        <v>2.23</v>
      </c>
      <c r="J4193" s="8" t="n"/>
      <c r="K4193" s="7" t="inlineStr">
        <is>
          <t>SEM COTAÇÃO</t>
        </is>
      </c>
      <c r="L4193" s="8" t="n"/>
      <c r="M4193" s="12" t="n"/>
      <c r="N4193" s="7" t="inlineStr"/>
      <c r="O4193" s="7" t="inlineStr"/>
    </row>
    <row r="4194">
      <c r="A4194" s="7" t="n">
        <v>2203</v>
      </c>
      <c r="B4194" s="10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1" t="n">
        <v>19</v>
      </c>
      <c r="G4194" s="11" t="n">
        <v>19</v>
      </c>
      <c r="H4194" s="8" t="n">
        <v>1.78</v>
      </c>
      <c r="I4194" s="8" t="n">
        <v>1.77</v>
      </c>
      <c r="J4194" s="8" t="n"/>
      <c r="K4194" s="7" t="inlineStr">
        <is>
          <t>SEM COTAÇÃO</t>
        </is>
      </c>
      <c r="L4194" s="8" t="n"/>
      <c r="M4194" s="12" t="n"/>
      <c r="N4194" s="7" t="inlineStr"/>
      <c r="O4194" s="7" t="inlineStr"/>
    </row>
    <row r="4195">
      <c r="A4195" s="7" t="n">
        <v>4963</v>
      </c>
      <c r="B4195" s="10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1" t="n">
        <v>1</v>
      </c>
      <c r="G4195" s="11" t="n">
        <v>1</v>
      </c>
      <c r="H4195" s="8" t="n">
        <v>2.28</v>
      </c>
      <c r="I4195" s="8" t="n">
        <v>2.28</v>
      </c>
      <c r="J4195" s="8" t="n"/>
      <c r="K4195" s="7" t="inlineStr">
        <is>
          <t>SEM COTAÇÃO</t>
        </is>
      </c>
      <c r="L4195" s="8" t="n"/>
      <c r="M4195" s="12" t="n"/>
      <c r="N4195" s="7" t="inlineStr"/>
      <c r="O4195" s="7" t="inlineStr"/>
    </row>
    <row r="4196">
      <c r="A4196" s="7" t="n">
        <v>555501</v>
      </c>
      <c r="B4196" s="10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1" t="n">
        <v>40</v>
      </c>
      <c r="G4196" s="11" t="n">
        <v>40</v>
      </c>
      <c r="H4196" s="8" t="n">
        <v>2.09</v>
      </c>
      <c r="I4196" s="8" t="n">
        <v>1.82</v>
      </c>
      <c r="J4196" s="8" t="n"/>
      <c r="K4196" s="7" t="inlineStr">
        <is>
          <t>SEM COTAÇÃO</t>
        </is>
      </c>
      <c r="L4196" s="8" t="n"/>
      <c r="M4196" s="12" t="n"/>
      <c r="N4196" s="7" t="inlineStr"/>
      <c r="O4196" s="7" t="inlineStr"/>
    </row>
    <row r="4197">
      <c r="A4197" s="7" t="n">
        <v>110341</v>
      </c>
      <c r="B4197" s="10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1" t="n">
        <v>2</v>
      </c>
      <c r="G4197" s="11" t="n">
        <v>2</v>
      </c>
      <c r="H4197" s="8" t="n">
        <v>61.45</v>
      </c>
      <c r="I4197" s="8" t="n">
        <v>59.13</v>
      </c>
      <c r="J4197" s="8" t="n"/>
      <c r="K4197" s="7" t="inlineStr">
        <is>
          <t>SEM COTAÇÃO</t>
        </is>
      </c>
      <c r="L4197" s="8" t="n"/>
      <c r="M4197" s="12" t="n"/>
      <c r="N4197" s="7" t="inlineStr"/>
      <c r="O4197" s="7" t="inlineStr"/>
    </row>
    <row r="4198">
      <c r="A4198" s="7" t="n">
        <v>219981</v>
      </c>
      <c r="B4198" s="10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1" t="n">
        <v>5</v>
      </c>
      <c r="G4198" s="11" t="n">
        <v>5</v>
      </c>
      <c r="H4198" s="8" t="n">
        <v>2.97</v>
      </c>
      <c r="I4198" s="8" t="n">
        <v>2.97</v>
      </c>
      <c r="J4198" s="8" t="n"/>
      <c r="K4198" s="7" t="inlineStr">
        <is>
          <t>SEM COTAÇÃO</t>
        </is>
      </c>
      <c r="L4198" s="8" t="n"/>
      <c r="M4198" s="12" t="n"/>
      <c r="N4198" s="7" t="inlineStr"/>
      <c r="O4198" s="7" t="inlineStr"/>
    </row>
    <row r="4199">
      <c r="A4199" s="7" t="n">
        <v>114821</v>
      </c>
      <c r="B4199" s="10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1" t="n">
        <v>1</v>
      </c>
      <c r="G4199" s="11" t="n">
        <v>1</v>
      </c>
      <c r="H4199" s="8" t="n">
        <v>13.3867</v>
      </c>
      <c r="I4199" s="8" t="n">
        <v>13.3867</v>
      </c>
      <c r="J4199" s="8" t="n"/>
      <c r="K4199" s="7" t="inlineStr">
        <is>
          <t>SEM COTAÇÃO</t>
        </is>
      </c>
      <c r="L4199" s="8" t="n"/>
      <c r="M4199" s="12" t="n"/>
      <c r="N4199" s="7" t="inlineStr"/>
      <c r="O4199" s="7" t="inlineStr"/>
    </row>
    <row r="4200">
      <c r="A4200" s="7" t="n">
        <v>438221</v>
      </c>
      <c r="B4200" s="10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1" t="n">
        <v>3</v>
      </c>
      <c r="G4200" s="11" t="n">
        <v>3</v>
      </c>
      <c r="H4200" s="8" t="n">
        <v>5.09</v>
      </c>
      <c r="I4200" s="8" t="n">
        <v>5.09</v>
      </c>
      <c r="J4200" s="8" t="n"/>
      <c r="K4200" s="7" t="inlineStr">
        <is>
          <t>SEM COTAÇÃO</t>
        </is>
      </c>
      <c r="L4200" s="8" t="n"/>
      <c r="M4200" s="12" t="n"/>
      <c r="N4200" s="7" t="inlineStr"/>
      <c r="O4200" s="7" t="inlineStr"/>
    </row>
    <row r="4201">
      <c r="A4201" s="7" t="n">
        <v>435741</v>
      </c>
      <c r="B4201" s="10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1" t="n">
        <v>26</v>
      </c>
      <c r="G4201" s="11" t="n">
        <v>26</v>
      </c>
      <c r="H4201" s="8" t="n">
        <v>2.65</v>
      </c>
      <c r="I4201" s="8" t="n">
        <v>2.55</v>
      </c>
      <c r="J4201" s="8" t="n"/>
      <c r="K4201" s="7" t="inlineStr">
        <is>
          <t>SEM COTAÇÃO</t>
        </is>
      </c>
      <c r="L4201" s="8" t="n"/>
      <c r="M4201" s="12" t="n"/>
      <c r="N4201" s="7" t="inlineStr"/>
      <c r="O4201" s="7" t="inlineStr"/>
    </row>
    <row r="4202">
      <c r="A4202" s="7" t="n">
        <v>435701</v>
      </c>
      <c r="B4202" s="10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1" t="n">
        <v>24</v>
      </c>
      <c r="G4202" s="11" t="n">
        <v>24</v>
      </c>
      <c r="H4202" s="8" t="n">
        <v>5.09</v>
      </c>
      <c r="I4202" s="8" t="n">
        <v>4.8</v>
      </c>
      <c r="J4202" s="8" t="n"/>
      <c r="K4202" s="7" t="inlineStr">
        <is>
          <t>SEM COTAÇÃO</t>
        </is>
      </c>
      <c r="L4202" s="8" t="n"/>
      <c r="M4202" s="12" t="n"/>
      <c r="N4202" s="7" t="inlineStr"/>
      <c r="O4202" s="7" t="inlineStr"/>
    </row>
    <row r="4203">
      <c r="A4203" s="7" t="n">
        <v>436201</v>
      </c>
      <c r="B4203" s="10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1" t="n">
        <v>3</v>
      </c>
      <c r="G4203" s="11" t="n">
        <v>3</v>
      </c>
      <c r="H4203" s="8" t="n">
        <v>5.79</v>
      </c>
      <c r="I4203" s="8" t="n">
        <v>5.79</v>
      </c>
      <c r="J4203" s="13" t="n">
        <v>6.13</v>
      </c>
      <c r="K4203" s="7" t="inlineStr">
        <is>
          <t>DIMEC</t>
        </is>
      </c>
      <c r="L4203" s="8" t="n">
        <v>6.13</v>
      </c>
      <c r="M4203" s="12">
        <f>L4203/H4203-1</f>
        <v/>
      </c>
      <c r="N4203" s="14" t="inlineStr">
        <is>
          <t>ACIMA +5.9%</t>
        </is>
      </c>
      <c r="O4203" s="7" t="inlineStr"/>
    </row>
    <row r="4204">
      <c r="A4204" s="7" t="n">
        <v>595781</v>
      </c>
      <c r="B4204" s="10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1" t="n">
        <v>1</v>
      </c>
      <c r="G4204" s="11" t="n">
        <v>1</v>
      </c>
      <c r="H4204" s="8" t="n">
        <v>9.56</v>
      </c>
      <c r="I4204" s="8" t="n">
        <v>9.56</v>
      </c>
      <c r="J4204" s="8" t="n"/>
      <c r="K4204" s="7" t="inlineStr">
        <is>
          <t>SEM COTAÇÃO</t>
        </is>
      </c>
      <c r="L4204" s="8" t="n"/>
      <c r="M4204" s="12" t="n"/>
      <c r="N4204" s="7" t="inlineStr"/>
      <c r="O4204" s="7" t="inlineStr"/>
    </row>
    <row r="4205">
      <c r="A4205" s="7" t="n">
        <v>529941</v>
      </c>
      <c r="B4205" s="10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1" t="n">
        <v>2</v>
      </c>
      <c r="G4205" s="11" t="n">
        <v>2</v>
      </c>
      <c r="H4205" s="8" t="n">
        <v>226.51</v>
      </c>
      <c r="I4205" s="8" t="n">
        <v>67.41330000000001</v>
      </c>
      <c r="J4205" s="8" t="n"/>
      <c r="K4205" s="7" t="inlineStr">
        <is>
          <t>SEM COTAÇÃO</t>
        </is>
      </c>
      <c r="L4205" s="8" t="n"/>
      <c r="M4205" s="12" t="n"/>
      <c r="N4205" s="7" t="inlineStr"/>
      <c r="O4205" s="7" t="inlineStr"/>
    </row>
    <row r="4206">
      <c r="A4206" s="7" t="n">
        <v>529921</v>
      </c>
      <c r="B4206" s="10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1" t="n">
        <v>3</v>
      </c>
      <c r="G4206" s="11" t="n">
        <v>3</v>
      </c>
      <c r="H4206" s="8" t="n">
        <v>95.08</v>
      </c>
      <c r="I4206" s="8" t="n">
        <v>89.83499999999999</v>
      </c>
      <c r="J4206" s="8" t="n"/>
      <c r="K4206" s="7" t="inlineStr">
        <is>
          <t>SEM COTAÇÃO</t>
        </is>
      </c>
      <c r="L4206" s="8" t="n"/>
      <c r="M4206" s="12" t="n"/>
      <c r="N4206" s="7" t="inlineStr"/>
      <c r="O4206" s="7" t="inlineStr"/>
    </row>
    <row r="4207">
      <c r="A4207" s="7" t="n">
        <v>661611</v>
      </c>
      <c r="B4207" s="10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1" t="n">
        <v>3</v>
      </c>
      <c r="G4207" s="11" t="n">
        <v>3</v>
      </c>
      <c r="H4207" s="8" t="n">
        <v>2.64</v>
      </c>
      <c r="I4207" s="8" t="n">
        <v>2.64</v>
      </c>
      <c r="J4207" s="8" t="n"/>
      <c r="K4207" s="7" t="inlineStr">
        <is>
          <t>SEM COTAÇÃO</t>
        </is>
      </c>
      <c r="L4207" s="8" t="n"/>
      <c r="M4207" s="12" t="n"/>
      <c r="N4207" s="7" t="inlineStr"/>
      <c r="O4207" s="7" t="inlineStr"/>
    </row>
    <row r="4208">
      <c r="A4208" s="7" t="n">
        <v>609291</v>
      </c>
      <c r="B4208" s="10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1" t="n">
        <v>44</v>
      </c>
      <c r="G4208" s="11" t="n">
        <v>44</v>
      </c>
      <c r="H4208" s="8" t="n">
        <v>3.2</v>
      </c>
      <c r="I4208" s="8" t="n">
        <v>2.99</v>
      </c>
      <c r="J4208" s="8" t="n"/>
      <c r="K4208" s="7" t="inlineStr">
        <is>
          <t>SEM COTAÇÃO</t>
        </is>
      </c>
      <c r="L4208" s="8" t="n"/>
      <c r="M4208" s="12" t="n"/>
      <c r="N4208" s="7" t="inlineStr"/>
      <c r="O4208" s="7" t="inlineStr"/>
    </row>
    <row r="4209">
      <c r="A4209" s="7" t="n">
        <v>645561</v>
      </c>
      <c r="B4209" s="10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1" t="n">
        <v>1</v>
      </c>
      <c r="G4209" s="11" t="n">
        <v>1</v>
      </c>
      <c r="H4209" s="8" t="n">
        <v>35.09</v>
      </c>
      <c r="I4209" s="8" t="n">
        <v>35.09</v>
      </c>
      <c r="J4209" s="8" t="n"/>
      <c r="K4209" s="7" t="inlineStr">
        <is>
          <t>SEM COTAÇÃO</t>
        </is>
      </c>
      <c r="L4209" s="8" t="n"/>
      <c r="M4209" s="12" t="n"/>
      <c r="N4209" s="7" t="inlineStr"/>
      <c r="O4209" s="7" t="inlineStr"/>
    </row>
    <row r="4210">
      <c r="A4210" s="7" t="n">
        <v>609041</v>
      </c>
      <c r="B4210" s="10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1" t="n">
        <v>1</v>
      </c>
      <c r="G4210" s="11" t="n">
        <v>1</v>
      </c>
      <c r="H4210" s="8" t="n">
        <v>38.78</v>
      </c>
      <c r="I4210" s="8" t="n">
        <v>38.78</v>
      </c>
      <c r="J4210" s="8" t="n"/>
      <c r="K4210" s="7" t="inlineStr">
        <is>
          <t>SEM COTAÇÃO</t>
        </is>
      </c>
      <c r="L4210" s="8" t="n"/>
      <c r="M4210" s="12" t="n"/>
      <c r="N4210" s="7" t="inlineStr"/>
      <c r="O4210" s="7" t="inlineStr"/>
    </row>
    <row r="4211">
      <c r="A4211" s="7" t="n">
        <v>651321</v>
      </c>
      <c r="B4211" s="10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1" t="n">
        <v>1</v>
      </c>
      <c r="G4211" s="11" t="n">
        <v>1</v>
      </c>
      <c r="H4211" s="8" t="n">
        <v>34.79</v>
      </c>
      <c r="I4211" s="8" t="n">
        <v>34.79</v>
      </c>
      <c r="J4211" s="8" t="n"/>
      <c r="K4211" s="7" t="inlineStr">
        <is>
          <t>SEM COTAÇÃO</t>
        </is>
      </c>
      <c r="L4211" s="8" t="n"/>
      <c r="M4211" s="12" t="n"/>
      <c r="N4211" s="7" t="inlineStr"/>
      <c r="O4211" s="7" t="inlineStr"/>
    </row>
    <row r="4212">
      <c r="A4212" s="7" t="n">
        <v>672751</v>
      </c>
      <c r="B4212" s="10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1" t="n">
        <v>11</v>
      </c>
      <c r="G4212" s="11" t="n">
        <v>11</v>
      </c>
      <c r="H4212" s="8" t="n">
        <v>6.49</v>
      </c>
      <c r="I4212" s="8" t="n">
        <v>6.49</v>
      </c>
      <c r="J4212" s="8" t="n"/>
      <c r="K4212" s="7" t="inlineStr">
        <is>
          <t>SEM COTAÇÃO</t>
        </is>
      </c>
      <c r="L4212" s="8" t="n"/>
      <c r="M4212" s="12" t="n"/>
      <c r="N4212" s="7" t="inlineStr"/>
      <c r="O4212" s="7" t="inlineStr"/>
    </row>
    <row r="4213">
      <c r="A4213" s="7" t="n">
        <v>588661</v>
      </c>
      <c r="B4213" s="10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1" t="n">
        <v>4</v>
      </c>
      <c r="G4213" s="11" t="n">
        <v>4</v>
      </c>
      <c r="H4213" s="8" t="n">
        <v>3.09</v>
      </c>
      <c r="I4213" s="8" t="n">
        <v>3.09</v>
      </c>
      <c r="J4213" s="13" t="n">
        <v>3.585</v>
      </c>
      <c r="K4213" s="7" t="inlineStr">
        <is>
          <t>DIMEC</t>
        </is>
      </c>
      <c r="L4213" s="8" t="n">
        <v>3.585</v>
      </c>
      <c r="M4213" s="12">
        <f>L4213/H4213-1</f>
        <v/>
      </c>
      <c r="N4213" s="14" t="inlineStr">
        <is>
          <t>ACIMA +16.0%</t>
        </is>
      </c>
      <c r="O4213" s="7" t="inlineStr"/>
    </row>
    <row r="4214">
      <c r="A4214" s="7" t="n">
        <v>553081</v>
      </c>
      <c r="B4214" s="10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1" t="n">
        <v>169</v>
      </c>
      <c r="G4214" s="11" t="n">
        <v>169</v>
      </c>
      <c r="H4214" s="8" t="n">
        <v>3.65</v>
      </c>
      <c r="I4214" s="8" t="n">
        <v>3.65</v>
      </c>
      <c r="J4214" s="8" t="n"/>
      <c r="K4214" s="7" t="inlineStr">
        <is>
          <t>SEM COTAÇÃO</t>
        </is>
      </c>
      <c r="L4214" s="8" t="n"/>
      <c r="M4214" s="12" t="n"/>
      <c r="N4214" s="7" t="inlineStr"/>
      <c r="O4214" s="7" t="inlineStr"/>
    </row>
    <row r="4215">
      <c r="A4215" s="7" t="n">
        <v>558381</v>
      </c>
      <c r="B4215" s="10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1" t="n">
        <v>50</v>
      </c>
      <c r="G4215" s="11" t="n">
        <v>50</v>
      </c>
      <c r="H4215" s="8" t="n">
        <v>2.69</v>
      </c>
      <c r="I4215" s="8" t="n">
        <v>2.69</v>
      </c>
      <c r="J4215" s="13" t="n">
        <v>2.72</v>
      </c>
      <c r="K4215" s="7" t="inlineStr">
        <is>
          <t>DIMEC</t>
        </is>
      </c>
      <c r="L4215" s="8" t="n">
        <v>2.72</v>
      </c>
      <c r="M4215" s="12">
        <f>L4215/H4215-1</f>
        <v/>
      </c>
      <c r="N4215" s="14" t="inlineStr">
        <is>
          <t>ACIMA +1.1%</t>
        </is>
      </c>
      <c r="O4215" s="7" t="inlineStr"/>
    </row>
    <row r="4216">
      <c r="A4216" s="7" t="n">
        <v>264541</v>
      </c>
      <c r="B4216" s="10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1" t="n">
        <v>2</v>
      </c>
      <c r="G4216" s="11" t="n">
        <v>2</v>
      </c>
      <c r="H4216" s="8" t="n">
        <v>22.9</v>
      </c>
      <c r="I4216" s="8" t="n">
        <v>21.925</v>
      </c>
      <c r="J4216" s="8" t="n"/>
      <c r="K4216" s="7" t="inlineStr">
        <is>
          <t>SEM COTAÇÃO</t>
        </is>
      </c>
      <c r="L4216" s="8" t="n"/>
      <c r="M4216" s="12" t="n"/>
      <c r="N4216" s="7" t="inlineStr"/>
      <c r="O4216" s="7" t="inlineStr"/>
    </row>
    <row r="4217">
      <c r="A4217" s="7" t="n">
        <v>614861</v>
      </c>
      <c r="B4217" s="10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1" t="n">
        <v>2</v>
      </c>
      <c r="G4217" s="11" t="n">
        <v>2</v>
      </c>
      <c r="H4217" s="8" t="n">
        <v>41.02</v>
      </c>
      <c r="I4217" s="8" t="n">
        <v>37.98</v>
      </c>
      <c r="J4217" s="8" t="n"/>
      <c r="K4217" s="7" t="inlineStr">
        <is>
          <t>SEM COTAÇÃO</t>
        </is>
      </c>
      <c r="L4217" s="8" t="n"/>
      <c r="M4217" s="12" t="n"/>
      <c r="N4217" s="7" t="inlineStr"/>
      <c r="O4217" s="7" t="inlineStr"/>
    </row>
    <row r="4218">
      <c r="A4218" s="7" t="n">
        <v>614011</v>
      </c>
      <c r="B4218" s="10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1" t="n">
        <v>4</v>
      </c>
      <c r="G4218" s="11" t="n">
        <v>4</v>
      </c>
      <c r="H4218" s="8" t="n">
        <v>7.2</v>
      </c>
      <c r="I4218" s="8" t="n">
        <v>6.61</v>
      </c>
      <c r="J4218" s="8" t="n"/>
      <c r="K4218" s="7" t="inlineStr">
        <is>
          <t>SEM COTAÇÃO</t>
        </is>
      </c>
      <c r="L4218" s="8" t="n"/>
      <c r="M4218" s="12" t="n"/>
      <c r="N4218" s="7" t="inlineStr"/>
      <c r="O4218" s="7" t="inlineStr"/>
    </row>
    <row r="4219">
      <c r="A4219" s="7" t="n">
        <v>614021</v>
      </c>
      <c r="B4219" s="10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1" t="n">
        <v>7</v>
      </c>
      <c r="G4219" s="11" t="n">
        <v>7</v>
      </c>
      <c r="H4219" s="8" t="n">
        <v>6.55</v>
      </c>
      <c r="I4219" s="8" t="n">
        <v>6.55</v>
      </c>
      <c r="J4219" s="13" t="n">
        <v>6.67</v>
      </c>
      <c r="K4219" s="7" t="inlineStr">
        <is>
          <t>DIMEC</t>
        </is>
      </c>
      <c r="L4219" s="8" t="n">
        <v>6.67</v>
      </c>
      <c r="M4219" s="12">
        <f>L4219/H4219-1</f>
        <v/>
      </c>
      <c r="N4219" s="14" t="inlineStr">
        <is>
          <t>ACIMA +1.8%</t>
        </is>
      </c>
      <c r="O4219" s="7" t="inlineStr"/>
    </row>
    <row r="4220">
      <c r="A4220" s="7" t="n">
        <v>611451</v>
      </c>
      <c r="B4220" s="10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1" t="n">
        <v>2</v>
      </c>
      <c r="G4220" s="11" t="n">
        <v>2</v>
      </c>
      <c r="H4220" s="8" t="n">
        <v>6.75</v>
      </c>
      <c r="I4220" s="8" t="n">
        <v>6.75</v>
      </c>
      <c r="J4220" s="8" t="n"/>
      <c r="K4220" s="7" t="inlineStr">
        <is>
          <t>SEM COTAÇÃO</t>
        </is>
      </c>
      <c r="L4220" s="8" t="n"/>
      <c r="M4220" s="12" t="n"/>
      <c r="N4220" s="7" t="inlineStr"/>
      <c r="O4220" s="7" t="inlineStr"/>
    </row>
    <row r="4221">
      <c r="A4221" s="7" t="n">
        <v>658381</v>
      </c>
      <c r="B4221" s="10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1" t="n">
        <v>1</v>
      </c>
      <c r="G4221" s="11" t="n">
        <v>1</v>
      </c>
      <c r="H4221" s="8" t="n">
        <v>24.75</v>
      </c>
      <c r="I4221" s="8" t="n">
        <v>23.82</v>
      </c>
      <c r="J4221" s="8" t="n"/>
      <c r="K4221" s="7" t="inlineStr">
        <is>
          <t>SEM COTAÇÃO</t>
        </is>
      </c>
      <c r="L4221" s="8" t="n"/>
      <c r="M4221" s="12" t="n"/>
      <c r="N4221" s="7" t="inlineStr"/>
      <c r="O4221" s="7" t="inlineStr"/>
    </row>
    <row r="4222">
      <c r="A4222" s="7" t="n">
        <v>630531</v>
      </c>
      <c r="B4222" s="10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1" t="n">
        <v>183</v>
      </c>
      <c r="G4222" s="11" t="n">
        <v>183</v>
      </c>
      <c r="H4222" s="8" t="n">
        <v>3.89</v>
      </c>
      <c r="I4222" s="8" t="n">
        <v>3.89</v>
      </c>
      <c r="J4222" s="8" t="n"/>
      <c r="K4222" s="7" t="inlineStr">
        <is>
          <t>SEM COTAÇÃO</t>
        </is>
      </c>
      <c r="L4222" s="8" t="n"/>
      <c r="M4222" s="12" t="n"/>
      <c r="N4222" s="7" t="inlineStr"/>
      <c r="O4222" s="7" t="inlineStr"/>
    </row>
    <row r="4223">
      <c r="A4223" s="7" t="n">
        <v>531861</v>
      </c>
      <c r="B4223" s="10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1" t="n">
        <v>103</v>
      </c>
      <c r="G4223" s="11" t="n">
        <v>103</v>
      </c>
      <c r="H4223" s="8" t="n">
        <v>2.27</v>
      </c>
      <c r="I4223" s="8" t="n">
        <v>2.0228</v>
      </c>
      <c r="J4223" s="13" t="n">
        <v>2.28</v>
      </c>
      <c r="K4223" s="7" t="inlineStr">
        <is>
          <t>DIMEC</t>
        </is>
      </c>
      <c r="L4223" s="8" t="n">
        <v>2.28</v>
      </c>
      <c r="M4223" s="12">
        <f>L4223/H4223-1</f>
        <v/>
      </c>
      <c r="N4223" s="14" t="inlineStr">
        <is>
          <t>ACIMA +0.4%</t>
        </is>
      </c>
      <c r="O4223" s="7" t="inlineStr"/>
    </row>
    <row r="4224">
      <c r="A4224" s="7" t="n">
        <v>676171</v>
      </c>
      <c r="B4224" s="10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1" t="n">
        <v>1</v>
      </c>
      <c r="G4224" s="11" t="n">
        <v>1</v>
      </c>
      <c r="H4224" s="8" t="n">
        <v>31.46</v>
      </c>
      <c r="I4224" s="8" t="n">
        <v>31.46</v>
      </c>
      <c r="J4224" s="8" t="n"/>
      <c r="K4224" s="7" t="inlineStr">
        <is>
          <t>SEM COTAÇÃO</t>
        </is>
      </c>
      <c r="L4224" s="8" t="n"/>
      <c r="M4224" s="12" t="n"/>
      <c r="N4224" s="7" t="inlineStr"/>
      <c r="O4224" s="7" t="inlineStr"/>
    </row>
    <row r="4225">
      <c r="A4225" s="7" t="n">
        <v>619991</v>
      </c>
      <c r="B4225" s="10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1" t="n">
        <v>4</v>
      </c>
      <c r="G4225" s="11" t="n">
        <v>4</v>
      </c>
      <c r="H4225" s="8" t="n">
        <v>6.5767</v>
      </c>
      <c r="I4225" s="8" t="n">
        <v>6.5767</v>
      </c>
      <c r="J4225" s="8" t="n"/>
      <c r="K4225" s="7" t="inlineStr">
        <is>
          <t>SEM COTAÇÃO</t>
        </is>
      </c>
      <c r="L4225" s="8" t="n"/>
      <c r="M4225" s="12" t="n"/>
      <c r="N4225" s="7" t="inlineStr"/>
      <c r="O4225" s="7" t="inlineStr"/>
    </row>
    <row r="4226">
      <c r="A4226" s="7" t="n">
        <v>656951</v>
      </c>
      <c r="B4226" s="10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1" t="n">
        <v>2</v>
      </c>
      <c r="G4226" s="11" t="n">
        <v>2</v>
      </c>
      <c r="H4226" s="8" t="n">
        <v>6.5767</v>
      </c>
      <c r="I4226" s="8" t="n">
        <v>6.5767</v>
      </c>
      <c r="J4226" s="8" t="n"/>
      <c r="K4226" s="7" t="inlineStr">
        <is>
          <t>SEM COTAÇÃO</t>
        </is>
      </c>
      <c r="L4226" s="8" t="n"/>
      <c r="M4226" s="12" t="n"/>
      <c r="N4226" s="7" t="inlineStr"/>
      <c r="O4226" s="7" t="inlineStr"/>
    </row>
    <row r="4227">
      <c r="A4227" s="7" t="n">
        <v>620001</v>
      </c>
      <c r="B4227" s="10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1" t="n">
        <v>5</v>
      </c>
      <c r="G4227" s="11" t="n">
        <v>5</v>
      </c>
      <c r="H4227" s="8" t="n">
        <v>6.5767</v>
      </c>
      <c r="I4227" s="8" t="n">
        <v>6.5767</v>
      </c>
      <c r="J4227" s="8" t="n"/>
      <c r="K4227" s="7" t="inlineStr">
        <is>
          <t>SEM COTAÇÃO</t>
        </is>
      </c>
      <c r="L4227" s="8" t="n"/>
      <c r="M4227" s="12" t="n"/>
      <c r="N4227" s="7" t="inlineStr"/>
      <c r="O4227" s="7" t="inlineStr"/>
    </row>
    <row r="4228">
      <c r="A4228" s="7" t="n">
        <v>609721</v>
      </c>
      <c r="B4228" s="10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1" t="n">
        <v>3</v>
      </c>
      <c r="G4228" s="11" t="n">
        <v>3</v>
      </c>
      <c r="H4228" s="8" t="n">
        <v>6.5767</v>
      </c>
      <c r="I4228" s="8" t="n">
        <v>6.5767</v>
      </c>
      <c r="J4228" s="8" t="n"/>
      <c r="K4228" s="7" t="inlineStr">
        <is>
          <t>SEM COTAÇÃO</t>
        </is>
      </c>
      <c r="L4228" s="8" t="n"/>
      <c r="M4228" s="12" t="n"/>
      <c r="N4228" s="7" t="inlineStr"/>
      <c r="O4228" s="7" t="inlineStr"/>
    </row>
    <row r="4229">
      <c r="A4229" s="7" t="n">
        <v>655781</v>
      </c>
      <c r="B4229" s="10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1" t="n">
        <v>2</v>
      </c>
      <c r="G4229" s="11" t="n">
        <v>2</v>
      </c>
      <c r="H4229" s="8" t="n">
        <v>7.235</v>
      </c>
      <c r="I4229" s="8" t="n">
        <v>6.5767</v>
      </c>
      <c r="J4229" s="8" t="n"/>
      <c r="K4229" s="7" t="inlineStr">
        <is>
          <t>SEM COTAÇÃO</t>
        </is>
      </c>
      <c r="L4229" s="8" t="n"/>
      <c r="M4229" s="12" t="n"/>
      <c r="N4229" s="7" t="inlineStr"/>
      <c r="O4229" s="7" t="inlineStr"/>
    </row>
    <row r="4230">
      <c r="A4230" s="7" t="n">
        <v>609731</v>
      </c>
      <c r="B4230" s="10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1" t="n">
        <v>9</v>
      </c>
      <c r="G4230" s="11" t="n">
        <v>9</v>
      </c>
      <c r="H4230" s="8" t="n">
        <v>6.5767</v>
      </c>
      <c r="I4230" s="8" t="n">
        <v>6.5767</v>
      </c>
      <c r="J4230" s="8" t="n"/>
      <c r="K4230" s="7" t="inlineStr">
        <is>
          <t>SEM COTAÇÃO</t>
        </is>
      </c>
      <c r="L4230" s="8" t="n"/>
      <c r="M4230" s="12" t="n"/>
      <c r="N4230" s="7" t="inlineStr"/>
      <c r="O4230" s="7" t="inlineStr"/>
    </row>
    <row r="4231">
      <c r="A4231" s="7" t="n">
        <v>609741</v>
      </c>
      <c r="B4231" s="10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1" t="n">
        <v>4</v>
      </c>
      <c r="G4231" s="11" t="n">
        <v>4</v>
      </c>
      <c r="H4231" s="8" t="n">
        <v>6.5767</v>
      </c>
      <c r="I4231" s="8" t="n">
        <v>6.5767</v>
      </c>
      <c r="J4231" s="8" t="n"/>
      <c r="K4231" s="7" t="inlineStr">
        <is>
          <t>SEM COTAÇÃO</t>
        </is>
      </c>
      <c r="L4231" s="8" t="n"/>
      <c r="M4231" s="12" t="n"/>
      <c r="N4231" s="7" t="inlineStr"/>
      <c r="O4231" s="7" t="inlineStr"/>
    </row>
    <row r="4232">
      <c r="A4232" s="7" t="n">
        <v>566021</v>
      </c>
      <c r="B4232" s="10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1" t="n">
        <v>1</v>
      </c>
      <c r="G4232" s="11" t="n">
        <v>1</v>
      </c>
      <c r="H4232" s="8" t="n">
        <v>23.5</v>
      </c>
      <c r="I4232" s="8" t="n">
        <v>23.5</v>
      </c>
      <c r="J4232" s="8" t="n"/>
      <c r="K4232" s="7" t="inlineStr">
        <is>
          <t>SEM COTAÇÃO</t>
        </is>
      </c>
      <c r="L4232" s="8" t="n"/>
      <c r="M4232" s="12" t="n"/>
      <c r="N4232" s="7" t="inlineStr"/>
      <c r="O4232" s="7" t="inlineStr"/>
    </row>
    <row r="4233">
      <c r="A4233" s="7" t="n">
        <v>560361</v>
      </c>
      <c r="B4233" s="10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1" t="n">
        <v>1</v>
      </c>
      <c r="G4233" s="11" t="n">
        <v>16</v>
      </c>
      <c r="H4233" s="8" t="n">
        <v>7.6667</v>
      </c>
      <c r="I4233" s="8" t="n">
        <v>7.6667</v>
      </c>
      <c r="J4233" s="8" t="n"/>
      <c r="K4233" s="7" t="inlineStr">
        <is>
          <t>SEM COTAÇÃO</t>
        </is>
      </c>
      <c r="L4233" s="8" t="n"/>
      <c r="M4233" s="12" t="n"/>
      <c r="N4233" s="7" t="inlineStr"/>
      <c r="O4233" s="7" t="inlineStr"/>
    </row>
    <row r="4234">
      <c r="A4234" s="7" t="n">
        <v>560401</v>
      </c>
      <c r="B4234" s="10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1" t="n">
        <v>1</v>
      </c>
      <c r="G4234" s="11" t="n">
        <v>9</v>
      </c>
      <c r="H4234" s="8" t="n">
        <v>7.575</v>
      </c>
      <c r="I4234" s="8" t="n">
        <v>7.575</v>
      </c>
      <c r="J4234" s="8" t="n"/>
      <c r="K4234" s="7" t="inlineStr">
        <is>
          <t>SEM COTAÇÃO</t>
        </is>
      </c>
      <c r="L4234" s="8" t="n"/>
      <c r="M4234" s="12" t="n"/>
      <c r="N4234" s="7" t="inlineStr"/>
      <c r="O4234" s="7" t="inlineStr"/>
    </row>
    <row r="4235">
      <c r="A4235" s="7" t="n">
        <v>560381</v>
      </c>
      <c r="B4235" s="10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1" t="n">
        <v>1</v>
      </c>
      <c r="G4235" s="11" t="n">
        <v>8</v>
      </c>
      <c r="H4235" s="8" t="n">
        <v>3.1111</v>
      </c>
      <c r="I4235" s="8" t="n">
        <v>3.1111</v>
      </c>
      <c r="J4235" s="8" t="n"/>
      <c r="K4235" s="7" t="inlineStr">
        <is>
          <t>SEM COTAÇÃO</t>
        </is>
      </c>
      <c r="L4235" s="8" t="n"/>
      <c r="M4235" s="12" t="n"/>
      <c r="N4235" s="7" t="inlineStr"/>
      <c r="O4235" s="7" t="inlineStr"/>
    </row>
    <row r="4236">
      <c r="A4236" s="7" t="n">
        <v>561941</v>
      </c>
      <c r="B4236" s="10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1" t="n">
        <v>2</v>
      </c>
      <c r="G4236" s="11" t="n">
        <v>2</v>
      </c>
      <c r="H4236" s="8" t="n">
        <v>17</v>
      </c>
      <c r="I4236" s="8" t="n">
        <v>17</v>
      </c>
      <c r="J4236" s="8" t="n"/>
      <c r="K4236" s="7" t="inlineStr">
        <is>
          <t>SEM COTAÇÃO</t>
        </is>
      </c>
      <c r="L4236" s="8" t="n"/>
      <c r="M4236" s="12" t="n"/>
      <c r="N4236" s="7" t="inlineStr"/>
      <c r="O4236" s="7" t="inlineStr"/>
    </row>
    <row r="4237">
      <c r="A4237" s="7" t="n">
        <v>561961</v>
      </c>
      <c r="B4237" s="10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1" t="n">
        <v>5</v>
      </c>
      <c r="G4237" s="11" t="n">
        <v>5</v>
      </c>
      <c r="H4237" s="8" t="n">
        <v>17</v>
      </c>
      <c r="I4237" s="8" t="n">
        <v>17</v>
      </c>
      <c r="J4237" s="8" t="n"/>
      <c r="K4237" s="7" t="inlineStr">
        <is>
          <t>SEM COTAÇÃO</t>
        </is>
      </c>
      <c r="L4237" s="8" t="n"/>
      <c r="M4237" s="12" t="n"/>
      <c r="N4237" s="7" t="inlineStr"/>
      <c r="O4237" s="7" t="inlineStr"/>
    </row>
    <row r="4238">
      <c r="A4238" s="7" t="n">
        <v>561981</v>
      </c>
      <c r="B4238" s="10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1" t="n">
        <v>2</v>
      </c>
      <c r="G4238" s="11" t="n">
        <v>2</v>
      </c>
      <c r="H4238" s="8" t="n">
        <v>23.5</v>
      </c>
      <c r="I4238" s="8" t="n">
        <v>23.5</v>
      </c>
      <c r="J4238" s="8" t="n"/>
      <c r="K4238" s="7" t="inlineStr">
        <is>
          <t>SEM COTAÇÃO</t>
        </is>
      </c>
      <c r="L4238" s="8" t="n"/>
      <c r="M4238" s="12" t="n"/>
      <c r="N4238" s="7" t="inlineStr"/>
      <c r="O4238" s="7" t="inlineStr"/>
    </row>
    <row r="4239">
      <c r="A4239" s="7" t="n">
        <v>562021</v>
      </c>
      <c r="B4239" s="10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1" t="n">
        <v>1</v>
      </c>
      <c r="G4239" s="11" t="n">
        <v>10</v>
      </c>
      <c r="H4239" s="8" t="n">
        <v>7.0625</v>
      </c>
      <c r="I4239" s="8" t="n">
        <v>7.0625</v>
      </c>
      <c r="J4239" s="8" t="n"/>
      <c r="K4239" s="7" t="inlineStr">
        <is>
          <t>SEM COTAÇÃO</t>
        </is>
      </c>
      <c r="L4239" s="8" t="n"/>
      <c r="M4239" s="12" t="n"/>
      <c r="N4239" s="7" t="inlineStr"/>
      <c r="O4239" s="7" t="inlineStr"/>
    </row>
    <row r="4240">
      <c r="A4240" s="7" t="n">
        <v>546981</v>
      </c>
      <c r="B4240" s="10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1" t="n">
        <v>17</v>
      </c>
      <c r="G4240" s="11" t="n">
        <v>17</v>
      </c>
      <c r="H4240" s="8" t="n">
        <v>7.09</v>
      </c>
      <c r="I4240" s="8" t="n">
        <v>6.69</v>
      </c>
      <c r="J4240" s="8" t="n"/>
      <c r="K4240" s="7" t="inlineStr">
        <is>
          <t>SEM COTAÇÃO</t>
        </is>
      </c>
      <c r="L4240" s="8" t="n"/>
      <c r="M4240" s="12" t="n"/>
      <c r="N4240" s="7" t="inlineStr"/>
      <c r="O4240" s="7" t="inlineStr"/>
    </row>
    <row r="4241">
      <c r="A4241" s="7" t="n">
        <v>658091</v>
      </c>
      <c r="B4241" s="10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1" t="n">
        <v>1</v>
      </c>
      <c r="G4241" s="11" t="n">
        <v>1</v>
      </c>
      <c r="H4241" s="8" t="n">
        <v>24.45</v>
      </c>
      <c r="I4241" s="8" t="n">
        <v>18.79</v>
      </c>
      <c r="J4241" s="8" t="n"/>
      <c r="K4241" s="7" t="inlineStr">
        <is>
          <t>SEM COTAÇÃO</t>
        </is>
      </c>
      <c r="L4241" s="8" t="n"/>
      <c r="M4241" s="12" t="n"/>
      <c r="N4241" s="7" t="inlineStr"/>
      <c r="O4241" s="7" t="inlineStr"/>
    </row>
    <row r="4242">
      <c r="A4242" s="7" t="n">
        <v>272541</v>
      </c>
      <c r="B4242" s="10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1" t="n">
        <v>5</v>
      </c>
      <c r="G4242" s="11" t="n">
        <v>5</v>
      </c>
      <c r="H4242" s="8" t="n">
        <v>17.54</v>
      </c>
      <c r="I4242" s="8" t="n">
        <v>17.54</v>
      </c>
      <c r="J4242" s="8" t="n"/>
      <c r="K4242" s="7" t="inlineStr">
        <is>
          <t>SEM COTAÇÃO</t>
        </is>
      </c>
      <c r="L4242" s="8" t="n"/>
      <c r="M4242" s="12" t="n"/>
      <c r="N4242" s="7" t="inlineStr"/>
      <c r="O4242" s="7" t="inlineStr"/>
    </row>
    <row r="4243">
      <c r="A4243" s="7" t="n">
        <v>297921</v>
      </c>
      <c r="B4243" s="10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1" t="n">
        <v>1</v>
      </c>
      <c r="G4243" s="11" t="n">
        <v>1</v>
      </c>
      <c r="H4243" s="8" t="n">
        <v>42.05</v>
      </c>
      <c r="I4243" s="8" t="n">
        <v>36.49</v>
      </c>
      <c r="J4243" s="8" t="n"/>
      <c r="K4243" s="7" t="inlineStr">
        <is>
          <t>SEM COTAÇÃO</t>
        </is>
      </c>
      <c r="L4243" s="8" t="n"/>
      <c r="M4243" s="12" t="n"/>
      <c r="N4243" s="7" t="inlineStr"/>
      <c r="O4243" s="7" t="inlineStr"/>
    </row>
    <row r="4244">
      <c r="A4244" s="7" t="n">
        <v>634611</v>
      </c>
      <c r="B4244" s="10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1" t="n">
        <v>1</v>
      </c>
      <c r="G4244" s="11" t="n">
        <v>1</v>
      </c>
      <c r="H4244" s="8" t="n">
        <v>16.65</v>
      </c>
      <c r="I4244" s="8" t="n">
        <v>16.65</v>
      </c>
      <c r="J4244" s="8" t="n"/>
      <c r="K4244" s="7" t="inlineStr">
        <is>
          <t>SEM COTAÇÃO</t>
        </is>
      </c>
      <c r="L4244" s="8" t="n"/>
      <c r="M4244" s="12" t="n"/>
      <c r="N4244" s="7" t="inlineStr"/>
      <c r="O4244" s="7" t="inlineStr"/>
    </row>
    <row r="4245">
      <c r="A4245" s="7" t="n">
        <v>661151</v>
      </c>
      <c r="B4245" s="10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1" t="n">
        <v>1</v>
      </c>
      <c r="G4245" s="11" t="n">
        <v>1</v>
      </c>
      <c r="H4245" s="8" t="n">
        <v>27.51</v>
      </c>
      <c r="I4245" s="8" t="n">
        <v>27.51</v>
      </c>
      <c r="J4245" s="8" t="n"/>
      <c r="K4245" s="7" t="inlineStr">
        <is>
          <t>SEM COTAÇÃO</t>
        </is>
      </c>
      <c r="L4245" s="8" t="n"/>
      <c r="M4245" s="12" t="n"/>
      <c r="N4245" s="7" t="inlineStr"/>
      <c r="O4245" s="7" t="inlineStr"/>
    </row>
    <row r="4246">
      <c r="A4246" s="7" t="n">
        <v>587281</v>
      </c>
      <c r="B4246" s="10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1" t="n">
        <v>4</v>
      </c>
      <c r="G4246" s="11" t="n">
        <v>14</v>
      </c>
      <c r="H4246" s="8" t="n">
        <v>2.4889</v>
      </c>
      <c r="I4246" s="8" t="n">
        <v>2.2125</v>
      </c>
      <c r="J4246" s="8" t="n"/>
      <c r="K4246" s="7" t="inlineStr">
        <is>
          <t>SEM COTAÇÃO</t>
        </is>
      </c>
      <c r="L4246" s="8" t="n"/>
      <c r="M4246" s="12" t="n"/>
      <c r="N4246" s="7" t="inlineStr"/>
      <c r="O4246" s="7" t="inlineStr"/>
    </row>
    <row r="4247">
      <c r="A4247" s="7" t="n">
        <v>627001</v>
      </c>
      <c r="B4247" s="10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1" t="n">
        <v>1</v>
      </c>
      <c r="G4247" s="11" t="n">
        <v>1</v>
      </c>
      <c r="H4247" s="8" t="n"/>
      <c r="I4247" s="8" t="n"/>
      <c r="J4247" s="8" t="n"/>
      <c r="K4247" s="7" t="inlineStr">
        <is>
          <t>SEM COTAÇÃO</t>
        </is>
      </c>
      <c r="L4247" s="8" t="n"/>
      <c r="M4247" s="12" t="n"/>
      <c r="N4247" s="7" t="inlineStr"/>
      <c r="O4247" s="7" t="inlineStr"/>
    </row>
    <row r="4248">
      <c r="A4248" s="7" t="n">
        <v>3833</v>
      </c>
      <c r="B4248" s="10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1" t="n">
        <v>1</v>
      </c>
      <c r="G4248" s="11" t="n">
        <v>1</v>
      </c>
      <c r="H4248" s="8" t="n">
        <v>2.4</v>
      </c>
      <c r="I4248" s="8" t="n">
        <v>2.2133</v>
      </c>
      <c r="J4248" s="8" t="n"/>
      <c r="K4248" s="7" t="inlineStr">
        <is>
          <t>SEM COTAÇÃO</t>
        </is>
      </c>
      <c r="L4248" s="8" t="n"/>
      <c r="M4248" s="12" t="n"/>
      <c r="N4248" s="7" t="inlineStr"/>
      <c r="O4248" s="7" t="inlineStr"/>
    </row>
    <row r="4249">
      <c r="A4249" s="7" t="n">
        <v>4333</v>
      </c>
      <c r="B4249" s="10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1" t="n">
        <v>1</v>
      </c>
      <c r="G4249" s="11" t="n">
        <v>1</v>
      </c>
      <c r="H4249" s="8" t="n">
        <v>2.2128</v>
      </c>
      <c r="I4249" s="8" t="n">
        <v>2.2128</v>
      </c>
      <c r="J4249" s="8" t="n"/>
      <c r="K4249" s="7" t="inlineStr">
        <is>
          <t>SEM COTAÇÃO</t>
        </is>
      </c>
      <c r="L4249" s="8" t="n"/>
      <c r="M4249" s="12" t="n"/>
      <c r="N4249" s="7" t="inlineStr"/>
      <c r="O4249" s="7" t="inlineStr"/>
    </row>
    <row r="4250">
      <c r="A4250" s="7" t="n">
        <v>526121</v>
      </c>
      <c r="B4250" s="10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1" t="n">
        <v>1</v>
      </c>
      <c r="G4250" s="11" t="n">
        <v>1</v>
      </c>
      <c r="H4250" s="8" t="n">
        <v>48.21</v>
      </c>
      <c r="I4250" s="8" t="n">
        <v>41.29</v>
      </c>
      <c r="J4250" s="8" t="n"/>
      <c r="K4250" s="7" t="inlineStr">
        <is>
          <t>SEM COTAÇÃO</t>
        </is>
      </c>
      <c r="L4250" s="8" t="n"/>
      <c r="M4250" s="12" t="n"/>
      <c r="N4250" s="7" t="inlineStr"/>
      <c r="O4250" s="7" t="inlineStr"/>
    </row>
    <row r="4251">
      <c r="A4251" s="7" t="n">
        <v>625611</v>
      </c>
      <c r="B4251" s="10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1" t="n">
        <v>17</v>
      </c>
      <c r="G4251" s="11" t="n">
        <v>17</v>
      </c>
      <c r="H4251" s="8" t="n">
        <v>2.09</v>
      </c>
      <c r="I4251" s="8" t="n">
        <v>2.09</v>
      </c>
      <c r="J4251" s="8" t="n"/>
      <c r="K4251" s="7" t="inlineStr">
        <is>
          <t>SEM COTAÇÃO</t>
        </is>
      </c>
      <c r="L4251" s="8" t="n"/>
      <c r="M4251" s="12" t="n"/>
      <c r="N4251" s="7" t="inlineStr"/>
      <c r="O4251" s="7" t="inlineStr"/>
    </row>
    <row r="4252">
      <c r="A4252" s="7" t="n">
        <v>211981</v>
      </c>
      <c r="B4252" s="10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1" t="n">
        <v>3</v>
      </c>
      <c r="G4252" s="11" t="n">
        <v>3</v>
      </c>
      <c r="H4252" s="8" t="n">
        <v>15.79</v>
      </c>
      <c r="I4252" s="8" t="n">
        <v>14.6775</v>
      </c>
      <c r="J4252" s="8" t="n"/>
      <c r="K4252" s="7" t="inlineStr">
        <is>
          <t>SEM COTAÇÃO</t>
        </is>
      </c>
      <c r="L4252" s="8" t="n"/>
      <c r="M4252" s="12" t="n"/>
      <c r="N4252" s="7" t="inlineStr"/>
      <c r="O4252" s="7" t="inlineStr"/>
    </row>
    <row r="4253">
      <c r="A4253" s="7" t="n">
        <v>624521</v>
      </c>
      <c r="B4253" s="10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1" t="n">
        <v>8</v>
      </c>
      <c r="G4253" s="11" t="n">
        <v>8</v>
      </c>
      <c r="H4253" s="8" t="n">
        <v>45.8775</v>
      </c>
      <c r="I4253" s="8" t="n">
        <v>44.14</v>
      </c>
      <c r="J4253" s="8" t="n"/>
      <c r="K4253" s="7" t="inlineStr">
        <is>
          <t>SEM COTAÇÃO</t>
        </is>
      </c>
      <c r="L4253" s="8" t="n"/>
      <c r="M4253" s="12" t="n"/>
      <c r="N4253" s="7" t="inlineStr"/>
      <c r="O4253" s="7" t="inlineStr"/>
    </row>
    <row r="4254">
      <c r="A4254" s="7" t="n">
        <v>444541</v>
      </c>
      <c r="B4254" s="10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1" t="n">
        <v>5</v>
      </c>
      <c r="G4254" s="11" t="n">
        <v>5</v>
      </c>
      <c r="H4254" s="8" t="n">
        <v>13.51</v>
      </c>
      <c r="I4254" s="8" t="n">
        <v>13.51</v>
      </c>
      <c r="J4254" s="8" t="n"/>
      <c r="K4254" s="7" t="inlineStr">
        <is>
          <t>SEM COTAÇÃO</t>
        </is>
      </c>
      <c r="L4254" s="8" t="n"/>
      <c r="M4254" s="12" t="n"/>
      <c r="N4254" s="7" t="inlineStr"/>
      <c r="O4254" s="7" t="inlineStr"/>
    </row>
    <row r="4255">
      <c r="A4255" s="7" t="n">
        <v>505781</v>
      </c>
      <c r="B4255" s="10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1" t="n">
        <v>5</v>
      </c>
      <c r="G4255" s="11" t="n">
        <v>5</v>
      </c>
      <c r="H4255" s="8" t="n">
        <v>16.3058</v>
      </c>
      <c r="I4255" s="8" t="n">
        <v>16.3058</v>
      </c>
      <c r="J4255" s="8" t="n"/>
      <c r="K4255" s="7" t="inlineStr">
        <is>
          <t>SEM COTAÇÃO</t>
        </is>
      </c>
      <c r="L4255" s="8" t="n"/>
      <c r="M4255" s="12" t="n"/>
      <c r="N4255" s="7" t="inlineStr"/>
      <c r="O4255" s="7" t="inlineStr"/>
    </row>
    <row r="4256">
      <c r="A4256" s="7" t="n">
        <v>505761</v>
      </c>
      <c r="B4256" s="10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1" t="n">
        <v>1</v>
      </c>
      <c r="G4256" s="11" t="n">
        <v>1</v>
      </c>
      <c r="H4256" s="8" t="n">
        <v>20.52</v>
      </c>
      <c r="I4256" s="8" t="n">
        <v>18.785</v>
      </c>
      <c r="J4256" s="8" t="n"/>
      <c r="K4256" s="7" t="inlineStr">
        <is>
          <t>SEM COTAÇÃO</t>
        </is>
      </c>
      <c r="L4256" s="8" t="n"/>
      <c r="M4256" s="12" t="n"/>
      <c r="N4256" s="7" t="inlineStr"/>
      <c r="O4256" s="7" t="inlineStr"/>
    </row>
    <row r="4257">
      <c r="A4257" s="7" t="n">
        <v>616441</v>
      </c>
      <c r="B4257" s="10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1" t="n">
        <v>1</v>
      </c>
      <c r="G4257" s="11" t="n">
        <v>1</v>
      </c>
      <c r="H4257" s="8" t="n">
        <v>18.99</v>
      </c>
      <c r="I4257" s="8" t="n">
        <v>17.03</v>
      </c>
      <c r="J4257" s="13" t="n">
        <v>0.01</v>
      </c>
      <c r="K4257" s="7" t="inlineStr">
        <is>
          <t>DIMEC</t>
        </is>
      </c>
      <c r="L4257" s="8" t="n">
        <v>0.01</v>
      </c>
      <c r="M4257" s="12">
        <f>L4257/H4257-1</f>
        <v/>
      </c>
      <c r="N4257" s="15" t="inlineStr">
        <is>
          <t>OK (≤ menor hist.)</t>
        </is>
      </c>
      <c r="O4257" s="7" t="inlineStr">
        <is>
          <t>DIMEC: conferir emb.</t>
        </is>
      </c>
    </row>
    <row r="4258">
      <c r="A4258" s="7" t="n">
        <v>16803</v>
      </c>
      <c r="B4258" s="10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1" t="n">
        <v>1</v>
      </c>
      <c r="G4258" s="11" t="n">
        <v>1</v>
      </c>
      <c r="H4258" s="8" t="n">
        <v>15.81</v>
      </c>
      <c r="I4258" s="8" t="n">
        <v>10.4</v>
      </c>
      <c r="J4258" s="8" t="n"/>
      <c r="K4258" s="7" t="inlineStr">
        <is>
          <t>SEM COTAÇÃO</t>
        </is>
      </c>
      <c r="L4258" s="8" t="n"/>
      <c r="M4258" s="12" t="n"/>
      <c r="N4258" s="7" t="inlineStr"/>
      <c r="O4258" s="7" t="inlineStr"/>
    </row>
    <row r="4259">
      <c r="A4259" s="7" t="n">
        <v>618101</v>
      </c>
      <c r="B4259" s="10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1" t="n">
        <v>1</v>
      </c>
      <c r="G4259" s="11" t="n">
        <v>1</v>
      </c>
      <c r="H4259" s="8" t="n">
        <v>2.65</v>
      </c>
      <c r="I4259" s="8" t="n">
        <v>2.65</v>
      </c>
      <c r="J4259" s="8" t="n"/>
      <c r="K4259" s="7" t="inlineStr">
        <is>
          <t>SEM COTAÇÃO</t>
        </is>
      </c>
      <c r="L4259" s="8" t="n"/>
      <c r="M4259" s="12" t="n"/>
      <c r="N4259" s="7" t="inlineStr"/>
      <c r="O4259" s="7" t="inlineStr"/>
    </row>
    <row r="4260">
      <c r="A4260" s="7" t="n">
        <v>618201</v>
      </c>
      <c r="B4260" s="10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1" t="n">
        <v>27</v>
      </c>
      <c r="G4260" s="11" t="n">
        <v>27</v>
      </c>
      <c r="H4260" s="8" t="n">
        <v>2.2633</v>
      </c>
      <c r="I4260" s="8" t="n">
        <v>2.1875</v>
      </c>
      <c r="J4260" s="8" t="n"/>
      <c r="K4260" s="7" t="inlineStr">
        <is>
          <t>SEM COTAÇÃO</t>
        </is>
      </c>
      <c r="L4260" s="8" t="n"/>
      <c r="M4260" s="12" t="n"/>
      <c r="N4260" s="7" t="inlineStr"/>
      <c r="O4260" s="7" t="inlineStr"/>
    </row>
    <row r="4261">
      <c r="A4261" s="7" t="n">
        <v>606051</v>
      </c>
      <c r="B4261" s="10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1" t="n">
        <v>1</v>
      </c>
      <c r="G4261" s="11" t="n">
        <v>15</v>
      </c>
      <c r="H4261" s="8" t="n">
        <v>7.2388</v>
      </c>
      <c r="I4261" s="8" t="n">
        <v>7.2388</v>
      </c>
      <c r="J4261" s="8" t="n"/>
      <c r="K4261" s="7" t="inlineStr">
        <is>
          <t>SEM COTAÇÃO</t>
        </is>
      </c>
      <c r="L4261" s="8" t="n"/>
      <c r="M4261" s="12" t="n"/>
      <c r="N4261" s="7" t="inlineStr"/>
      <c r="O4261" s="7" t="inlineStr"/>
    </row>
    <row r="4262">
      <c r="A4262" s="7" t="n">
        <v>1034</v>
      </c>
      <c r="B4262" s="10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1" t="n">
        <v>1</v>
      </c>
      <c r="G4262" s="11" t="n">
        <v>1</v>
      </c>
      <c r="H4262" s="8" t="n">
        <v>5.615</v>
      </c>
      <c r="I4262" s="8" t="n">
        <v>5.615</v>
      </c>
      <c r="J4262" s="8" t="n"/>
      <c r="K4262" s="7" t="inlineStr">
        <is>
          <t>SEM COTAÇÃO</t>
        </is>
      </c>
      <c r="L4262" s="8" t="n"/>
      <c r="M4262" s="12" t="n"/>
      <c r="N4262" s="7" t="inlineStr"/>
      <c r="O4262" s="7" t="inlineStr"/>
    </row>
    <row r="4263">
      <c r="A4263" s="7" t="n">
        <v>48521</v>
      </c>
      <c r="B4263" s="10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1" t="n">
        <v>1</v>
      </c>
      <c r="G4263" s="11" t="n">
        <v>1</v>
      </c>
      <c r="H4263" s="8" t="n">
        <v>7.9267</v>
      </c>
      <c r="I4263" s="8" t="n">
        <v>7.9267</v>
      </c>
      <c r="J4263" s="8" t="n"/>
      <c r="K4263" s="7" t="inlineStr">
        <is>
          <t>SEM COTAÇÃO</t>
        </is>
      </c>
      <c r="L4263" s="8" t="n"/>
      <c r="M4263" s="12" t="n"/>
      <c r="N4263" s="7" t="inlineStr"/>
      <c r="O4263" s="7" t="inlineStr"/>
    </row>
    <row r="4264">
      <c r="A4264" s="7" t="n">
        <v>691001</v>
      </c>
      <c r="B4264" s="10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1" t="n">
        <v>9</v>
      </c>
      <c r="G4264" s="11" t="n">
        <v>9</v>
      </c>
      <c r="H4264" s="8" t="n">
        <v>4.04</v>
      </c>
      <c r="I4264" s="8" t="n">
        <v>4.04</v>
      </c>
      <c r="J4264" s="13" t="n">
        <v>4.04</v>
      </c>
      <c r="K4264" s="7" t="inlineStr">
        <is>
          <t>DIMEC</t>
        </is>
      </c>
      <c r="L4264" s="8" t="n">
        <v>4.04</v>
      </c>
      <c r="M4264" s="12">
        <f>L4264/H4264-1</f>
        <v/>
      </c>
      <c r="N4264" s="15" t="inlineStr">
        <is>
          <t>OK (≤ menor hist.)</t>
        </is>
      </c>
      <c r="O4264" s="7" t="inlineStr"/>
    </row>
    <row r="4265">
      <c r="A4265" s="7" t="n">
        <v>3593</v>
      </c>
      <c r="B4265" s="10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1" t="n">
        <v>3</v>
      </c>
      <c r="G4265" s="11" t="n">
        <v>3</v>
      </c>
      <c r="H4265" s="8" t="n">
        <v>2.69</v>
      </c>
      <c r="I4265" s="8" t="n">
        <v>2.69</v>
      </c>
      <c r="J4265" s="13" t="n">
        <v>2.69</v>
      </c>
      <c r="K4265" s="7" t="inlineStr">
        <is>
          <t>DIMEC</t>
        </is>
      </c>
      <c r="L4265" s="8" t="n">
        <v>2.69</v>
      </c>
      <c r="M4265" s="12">
        <f>L4265/H4265-1</f>
        <v/>
      </c>
      <c r="N4265" s="15" t="inlineStr">
        <is>
          <t>OK (≤ menor hist.)</t>
        </is>
      </c>
      <c r="O4265" s="7" t="inlineStr"/>
    </row>
    <row r="4266">
      <c r="A4266" s="7" t="n">
        <v>548381</v>
      </c>
      <c r="B4266" s="10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1" t="n">
        <v>7</v>
      </c>
      <c r="G4266" s="11" t="n">
        <v>7</v>
      </c>
      <c r="H4266" s="8" t="n">
        <v>4.37</v>
      </c>
      <c r="I4266" s="8" t="n">
        <v>4.37</v>
      </c>
      <c r="J4266" s="13" t="n">
        <v>4.37</v>
      </c>
      <c r="K4266" s="7" t="inlineStr">
        <is>
          <t>DIMEC</t>
        </is>
      </c>
      <c r="L4266" s="8" t="n">
        <v>4.37</v>
      </c>
      <c r="M4266" s="12">
        <f>L4266/H4266-1</f>
        <v/>
      </c>
      <c r="N4266" s="15" t="inlineStr">
        <is>
          <t>OK (≤ menor hist.)</t>
        </is>
      </c>
      <c r="O4266" s="7" t="inlineStr"/>
    </row>
    <row r="4267">
      <c r="A4267" s="7" t="n">
        <v>639001</v>
      </c>
      <c r="B4267" s="10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1" t="n">
        <v>1</v>
      </c>
      <c r="G4267" s="11" t="n">
        <v>1</v>
      </c>
      <c r="H4267" s="8" t="n">
        <v>6.3</v>
      </c>
      <c r="I4267" s="8" t="n">
        <v>6.3</v>
      </c>
      <c r="J4267" s="8" t="n"/>
      <c r="K4267" s="7" t="inlineStr">
        <is>
          <t>SEM COTAÇÃO</t>
        </is>
      </c>
      <c r="L4267" s="8" t="n"/>
      <c r="M4267" s="12" t="n"/>
      <c r="N4267" s="7" t="inlineStr"/>
      <c r="O4267" s="7" t="inlineStr"/>
    </row>
    <row r="4268">
      <c r="A4268" s="7" t="n">
        <v>612291</v>
      </c>
      <c r="B4268" s="10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1" t="n">
        <v>3</v>
      </c>
      <c r="G4268" s="11" t="n">
        <v>3</v>
      </c>
      <c r="H4268" s="8" t="n">
        <v>3.17</v>
      </c>
      <c r="I4268" s="8" t="n">
        <v>3.08</v>
      </c>
      <c r="J4268" s="13" t="n">
        <v>3.29</v>
      </c>
      <c r="K4268" s="7" t="inlineStr">
        <is>
          <t>DIMEC</t>
        </is>
      </c>
      <c r="L4268" s="8" t="n">
        <v>3.29</v>
      </c>
      <c r="M4268" s="12">
        <f>L4268/H4268-1</f>
        <v/>
      </c>
      <c r="N4268" s="14" t="inlineStr">
        <is>
          <t>ACIMA +3.8%</t>
        </is>
      </c>
      <c r="O4268" s="7" t="inlineStr"/>
    </row>
    <row r="4269">
      <c r="A4269" s="7" t="n">
        <v>445201</v>
      </c>
      <c r="B4269" s="10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1" t="n">
        <v>2</v>
      </c>
      <c r="G4269" s="11" t="n">
        <v>2</v>
      </c>
      <c r="H4269" s="8" t="n">
        <v>28.8</v>
      </c>
      <c r="I4269" s="8" t="n">
        <v>24.6367</v>
      </c>
      <c r="J4269" s="8" t="n"/>
      <c r="K4269" s="7" t="inlineStr">
        <is>
          <t>SEM COTAÇÃO</t>
        </is>
      </c>
      <c r="L4269" s="8" t="n"/>
      <c r="M4269" s="12" t="n"/>
      <c r="N4269" s="7" t="inlineStr"/>
      <c r="O4269" s="7" t="inlineStr"/>
    </row>
    <row r="4270">
      <c r="A4270" s="7" t="n">
        <v>445261</v>
      </c>
      <c r="B4270" s="10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1" t="n">
        <v>2</v>
      </c>
      <c r="G4270" s="11" t="n">
        <v>2</v>
      </c>
      <c r="H4270" s="8" t="n">
        <v>35.42</v>
      </c>
      <c r="I4270" s="8" t="n">
        <v>32.86</v>
      </c>
      <c r="J4270" s="8" t="n"/>
      <c r="K4270" s="7" t="inlineStr">
        <is>
          <t>SEM COTAÇÃO</t>
        </is>
      </c>
      <c r="L4270" s="8" t="n"/>
      <c r="M4270" s="12" t="n"/>
      <c r="N4270" s="7" t="inlineStr"/>
      <c r="O4270" s="7" t="inlineStr"/>
    </row>
    <row r="4271">
      <c r="A4271" s="7" t="n">
        <v>636811</v>
      </c>
      <c r="B4271" s="10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1" t="n">
        <v>5</v>
      </c>
      <c r="G4271" s="11" t="n">
        <v>5</v>
      </c>
      <c r="H4271" s="8" t="n">
        <v>20.64</v>
      </c>
      <c r="I4271" s="8" t="n">
        <v>18.92</v>
      </c>
      <c r="J4271" s="8" t="n"/>
      <c r="K4271" s="7" t="inlineStr">
        <is>
          <t>SEM COTAÇÃO</t>
        </is>
      </c>
      <c r="L4271" s="8" t="n"/>
      <c r="M4271" s="12" t="n"/>
      <c r="N4271" s="7" t="inlineStr"/>
      <c r="O4271" s="7" t="inlineStr"/>
    </row>
    <row r="4272">
      <c r="A4272" s="7" t="n">
        <v>636821</v>
      </c>
      <c r="B4272" s="10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1" t="n">
        <v>1</v>
      </c>
      <c r="G4272" s="11" t="n">
        <v>1</v>
      </c>
      <c r="H4272" s="8" t="n">
        <v>18.0233</v>
      </c>
      <c r="I4272" s="8" t="n">
        <v>18.0233</v>
      </c>
      <c r="J4272" s="8" t="n"/>
      <c r="K4272" s="7" t="inlineStr">
        <is>
          <t>SEM COTAÇÃO</t>
        </is>
      </c>
      <c r="L4272" s="8" t="n"/>
      <c r="M4272" s="12" t="n"/>
      <c r="N4272" s="7" t="inlineStr"/>
      <c r="O4272" s="7" t="inlineStr"/>
    </row>
    <row r="4273">
      <c r="A4273" s="7" t="n">
        <v>605081</v>
      </c>
      <c r="B4273" s="10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1" t="n">
        <v>1</v>
      </c>
      <c r="G4273" s="11" t="n">
        <v>1</v>
      </c>
      <c r="H4273" s="8" t="n">
        <v>12.6617</v>
      </c>
      <c r="I4273" s="8" t="n">
        <v>12.6617</v>
      </c>
      <c r="J4273" s="8" t="n"/>
      <c r="K4273" s="7" t="inlineStr">
        <is>
          <t>SEM COTAÇÃO</t>
        </is>
      </c>
      <c r="L4273" s="8" t="n"/>
      <c r="M4273" s="12" t="n"/>
      <c r="N4273" s="7" t="inlineStr"/>
      <c r="O4273" s="7" t="inlineStr"/>
    </row>
    <row r="4274">
      <c r="A4274" s="7" t="n">
        <v>413961</v>
      </c>
      <c r="B4274" s="10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1" t="n">
        <v>1</v>
      </c>
      <c r="G4274" s="11" t="n">
        <v>1</v>
      </c>
      <c r="H4274" s="8" t="n">
        <v>28.86</v>
      </c>
      <c r="I4274" s="8" t="n">
        <v>25.705</v>
      </c>
      <c r="J4274" s="8" t="n"/>
      <c r="K4274" s="7" t="inlineStr">
        <is>
          <t>SEM COTAÇÃO</t>
        </is>
      </c>
      <c r="L4274" s="8" t="n"/>
      <c r="M4274" s="12" t="n"/>
      <c r="N4274" s="7" t="inlineStr"/>
      <c r="O4274" s="7" t="inlineStr"/>
    </row>
    <row r="4275">
      <c r="A4275" s="7" t="n">
        <v>539601</v>
      </c>
      <c r="B4275" s="10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1" t="n">
        <v>1</v>
      </c>
      <c r="G4275" s="11" t="n">
        <v>1</v>
      </c>
      <c r="H4275" s="8" t="n">
        <v>52.81</v>
      </c>
      <c r="I4275" s="8" t="n">
        <v>46.18</v>
      </c>
      <c r="J4275" s="8" t="n"/>
      <c r="K4275" s="7" t="inlineStr">
        <is>
          <t>SEM COTAÇÃO</t>
        </is>
      </c>
      <c r="L4275" s="8" t="n"/>
      <c r="M4275" s="12" t="n"/>
      <c r="N4275" s="7" t="inlineStr"/>
      <c r="O4275" s="7" t="inlineStr"/>
    </row>
    <row r="4276">
      <c r="A4276" s="7" t="n">
        <v>586261</v>
      </c>
      <c r="B4276" s="10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1" t="n">
        <v>5</v>
      </c>
      <c r="G4276" s="11" t="n">
        <v>5</v>
      </c>
      <c r="H4276" s="8" t="n">
        <v>4.09</v>
      </c>
      <c r="I4276" s="8" t="n">
        <v>4.09</v>
      </c>
      <c r="J4276" s="8" t="n"/>
      <c r="K4276" s="7" t="inlineStr">
        <is>
          <t>SEM COTAÇÃO</t>
        </is>
      </c>
      <c r="L4276" s="8" t="n"/>
      <c r="M4276" s="12" t="n"/>
      <c r="N4276" s="7" t="inlineStr"/>
      <c r="O4276" s="7" t="inlineStr"/>
    </row>
    <row r="4277">
      <c r="A4277" s="7" t="n">
        <v>600111</v>
      </c>
      <c r="B4277" s="10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1" t="n">
        <v>1</v>
      </c>
      <c r="G4277" s="11" t="n">
        <v>1</v>
      </c>
      <c r="H4277" s="8" t="n">
        <v>9.7042</v>
      </c>
      <c r="I4277" s="8" t="n">
        <v>8.369999999999999</v>
      </c>
      <c r="J4277" s="8" t="n"/>
      <c r="K4277" s="7" t="inlineStr">
        <is>
          <t>SEM COTAÇÃO</t>
        </is>
      </c>
      <c r="L4277" s="8" t="n"/>
      <c r="M4277" s="12" t="n"/>
      <c r="N4277" s="7" t="inlineStr"/>
      <c r="O4277" s="7" t="inlineStr"/>
    </row>
    <row r="4278">
      <c r="A4278" s="7" t="n">
        <v>628561</v>
      </c>
      <c r="B4278" s="10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1" t="n">
        <v>5</v>
      </c>
      <c r="G4278" s="11" t="n">
        <v>5</v>
      </c>
      <c r="H4278" s="8" t="n">
        <v>9.7042</v>
      </c>
      <c r="I4278" s="8" t="n">
        <v>8.369999999999999</v>
      </c>
      <c r="J4278" s="8" t="n"/>
      <c r="K4278" s="7" t="inlineStr">
        <is>
          <t>SEM COTAÇÃO</t>
        </is>
      </c>
      <c r="L4278" s="8" t="n"/>
      <c r="M4278" s="12" t="n"/>
      <c r="N4278" s="7" t="inlineStr"/>
      <c r="O4278" s="7" t="inlineStr"/>
    </row>
    <row r="4279">
      <c r="A4279" s="7" t="n">
        <v>600121</v>
      </c>
      <c r="B4279" s="10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1" t="n">
        <v>4</v>
      </c>
      <c r="G4279" s="11" t="n">
        <v>4</v>
      </c>
      <c r="H4279" s="8" t="n">
        <v>9.7042</v>
      </c>
      <c r="I4279" s="8" t="n">
        <v>9.300000000000001</v>
      </c>
      <c r="J4279" s="8" t="n"/>
      <c r="K4279" s="7" t="inlineStr">
        <is>
          <t>SEM COTAÇÃO</t>
        </is>
      </c>
      <c r="L4279" s="8" t="n"/>
      <c r="M4279" s="12" t="n"/>
      <c r="N4279" s="7" t="inlineStr"/>
      <c r="O4279" s="7" t="inlineStr"/>
    </row>
    <row r="4280">
      <c r="A4280" s="7" t="n">
        <v>608191</v>
      </c>
      <c r="B4280" s="10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1" t="n">
        <v>2</v>
      </c>
      <c r="G4280" s="11" t="n">
        <v>2</v>
      </c>
      <c r="H4280" s="8" t="n">
        <v>9.31</v>
      </c>
      <c r="I4280" s="8" t="n">
        <v>9.31</v>
      </c>
      <c r="J4280" s="8" t="n"/>
      <c r="K4280" s="7" t="inlineStr">
        <is>
          <t>SEM COTAÇÃO</t>
        </is>
      </c>
      <c r="L4280" s="8" t="n"/>
      <c r="M4280" s="12" t="n"/>
      <c r="N4280" s="7" t="inlineStr"/>
      <c r="O4280" s="7" t="inlineStr"/>
    </row>
    <row r="4281">
      <c r="A4281" s="7" t="n">
        <v>638751</v>
      </c>
      <c r="B4281" s="10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1" t="n">
        <v>1</v>
      </c>
      <c r="G4281" s="11" t="n">
        <v>1</v>
      </c>
      <c r="H4281" s="8" t="n"/>
      <c r="I4281" s="8" t="n"/>
      <c r="J4281" s="8" t="n"/>
      <c r="K4281" s="7" t="inlineStr">
        <is>
          <t>SEM COTAÇÃO</t>
        </is>
      </c>
      <c r="L4281" s="8" t="n"/>
      <c r="M4281" s="12" t="n"/>
      <c r="N4281" s="7" t="inlineStr"/>
      <c r="O4281" s="7" t="inlineStr"/>
    </row>
    <row r="4282">
      <c r="A4282" s="7" t="n">
        <v>601961</v>
      </c>
      <c r="B4282" s="10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1" t="n">
        <v>4</v>
      </c>
      <c r="G4282" s="11" t="n">
        <v>4</v>
      </c>
      <c r="H4282" s="8" t="n">
        <v>10.59</v>
      </c>
      <c r="I4282" s="8" t="n">
        <v>10.5</v>
      </c>
      <c r="J4282" s="8" t="n"/>
      <c r="K4282" s="7" t="inlineStr">
        <is>
          <t>SEM COTAÇÃO</t>
        </is>
      </c>
      <c r="L4282" s="8" t="n"/>
      <c r="M4282" s="12" t="n"/>
      <c r="N4282" s="7" t="inlineStr"/>
      <c r="O4282" s="7" t="inlineStr"/>
    </row>
    <row r="4283">
      <c r="A4283" s="7" t="n">
        <v>585961</v>
      </c>
      <c r="B4283" s="10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1" t="n">
        <v>1</v>
      </c>
      <c r="G4283" s="11" t="n">
        <v>1</v>
      </c>
      <c r="H4283" s="8" t="n">
        <v>7.83</v>
      </c>
      <c r="I4283" s="8" t="n">
        <v>7.83</v>
      </c>
      <c r="J4283" s="8" t="n"/>
      <c r="K4283" s="7" t="inlineStr">
        <is>
          <t>SEM COTAÇÃO</t>
        </is>
      </c>
      <c r="L4283" s="8" t="n"/>
      <c r="M4283" s="12" t="n"/>
      <c r="N4283" s="7" t="inlineStr"/>
      <c r="O4283" s="7" t="inlineStr"/>
    </row>
    <row r="4284">
      <c r="A4284" s="7" t="n">
        <v>585981</v>
      </c>
      <c r="B4284" s="10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1" t="n">
        <v>2</v>
      </c>
      <c r="G4284" s="11" t="n">
        <v>2</v>
      </c>
      <c r="H4284" s="8" t="n">
        <v>8.19</v>
      </c>
      <c r="I4284" s="8" t="n">
        <v>8.19</v>
      </c>
      <c r="J4284" s="8" t="n"/>
      <c r="K4284" s="7" t="inlineStr">
        <is>
          <t>SEM COTAÇÃO</t>
        </is>
      </c>
      <c r="L4284" s="8" t="n"/>
      <c r="M4284" s="12" t="n"/>
      <c r="N4284" s="7" t="inlineStr"/>
      <c r="O4284" s="7" t="inlineStr"/>
    </row>
    <row r="4285">
      <c r="A4285" s="7" t="n">
        <v>585881</v>
      </c>
      <c r="B4285" s="10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1" t="n">
        <v>1</v>
      </c>
      <c r="G4285" s="11" t="n">
        <v>1</v>
      </c>
      <c r="H4285" s="8" t="n">
        <v>9.140000000000001</v>
      </c>
      <c r="I4285" s="8" t="n">
        <v>9.140000000000001</v>
      </c>
      <c r="J4285" s="8" t="n"/>
      <c r="K4285" s="7" t="inlineStr">
        <is>
          <t>SEM COTAÇÃO</t>
        </is>
      </c>
      <c r="L4285" s="8" t="n"/>
      <c r="M4285" s="12" t="n"/>
      <c r="N4285" s="7" t="inlineStr"/>
      <c r="O4285" s="7" t="inlineStr"/>
    </row>
    <row r="4286">
      <c r="A4286" s="7" t="n">
        <v>586041</v>
      </c>
      <c r="B4286" s="10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1" t="n">
        <v>1</v>
      </c>
      <c r="G4286" s="11" t="n">
        <v>1</v>
      </c>
      <c r="H4286" s="8" t="n">
        <v>16.84</v>
      </c>
      <c r="I4286" s="8" t="n">
        <v>16.84</v>
      </c>
      <c r="J4286" s="8" t="n"/>
      <c r="K4286" s="7" t="inlineStr">
        <is>
          <t>SEM COTAÇÃO</t>
        </is>
      </c>
      <c r="L4286" s="8" t="n"/>
      <c r="M4286" s="12" t="n"/>
      <c r="N4286" s="7" t="inlineStr"/>
      <c r="O4286" s="7" t="inlineStr"/>
    </row>
    <row r="4287">
      <c r="A4287" s="7" t="n">
        <v>586061</v>
      </c>
      <c r="B4287" s="10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1" t="n">
        <v>1</v>
      </c>
      <c r="G4287" s="11" t="n">
        <v>1</v>
      </c>
      <c r="H4287" s="8" t="n">
        <v>16.84</v>
      </c>
      <c r="I4287" s="8" t="n">
        <v>16.84</v>
      </c>
      <c r="J4287" s="8" t="n"/>
      <c r="K4287" s="7" t="inlineStr">
        <is>
          <t>SEM COTAÇÃO</t>
        </is>
      </c>
      <c r="L4287" s="8" t="n"/>
      <c r="M4287" s="12" t="n"/>
      <c r="N4287" s="7" t="inlineStr"/>
      <c r="O4287" s="7" t="inlineStr"/>
    </row>
    <row r="4288">
      <c r="A4288" s="7" t="n">
        <v>494421</v>
      </c>
      <c r="B4288" s="10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1" t="n">
        <v>36</v>
      </c>
      <c r="G4288" s="11" t="n">
        <v>36</v>
      </c>
      <c r="H4288" s="8" t="n">
        <v>1.55</v>
      </c>
      <c r="I4288" s="8" t="n">
        <v>1.46</v>
      </c>
      <c r="J4288" s="8" t="n"/>
      <c r="K4288" s="7" t="inlineStr">
        <is>
          <t>SEM COTAÇÃO</t>
        </is>
      </c>
      <c r="L4288" s="8" t="n"/>
      <c r="M4288" s="12" t="n"/>
      <c r="N4288" s="7" t="inlineStr"/>
      <c r="O4288" s="7" t="inlineStr"/>
    </row>
    <row r="4289">
      <c r="A4289" s="7" t="n">
        <v>457261</v>
      </c>
      <c r="B4289" s="10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1" t="n">
        <v>2</v>
      </c>
      <c r="G4289" s="11" t="n">
        <v>2</v>
      </c>
      <c r="H4289" s="8" t="n">
        <v>3.74</v>
      </c>
      <c r="I4289" s="8" t="n">
        <v>3.74</v>
      </c>
      <c r="J4289" s="13" t="n">
        <v>3.74</v>
      </c>
      <c r="K4289" s="7" t="inlineStr">
        <is>
          <t>DIMEC</t>
        </is>
      </c>
      <c r="L4289" s="8" t="n">
        <v>3.74</v>
      </c>
      <c r="M4289" s="12">
        <f>L4289/H4289-1</f>
        <v/>
      </c>
      <c r="N4289" s="15" t="inlineStr">
        <is>
          <t>OK (≤ menor hist.)</t>
        </is>
      </c>
      <c r="O4289" s="7" t="inlineStr"/>
    </row>
    <row r="4290">
      <c r="A4290" s="7" t="n">
        <v>494361</v>
      </c>
      <c r="B4290" s="10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1" t="n">
        <v>18</v>
      </c>
      <c r="G4290" s="11" t="n">
        <v>18</v>
      </c>
      <c r="H4290" s="8" t="n">
        <v>3.38</v>
      </c>
      <c r="I4290" s="8" t="n">
        <v>3.25</v>
      </c>
      <c r="J4290" s="8" t="n"/>
      <c r="K4290" s="7" t="inlineStr">
        <is>
          <t>SEM COTAÇÃO</t>
        </is>
      </c>
      <c r="L4290" s="8" t="n"/>
      <c r="M4290" s="12" t="n"/>
      <c r="N4290" s="7" t="inlineStr"/>
      <c r="O4290" s="7" t="inlineStr"/>
    </row>
    <row r="4291">
      <c r="A4291" s="7" t="n">
        <v>647511</v>
      </c>
      <c r="B4291" s="10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1" t="n">
        <v>5</v>
      </c>
      <c r="G4291" s="11" t="n">
        <v>5</v>
      </c>
      <c r="H4291" s="8" t="n">
        <v>9.869999999999999</v>
      </c>
      <c r="I4291" s="8" t="n">
        <v>9.869999999999999</v>
      </c>
      <c r="J4291" s="8" t="n"/>
      <c r="K4291" s="7" t="inlineStr">
        <is>
          <t>SEM COTAÇÃO</t>
        </is>
      </c>
      <c r="L4291" s="8" t="n"/>
      <c r="M4291" s="12" t="n"/>
      <c r="N4291" s="7" t="inlineStr"/>
      <c r="O4291" s="7" t="inlineStr"/>
    </row>
    <row r="4292">
      <c r="A4292" s="7" t="n">
        <v>534801</v>
      </c>
      <c r="B4292" s="10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1" t="n">
        <v>19</v>
      </c>
      <c r="G4292" s="11" t="n">
        <v>19</v>
      </c>
      <c r="H4292" s="8" t="n">
        <v>3.99</v>
      </c>
      <c r="I4292" s="8" t="n">
        <v>3.78</v>
      </c>
      <c r="J4292" s="8" t="n"/>
      <c r="K4292" s="7" t="inlineStr">
        <is>
          <t>SEM COTAÇÃO</t>
        </is>
      </c>
      <c r="L4292" s="8" t="n"/>
      <c r="M4292" s="12" t="n"/>
      <c r="N4292" s="7" t="inlineStr"/>
      <c r="O4292" s="7" t="inlineStr"/>
    </row>
    <row r="4293">
      <c r="A4293" s="7" t="n">
        <v>559661</v>
      </c>
      <c r="B4293" s="10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1" t="n">
        <v>29</v>
      </c>
      <c r="G4293" s="11" t="n">
        <v>29</v>
      </c>
      <c r="H4293" s="8" t="n">
        <v>5.19</v>
      </c>
      <c r="I4293" s="8" t="n">
        <v>4.53</v>
      </c>
      <c r="J4293" s="8" t="n"/>
      <c r="K4293" s="7" t="inlineStr">
        <is>
          <t>SEM COTAÇÃO</t>
        </is>
      </c>
      <c r="L4293" s="8" t="n"/>
      <c r="M4293" s="12" t="n"/>
      <c r="N4293" s="7" t="inlineStr"/>
      <c r="O4293" s="7" t="inlineStr"/>
    </row>
    <row r="4294">
      <c r="A4294" s="7" t="n">
        <v>617111</v>
      </c>
      <c r="B4294" s="10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1" t="n">
        <v>1</v>
      </c>
      <c r="G4294" s="11" t="n">
        <v>1</v>
      </c>
      <c r="H4294" s="8" t="n">
        <v>16.1917</v>
      </c>
      <c r="I4294" s="8" t="n">
        <v>16.1917</v>
      </c>
      <c r="J4294" s="8" t="n"/>
      <c r="K4294" s="7" t="inlineStr">
        <is>
          <t>SEM COTAÇÃO</t>
        </is>
      </c>
      <c r="L4294" s="8" t="n"/>
      <c r="M4294" s="12" t="n"/>
      <c r="N4294" s="7" t="inlineStr"/>
      <c r="O4294" s="7" t="inlineStr"/>
    </row>
    <row r="4295">
      <c r="A4295" s="7" t="n">
        <v>637901</v>
      </c>
      <c r="B4295" s="10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1" t="n">
        <v>1</v>
      </c>
      <c r="G4295" s="11" t="n">
        <v>1</v>
      </c>
      <c r="H4295" s="8" t="n">
        <v>31.365</v>
      </c>
      <c r="I4295" s="8" t="n">
        <v>31.365</v>
      </c>
      <c r="J4295" s="8" t="n"/>
      <c r="K4295" s="7" t="inlineStr">
        <is>
          <t>SEM COTAÇÃO</t>
        </is>
      </c>
      <c r="L4295" s="8" t="n"/>
      <c r="M4295" s="12" t="n"/>
      <c r="N4295" s="7" t="inlineStr"/>
      <c r="O4295" s="7" t="inlineStr"/>
    </row>
    <row r="4296">
      <c r="A4296" s="7" t="n">
        <v>540761</v>
      </c>
      <c r="B4296" s="10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1" t="n">
        <v>12</v>
      </c>
      <c r="G4296" s="11" t="n">
        <v>12</v>
      </c>
      <c r="H4296" s="8" t="n">
        <v>10.8358</v>
      </c>
      <c r="I4296" s="8" t="n">
        <v>10.8358</v>
      </c>
      <c r="J4296" s="8" t="n"/>
      <c r="K4296" s="7" t="inlineStr">
        <is>
          <t>SEM COTAÇÃO</t>
        </is>
      </c>
      <c r="L4296" s="8" t="n"/>
      <c r="M4296" s="12" t="n"/>
      <c r="N4296" s="7" t="inlineStr"/>
      <c r="O4296" s="7" t="inlineStr"/>
    </row>
    <row r="4297">
      <c r="A4297" s="7" t="n">
        <v>667201</v>
      </c>
      <c r="B4297" s="10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1" t="n">
        <v>2</v>
      </c>
      <c r="G4297" s="11" t="n">
        <v>2</v>
      </c>
      <c r="H4297" s="8" t="n">
        <v>7.11</v>
      </c>
      <c r="I4297" s="8" t="n">
        <v>7.11</v>
      </c>
      <c r="J4297" s="8" t="n"/>
      <c r="K4297" s="7" t="inlineStr">
        <is>
          <t>SEM COTAÇÃO</t>
        </is>
      </c>
      <c r="L4297" s="8" t="n"/>
      <c r="M4297" s="12" t="n"/>
      <c r="N4297" s="7" t="inlineStr"/>
      <c r="O4297" s="7" t="inlineStr"/>
    </row>
    <row r="4298">
      <c r="A4298" s="7" t="n">
        <v>667211</v>
      </c>
      <c r="B4298" s="10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1" t="n">
        <v>2</v>
      </c>
      <c r="G4298" s="11" t="n">
        <v>2</v>
      </c>
      <c r="H4298" s="8" t="n">
        <v>5.44</v>
      </c>
      <c r="I4298" s="8" t="n">
        <v>5.44</v>
      </c>
      <c r="J4298" s="8" t="n"/>
      <c r="K4298" s="7" t="inlineStr">
        <is>
          <t>SEM COTAÇÃO</t>
        </is>
      </c>
      <c r="L4298" s="8" t="n"/>
      <c r="M4298" s="12" t="n"/>
      <c r="N4298" s="7" t="inlineStr"/>
      <c r="O4298" s="7" t="inlineStr"/>
    </row>
    <row r="4299">
      <c r="A4299" s="7" t="n">
        <v>655681</v>
      </c>
      <c r="B4299" s="10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1" t="n">
        <v>3</v>
      </c>
      <c r="G4299" s="11" t="n">
        <v>3</v>
      </c>
      <c r="H4299" s="8" t="n">
        <v>10.04</v>
      </c>
      <c r="I4299" s="8" t="n">
        <v>10.04</v>
      </c>
      <c r="J4299" s="8" t="n"/>
      <c r="K4299" s="7" t="inlineStr">
        <is>
          <t>SEM COTAÇÃO</t>
        </is>
      </c>
      <c r="L4299" s="8" t="n"/>
      <c r="M4299" s="12" t="n"/>
      <c r="N4299" s="7" t="inlineStr"/>
      <c r="O4299" s="7" t="inlineStr"/>
    </row>
    <row r="4300">
      <c r="A4300" s="7" t="n">
        <v>655691</v>
      </c>
      <c r="B4300" s="10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1" t="n">
        <v>3</v>
      </c>
      <c r="G4300" s="11" t="n">
        <v>3</v>
      </c>
      <c r="H4300" s="8" t="n">
        <v>10.04</v>
      </c>
      <c r="I4300" s="8" t="n">
        <v>10.04</v>
      </c>
      <c r="J4300" s="8" t="n"/>
      <c r="K4300" s="7" t="inlineStr">
        <is>
          <t>SEM COTAÇÃO</t>
        </is>
      </c>
      <c r="L4300" s="8" t="n"/>
      <c r="M4300" s="12" t="n"/>
      <c r="N4300" s="7" t="inlineStr"/>
      <c r="O4300" s="7" t="inlineStr"/>
    </row>
    <row r="4301">
      <c r="A4301" s="7" t="n">
        <v>663411</v>
      </c>
      <c r="B4301" s="10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1" t="n">
        <v>1</v>
      </c>
      <c r="G4301" s="11" t="n">
        <v>1</v>
      </c>
      <c r="H4301" s="8" t="n">
        <v>10.04</v>
      </c>
      <c r="I4301" s="8" t="n">
        <v>10.04</v>
      </c>
      <c r="J4301" s="8" t="n"/>
      <c r="K4301" s="7" t="inlineStr">
        <is>
          <t>SEM COTAÇÃO</t>
        </is>
      </c>
      <c r="L4301" s="8" t="n"/>
      <c r="M4301" s="12" t="n"/>
      <c r="N4301" s="7" t="inlineStr"/>
      <c r="O4301" s="7" t="inlineStr"/>
    </row>
    <row r="4302">
      <c r="A4302" s="7" t="n">
        <v>634101</v>
      </c>
      <c r="B4302" s="10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1" t="n">
        <v>3</v>
      </c>
      <c r="G4302" s="11" t="n">
        <v>3</v>
      </c>
      <c r="H4302" s="8" t="n">
        <v>22.87</v>
      </c>
      <c r="I4302" s="8" t="n">
        <v>17.9567</v>
      </c>
      <c r="J4302" s="8" t="n"/>
      <c r="K4302" s="7" t="inlineStr">
        <is>
          <t>SEM COTAÇÃO</t>
        </is>
      </c>
      <c r="L4302" s="8" t="n"/>
      <c r="M4302" s="12" t="n"/>
      <c r="N4302" s="7" t="inlineStr"/>
      <c r="O4302" s="7" t="inlineStr"/>
    </row>
    <row r="4303">
      <c r="A4303" s="7" t="n">
        <v>642701</v>
      </c>
      <c r="B4303" s="10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1" t="n">
        <v>4</v>
      </c>
      <c r="G4303" s="11" t="n">
        <v>4</v>
      </c>
      <c r="H4303" s="8" t="n">
        <v>2.64</v>
      </c>
      <c r="I4303" s="8" t="n">
        <v>2.64</v>
      </c>
      <c r="J4303" s="8" t="n"/>
      <c r="K4303" s="7" t="inlineStr">
        <is>
          <t>SEM COTAÇÃO</t>
        </is>
      </c>
      <c r="L4303" s="8" t="n"/>
      <c r="M4303" s="12" t="n"/>
      <c r="N4303" s="7" t="inlineStr"/>
      <c r="O4303" s="7" t="inlineStr"/>
    </row>
    <row r="4304">
      <c r="A4304" s="7" t="n">
        <v>553381</v>
      </c>
      <c r="B4304" s="10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1" t="n">
        <v>1</v>
      </c>
      <c r="G4304" s="11" t="n">
        <v>1</v>
      </c>
      <c r="H4304" s="8" t="n">
        <v>7.79</v>
      </c>
      <c r="I4304" s="8" t="n">
        <v>7.79</v>
      </c>
      <c r="J4304" s="8" t="n"/>
      <c r="K4304" s="7" t="inlineStr">
        <is>
          <t>SEM COTAÇÃO</t>
        </is>
      </c>
      <c r="L4304" s="8" t="n"/>
      <c r="M4304" s="12" t="n"/>
      <c r="N4304" s="7" t="inlineStr"/>
      <c r="O4304" s="7" t="inlineStr"/>
    </row>
    <row r="4305">
      <c r="A4305" s="7" t="n">
        <v>577041</v>
      </c>
      <c r="B4305" s="10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1" t="n">
        <v>6</v>
      </c>
      <c r="G4305" s="11" t="n">
        <v>6</v>
      </c>
      <c r="H4305" s="8" t="n">
        <v>14.56</v>
      </c>
      <c r="I4305" s="8" t="n">
        <v>12.29</v>
      </c>
      <c r="J4305" s="8" t="n"/>
      <c r="K4305" s="7" t="inlineStr">
        <is>
          <t>SEM COTAÇÃO</t>
        </is>
      </c>
      <c r="L4305" s="8" t="n"/>
      <c r="M4305" s="12" t="n"/>
      <c r="N4305" s="7" t="inlineStr"/>
      <c r="O4305" s="7" t="inlineStr"/>
    </row>
    <row r="4306">
      <c r="A4306" s="7" t="n">
        <v>579601</v>
      </c>
      <c r="B4306" s="10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1" t="n">
        <v>2</v>
      </c>
      <c r="G4306" s="11" t="n">
        <v>19</v>
      </c>
      <c r="H4306" s="8" t="n">
        <v>2.8727</v>
      </c>
      <c r="I4306" s="8" t="n">
        <v>2.8442</v>
      </c>
      <c r="J4306" s="8" t="n"/>
      <c r="K4306" s="7" t="inlineStr">
        <is>
          <t>SEM COTAÇÃO</t>
        </is>
      </c>
      <c r="L4306" s="8" t="n"/>
      <c r="M4306" s="12" t="n"/>
      <c r="N4306" s="7" t="inlineStr"/>
      <c r="O4306" s="7" t="inlineStr"/>
    </row>
    <row r="4307">
      <c r="A4307" s="7" t="n">
        <v>580061</v>
      </c>
      <c r="B4307" s="10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1" t="n">
        <v>9</v>
      </c>
      <c r="G4307" s="11" t="n">
        <v>9</v>
      </c>
      <c r="H4307" s="8" t="n"/>
      <c r="I4307" s="8" t="n"/>
      <c r="J4307" s="8" t="n"/>
      <c r="K4307" s="7" t="inlineStr">
        <is>
          <t>SEM COTAÇÃO</t>
        </is>
      </c>
      <c r="L4307" s="8" t="n"/>
      <c r="M4307" s="12" t="n"/>
      <c r="N4307" s="7" t="inlineStr"/>
      <c r="O4307" s="7" t="inlineStr"/>
    </row>
    <row r="4308">
      <c r="A4308" s="7" t="n">
        <v>597351</v>
      </c>
      <c r="B4308" s="10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1" t="n">
        <v>1</v>
      </c>
      <c r="G4308" s="11" t="n">
        <v>4</v>
      </c>
      <c r="H4308" s="8" t="n">
        <v>2.93</v>
      </c>
      <c r="I4308" s="8" t="n">
        <v>2.8442</v>
      </c>
      <c r="J4308" s="8" t="n"/>
      <c r="K4308" s="7" t="inlineStr">
        <is>
          <t>SEM COTAÇÃO</t>
        </is>
      </c>
      <c r="L4308" s="8" t="n"/>
      <c r="M4308" s="12" t="n"/>
      <c r="N4308" s="7" t="inlineStr"/>
      <c r="O4308" s="7" t="inlineStr"/>
    </row>
    <row r="4309">
      <c r="A4309" s="7" t="n">
        <v>595831</v>
      </c>
      <c r="B4309" s="10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1" t="n">
        <v>1</v>
      </c>
      <c r="G4309" s="11" t="n">
        <v>7</v>
      </c>
      <c r="H4309" s="8" t="n">
        <v>4.3222</v>
      </c>
      <c r="I4309" s="8" t="n">
        <v>4.3222</v>
      </c>
      <c r="J4309" s="8" t="n"/>
      <c r="K4309" s="7" t="inlineStr">
        <is>
          <t>SEM COTAÇÃO</t>
        </is>
      </c>
      <c r="L4309" s="8" t="n"/>
      <c r="M4309" s="12" t="n"/>
      <c r="N4309" s="7" t="inlineStr"/>
      <c r="O4309" s="7" t="inlineStr"/>
    </row>
    <row r="4310">
      <c r="A4310" s="7" t="n">
        <v>595821</v>
      </c>
      <c r="B4310" s="10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1" t="n">
        <v>1</v>
      </c>
      <c r="G4310" s="11" t="n">
        <v>13</v>
      </c>
      <c r="H4310" s="8" t="n">
        <v>2.93</v>
      </c>
      <c r="I4310" s="8" t="n">
        <v>2.8442</v>
      </c>
      <c r="J4310" s="8" t="n"/>
      <c r="K4310" s="7" t="inlineStr">
        <is>
          <t>SEM COTAÇÃO</t>
        </is>
      </c>
      <c r="L4310" s="8" t="n"/>
      <c r="M4310" s="12" t="n"/>
      <c r="N4310" s="7" t="inlineStr"/>
      <c r="O4310" s="7" t="inlineStr"/>
    </row>
    <row r="4311">
      <c r="A4311" s="7" t="n">
        <v>623421</v>
      </c>
      <c r="B4311" s="10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1" t="n">
        <v>1</v>
      </c>
      <c r="G4311" s="11" t="n">
        <v>12</v>
      </c>
      <c r="H4311" s="8" t="n">
        <v>2.93</v>
      </c>
      <c r="I4311" s="8" t="n">
        <v>2.8442</v>
      </c>
      <c r="J4311" s="8" t="n"/>
      <c r="K4311" s="7" t="inlineStr">
        <is>
          <t>SEM COTAÇÃO</t>
        </is>
      </c>
      <c r="L4311" s="8" t="n"/>
      <c r="M4311" s="12" t="n"/>
      <c r="N4311" s="7" t="inlineStr"/>
      <c r="O4311" s="7" t="inlineStr"/>
    </row>
    <row r="4312">
      <c r="A4312" s="7" t="n">
        <v>590641</v>
      </c>
      <c r="B4312" s="10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1" t="n">
        <v>1</v>
      </c>
      <c r="G4312" s="11" t="n">
        <v>1</v>
      </c>
      <c r="H4312" s="8" t="n">
        <v>7.7375</v>
      </c>
      <c r="I4312" s="8" t="n">
        <v>7.7375</v>
      </c>
      <c r="J4312" s="8" t="n"/>
      <c r="K4312" s="7" t="inlineStr">
        <is>
          <t>SEM COTAÇÃO</t>
        </is>
      </c>
      <c r="L4312" s="8" t="n"/>
      <c r="M4312" s="12" t="n"/>
      <c r="N4312" s="7" t="inlineStr"/>
      <c r="O4312" s="7" t="inlineStr"/>
    </row>
    <row r="4313">
      <c r="A4313" s="7" t="n">
        <v>637801</v>
      </c>
      <c r="B4313" s="10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1" t="n">
        <v>1</v>
      </c>
      <c r="G4313" s="11" t="n">
        <v>6</v>
      </c>
      <c r="H4313" s="8" t="n">
        <v>8.449199999999999</v>
      </c>
      <c r="I4313" s="8" t="n">
        <v>8.4483</v>
      </c>
      <c r="J4313" s="8" t="n"/>
      <c r="K4313" s="7" t="inlineStr">
        <is>
          <t>SEM COTAÇÃO</t>
        </is>
      </c>
      <c r="L4313" s="8" t="n"/>
      <c r="M4313" s="12" t="n"/>
      <c r="N4313" s="7" t="inlineStr"/>
      <c r="O4313" s="7" t="inlineStr"/>
    </row>
    <row r="4314">
      <c r="A4314" s="7" t="n">
        <v>645201</v>
      </c>
      <c r="B4314" s="10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1" t="n">
        <v>4</v>
      </c>
      <c r="G4314" s="11" t="n">
        <v>4</v>
      </c>
      <c r="H4314" s="8" t="n">
        <v>29.1975</v>
      </c>
      <c r="I4314" s="8" t="n">
        <v>26.225</v>
      </c>
      <c r="J4314" s="8" t="n"/>
      <c r="K4314" s="7" t="inlineStr">
        <is>
          <t>SEM COTAÇÃO</t>
        </is>
      </c>
      <c r="L4314" s="8" t="n"/>
      <c r="M4314" s="12" t="n"/>
      <c r="N4314" s="7" t="inlineStr"/>
      <c r="O4314" s="7" t="inlineStr"/>
    </row>
    <row r="4315">
      <c r="A4315" s="7" t="n">
        <v>572301</v>
      </c>
      <c r="B4315" s="10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1" t="n">
        <v>4</v>
      </c>
      <c r="G4315" s="11" t="n">
        <v>4</v>
      </c>
      <c r="H4315" s="8" t="n">
        <v>30.3333</v>
      </c>
      <c r="I4315" s="8" t="n">
        <v>11.3522</v>
      </c>
      <c r="J4315" s="8" t="n"/>
      <c r="K4315" s="7" t="inlineStr">
        <is>
          <t>SEM COTAÇÃO</t>
        </is>
      </c>
      <c r="L4315" s="8" t="n"/>
      <c r="M4315" s="12" t="n"/>
      <c r="N4315" s="7" t="inlineStr"/>
      <c r="O4315" s="7" t="inlineStr"/>
    </row>
    <row r="4316">
      <c r="A4316" s="7" t="n">
        <v>201</v>
      </c>
      <c r="B4316" s="10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1" t="n">
        <v>26</v>
      </c>
      <c r="G4316" s="11" t="n">
        <v>26</v>
      </c>
      <c r="H4316" s="8" t="n">
        <v>3.91</v>
      </c>
      <c r="I4316" s="8" t="n">
        <v>3.77</v>
      </c>
      <c r="J4316" s="13" t="n">
        <v>4.26</v>
      </c>
      <c r="K4316" s="7" t="inlineStr">
        <is>
          <t>DIMEC</t>
        </is>
      </c>
      <c r="L4316" s="8" t="n">
        <v>4.26</v>
      </c>
      <c r="M4316" s="12">
        <f>L4316/H4316-1</f>
        <v/>
      </c>
      <c r="N4316" s="14" t="inlineStr">
        <is>
          <t>ACIMA +9.0%</t>
        </is>
      </c>
      <c r="O4316" s="7" t="inlineStr"/>
    </row>
    <row r="4317">
      <c r="A4317" s="7" t="n">
        <v>82461</v>
      </c>
      <c r="B4317" s="10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1" t="n">
        <v>6</v>
      </c>
      <c r="G4317" s="11" t="n">
        <v>6</v>
      </c>
      <c r="H4317" s="8" t="n">
        <v>7.95</v>
      </c>
      <c r="I4317" s="8" t="n">
        <v>7.95</v>
      </c>
      <c r="J4317" s="13" t="n">
        <v>8.68</v>
      </c>
      <c r="K4317" s="7" t="inlineStr">
        <is>
          <t>DIMEC</t>
        </is>
      </c>
      <c r="L4317" s="8" t="n">
        <v>8.68</v>
      </c>
      <c r="M4317" s="12">
        <f>L4317/H4317-1</f>
        <v/>
      </c>
      <c r="N4317" s="14" t="inlineStr">
        <is>
          <t>ACIMA +9.2%</t>
        </is>
      </c>
      <c r="O4317" s="7" t="inlineStr"/>
    </row>
    <row r="4318">
      <c r="A4318" s="7" t="n">
        <v>658821</v>
      </c>
      <c r="B4318" s="10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1" t="n">
        <v>1</v>
      </c>
      <c r="G4318" s="11" t="n">
        <v>1</v>
      </c>
      <c r="H4318" s="8" t="n">
        <v>24.99</v>
      </c>
      <c r="I4318" s="8" t="n">
        <v>24.99</v>
      </c>
      <c r="J4318" s="8" t="n"/>
      <c r="K4318" s="7" t="inlineStr">
        <is>
          <t>SEM COTAÇÃO</t>
        </is>
      </c>
      <c r="L4318" s="8" t="n"/>
      <c r="M4318" s="12" t="n"/>
      <c r="N4318" s="7" t="inlineStr"/>
      <c r="O4318" s="7" t="inlineStr"/>
    </row>
    <row r="4319">
      <c r="A4319" s="7" t="n">
        <v>658831</v>
      </c>
      <c r="B4319" s="10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1" t="n">
        <v>1</v>
      </c>
      <c r="G4319" s="11" t="n">
        <v>1</v>
      </c>
      <c r="H4319" s="8" t="n">
        <v>13.99</v>
      </c>
      <c r="I4319" s="8" t="n">
        <v>13.99</v>
      </c>
      <c r="J4319" s="8" t="n"/>
      <c r="K4319" s="7" t="inlineStr">
        <is>
          <t>SEM COTAÇÃO</t>
        </is>
      </c>
      <c r="L4319" s="8" t="n"/>
      <c r="M4319" s="12" t="n"/>
      <c r="N4319" s="7" t="inlineStr"/>
      <c r="O4319" s="7" t="inlineStr"/>
    </row>
    <row r="4320">
      <c r="A4320" s="7" t="n">
        <v>455901</v>
      </c>
      <c r="B4320" s="10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1" t="n">
        <v>1</v>
      </c>
      <c r="G4320" s="11" t="n">
        <v>1</v>
      </c>
      <c r="H4320" s="8" t="n">
        <v>72.27</v>
      </c>
      <c r="I4320" s="8" t="n">
        <v>72.27</v>
      </c>
      <c r="J4320" s="8" t="n"/>
      <c r="K4320" s="7" t="inlineStr">
        <is>
          <t>SEM COTAÇÃO</t>
        </is>
      </c>
      <c r="L4320" s="8" t="n"/>
      <c r="M4320" s="12" t="n"/>
      <c r="N4320" s="7" t="inlineStr"/>
      <c r="O4320" s="7" t="inlineStr"/>
    </row>
    <row r="4321">
      <c r="A4321" s="7" t="n">
        <v>455861</v>
      </c>
      <c r="B4321" s="10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1" t="n">
        <v>1</v>
      </c>
      <c r="G4321" s="11" t="n">
        <v>1</v>
      </c>
      <c r="H4321" s="8" t="n">
        <v>72.27500000000001</v>
      </c>
      <c r="I4321" s="8" t="n">
        <v>72.27500000000001</v>
      </c>
      <c r="J4321" s="8" t="n"/>
      <c r="K4321" s="7" t="inlineStr">
        <is>
          <t>SEM COTAÇÃO</t>
        </is>
      </c>
      <c r="L4321" s="8" t="n"/>
      <c r="M4321" s="12" t="n"/>
      <c r="N4321" s="7" t="inlineStr"/>
      <c r="O4321" s="7" t="inlineStr"/>
    </row>
    <row r="4322">
      <c r="A4322" s="7" t="n">
        <v>345721</v>
      </c>
      <c r="B4322" s="10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1" t="n">
        <v>9</v>
      </c>
      <c r="G4322" s="11" t="n">
        <v>9</v>
      </c>
      <c r="H4322" s="8" t="n">
        <v>31.91</v>
      </c>
      <c r="I4322" s="8" t="n">
        <v>27.316</v>
      </c>
      <c r="J4322" s="8" t="n"/>
      <c r="K4322" s="7" t="inlineStr">
        <is>
          <t>SEM COTAÇÃO</t>
        </is>
      </c>
      <c r="L4322" s="8" t="n"/>
      <c r="M4322" s="12" t="n"/>
      <c r="N4322" s="7" t="inlineStr"/>
      <c r="O4322" s="7" t="inlineStr"/>
    </row>
    <row r="4323">
      <c r="A4323" s="7" t="n">
        <v>460261</v>
      </c>
      <c r="B4323" s="10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1" t="n">
        <v>1</v>
      </c>
      <c r="G4323" s="11" t="n">
        <v>1</v>
      </c>
      <c r="H4323" s="8" t="n">
        <v>41.255</v>
      </c>
      <c r="I4323" s="8" t="n">
        <v>41.255</v>
      </c>
      <c r="J4323" s="13" t="n">
        <v>49.73</v>
      </c>
      <c r="K4323" s="7" t="inlineStr">
        <is>
          <t>DIMEC</t>
        </is>
      </c>
      <c r="L4323" s="8" t="n">
        <v>49.73</v>
      </c>
      <c r="M4323" s="12">
        <f>L4323/H4323-1</f>
        <v/>
      </c>
      <c r="N4323" s="14" t="inlineStr">
        <is>
          <t>ACIMA +20.5%</t>
        </is>
      </c>
      <c r="O4323" s="7" t="inlineStr"/>
    </row>
    <row r="4324">
      <c r="A4324" s="7" t="n">
        <v>461121</v>
      </c>
      <c r="B4324" s="10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1" t="n">
        <v>1</v>
      </c>
      <c r="G4324" s="11" t="n">
        <v>1</v>
      </c>
      <c r="H4324" s="8" t="n">
        <v>6.4</v>
      </c>
      <c r="I4324" s="8" t="n">
        <v>6.4</v>
      </c>
      <c r="J4324" s="8" t="n"/>
      <c r="K4324" s="7" t="inlineStr">
        <is>
          <t>SEM COTAÇÃO</t>
        </is>
      </c>
      <c r="L4324" s="8" t="n"/>
      <c r="M4324" s="12" t="n"/>
      <c r="N4324" s="7" t="inlineStr"/>
      <c r="O4324" s="7" t="inlineStr"/>
    </row>
    <row r="4325">
      <c r="A4325" s="7" t="n">
        <v>651771</v>
      </c>
      <c r="B4325" s="10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1" t="n">
        <v>1</v>
      </c>
      <c r="G4325" s="11" t="n">
        <v>1</v>
      </c>
      <c r="H4325" s="8" t="n">
        <v>9.18</v>
      </c>
      <c r="I4325" s="8" t="n">
        <v>9.18</v>
      </c>
      <c r="J4325" s="8" t="n"/>
      <c r="K4325" s="7" t="inlineStr">
        <is>
          <t>SEM COTAÇÃO</t>
        </is>
      </c>
      <c r="L4325" s="8" t="n"/>
      <c r="M4325" s="12" t="n"/>
      <c r="N4325" s="7" t="inlineStr"/>
      <c r="O4325" s="7" t="inlineStr"/>
    </row>
    <row r="4326">
      <c r="A4326" s="7" t="n">
        <v>636481</v>
      </c>
      <c r="B4326" s="10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1" t="n">
        <v>2</v>
      </c>
      <c r="G4326" s="11" t="n">
        <v>2</v>
      </c>
      <c r="H4326" s="8" t="n">
        <v>4.31</v>
      </c>
      <c r="I4326" s="8" t="n">
        <v>4.31</v>
      </c>
      <c r="J4326" s="8" t="n"/>
      <c r="K4326" s="7" t="inlineStr">
        <is>
          <t>SEM COTAÇÃO</t>
        </is>
      </c>
      <c r="L4326" s="8" t="n"/>
      <c r="M4326" s="12" t="n"/>
      <c r="N4326" s="7" t="inlineStr"/>
      <c r="O4326" s="7" t="inlineStr"/>
    </row>
    <row r="4327">
      <c r="A4327" s="7" t="n">
        <v>614131</v>
      </c>
      <c r="B4327" s="10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1" t="n">
        <v>1</v>
      </c>
      <c r="G4327" s="11" t="n">
        <v>1</v>
      </c>
      <c r="H4327" s="8" t="n">
        <v>8.67</v>
      </c>
      <c r="I4327" s="8" t="n">
        <v>8.67</v>
      </c>
      <c r="J4327" s="8" t="n"/>
      <c r="K4327" s="7" t="inlineStr">
        <is>
          <t>SEM COTAÇÃO</t>
        </is>
      </c>
      <c r="L4327" s="8" t="n"/>
      <c r="M4327" s="12" t="n"/>
      <c r="N4327" s="7" t="inlineStr"/>
      <c r="O4327" s="7" t="inlineStr"/>
    </row>
    <row r="4328">
      <c r="A4328" s="7" t="n">
        <v>621841</v>
      </c>
      <c r="B4328" s="10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1" t="n">
        <v>2</v>
      </c>
      <c r="G4328" s="11" t="n">
        <v>2</v>
      </c>
      <c r="H4328" s="8" t="n">
        <v>16.76</v>
      </c>
      <c r="I4328" s="8" t="n">
        <v>16.76</v>
      </c>
      <c r="J4328" s="8" t="n"/>
      <c r="K4328" s="7" t="inlineStr">
        <is>
          <t>SEM COTAÇÃO</t>
        </is>
      </c>
      <c r="L4328" s="8" t="n"/>
      <c r="M4328" s="12" t="n"/>
      <c r="N4328" s="7" t="inlineStr"/>
      <c r="O4328" s="7" t="inlineStr"/>
    </row>
    <row r="4329">
      <c r="A4329" s="7" t="n">
        <v>621831</v>
      </c>
      <c r="B4329" s="10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1" t="n">
        <v>2</v>
      </c>
      <c r="G4329" s="11" t="n">
        <v>2</v>
      </c>
      <c r="H4329" s="8" t="n">
        <v>17.31</v>
      </c>
      <c r="I4329" s="8" t="n">
        <v>17.31</v>
      </c>
      <c r="J4329" s="8" t="n"/>
      <c r="K4329" s="7" t="inlineStr">
        <is>
          <t>SEM COTAÇÃO</t>
        </is>
      </c>
      <c r="L4329" s="8" t="n"/>
      <c r="M4329" s="12" t="n"/>
      <c r="N4329" s="7" t="inlineStr"/>
      <c r="O4329" s="7" t="inlineStr"/>
    </row>
    <row r="4330">
      <c r="A4330" s="7" t="n">
        <v>575621</v>
      </c>
      <c r="B4330" s="10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1" t="n">
        <v>1</v>
      </c>
      <c r="G4330" s="11" t="n">
        <v>1</v>
      </c>
      <c r="H4330" s="8" t="n">
        <v>7.79</v>
      </c>
      <c r="I4330" s="8" t="n">
        <v>7.79</v>
      </c>
      <c r="J4330" s="8" t="n"/>
      <c r="K4330" s="7" t="inlineStr">
        <is>
          <t>SEM COTAÇÃO</t>
        </is>
      </c>
      <c r="L4330" s="8" t="n"/>
      <c r="M4330" s="12" t="n"/>
      <c r="N4330" s="7" t="inlineStr"/>
      <c r="O4330" s="7" t="inlineStr"/>
    </row>
    <row r="4331">
      <c r="A4331" s="7" t="n">
        <v>180421</v>
      </c>
      <c r="B4331" s="10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1" t="n">
        <v>1</v>
      </c>
      <c r="G4331" s="11" t="n">
        <v>1</v>
      </c>
      <c r="H4331" s="8" t="n">
        <v>73.98999999999999</v>
      </c>
      <c r="I4331" s="8" t="n">
        <v>54.77</v>
      </c>
      <c r="J4331" s="8" t="n"/>
      <c r="K4331" s="7" t="inlineStr">
        <is>
          <t>SEM COTAÇÃO</t>
        </is>
      </c>
      <c r="L4331" s="8" t="n"/>
      <c r="M4331" s="12" t="n"/>
      <c r="N4331" s="7" t="inlineStr"/>
      <c r="O4331" s="7" t="inlineStr"/>
    </row>
    <row r="4332">
      <c r="A4332" s="7" t="n">
        <v>670121</v>
      </c>
      <c r="B4332" s="10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1" t="n">
        <v>1</v>
      </c>
      <c r="G4332" s="11" t="n">
        <v>1</v>
      </c>
      <c r="H4332" s="8" t="n"/>
      <c r="I4332" s="8" t="n"/>
      <c r="J4332" s="8" t="n"/>
      <c r="K4332" s="7" t="inlineStr">
        <is>
          <t>SEM COTAÇÃO</t>
        </is>
      </c>
      <c r="L4332" s="8" t="n"/>
      <c r="M4332" s="12" t="n"/>
      <c r="N4332" s="7" t="inlineStr"/>
      <c r="O4332" s="7" t="inlineStr"/>
    </row>
    <row r="4333">
      <c r="A4333" s="7" t="n">
        <v>601291</v>
      </c>
      <c r="B4333" s="10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1" t="n">
        <v>1</v>
      </c>
      <c r="G4333" s="11" t="n">
        <v>1</v>
      </c>
      <c r="H4333" s="8" t="n">
        <v>12.56</v>
      </c>
      <c r="I4333" s="8" t="n">
        <v>12.56</v>
      </c>
      <c r="J4333" s="13" t="n">
        <v>13.33</v>
      </c>
      <c r="K4333" s="7" t="inlineStr">
        <is>
          <t>DIMEC</t>
        </is>
      </c>
      <c r="L4333" s="8" t="n">
        <v>13.33</v>
      </c>
      <c r="M4333" s="12">
        <f>L4333/H4333-1</f>
        <v/>
      </c>
      <c r="N4333" s="14" t="inlineStr">
        <is>
          <t>ACIMA +6.1%</t>
        </is>
      </c>
      <c r="O4333" s="7" t="inlineStr"/>
    </row>
    <row r="4334">
      <c r="A4334" s="7" t="n">
        <v>670111</v>
      </c>
      <c r="B4334" s="10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1" t="n">
        <v>8</v>
      </c>
      <c r="G4334" s="11" t="n">
        <v>8</v>
      </c>
      <c r="H4334" s="8" t="n">
        <v>9.69</v>
      </c>
      <c r="I4334" s="8" t="n">
        <v>9.69</v>
      </c>
      <c r="J4334" s="8" t="n"/>
      <c r="K4334" s="7" t="inlineStr">
        <is>
          <t>SEM COTAÇÃO</t>
        </is>
      </c>
      <c r="L4334" s="8" t="n"/>
      <c r="M4334" s="12" t="n"/>
      <c r="N4334" s="7" t="inlineStr"/>
      <c r="O4334" s="7" t="inlineStr"/>
    </row>
    <row r="4335">
      <c r="A4335" s="7" t="n">
        <v>578801</v>
      </c>
      <c r="B4335" s="10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1" t="n">
        <v>1</v>
      </c>
      <c r="G4335" s="11" t="n">
        <v>1</v>
      </c>
      <c r="H4335" s="8" t="n">
        <v>12.59</v>
      </c>
      <c r="I4335" s="8" t="n">
        <v>12.59</v>
      </c>
      <c r="J4335" s="13" t="n">
        <v>11.88</v>
      </c>
      <c r="K4335" s="7" t="inlineStr">
        <is>
          <t>DIMEC</t>
        </is>
      </c>
      <c r="L4335" s="8" t="n">
        <v>11.88</v>
      </c>
      <c r="M4335" s="12">
        <f>L4335/H4335-1</f>
        <v/>
      </c>
      <c r="N4335" s="15" t="inlineStr">
        <is>
          <t>OK (≤ menor hist.)</t>
        </is>
      </c>
      <c r="O4335" s="7" t="inlineStr"/>
    </row>
    <row r="4336">
      <c r="A4336" s="7" t="n">
        <v>651041</v>
      </c>
      <c r="B4336" s="10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1" t="n">
        <v>5</v>
      </c>
      <c r="G4336" s="11" t="n">
        <v>5</v>
      </c>
      <c r="H4336" s="8" t="n">
        <v>10.32</v>
      </c>
      <c r="I4336" s="8" t="n">
        <v>7.9875</v>
      </c>
      <c r="J4336" s="8" t="n"/>
      <c r="K4336" s="7" t="inlineStr">
        <is>
          <t>SEM COTAÇÃO</t>
        </is>
      </c>
      <c r="L4336" s="8" t="n"/>
      <c r="M4336" s="12" t="n"/>
      <c r="N4336" s="7" t="inlineStr"/>
      <c r="O4336" s="7" t="inlineStr"/>
    </row>
    <row r="4337">
      <c r="A4337" s="7" t="n">
        <v>602751</v>
      </c>
      <c r="B4337" s="10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1" t="n">
        <v>1</v>
      </c>
      <c r="G4337" s="11" t="n">
        <v>1</v>
      </c>
      <c r="H4337" s="8" t="n">
        <v>225.58</v>
      </c>
      <c r="I4337" s="8" t="n">
        <v>225.58</v>
      </c>
      <c r="J4337" s="8" t="n"/>
      <c r="K4337" s="7" t="inlineStr">
        <is>
          <t>SEM COTAÇÃO</t>
        </is>
      </c>
      <c r="L4337" s="8" t="n"/>
      <c r="M4337" s="12" t="n"/>
      <c r="N4337" s="7" t="inlineStr"/>
      <c r="O4337" s="7" t="inlineStr"/>
    </row>
    <row r="4338">
      <c r="A4338" s="7" t="n">
        <v>543341</v>
      </c>
      <c r="B4338" s="10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1" t="n">
        <v>1</v>
      </c>
      <c r="G4338" s="11" t="n">
        <v>1</v>
      </c>
      <c r="H4338" s="8" t="n">
        <v>12.59</v>
      </c>
      <c r="I4338" s="8" t="n">
        <v>12.59</v>
      </c>
      <c r="J4338" s="13" t="n">
        <v>13.33</v>
      </c>
      <c r="K4338" s="7" t="inlineStr">
        <is>
          <t>DIMEC</t>
        </is>
      </c>
      <c r="L4338" s="8" t="n">
        <v>13.33</v>
      </c>
      <c r="M4338" s="12">
        <f>L4338/H4338-1</f>
        <v/>
      </c>
      <c r="N4338" s="14" t="inlineStr">
        <is>
          <t>ACIMA +5.9%</t>
        </is>
      </c>
      <c r="O4338" s="7" t="inlineStr"/>
    </row>
    <row r="4339">
      <c r="A4339" s="7" t="n">
        <v>543361</v>
      </c>
      <c r="B4339" s="10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1" t="n">
        <v>1</v>
      </c>
      <c r="G4339" s="11" t="n">
        <v>1</v>
      </c>
      <c r="H4339" s="8" t="n">
        <v>12.59</v>
      </c>
      <c r="I4339" s="8" t="n">
        <v>12.59</v>
      </c>
      <c r="J4339" s="13" t="n">
        <v>13.33</v>
      </c>
      <c r="K4339" s="7" t="inlineStr">
        <is>
          <t>DIMEC</t>
        </is>
      </c>
      <c r="L4339" s="8" t="n">
        <v>13.33</v>
      </c>
      <c r="M4339" s="12">
        <f>L4339/H4339-1</f>
        <v/>
      </c>
      <c r="N4339" s="14" t="inlineStr">
        <is>
          <t>ACIMA +5.9%</t>
        </is>
      </c>
      <c r="O4339" s="7" t="inlineStr"/>
    </row>
    <row r="4340">
      <c r="A4340" s="7" t="n">
        <v>532641</v>
      </c>
      <c r="B4340" s="10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1" t="n">
        <v>4</v>
      </c>
      <c r="G4340" s="11" t="n">
        <v>4</v>
      </c>
      <c r="H4340" s="8" t="n">
        <v>1.69</v>
      </c>
      <c r="I4340" s="8" t="n">
        <v>1.69</v>
      </c>
      <c r="J4340" s="13" t="n">
        <v>1.69</v>
      </c>
      <c r="K4340" s="7" t="inlineStr">
        <is>
          <t>DIMEC</t>
        </is>
      </c>
      <c r="L4340" s="8" t="n">
        <v>1.69</v>
      </c>
      <c r="M4340" s="12">
        <f>L4340/H4340-1</f>
        <v/>
      </c>
      <c r="N4340" s="15" t="inlineStr">
        <is>
          <t>OK (≤ menor hist.)</t>
        </is>
      </c>
      <c r="O4340" s="7" t="inlineStr"/>
    </row>
    <row r="4341">
      <c r="A4341" s="7" t="n">
        <v>572341</v>
      </c>
      <c r="B4341" s="10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1" t="n">
        <v>1</v>
      </c>
      <c r="G4341" s="11" t="n">
        <v>1</v>
      </c>
      <c r="H4341" s="8" t="n">
        <v>38.38</v>
      </c>
      <c r="I4341" s="8" t="n">
        <v>37.55</v>
      </c>
      <c r="J4341" s="8" t="n"/>
      <c r="K4341" s="7" t="inlineStr">
        <is>
          <t>SEM COTAÇÃO</t>
        </is>
      </c>
      <c r="L4341" s="8" t="n"/>
      <c r="M4341" s="12" t="n"/>
      <c r="N4341" s="7" t="inlineStr"/>
      <c r="O4341" s="7" t="inlineStr"/>
    </row>
    <row r="4342">
      <c r="A4342" s="7" t="n">
        <v>632761</v>
      </c>
      <c r="B4342" s="10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1" t="n">
        <v>3</v>
      </c>
      <c r="G4342" s="11" t="n">
        <v>3</v>
      </c>
      <c r="H4342" s="8" t="n">
        <v>15.1625</v>
      </c>
      <c r="I4342" s="8" t="n">
        <v>13.3871</v>
      </c>
      <c r="J4342" s="8" t="n"/>
      <c r="K4342" s="7" t="inlineStr">
        <is>
          <t>SEM COTAÇÃO</t>
        </is>
      </c>
      <c r="L4342" s="8" t="n"/>
      <c r="M4342" s="12" t="n"/>
      <c r="N4342" s="7" t="inlineStr"/>
      <c r="O4342" s="7" t="inlineStr"/>
    </row>
    <row r="4343">
      <c r="A4343" s="7" t="n">
        <v>591661</v>
      </c>
      <c r="B4343" s="10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1" t="n">
        <v>22</v>
      </c>
      <c r="G4343" s="11" t="n">
        <v>22</v>
      </c>
      <c r="H4343" s="8" t="n">
        <v>1.15</v>
      </c>
      <c r="I4343" s="8" t="n">
        <v>1.15</v>
      </c>
      <c r="J4343" s="13" t="n">
        <v>1.28</v>
      </c>
      <c r="K4343" s="7" t="inlineStr">
        <is>
          <t>DIMEC</t>
        </is>
      </c>
      <c r="L4343" s="8" t="n">
        <v>1.28</v>
      </c>
      <c r="M4343" s="12">
        <f>L4343/H4343-1</f>
        <v/>
      </c>
      <c r="N4343" s="14" t="inlineStr">
        <is>
          <t>ACIMA +11.3%</t>
        </is>
      </c>
      <c r="O4343" s="7" t="inlineStr"/>
    </row>
    <row r="4344">
      <c r="A4344" s="7" t="n">
        <v>588881</v>
      </c>
      <c r="B4344" s="10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1" t="n">
        <v>8</v>
      </c>
      <c r="G4344" s="11" t="n">
        <v>8</v>
      </c>
      <c r="H4344" s="8" t="n">
        <v>4.91</v>
      </c>
      <c r="I4344" s="8" t="n">
        <v>4.91</v>
      </c>
      <c r="J4344" s="13" t="n">
        <v>5.57</v>
      </c>
      <c r="K4344" s="7" t="inlineStr">
        <is>
          <t>DIMEC</t>
        </is>
      </c>
      <c r="L4344" s="8" t="n">
        <v>5.57</v>
      </c>
      <c r="M4344" s="12">
        <f>L4344/H4344-1</f>
        <v/>
      </c>
      <c r="N4344" s="14" t="inlineStr">
        <is>
          <t>ACIMA +13.4%</t>
        </is>
      </c>
      <c r="O4344" s="7" t="inlineStr"/>
    </row>
    <row r="4345">
      <c r="A4345" s="7" t="n">
        <v>21903</v>
      </c>
      <c r="B4345" s="10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1" t="n">
        <v>18</v>
      </c>
      <c r="G4345" s="11" t="n">
        <v>18</v>
      </c>
      <c r="H4345" s="8" t="n">
        <v>1.15</v>
      </c>
      <c r="I4345" s="8" t="n">
        <v>1.15</v>
      </c>
      <c r="J4345" s="8" t="n"/>
      <c r="K4345" s="7" t="inlineStr">
        <is>
          <t>SEM COTAÇÃO</t>
        </is>
      </c>
      <c r="L4345" s="8" t="n"/>
      <c r="M4345" s="12" t="n"/>
      <c r="N4345" s="7" t="inlineStr"/>
      <c r="O4345" s="7" t="inlineStr"/>
    </row>
    <row r="4346">
      <c r="A4346" s="7" t="n">
        <v>21803</v>
      </c>
      <c r="B4346" s="10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1" t="n">
        <v>2</v>
      </c>
      <c r="G4346" s="11" t="n">
        <v>2</v>
      </c>
      <c r="H4346" s="8" t="n">
        <v>10.4</v>
      </c>
      <c r="I4346" s="8" t="n">
        <v>10.4</v>
      </c>
      <c r="J4346" s="8" t="n"/>
      <c r="K4346" s="7" t="inlineStr">
        <is>
          <t>SEM COTAÇÃO</t>
        </is>
      </c>
      <c r="L4346" s="8" t="n"/>
      <c r="M4346" s="12" t="n"/>
      <c r="N4346" s="7" t="inlineStr"/>
      <c r="O4346" s="7" t="inlineStr"/>
    </row>
    <row r="4347">
      <c r="A4347" s="7" t="n">
        <v>532741</v>
      </c>
      <c r="B4347" s="10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1" t="n">
        <v>38</v>
      </c>
      <c r="G4347" s="11" t="n">
        <v>38</v>
      </c>
      <c r="H4347" s="8" t="n">
        <v>1.17</v>
      </c>
      <c r="I4347" s="8" t="n">
        <v>1.17</v>
      </c>
      <c r="J4347" s="13" t="n">
        <v>1.35</v>
      </c>
      <c r="K4347" s="7" t="inlineStr">
        <is>
          <t>DIMEC</t>
        </is>
      </c>
      <c r="L4347" s="8" t="n">
        <v>1.35</v>
      </c>
      <c r="M4347" s="12">
        <f>L4347/H4347-1</f>
        <v/>
      </c>
      <c r="N4347" s="14" t="inlineStr">
        <is>
          <t>ACIMA +15.4%</t>
        </is>
      </c>
      <c r="O4347" s="7" t="inlineStr"/>
    </row>
    <row r="4348">
      <c r="A4348" s="7" t="n">
        <v>624141</v>
      </c>
      <c r="B4348" s="10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1" t="n">
        <v>2</v>
      </c>
      <c r="G4348" s="11" t="n">
        <v>2</v>
      </c>
      <c r="H4348" s="8" t="n">
        <v>24.7675</v>
      </c>
      <c r="I4348" s="8" t="n">
        <v>23.11</v>
      </c>
      <c r="J4348" s="8" t="n"/>
      <c r="K4348" s="7" t="inlineStr">
        <is>
          <t>SEM COTAÇÃO</t>
        </is>
      </c>
      <c r="L4348" s="8" t="n"/>
      <c r="M4348" s="12" t="n"/>
      <c r="N4348" s="7" t="inlineStr"/>
      <c r="O4348" s="7" t="inlineStr"/>
    </row>
    <row r="4349">
      <c r="A4349" s="7" t="n">
        <v>622921</v>
      </c>
      <c r="B4349" s="10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1" t="n">
        <v>8</v>
      </c>
      <c r="G4349" s="11" t="n">
        <v>8</v>
      </c>
      <c r="H4349" s="8" t="n">
        <v>21.65</v>
      </c>
      <c r="I4349" s="8" t="n">
        <v>19.62</v>
      </c>
      <c r="J4349" s="8" t="n"/>
      <c r="K4349" s="7" t="inlineStr">
        <is>
          <t>SEM COTAÇÃO</t>
        </is>
      </c>
      <c r="L4349" s="8" t="n"/>
      <c r="M4349" s="12" t="n"/>
      <c r="N4349" s="7" t="inlineStr"/>
      <c r="O4349" s="7" t="inlineStr"/>
    </row>
    <row r="4350">
      <c r="A4350" s="7" t="n">
        <v>676401</v>
      </c>
      <c r="B4350" s="10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1" t="n">
        <v>3</v>
      </c>
      <c r="G4350" s="11" t="n">
        <v>3</v>
      </c>
      <c r="H4350" s="8" t="n">
        <v>4.49</v>
      </c>
      <c r="I4350" s="8" t="n">
        <v>4.49</v>
      </c>
      <c r="J4350" s="8" t="n"/>
      <c r="K4350" s="7" t="inlineStr">
        <is>
          <t>SEM COTAÇÃO</t>
        </is>
      </c>
      <c r="L4350" s="8" t="n"/>
      <c r="M4350" s="12" t="n"/>
      <c r="N4350" s="7" t="inlineStr"/>
      <c r="O4350" s="7" t="inlineStr"/>
    </row>
    <row r="4351">
      <c r="A4351" s="7" t="n">
        <v>640411</v>
      </c>
      <c r="B4351" s="10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1" t="n">
        <v>2</v>
      </c>
      <c r="G4351" s="11" t="n">
        <v>2</v>
      </c>
      <c r="H4351" s="8" t="n">
        <v>10.85</v>
      </c>
      <c r="I4351" s="8" t="n">
        <v>10.85</v>
      </c>
      <c r="J4351" s="13" t="n">
        <v>7.71</v>
      </c>
      <c r="K4351" s="7" t="inlineStr">
        <is>
          <t>DIMEC</t>
        </is>
      </c>
      <c r="L4351" s="8" t="n">
        <v>7.71</v>
      </c>
      <c r="M4351" s="12">
        <f>L4351/H4351-1</f>
        <v/>
      </c>
      <c r="N4351" s="15" t="inlineStr">
        <is>
          <t>OK (≤ menor hist.)</t>
        </is>
      </c>
      <c r="O4351" s="7" t="inlineStr"/>
    </row>
    <row r="4352">
      <c r="A4352" s="7" t="n">
        <v>4313</v>
      </c>
      <c r="B4352" s="10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1" t="n">
        <v>102</v>
      </c>
      <c r="G4352" s="11" t="n">
        <v>102</v>
      </c>
      <c r="H4352" s="8" t="n">
        <v>1.06</v>
      </c>
      <c r="I4352" s="8" t="n">
        <v>1.06</v>
      </c>
      <c r="J4352" s="8" t="n"/>
      <c r="K4352" s="7" t="inlineStr">
        <is>
          <t>SEM COTAÇÃO</t>
        </is>
      </c>
      <c r="L4352" s="8" t="n"/>
      <c r="M4352" s="12" t="n"/>
      <c r="N4352" s="7" t="inlineStr"/>
      <c r="O4352" s="7" t="inlineStr"/>
    </row>
    <row r="4353">
      <c r="A4353" s="7" t="n">
        <v>676501</v>
      </c>
      <c r="B4353" s="10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1" t="n">
        <v>2</v>
      </c>
      <c r="G4353" s="11" t="n">
        <v>2</v>
      </c>
      <c r="H4353" s="8" t="n">
        <v>1.39</v>
      </c>
      <c r="I4353" s="8" t="n">
        <v>1.39</v>
      </c>
      <c r="J4353" s="8" t="n"/>
      <c r="K4353" s="7" t="inlineStr">
        <is>
          <t>SEM COTAÇÃO</t>
        </is>
      </c>
      <c r="L4353" s="8" t="n"/>
      <c r="M4353" s="12" t="n"/>
      <c r="N4353" s="7" t="inlineStr"/>
      <c r="O4353" s="7" t="inlineStr"/>
    </row>
    <row r="4354">
      <c r="A4354" s="7" t="n">
        <v>180141</v>
      </c>
      <c r="B4354" s="10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1" t="n">
        <v>1</v>
      </c>
      <c r="G4354" s="11" t="n">
        <v>21</v>
      </c>
      <c r="H4354" s="8" t="n">
        <v>1.4796</v>
      </c>
      <c r="I4354" s="8" t="n">
        <v>1.4796</v>
      </c>
      <c r="J4354" s="13" t="n">
        <v>1.6648</v>
      </c>
      <c r="K4354" s="7" t="inlineStr">
        <is>
          <t>DIMEC</t>
        </is>
      </c>
      <c r="L4354" s="8" t="n">
        <v>1.6648</v>
      </c>
      <c r="M4354" s="12">
        <f>L4354/H4354-1</f>
        <v/>
      </c>
      <c r="N4354" s="14" t="inlineStr">
        <is>
          <t>ACIMA +12.5%</t>
        </is>
      </c>
      <c r="O4354" s="7" t="inlineStr">
        <is>
          <t>DIMEC: 1 emb = 25 un</t>
        </is>
      </c>
    </row>
    <row r="4355">
      <c r="A4355" s="7" t="n">
        <v>568541</v>
      </c>
      <c r="B4355" s="10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1" t="n">
        <v>1</v>
      </c>
      <c r="G4355" s="11" t="n">
        <v>6</v>
      </c>
      <c r="H4355" s="8" t="n">
        <v>3.69</v>
      </c>
      <c r="I4355" s="8" t="n">
        <v>3.69</v>
      </c>
      <c r="J4355" s="13" t="n">
        <v>4.372</v>
      </c>
      <c r="K4355" s="7" t="inlineStr">
        <is>
          <t>DIMEC</t>
        </is>
      </c>
      <c r="L4355" s="8" t="n">
        <v>4.372</v>
      </c>
      <c r="M4355" s="12">
        <f>L4355/H4355-1</f>
        <v/>
      </c>
      <c r="N4355" s="14" t="inlineStr">
        <is>
          <t>ACIMA +18.5%</t>
        </is>
      </c>
      <c r="O4355" s="7" t="inlineStr">
        <is>
          <t>DIMEC: 1 emb = 10 un</t>
        </is>
      </c>
    </row>
    <row r="4356">
      <c r="A4356" s="7" t="n">
        <v>661471</v>
      </c>
      <c r="B4356" s="10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1" t="n">
        <v>1</v>
      </c>
      <c r="G4356" s="11" t="n">
        <v>1</v>
      </c>
      <c r="H4356" s="8" t="n">
        <v>71.26000000000001</v>
      </c>
      <c r="I4356" s="8" t="n">
        <v>71.26000000000001</v>
      </c>
      <c r="J4356" s="8" t="n"/>
      <c r="K4356" s="7" t="inlineStr">
        <is>
          <t>SEM COTAÇÃO</t>
        </is>
      </c>
      <c r="L4356" s="8" t="n"/>
      <c r="M4356" s="12" t="n"/>
      <c r="N4356" s="7" t="inlineStr"/>
      <c r="O4356" s="7" t="inlineStr"/>
    </row>
    <row r="4357">
      <c r="A4357" s="7" t="n">
        <v>661461</v>
      </c>
      <c r="B4357" s="10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1" t="n">
        <v>1</v>
      </c>
      <c r="G4357" s="11" t="n">
        <v>1</v>
      </c>
      <c r="H4357" s="8" t="n">
        <v>39.65</v>
      </c>
      <c r="I4357" s="8" t="n">
        <v>39.65</v>
      </c>
      <c r="J4357" s="8" t="n"/>
      <c r="K4357" s="7" t="inlineStr">
        <is>
          <t>SEM COTAÇÃO</t>
        </is>
      </c>
      <c r="L4357" s="8" t="n"/>
      <c r="M4357" s="12" t="n"/>
      <c r="N4357" s="7" t="inlineStr"/>
      <c r="O4357" s="7" t="inlineStr"/>
    </row>
    <row r="4358">
      <c r="A4358" s="7" t="n">
        <v>461941</v>
      </c>
      <c r="B4358" s="10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1" t="n">
        <v>3</v>
      </c>
      <c r="G4358" s="11" t="n">
        <v>3</v>
      </c>
      <c r="H4358" s="8" t="n">
        <v>13.36</v>
      </c>
      <c r="I4358" s="8" t="n">
        <v>13.36</v>
      </c>
      <c r="J4358" s="13" t="n">
        <v>13.89</v>
      </c>
      <c r="K4358" s="7" t="inlineStr">
        <is>
          <t>DIMEC</t>
        </is>
      </c>
      <c r="L4358" s="8" t="n">
        <v>13.89</v>
      </c>
      <c r="M4358" s="12">
        <f>L4358/H4358-1</f>
        <v/>
      </c>
      <c r="N4358" s="14" t="inlineStr">
        <is>
          <t>ACIMA +4.0%</t>
        </is>
      </c>
      <c r="O4358" s="7" t="inlineStr"/>
    </row>
    <row r="4359">
      <c r="A4359" s="7" t="n">
        <v>462441</v>
      </c>
      <c r="B4359" s="10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1" t="n">
        <v>3</v>
      </c>
      <c r="G4359" s="11" t="n">
        <v>3</v>
      </c>
      <c r="H4359" s="8" t="n">
        <v>25.2</v>
      </c>
      <c r="I4359" s="8" t="n">
        <v>24.21</v>
      </c>
      <c r="J4359" s="13" t="n">
        <v>25.17</v>
      </c>
      <c r="K4359" s="7" t="inlineStr">
        <is>
          <t>DIMEC</t>
        </is>
      </c>
      <c r="L4359" s="8" t="n">
        <v>25.17</v>
      </c>
      <c r="M4359" s="12">
        <f>L4359/H4359-1</f>
        <v/>
      </c>
      <c r="N4359" s="15" t="inlineStr">
        <is>
          <t>OK (≤ últ. compra)</t>
        </is>
      </c>
      <c r="O4359" s="7" t="inlineStr"/>
    </row>
    <row r="4360">
      <c r="A4360" s="7" t="n">
        <v>666471</v>
      </c>
      <c r="B4360" s="10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1" t="n">
        <v>2</v>
      </c>
      <c r="G4360" s="11" t="n">
        <v>2</v>
      </c>
      <c r="H4360" s="8" t="n">
        <v>2.62</v>
      </c>
      <c r="I4360" s="8" t="n">
        <v>2.62</v>
      </c>
      <c r="J4360" s="8" t="n"/>
      <c r="K4360" s="7" t="inlineStr">
        <is>
          <t>SEM COTAÇÃO</t>
        </is>
      </c>
      <c r="L4360" s="8" t="n"/>
      <c r="M4360" s="12" t="n"/>
      <c r="N4360" s="7" t="inlineStr"/>
      <c r="O4360" s="7" t="inlineStr"/>
    </row>
    <row r="4361">
      <c r="A4361" s="7" t="n">
        <v>599701</v>
      </c>
      <c r="B4361" s="10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1" t="n">
        <v>1</v>
      </c>
      <c r="G4361" s="11" t="n">
        <v>1</v>
      </c>
      <c r="H4361" s="8" t="n">
        <v>2.62</v>
      </c>
      <c r="I4361" s="8" t="n">
        <v>2.62</v>
      </c>
      <c r="J4361" s="8" t="n"/>
      <c r="K4361" s="7" t="inlineStr">
        <is>
          <t>SEM COTAÇÃO</t>
        </is>
      </c>
      <c r="L4361" s="8" t="n"/>
      <c r="M4361" s="12" t="n"/>
      <c r="N4361" s="7" t="inlineStr"/>
      <c r="O4361" s="7" t="inlineStr"/>
    </row>
    <row r="4362">
      <c r="A4362" s="7" t="n">
        <v>605061</v>
      </c>
      <c r="B4362" s="10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1" t="n">
        <v>2</v>
      </c>
      <c r="G4362" s="11" t="n">
        <v>2</v>
      </c>
      <c r="H4362" s="8" t="n">
        <v>2.62</v>
      </c>
      <c r="I4362" s="8" t="n">
        <v>2.62</v>
      </c>
      <c r="J4362" s="8" t="n"/>
      <c r="K4362" s="7" t="inlineStr">
        <is>
          <t>SEM COTAÇÃO</t>
        </is>
      </c>
      <c r="L4362" s="8" t="n"/>
      <c r="M4362" s="12" t="n"/>
      <c r="N4362" s="7" t="inlineStr"/>
      <c r="O4362" s="7" t="inlineStr"/>
    </row>
    <row r="4363">
      <c r="A4363" s="7" t="n">
        <v>630121</v>
      </c>
      <c r="B4363" s="10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1" t="n">
        <v>1</v>
      </c>
      <c r="G4363" s="11" t="n">
        <v>1</v>
      </c>
      <c r="H4363" s="8" t="n">
        <v>19.13</v>
      </c>
      <c r="I4363" s="8" t="n">
        <v>19.13</v>
      </c>
      <c r="J4363" s="8" t="n"/>
      <c r="K4363" s="7" t="inlineStr">
        <is>
          <t>SEM COTAÇÃO</t>
        </is>
      </c>
      <c r="L4363" s="8" t="n"/>
      <c r="M4363" s="12" t="n"/>
      <c r="N4363" s="7" t="inlineStr"/>
      <c r="O4363" s="7" t="inlineStr"/>
    </row>
    <row r="4364">
      <c r="A4364" s="7" t="n">
        <v>630111</v>
      </c>
      <c r="B4364" s="10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1" t="n">
        <v>1</v>
      </c>
      <c r="G4364" s="11" t="n">
        <v>1</v>
      </c>
      <c r="H4364" s="8" t="n">
        <v>19.13</v>
      </c>
      <c r="I4364" s="8" t="n">
        <v>19.13</v>
      </c>
      <c r="J4364" s="8" t="n"/>
      <c r="K4364" s="7" t="inlineStr">
        <is>
          <t>SEM COTAÇÃO</t>
        </is>
      </c>
      <c r="L4364" s="8" t="n"/>
      <c r="M4364" s="12" t="n"/>
      <c r="N4364" s="7" t="inlineStr"/>
      <c r="O4364" s="7" t="inlineStr"/>
    </row>
    <row r="4365">
      <c r="A4365" s="7" t="n">
        <v>650471</v>
      </c>
      <c r="B4365" s="10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1" t="n">
        <v>1</v>
      </c>
      <c r="G4365" s="11" t="n">
        <v>1</v>
      </c>
      <c r="H4365" s="8" t="n"/>
      <c r="I4365" s="8" t="n"/>
      <c r="J4365" s="8" t="n"/>
      <c r="K4365" s="7" t="inlineStr">
        <is>
          <t>SEM COTAÇÃO</t>
        </is>
      </c>
      <c r="L4365" s="8" t="n"/>
      <c r="M4365" s="12" t="n"/>
      <c r="N4365" s="7" t="inlineStr"/>
      <c r="O4365" s="7" t="inlineStr"/>
    </row>
    <row r="4366">
      <c r="A4366" s="7" t="n">
        <v>672181</v>
      </c>
      <c r="B4366" s="10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1" t="n">
        <v>2</v>
      </c>
      <c r="G4366" s="11" t="n">
        <v>2</v>
      </c>
      <c r="H4366" s="8" t="n">
        <v>25.3429</v>
      </c>
      <c r="I4366" s="8" t="n">
        <v>25.3429</v>
      </c>
      <c r="J4366" s="8" t="n"/>
      <c r="K4366" s="7" t="inlineStr">
        <is>
          <t>SEM COTAÇÃO</t>
        </is>
      </c>
      <c r="L4366" s="8" t="n"/>
      <c r="M4366" s="12" t="n"/>
      <c r="N4366" s="7" t="inlineStr"/>
      <c r="O4366" s="7" t="inlineStr"/>
    </row>
    <row r="4367">
      <c r="A4367" s="7" t="n">
        <v>672211</v>
      </c>
      <c r="B4367" s="10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1" t="n">
        <v>5</v>
      </c>
      <c r="G4367" s="11" t="n">
        <v>5</v>
      </c>
      <c r="H4367" s="8" t="n">
        <v>26.1</v>
      </c>
      <c r="I4367" s="8" t="n">
        <v>26.1</v>
      </c>
      <c r="J4367" s="8" t="n"/>
      <c r="K4367" s="7" t="inlineStr">
        <is>
          <t>SEM COTAÇÃO</t>
        </is>
      </c>
      <c r="L4367" s="8" t="n"/>
      <c r="M4367" s="12" t="n"/>
      <c r="N4367" s="7" t="inlineStr"/>
      <c r="O4367" s="7" t="inlineStr"/>
    </row>
    <row r="4368">
      <c r="A4368" s="7" t="n">
        <v>668591</v>
      </c>
      <c r="B4368" s="10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1" t="n">
        <v>2</v>
      </c>
      <c r="G4368" s="11" t="n">
        <v>2</v>
      </c>
      <c r="H4368" s="8" t="n">
        <v>27.57</v>
      </c>
      <c r="I4368" s="8" t="n">
        <v>22.45</v>
      </c>
      <c r="J4368" s="8" t="n"/>
      <c r="K4368" s="7" t="inlineStr">
        <is>
          <t>SEM COTAÇÃO</t>
        </is>
      </c>
      <c r="L4368" s="8" t="n"/>
      <c r="M4368" s="12" t="n"/>
      <c r="N4368" s="7" t="inlineStr"/>
      <c r="O4368" s="7" t="inlineStr"/>
    </row>
    <row r="4369">
      <c r="A4369" s="7" t="n">
        <v>672231</v>
      </c>
      <c r="B4369" s="10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1" t="n">
        <v>1</v>
      </c>
      <c r="G4369" s="11" t="n">
        <v>1</v>
      </c>
      <c r="H4369" s="8" t="n">
        <v>25.34</v>
      </c>
      <c r="I4369" s="8" t="n">
        <v>25.34</v>
      </c>
      <c r="J4369" s="8" t="n"/>
      <c r="K4369" s="7" t="inlineStr">
        <is>
          <t>SEM COTAÇÃO</t>
        </is>
      </c>
      <c r="L4369" s="8" t="n"/>
      <c r="M4369" s="12" t="n"/>
      <c r="N4369" s="7" t="inlineStr"/>
      <c r="O4369" s="7" t="inlineStr"/>
    </row>
    <row r="4370">
      <c r="A4370" s="7" t="n">
        <v>590011</v>
      </c>
      <c r="B4370" s="10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1" t="n">
        <v>3</v>
      </c>
      <c r="G4370" s="11" t="n">
        <v>3</v>
      </c>
      <c r="H4370" s="8" t="n">
        <v>11.3</v>
      </c>
      <c r="I4370" s="8" t="n">
        <v>10.5</v>
      </c>
      <c r="J4370" s="8" t="n"/>
      <c r="K4370" s="7" t="inlineStr">
        <is>
          <t>SEM COTAÇÃO</t>
        </is>
      </c>
      <c r="L4370" s="8" t="n"/>
      <c r="M4370" s="12" t="n"/>
      <c r="N4370" s="7" t="inlineStr"/>
      <c r="O4370" s="7" t="inlineStr"/>
    </row>
    <row r="4371">
      <c r="A4371" s="7" t="n">
        <v>562981</v>
      </c>
      <c r="B4371" s="10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1" t="n">
        <v>9</v>
      </c>
      <c r="G4371" s="11" t="n">
        <v>9</v>
      </c>
      <c r="H4371" s="8" t="n">
        <v>12.58</v>
      </c>
      <c r="I4371" s="8" t="n">
        <v>9.585000000000001</v>
      </c>
      <c r="J4371" s="8" t="n"/>
      <c r="K4371" s="7" t="inlineStr">
        <is>
          <t>SEM COTAÇÃO</t>
        </is>
      </c>
      <c r="L4371" s="8" t="n"/>
      <c r="M4371" s="12" t="n"/>
      <c r="N4371" s="7" t="inlineStr"/>
      <c r="O4371" s="7" t="inlineStr"/>
    </row>
    <row r="4372">
      <c r="A4372" s="7" t="n">
        <v>591861</v>
      </c>
      <c r="B4372" s="10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1" t="n">
        <v>1</v>
      </c>
      <c r="G4372" s="11" t="n">
        <v>1</v>
      </c>
      <c r="H4372" s="8" t="n">
        <v>12.86</v>
      </c>
      <c r="I4372" s="8" t="n">
        <v>12.86</v>
      </c>
      <c r="J4372" s="8" t="n"/>
      <c r="K4372" s="7" t="inlineStr">
        <is>
          <t>SEM COTAÇÃO</t>
        </is>
      </c>
      <c r="L4372" s="8" t="n"/>
      <c r="M4372" s="12" t="n"/>
      <c r="N4372" s="7" t="inlineStr"/>
      <c r="O4372" s="7" t="inlineStr"/>
    </row>
    <row r="4373">
      <c r="A4373" s="7" t="n">
        <v>591871</v>
      </c>
      <c r="B4373" s="10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1" t="n">
        <v>2</v>
      </c>
      <c r="G4373" s="11" t="n">
        <v>2</v>
      </c>
      <c r="H4373" s="8" t="n">
        <v>10.99</v>
      </c>
      <c r="I4373" s="8" t="n">
        <v>10.5</v>
      </c>
      <c r="J4373" s="8" t="n"/>
      <c r="K4373" s="7" t="inlineStr">
        <is>
          <t>SEM COTAÇÃO</t>
        </is>
      </c>
      <c r="L4373" s="8" t="n"/>
      <c r="M4373" s="12" t="n"/>
      <c r="N4373" s="7" t="inlineStr"/>
      <c r="O4373" s="7" t="inlineStr"/>
    </row>
    <row r="4374">
      <c r="A4374" s="7" t="n">
        <v>563001</v>
      </c>
      <c r="B4374" s="10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1" t="n">
        <v>1</v>
      </c>
      <c r="G4374" s="11" t="n">
        <v>1</v>
      </c>
      <c r="H4374" s="8" t="n">
        <v>11.3</v>
      </c>
      <c r="I4374" s="8" t="n">
        <v>10.5</v>
      </c>
      <c r="J4374" s="8" t="n"/>
      <c r="K4374" s="7" t="inlineStr">
        <is>
          <t>SEM COTAÇÃO</t>
        </is>
      </c>
      <c r="L4374" s="8" t="n"/>
      <c r="M4374" s="12" t="n"/>
      <c r="N4374" s="7" t="inlineStr"/>
      <c r="O4374" s="7" t="inlineStr"/>
    </row>
    <row r="4375">
      <c r="A4375" s="7" t="n">
        <v>649851</v>
      </c>
      <c r="B4375" s="10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1" t="n">
        <v>1</v>
      </c>
      <c r="G4375" s="11" t="n">
        <v>1</v>
      </c>
      <c r="H4375" s="8" t="n">
        <v>12.58</v>
      </c>
      <c r="I4375" s="8" t="n">
        <v>10.5</v>
      </c>
      <c r="J4375" s="8" t="n"/>
      <c r="K4375" s="7" t="inlineStr">
        <is>
          <t>SEM COTAÇÃO</t>
        </is>
      </c>
      <c r="L4375" s="8" t="n"/>
      <c r="M4375" s="12" t="n"/>
      <c r="N4375" s="7" t="inlineStr"/>
      <c r="O4375" s="7" t="inlineStr"/>
    </row>
    <row r="4376">
      <c r="A4376" s="7" t="n">
        <v>563061</v>
      </c>
      <c r="B4376" s="10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1" t="n">
        <v>2</v>
      </c>
      <c r="G4376" s="11" t="n">
        <v>2</v>
      </c>
      <c r="H4376" s="8" t="n">
        <v>10.99</v>
      </c>
      <c r="I4376" s="8" t="n">
        <v>10.5</v>
      </c>
      <c r="J4376" s="8" t="n"/>
      <c r="K4376" s="7" t="inlineStr">
        <is>
          <t>SEM COTAÇÃO</t>
        </is>
      </c>
      <c r="L4376" s="8" t="n"/>
      <c r="M4376" s="12" t="n"/>
      <c r="N4376" s="7" t="inlineStr"/>
      <c r="O4376" s="7" t="inlineStr"/>
    </row>
    <row r="4377">
      <c r="A4377" s="7" t="n">
        <v>623161</v>
      </c>
      <c r="B4377" s="10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1" t="n">
        <v>3</v>
      </c>
      <c r="G4377" s="11" t="n">
        <v>3</v>
      </c>
      <c r="H4377" s="8" t="n">
        <v>12.09</v>
      </c>
      <c r="I4377" s="8" t="n">
        <v>10.5</v>
      </c>
      <c r="J4377" s="8" t="n"/>
      <c r="K4377" s="7" t="inlineStr">
        <is>
          <t>SEM COTAÇÃO</t>
        </is>
      </c>
      <c r="L4377" s="8" t="n"/>
      <c r="M4377" s="12" t="n"/>
      <c r="N4377" s="7" t="inlineStr"/>
      <c r="O4377" s="7" t="inlineStr"/>
    </row>
    <row r="4378">
      <c r="A4378" s="7" t="n">
        <v>623171</v>
      </c>
      <c r="B4378" s="10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1" t="n">
        <v>1</v>
      </c>
      <c r="G4378" s="11" t="n">
        <v>1</v>
      </c>
      <c r="H4378" s="8" t="n">
        <v>11.21</v>
      </c>
      <c r="I4378" s="8" t="n">
        <v>11.21</v>
      </c>
      <c r="J4378" s="8" t="n"/>
      <c r="K4378" s="7" t="inlineStr">
        <is>
          <t>SEM COTAÇÃO</t>
        </is>
      </c>
      <c r="L4378" s="8" t="n"/>
      <c r="M4378" s="12" t="n"/>
      <c r="N4378" s="7" t="inlineStr"/>
      <c r="O4378" s="7" t="inlineStr"/>
    </row>
    <row r="4379">
      <c r="A4379" s="7" t="n">
        <v>614501</v>
      </c>
      <c r="B4379" s="10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1" t="n">
        <v>2</v>
      </c>
      <c r="G4379" s="11" t="n">
        <v>2</v>
      </c>
      <c r="H4379" s="8" t="n">
        <v>15.73</v>
      </c>
      <c r="I4379" s="8" t="n">
        <v>13.39</v>
      </c>
      <c r="J4379" s="8" t="n"/>
      <c r="K4379" s="7" t="inlineStr">
        <is>
          <t>SEM COTAÇÃO</t>
        </is>
      </c>
      <c r="L4379" s="8" t="n"/>
      <c r="M4379" s="12" t="n"/>
      <c r="N4379" s="7" t="inlineStr"/>
      <c r="O4379" s="7" t="inlineStr"/>
    </row>
    <row r="4380">
      <c r="A4380" s="7" t="n">
        <v>614511</v>
      </c>
      <c r="B4380" s="10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1" t="n">
        <v>1</v>
      </c>
      <c r="G4380" s="11" t="n">
        <v>1</v>
      </c>
      <c r="H4380" s="8" t="n">
        <v>15.73</v>
      </c>
      <c r="I4380" s="8" t="n">
        <v>11.885</v>
      </c>
      <c r="J4380" s="8" t="n"/>
      <c r="K4380" s="7" t="inlineStr">
        <is>
          <t>SEM COTAÇÃO</t>
        </is>
      </c>
      <c r="L4380" s="8" t="n"/>
      <c r="M4380" s="12" t="n"/>
      <c r="N4380" s="7" t="inlineStr"/>
      <c r="O4380" s="7" t="inlineStr"/>
    </row>
    <row r="4381">
      <c r="A4381" s="7" t="n">
        <v>614521</v>
      </c>
      <c r="B4381" s="10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1" t="n">
        <v>4</v>
      </c>
      <c r="G4381" s="11" t="n">
        <v>4</v>
      </c>
      <c r="H4381" s="8" t="n">
        <v>15.73</v>
      </c>
      <c r="I4381" s="8" t="n">
        <v>12.0267</v>
      </c>
      <c r="J4381" s="8" t="n"/>
      <c r="K4381" s="7" t="inlineStr">
        <is>
          <t>SEM COTAÇÃO</t>
        </is>
      </c>
      <c r="L4381" s="8" t="n"/>
      <c r="M4381" s="12" t="n"/>
      <c r="N4381" s="7" t="inlineStr"/>
      <c r="O4381" s="7" t="inlineStr"/>
    </row>
    <row r="4382">
      <c r="A4382" s="7" t="n">
        <v>614551</v>
      </c>
      <c r="B4382" s="10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1" t="n">
        <v>9</v>
      </c>
      <c r="G4382" s="11" t="n">
        <v>9</v>
      </c>
      <c r="H4382" s="8" t="n">
        <v>15.73</v>
      </c>
      <c r="I4382" s="8" t="n">
        <v>13.99</v>
      </c>
      <c r="J4382" s="8" t="n"/>
      <c r="K4382" s="7" t="inlineStr">
        <is>
          <t>SEM COTAÇÃO</t>
        </is>
      </c>
      <c r="L4382" s="8" t="n"/>
      <c r="M4382" s="12" t="n"/>
      <c r="N4382" s="7" t="inlineStr"/>
      <c r="O4382" s="7" t="inlineStr"/>
    </row>
    <row r="4383">
      <c r="A4383" s="7" t="n">
        <v>672291</v>
      </c>
      <c r="B4383" s="10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1" t="n">
        <v>1</v>
      </c>
      <c r="G4383" s="11" t="n">
        <v>1</v>
      </c>
      <c r="H4383" s="8" t="n">
        <v>24.27</v>
      </c>
      <c r="I4383" s="8" t="n">
        <v>24.27</v>
      </c>
      <c r="J4383" s="8" t="n"/>
      <c r="K4383" s="7" t="inlineStr">
        <is>
          <t>SEM COTAÇÃO</t>
        </is>
      </c>
      <c r="L4383" s="8" t="n"/>
      <c r="M4383" s="12" t="n"/>
      <c r="N4383" s="7" t="inlineStr"/>
      <c r="O4383" s="7" t="inlineStr"/>
    </row>
    <row r="4384">
      <c r="A4384" s="7" t="n">
        <v>649091</v>
      </c>
      <c r="B4384" s="10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1" t="n">
        <v>1</v>
      </c>
      <c r="G4384" s="11" t="n">
        <v>1</v>
      </c>
      <c r="H4384" s="8" t="n">
        <v>11.08</v>
      </c>
      <c r="I4384" s="8" t="n">
        <v>11.08</v>
      </c>
      <c r="J4384" s="8" t="n"/>
      <c r="K4384" s="7" t="inlineStr">
        <is>
          <t>SEM COTAÇÃO</t>
        </is>
      </c>
      <c r="L4384" s="8" t="n"/>
      <c r="M4384" s="12" t="n"/>
      <c r="N4384" s="7" t="inlineStr"/>
      <c r="O4384" s="7" t="inlineStr"/>
    </row>
    <row r="4385">
      <c r="A4385" s="7" t="n">
        <v>649101</v>
      </c>
      <c r="B4385" s="10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1" t="n">
        <v>2</v>
      </c>
      <c r="G4385" s="11" t="n">
        <v>2</v>
      </c>
      <c r="H4385" s="8" t="n">
        <v>11.08</v>
      </c>
      <c r="I4385" s="8" t="n">
        <v>11.08</v>
      </c>
      <c r="J4385" s="8" t="n"/>
      <c r="K4385" s="7" t="inlineStr">
        <is>
          <t>SEM COTAÇÃO</t>
        </is>
      </c>
      <c r="L4385" s="8" t="n"/>
      <c r="M4385" s="12" t="n"/>
      <c r="N4385" s="7" t="inlineStr"/>
      <c r="O4385" s="7" t="inlineStr"/>
    </row>
    <row r="4386">
      <c r="A4386" s="7" t="n">
        <v>649131</v>
      </c>
      <c r="B4386" s="10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1" t="n">
        <v>1</v>
      </c>
      <c r="G4386" s="11" t="n">
        <v>1</v>
      </c>
      <c r="H4386" s="8" t="n">
        <v>22.76</v>
      </c>
      <c r="I4386" s="8" t="n">
        <v>22.76</v>
      </c>
      <c r="J4386" s="8" t="n"/>
      <c r="K4386" s="7" t="inlineStr">
        <is>
          <t>SEM COTAÇÃO</t>
        </is>
      </c>
      <c r="L4386" s="8" t="n"/>
      <c r="M4386" s="12" t="n"/>
      <c r="N4386" s="7" t="inlineStr"/>
      <c r="O4386" s="7" t="inlineStr"/>
    </row>
    <row r="4387">
      <c r="A4387" s="7" t="n">
        <v>598181</v>
      </c>
      <c r="B4387" s="10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1" t="n">
        <v>1</v>
      </c>
      <c r="G4387" s="11" t="n">
        <v>1</v>
      </c>
      <c r="H4387" s="8" t="n">
        <v>10.57</v>
      </c>
      <c r="I4387" s="8" t="n">
        <v>10.57</v>
      </c>
      <c r="J4387" s="8" t="n"/>
      <c r="K4387" s="7" t="inlineStr">
        <is>
          <t>SEM COTAÇÃO</t>
        </is>
      </c>
      <c r="L4387" s="8" t="n"/>
      <c r="M4387" s="12" t="n"/>
      <c r="N4387" s="7" t="inlineStr"/>
      <c r="O4387" s="7" t="inlineStr"/>
    </row>
    <row r="4388">
      <c r="A4388" s="7" t="n">
        <v>649051</v>
      </c>
      <c r="B4388" s="10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1" t="n">
        <v>2</v>
      </c>
      <c r="G4388" s="11" t="n">
        <v>2</v>
      </c>
      <c r="H4388" s="8" t="n">
        <v>10.57</v>
      </c>
      <c r="I4388" s="8" t="n">
        <v>10.57</v>
      </c>
      <c r="J4388" s="8" t="n"/>
      <c r="K4388" s="7" t="inlineStr">
        <is>
          <t>SEM COTAÇÃO</t>
        </is>
      </c>
      <c r="L4388" s="8" t="n"/>
      <c r="M4388" s="12" t="n"/>
      <c r="N4388" s="7" t="inlineStr"/>
      <c r="O4388" s="7" t="inlineStr"/>
    </row>
    <row r="4389">
      <c r="A4389" s="7" t="n">
        <v>598111</v>
      </c>
      <c r="B4389" s="10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1" t="n">
        <v>1</v>
      </c>
      <c r="G4389" s="11" t="n">
        <v>1</v>
      </c>
      <c r="H4389" s="8" t="n">
        <v>8.99</v>
      </c>
      <c r="I4389" s="8" t="n">
        <v>8.99</v>
      </c>
      <c r="J4389" s="8" t="n"/>
      <c r="K4389" s="7" t="inlineStr">
        <is>
          <t>SEM COTAÇÃO</t>
        </is>
      </c>
      <c r="L4389" s="8" t="n"/>
      <c r="M4389" s="12" t="n"/>
      <c r="N4389" s="7" t="inlineStr"/>
      <c r="O4389" s="7" t="inlineStr"/>
    </row>
    <row r="4390">
      <c r="A4390" s="7" t="n">
        <v>649081</v>
      </c>
      <c r="B4390" s="10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1" t="n">
        <v>2</v>
      </c>
      <c r="G4390" s="11" t="n">
        <v>2</v>
      </c>
      <c r="H4390" s="8" t="n">
        <v>10.57</v>
      </c>
      <c r="I4390" s="8" t="n">
        <v>10.57</v>
      </c>
      <c r="J4390" s="8" t="n"/>
      <c r="K4390" s="7" t="inlineStr">
        <is>
          <t>SEM COTAÇÃO</t>
        </is>
      </c>
      <c r="L4390" s="8" t="n"/>
      <c r="M4390" s="12" t="n"/>
      <c r="N4390" s="7" t="inlineStr"/>
      <c r="O4390" s="7" t="inlineStr"/>
    </row>
    <row r="4391">
      <c r="A4391" s="7" t="n">
        <v>598121</v>
      </c>
      <c r="B4391" s="10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1" t="n">
        <v>5</v>
      </c>
      <c r="G4391" s="11" t="n">
        <v>5</v>
      </c>
      <c r="H4391" s="8" t="n">
        <v>12.75</v>
      </c>
      <c r="I4391" s="8" t="n">
        <v>9.73</v>
      </c>
      <c r="J4391" s="8" t="n"/>
      <c r="K4391" s="7" t="inlineStr">
        <is>
          <t>SEM COTAÇÃO</t>
        </is>
      </c>
      <c r="L4391" s="8" t="n"/>
      <c r="M4391" s="12" t="n"/>
      <c r="N4391" s="7" t="inlineStr"/>
      <c r="O4391" s="7" t="inlineStr"/>
    </row>
    <row r="4392">
      <c r="A4392" s="7" t="n">
        <v>598131</v>
      </c>
      <c r="B4392" s="10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1" t="n">
        <v>2</v>
      </c>
      <c r="G4392" s="11" t="n">
        <v>2</v>
      </c>
      <c r="H4392" s="8" t="n">
        <v>9.73</v>
      </c>
      <c r="I4392" s="8" t="n">
        <v>9.73</v>
      </c>
      <c r="J4392" s="8" t="n"/>
      <c r="K4392" s="7" t="inlineStr">
        <is>
          <t>SEM COTAÇÃO</t>
        </is>
      </c>
      <c r="L4392" s="8" t="n"/>
      <c r="M4392" s="12" t="n"/>
      <c r="N4392" s="7" t="inlineStr"/>
      <c r="O4392" s="7" t="inlineStr"/>
    </row>
    <row r="4393">
      <c r="A4393" s="7" t="n">
        <v>649151</v>
      </c>
      <c r="B4393" s="10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1" t="n">
        <v>2</v>
      </c>
      <c r="G4393" s="11" t="n">
        <v>2</v>
      </c>
      <c r="H4393" s="8" t="n">
        <v>10.57</v>
      </c>
      <c r="I4393" s="8" t="n">
        <v>10.57</v>
      </c>
      <c r="J4393" s="8" t="n"/>
      <c r="K4393" s="7" t="inlineStr">
        <is>
          <t>SEM COTAÇÃO</t>
        </is>
      </c>
      <c r="L4393" s="8" t="n"/>
      <c r="M4393" s="12" t="n"/>
      <c r="N4393" s="7" t="inlineStr"/>
      <c r="O4393" s="7" t="inlineStr"/>
    </row>
    <row r="4394">
      <c r="A4394" s="7" t="n">
        <v>598151</v>
      </c>
      <c r="B4394" s="10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1" t="n">
        <v>7</v>
      </c>
      <c r="G4394" s="11" t="n">
        <v>7</v>
      </c>
      <c r="H4394" s="8" t="n">
        <v>12.75</v>
      </c>
      <c r="I4394" s="8" t="n">
        <v>10.76</v>
      </c>
      <c r="J4394" s="8" t="n"/>
      <c r="K4394" s="7" t="inlineStr">
        <is>
          <t>SEM COTAÇÃO</t>
        </is>
      </c>
      <c r="L4394" s="8" t="n"/>
      <c r="M4394" s="12" t="n"/>
      <c r="N4394" s="7" t="inlineStr"/>
      <c r="O4394" s="7" t="inlineStr"/>
    </row>
    <row r="4395">
      <c r="A4395" s="7" t="n">
        <v>607621</v>
      </c>
      <c r="B4395" s="10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1" t="n">
        <v>2</v>
      </c>
      <c r="G4395" s="11" t="n">
        <v>2</v>
      </c>
      <c r="H4395" s="8" t="n">
        <v>11.41</v>
      </c>
      <c r="I4395" s="8" t="n">
        <v>11.41</v>
      </c>
      <c r="J4395" s="8" t="n"/>
      <c r="K4395" s="7" t="inlineStr">
        <is>
          <t>SEM COTAÇÃO</t>
        </is>
      </c>
      <c r="L4395" s="8" t="n"/>
      <c r="M4395" s="12" t="n"/>
      <c r="N4395" s="7" t="inlineStr"/>
      <c r="O4395" s="7" t="inlineStr"/>
    </row>
    <row r="4396">
      <c r="A4396" s="7" t="n">
        <v>598161</v>
      </c>
      <c r="B4396" s="10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1" t="n">
        <v>3</v>
      </c>
      <c r="G4396" s="11" t="n">
        <v>3</v>
      </c>
      <c r="H4396" s="8" t="n">
        <v>9.73</v>
      </c>
      <c r="I4396" s="8" t="n">
        <v>9.73</v>
      </c>
      <c r="J4396" s="8" t="n"/>
      <c r="K4396" s="7" t="inlineStr">
        <is>
          <t>SEM COTAÇÃO</t>
        </is>
      </c>
      <c r="L4396" s="8" t="n"/>
      <c r="M4396" s="12" t="n"/>
      <c r="N4396" s="7" t="inlineStr"/>
      <c r="O4396" s="7" t="inlineStr"/>
    </row>
    <row r="4397">
      <c r="A4397" s="7" t="n">
        <v>640741</v>
      </c>
      <c r="B4397" s="10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1" t="n">
        <v>3</v>
      </c>
      <c r="G4397" s="11" t="n">
        <v>3</v>
      </c>
      <c r="H4397" s="8" t="n">
        <v>10.16</v>
      </c>
      <c r="I4397" s="8" t="n">
        <v>10.16</v>
      </c>
      <c r="J4397" s="8" t="n"/>
      <c r="K4397" s="7" t="inlineStr">
        <is>
          <t>SEM COTAÇÃO</t>
        </is>
      </c>
      <c r="L4397" s="8" t="n"/>
      <c r="M4397" s="12" t="n"/>
      <c r="N4397" s="7" t="inlineStr"/>
      <c r="O4397" s="7" t="inlineStr"/>
    </row>
    <row r="4398">
      <c r="A4398" s="7" t="n">
        <v>640751</v>
      </c>
      <c r="B4398" s="10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1" t="n">
        <v>2</v>
      </c>
      <c r="G4398" s="11" t="n">
        <v>2</v>
      </c>
      <c r="H4398" s="8" t="n">
        <v>9.65</v>
      </c>
      <c r="I4398" s="8" t="n">
        <v>9.65</v>
      </c>
      <c r="J4398" s="8" t="n"/>
      <c r="K4398" s="7" t="inlineStr">
        <is>
          <t>SEM COTAÇÃO</t>
        </is>
      </c>
      <c r="L4398" s="8" t="n"/>
      <c r="M4398" s="12" t="n"/>
      <c r="N4398" s="7" t="inlineStr"/>
      <c r="O4398" s="7" t="inlineStr"/>
    </row>
    <row r="4399">
      <c r="A4399" s="7" t="n">
        <v>598001</v>
      </c>
      <c r="B4399" s="10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1" t="n">
        <v>4</v>
      </c>
      <c r="G4399" s="11" t="n">
        <v>4</v>
      </c>
      <c r="H4399" s="8" t="n">
        <v>10.16</v>
      </c>
      <c r="I4399" s="8" t="n">
        <v>9.65</v>
      </c>
      <c r="J4399" s="8" t="n"/>
      <c r="K4399" s="7" t="inlineStr">
        <is>
          <t>SEM COTAÇÃO</t>
        </is>
      </c>
      <c r="L4399" s="8" t="n"/>
      <c r="M4399" s="12" t="n"/>
      <c r="N4399" s="7" t="inlineStr"/>
      <c r="O4399" s="7" t="inlineStr"/>
    </row>
    <row r="4400">
      <c r="A4400" s="7" t="n">
        <v>598011</v>
      </c>
      <c r="B4400" s="10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1" t="n">
        <v>3</v>
      </c>
      <c r="G4400" s="11" t="n">
        <v>3</v>
      </c>
      <c r="H4400" s="8" t="n">
        <v>10.69</v>
      </c>
      <c r="I4400" s="8" t="n">
        <v>10.69</v>
      </c>
      <c r="J4400" s="8" t="n"/>
      <c r="K4400" s="7" t="inlineStr">
        <is>
          <t>SEM COTAÇÃO</t>
        </is>
      </c>
      <c r="L4400" s="8" t="n"/>
      <c r="M4400" s="12" t="n"/>
      <c r="N4400" s="7" t="inlineStr"/>
      <c r="O4400" s="7" t="inlineStr"/>
    </row>
    <row r="4401">
      <c r="A4401" s="7" t="n">
        <v>598021</v>
      </c>
      <c r="B4401" s="10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1" t="n">
        <v>8</v>
      </c>
      <c r="G4401" s="11" t="n">
        <v>8</v>
      </c>
      <c r="H4401" s="8" t="n">
        <v>11.12</v>
      </c>
      <c r="I4401" s="8" t="n">
        <v>11.12</v>
      </c>
      <c r="J4401" s="8" t="n"/>
      <c r="K4401" s="7" t="inlineStr">
        <is>
          <t>SEM COTAÇÃO</t>
        </is>
      </c>
      <c r="L4401" s="8" t="n"/>
      <c r="M4401" s="12" t="n"/>
      <c r="N4401" s="7" t="inlineStr"/>
      <c r="O4401" s="7" t="inlineStr"/>
    </row>
    <row r="4402">
      <c r="A4402" s="7" t="n">
        <v>598041</v>
      </c>
      <c r="B4402" s="10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1" t="n">
        <v>2</v>
      </c>
      <c r="G4402" s="11" t="n">
        <v>2</v>
      </c>
      <c r="H4402" s="8" t="n">
        <v>9.65</v>
      </c>
      <c r="I4402" s="8" t="n">
        <v>9.65</v>
      </c>
      <c r="J4402" s="8" t="n"/>
      <c r="K4402" s="7" t="inlineStr">
        <is>
          <t>SEM COTAÇÃO</t>
        </is>
      </c>
      <c r="L4402" s="8" t="n"/>
      <c r="M4402" s="12" t="n"/>
      <c r="N4402" s="7" t="inlineStr"/>
      <c r="O4402" s="7" t="inlineStr"/>
    </row>
    <row r="4403">
      <c r="A4403" s="7" t="n">
        <v>598061</v>
      </c>
      <c r="B4403" s="10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1" t="n">
        <v>2</v>
      </c>
      <c r="G4403" s="11" t="n">
        <v>2</v>
      </c>
      <c r="H4403" s="8" t="n">
        <v>9.65</v>
      </c>
      <c r="I4403" s="8" t="n">
        <v>9.65</v>
      </c>
      <c r="J4403" s="8" t="n"/>
      <c r="K4403" s="7" t="inlineStr">
        <is>
          <t>SEM COTAÇÃO</t>
        </is>
      </c>
      <c r="L4403" s="8" t="n"/>
      <c r="M4403" s="12" t="n"/>
      <c r="N4403" s="7" t="inlineStr"/>
      <c r="O4403" s="7" t="inlineStr"/>
    </row>
    <row r="4404">
      <c r="A4404" s="7" t="n">
        <v>652911</v>
      </c>
      <c r="B4404" s="10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1" t="n">
        <v>2</v>
      </c>
      <c r="G4404" s="11" t="n">
        <v>2</v>
      </c>
      <c r="H4404" s="8" t="n">
        <v>9.65</v>
      </c>
      <c r="I4404" s="8" t="n">
        <v>9.65</v>
      </c>
      <c r="J4404" s="8" t="n"/>
      <c r="K4404" s="7" t="inlineStr">
        <is>
          <t>SEM COTAÇÃO</t>
        </is>
      </c>
      <c r="L4404" s="8" t="n"/>
      <c r="M4404" s="12" t="n"/>
      <c r="N4404" s="7" t="inlineStr"/>
      <c r="O4404" s="7" t="inlineStr"/>
    </row>
    <row r="4405">
      <c r="A4405" s="7" t="n">
        <v>534301</v>
      </c>
      <c r="B4405" s="10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1" t="n">
        <v>1</v>
      </c>
      <c r="G4405" s="11" t="n">
        <v>1</v>
      </c>
      <c r="H4405" s="8" t="n">
        <v>17.14</v>
      </c>
      <c r="I4405" s="8" t="n">
        <v>17.14</v>
      </c>
      <c r="J4405" s="8" t="n"/>
      <c r="K4405" s="7" t="inlineStr">
        <is>
          <t>SEM COTAÇÃO</t>
        </is>
      </c>
      <c r="L4405" s="8" t="n"/>
      <c r="M4405" s="12" t="n"/>
      <c r="N4405" s="7" t="inlineStr"/>
      <c r="O4405" s="7" t="inlineStr"/>
    </row>
    <row r="4406">
      <c r="A4406" s="7" t="n">
        <v>563021</v>
      </c>
      <c r="B4406" s="10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1" t="n">
        <v>1</v>
      </c>
      <c r="G4406" s="11" t="n">
        <v>1</v>
      </c>
      <c r="H4406" s="8" t="n">
        <v>12.09</v>
      </c>
      <c r="I4406" s="8" t="n">
        <v>9.82</v>
      </c>
      <c r="J4406" s="8" t="n"/>
      <c r="K4406" s="7" t="inlineStr">
        <is>
          <t>SEM COTAÇÃO</t>
        </is>
      </c>
      <c r="L4406" s="8" t="n"/>
      <c r="M4406" s="12" t="n"/>
      <c r="N4406" s="7" t="inlineStr"/>
      <c r="O4406" s="7" t="inlineStr"/>
    </row>
    <row r="4407">
      <c r="A4407" s="7" t="n">
        <v>605361</v>
      </c>
      <c r="B4407" s="10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1" t="n">
        <v>1</v>
      </c>
      <c r="G4407" s="11" t="n">
        <v>1</v>
      </c>
      <c r="H4407" s="8" t="n">
        <v>15.6</v>
      </c>
      <c r="I4407" s="8" t="n">
        <v>15.6</v>
      </c>
      <c r="J4407" s="8" t="n"/>
      <c r="K4407" s="7" t="inlineStr">
        <is>
          <t>SEM COTAÇÃO</t>
        </is>
      </c>
      <c r="L4407" s="8" t="n"/>
      <c r="M4407" s="12" t="n"/>
      <c r="N4407" s="7" t="inlineStr"/>
      <c r="O4407" s="7" t="inlineStr"/>
    </row>
    <row r="4408">
      <c r="A4408" s="7" t="n">
        <v>534361</v>
      </c>
      <c r="B4408" s="10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1" t="n">
        <v>2</v>
      </c>
      <c r="G4408" s="11" t="n">
        <v>2</v>
      </c>
      <c r="H4408" s="8" t="n">
        <v>17.14</v>
      </c>
      <c r="I4408" s="8" t="n">
        <v>17.14</v>
      </c>
      <c r="J4408" s="8" t="n"/>
      <c r="K4408" s="7" t="inlineStr">
        <is>
          <t>SEM COTAÇÃO</t>
        </is>
      </c>
      <c r="L4408" s="8" t="n"/>
      <c r="M4408" s="12" t="n"/>
      <c r="N4408" s="7" t="inlineStr"/>
      <c r="O4408" s="7" t="inlineStr"/>
    </row>
    <row r="4409">
      <c r="A4409" s="7" t="n">
        <v>551681</v>
      </c>
      <c r="B4409" s="10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1" t="n">
        <v>3</v>
      </c>
      <c r="G4409" s="11" t="n">
        <v>3</v>
      </c>
      <c r="H4409" s="8" t="n">
        <v>12.75</v>
      </c>
      <c r="I4409" s="8" t="n">
        <v>9.73</v>
      </c>
      <c r="J4409" s="8" t="n"/>
      <c r="K4409" s="7" t="inlineStr">
        <is>
          <t>SEM COTAÇÃO</t>
        </is>
      </c>
      <c r="L4409" s="8" t="n"/>
      <c r="M4409" s="12" t="n"/>
      <c r="N4409" s="7" t="inlineStr"/>
      <c r="O4409" s="7" t="inlineStr"/>
    </row>
    <row r="4410">
      <c r="A4410" s="7" t="n">
        <v>540941</v>
      </c>
      <c r="B4410" s="10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1" t="n">
        <v>19</v>
      </c>
      <c r="G4410" s="11" t="n">
        <v>19</v>
      </c>
      <c r="H4410" s="8" t="n">
        <v>4.31</v>
      </c>
      <c r="I4410" s="8" t="n">
        <v>4.31</v>
      </c>
      <c r="J4410" s="13" t="n">
        <v>4.31</v>
      </c>
      <c r="K4410" s="7" t="inlineStr">
        <is>
          <t>DIMEC</t>
        </is>
      </c>
      <c r="L4410" s="8" t="n">
        <v>4.31</v>
      </c>
      <c r="M4410" s="12">
        <f>L4410/H4410-1</f>
        <v/>
      </c>
      <c r="N4410" s="15" t="inlineStr">
        <is>
          <t>OK (≤ menor hist.)</t>
        </is>
      </c>
      <c r="O4410" s="7" t="inlineStr"/>
    </row>
    <row r="4411">
      <c r="A4411" s="7" t="n">
        <v>535061</v>
      </c>
      <c r="B4411" s="10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1" t="n">
        <v>1</v>
      </c>
      <c r="G4411" s="11" t="n">
        <v>1</v>
      </c>
      <c r="H4411" s="8" t="n">
        <v>10.5</v>
      </c>
      <c r="I4411" s="8" t="n">
        <v>10.5</v>
      </c>
      <c r="J4411" s="8" t="n"/>
      <c r="K4411" s="7" t="inlineStr">
        <is>
          <t>SEM COTAÇÃO</t>
        </is>
      </c>
      <c r="L4411" s="8" t="n"/>
      <c r="M4411" s="12" t="n"/>
      <c r="N4411" s="7" t="inlineStr"/>
      <c r="O4411" s="7" t="inlineStr"/>
    </row>
    <row r="4412">
      <c r="A4412" s="7" t="n">
        <v>983</v>
      </c>
      <c r="B4412" s="10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1" t="n">
        <v>1</v>
      </c>
      <c r="G4412" s="11" t="n">
        <v>1</v>
      </c>
      <c r="H4412" s="8" t="n">
        <v>44.6</v>
      </c>
      <c r="I4412" s="8" t="n">
        <v>44.6</v>
      </c>
      <c r="J4412" s="8" t="n"/>
      <c r="K4412" s="7" t="inlineStr">
        <is>
          <t>SEM COTAÇÃO</t>
        </is>
      </c>
      <c r="L4412" s="8" t="n"/>
      <c r="M4412" s="12" t="n"/>
      <c r="N4412" s="7" t="inlineStr"/>
      <c r="O4412" s="7" t="inlineStr"/>
    </row>
    <row r="4413">
      <c r="A4413" s="7" t="n">
        <v>416441</v>
      </c>
      <c r="B4413" s="10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1" t="n">
        <v>10</v>
      </c>
      <c r="G4413" s="11" t="n">
        <v>10</v>
      </c>
      <c r="H4413" s="8" t="n">
        <v>42.4033</v>
      </c>
      <c r="I4413" s="8" t="n">
        <v>38.6471</v>
      </c>
      <c r="J4413" s="8" t="n"/>
      <c r="K4413" s="7" t="inlineStr">
        <is>
          <t>SEM COTAÇÃO</t>
        </is>
      </c>
      <c r="L4413" s="8" t="n"/>
      <c r="M4413" s="12" t="n"/>
      <c r="N4413" s="7" t="inlineStr"/>
      <c r="O4413" s="7" t="inlineStr"/>
    </row>
    <row r="4414">
      <c r="A4414" s="7" t="n">
        <v>619311</v>
      </c>
      <c r="B4414" s="10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1" t="n">
        <v>1</v>
      </c>
      <c r="G4414" s="11" t="n">
        <v>1</v>
      </c>
      <c r="H4414" s="8" t="n">
        <v>49.55</v>
      </c>
      <c r="I4414" s="8" t="n">
        <v>49.55</v>
      </c>
      <c r="J4414" s="8" t="n"/>
      <c r="K4414" s="7" t="inlineStr">
        <is>
          <t>SEM COTAÇÃO</t>
        </is>
      </c>
      <c r="L4414" s="8" t="n"/>
      <c r="M4414" s="12" t="n"/>
      <c r="N4414" s="7" t="inlineStr"/>
      <c r="O4414" s="7" t="inlineStr"/>
    </row>
    <row r="4415">
      <c r="A4415" s="7" t="n">
        <v>3153</v>
      </c>
      <c r="B4415" s="10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1" t="n">
        <v>5</v>
      </c>
      <c r="G4415" s="11" t="n">
        <v>5</v>
      </c>
      <c r="H4415" s="8" t="n">
        <v>46.42</v>
      </c>
      <c r="I4415" s="8" t="n">
        <v>43.95</v>
      </c>
      <c r="J4415" s="13" t="n">
        <v>51.3</v>
      </c>
      <c r="K4415" s="7" t="inlineStr">
        <is>
          <t>DIMEC</t>
        </is>
      </c>
      <c r="L4415" s="8" t="n">
        <v>51.3</v>
      </c>
      <c r="M4415" s="12">
        <f>L4415/H4415-1</f>
        <v/>
      </c>
      <c r="N4415" s="14" t="inlineStr">
        <is>
          <t>ACIMA +10.5%</t>
        </is>
      </c>
      <c r="O4415" s="7" t="inlineStr"/>
    </row>
    <row r="4416">
      <c r="A4416" s="7" t="n">
        <v>648221</v>
      </c>
      <c r="B4416" s="10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1" t="n">
        <v>2</v>
      </c>
      <c r="G4416" s="11" t="n">
        <v>2</v>
      </c>
      <c r="H4416" s="8" t="n">
        <v>44.53</v>
      </c>
      <c r="I4416" s="8" t="n">
        <v>44.53</v>
      </c>
      <c r="J4416" s="8" t="n"/>
      <c r="K4416" s="7" t="inlineStr">
        <is>
          <t>SEM COTAÇÃO</t>
        </is>
      </c>
      <c r="L4416" s="8" t="n"/>
      <c r="M4416" s="12" t="n"/>
      <c r="N4416" s="7" t="inlineStr"/>
      <c r="O4416" s="7" t="inlineStr"/>
    </row>
    <row r="4417">
      <c r="A4417" s="7" t="n">
        <v>3163</v>
      </c>
      <c r="B4417" s="10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1" t="n">
        <v>23</v>
      </c>
      <c r="G4417" s="11" t="n">
        <v>23</v>
      </c>
      <c r="H4417" s="8" t="n">
        <v>51.625</v>
      </c>
      <c r="I4417" s="8" t="n">
        <v>48.88</v>
      </c>
      <c r="J4417" s="13" t="n">
        <v>67.45999999999999</v>
      </c>
      <c r="K4417" s="7" t="inlineStr">
        <is>
          <t>DIMEC</t>
        </is>
      </c>
      <c r="L4417" s="8" t="n">
        <v>67.45999999999999</v>
      </c>
      <c r="M4417" s="12">
        <f>L4417/H4417-1</f>
        <v/>
      </c>
      <c r="N4417" s="14" t="inlineStr">
        <is>
          <t>ACIMA +30.7%</t>
        </is>
      </c>
      <c r="O4417" s="7" t="inlineStr"/>
    </row>
    <row r="4418">
      <c r="A4418" s="7" t="n">
        <v>616151</v>
      </c>
      <c r="B4418" s="10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1" t="n">
        <v>1</v>
      </c>
      <c r="G4418" s="11" t="n">
        <v>1</v>
      </c>
      <c r="H4418" s="8" t="n">
        <v>53.35</v>
      </c>
      <c r="I4418" s="8" t="n">
        <v>52.79</v>
      </c>
      <c r="J4418" s="8" t="n"/>
      <c r="K4418" s="7" t="inlineStr">
        <is>
          <t>SEM COTAÇÃO</t>
        </is>
      </c>
      <c r="L4418" s="8" t="n"/>
      <c r="M4418" s="12" t="n"/>
      <c r="N4418" s="7" t="inlineStr"/>
      <c r="O4418" s="7" t="inlineStr"/>
    </row>
    <row r="4419">
      <c r="A4419" s="7" t="n">
        <v>600561</v>
      </c>
      <c r="B4419" s="10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1" t="n">
        <v>1</v>
      </c>
      <c r="G4419" s="11" t="n">
        <v>1</v>
      </c>
      <c r="H4419" s="8" t="n">
        <v>64.9867</v>
      </c>
      <c r="I4419" s="8" t="n">
        <v>50.8467</v>
      </c>
      <c r="J4419" s="8" t="n"/>
      <c r="K4419" s="7" t="inlineStr">
        <is>
          <t>SEM COTAÇÃO</t>
        </is>
      </c>
      <c r="L4419" s="8" t="n"/>
      <c r="M4419" s="12" t="n"/>
      <c r="N4419" s="7" t="inlineStr"/>
      <c r="O4419" s="7" t="inlineStr"/>
    </row>
    <row r="4420">
      <c r="A4420" s="7" t="n">
        <v>619341</v>
      </c>
      <c r="B4420" s="10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1" t="n">
        <v>2</v>
      </c>
      <c r="G4420" s="11" t="n">
        <v>2</v>
      </c>
      <c r="H4420" s="8" t="n">
        <v>32.13</v>
      </c>
      <c r="I4420" s="8" t="n">
        <v>32.1293</v>
      </c>
      <c r="J4420" s="8" t="n"/>
      <c r="K4420" s="7" t="inlineStr">
        <is>
          <t>SEM COTAÇÃO</t>
        </is>
      </c>
      <c r="L4420" s="8" t="n"/>
      <c r="M4420" s="12" t="n"/>
      <c r="N4420" s="7" t="inlineStr"/>
      <c r="O4420" s="7" t="inlineStr"/>
    </row>
    <row r="4421">
      <c r="A4421" s="7" t="n">
        <v>21703</v>
      </c>
      <c r="B4421" s="10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1" t="n">
        <v>1</v>
      </c>
      <c r="G4421" s="11" t="n">
        <v>1</v>
      </c>
      <c r="H4421" s="8" t="n">
        <v>39.9</v>
      </c>
      <c r="I4421" s="8" t="n">
        <v>39.9</v>
      </c>
      <c r="J4421" s="8" t="n"/>
      <c r="K4421" s="7" t="inlineStr">
        <is>
          <t>SEM COTAÇÃO</t>
        </is>
      </c>
      <c r="L4421" s="8" t="n"/>
      <c r="M4421" s="12" t="n"/>
      <c r="N4421" s="7" t="inlineStr"/>
      <c r="O4421" s="7" t="inlineStr"/>
    </row>
    <row r="4422">
      <c r="A4422" s="7" t="n">
        <v>640121</v>
      </c>
      <c r="B4422" s="10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1" t="n">
        <v>58</v>
      </c>
      <c r="G4422" s="11" t="n">
        <v>58</v>
      </c>
      <c r="H4422" s="8" t="n">
        <v>7.09</v>
      </c>
      <c r="I4422" s="8" t="n">
        <v>5.85</v>
      </c>
      <c r="J4422" s="8" t="n"/>
      <c r="K4422" s="7" t="inlineStr">
        <is>
          <t>SEM COTAÇÃO</t>
        </is>
      </c>
      <c r="L4422" s="8" t="n"/>
      <c r="M4422" s="12" t="n"/>
      <c r="N4422" s="7" t="inlineStr"/>
      <c r="O4422" s="7" t="inlineStr"/>
    </row>
    <row r="4423">
      <c r="A4423" s="7" t="n">
        <v>1273</v>
      </c>
      <c r="B4423" s="10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1" t="n">
        <v>12</v>
      </c>
      <c r="G4423" s="11" t="n">
        <v>12</v>
      </c>
      <c r="H4423" s="8" t="n">
        <v>2.79</v>
      </c>
      <c r="I4423" s="8" t="n">
        <v>2.79</v>
      </c>
      <c r="J4423" s="8" t="n"/>
      <c r="K4423" s="7" t="inlineStr">
        <is>
          <t>SEM COTAÇÃO</t>
        </is>
      </c>
      <c r="L4423" s="8" t="n"/>
      <c r="M4423" s="12" t="n"/>
      <c r="N4423" s="7" t="inlineStr"/>
      <c r="O4423" s="7" t="inlineStr"/>
    </row>
    <row r="4424">
      <c r="A4424" s="7" t="n">
        <v>630261</v>
      </c>
      <c r="B4424" s="10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1" t="n">
        <v>9</v>
      </c>
      <c r="G4424" s="11" t="n">
        <v>9</v>
      </c>
      <c r="H4424" s="8" t="n">
        <v>5.27</v>
      </c>
      <c r="I4424" s="8" t="n">
        <v>5.27</v>
      </c>
      <c r="J4424" s="8" t="n"/>
      <c r="K4424" s="7" t="inlineStr">
        <is>
          <t>SEM COTAÇÃO</t>
        </is>
      </c>
      <c r="L4424" s="8" t="n"/>
      <c r="M4424" s="12" t="n"/>
      <c r="N4424" s="7" t="inlineStr"/>
      <c r="O4424" s="7" t="inlineStr"/>
    </row>
    <row r="4425">
      <c r="A4425" s="7" t="n">
        <v>637331</v>
      </c>
      <c r="B4425" s="10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1" t="n">
        <v>2</v>
      </c>
      <c r="G4425" s="11" t="n">
        <v>2</v>
      </c>
      <c r="H4425" s="8" t="n">
        <v>7.83</v>
      </c>
      <c r="I4425" s="8" t="n">
        <v>7.83</v>
      </c>
      <c r="J4425" s="8" t="n"/>
      <c r="K4425" s="7" t="inlineStr">
        <is>
          <t>SEM COTAÇÃO</t>
        </is>
      </c>
      <c r="L4425" s="8" t="n"/>
      <c r="M4425" s="12" t="n"/>
      <c r="N4425" s="7" t="inlineStr"/>
      <c r="O4425" s="7" t="inlineStr"/>
    </row>
    <row r="4426">
      <c r="A4426" s="7" t="n">
        <v>602221</v>
      </c>
      <c r="B4426" s="10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1" t="n">
        <v>8</v>
      </c>
      <c r="G4426" s="11" t="n">
        <v>8</v>
      </c>
      <c r="H4426" s="8" t="n">
        <v>6.93</v>
      </c>
      <c r="I4426" s="8" t="n">
        <v>6.93</v>
      </c>
      <c r="J4426" s="8" t="n"/>
      <c r="K4426" s="7" t="inlineStr">
        <is>
          <t>SEM COTAÇÃO</t>
        </is>
      </c>
      <c r="L4426" s="8" t="n"/>
      <c r="M4426" s="12" t="n"/>
      <c r="N4426" s="7" t="inlineStr"/>
      <c r="O4426" s="7" t="inlineStr"/>
    </row>
    <row r="4427">
      <c r="A4427" s="7" t="n">
        <v>631661</v>
      </c>
      <c r="B4427" s="10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1" t="n">
        <v>1</v>
      </c>
      <c r="G4427" s="11" t="n">
        <v>1</v>
      </c>
      <c r="H4427" s="8" t="n">
        <v>32.61</v>
      </c>
      <c r="I4427" s="8" t="n">
        <v>32.61</v>
      </c>
      <c r="J4427" s="8" t="n"/>
      <c r="K4427" s="7" t="inlineStr">
        <is>
          <t>SEM COTAÇÃO</t>
        </is>
      </c>
      <c r="L4427" s="8" t="n"/>
      <c r="M4427" s="12" t="n"/>
      <c r="N4427" s="7" t="inlineStr"/>
      <c r="O4427" s="7" t="inlineStr"/>
    </row>
    <row r="4428">
      <c r="A4428" s="7" t="n">
        <v>674401</v>
      </c>
      <c r="B4428" s="10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1" t="n">
        <v>8</v>
      </c>
      <c r="G4428" s="11" t="n">
        <v>8</v>
      </c>
      <c r="H4428" s="8" t="n">
        <v>6.52</v>
      </c>
      <c r="I4428" s="8" t="n">
        <v>6.52</v>
      </c>
      <c r="J4428" s="8" t="n"/>
      <c r="K4428" s="7" t="inlineStr">
        <is>
          <t>SEM COTAÇÃO</t>
        </is>
      </c>
      <c r="L4428" s="8" t="n"/>
      <c r="M4428" s="12" t="n"/>
      <c r="N4428" s="7" t="inlineStr"/>
      <c r="O4428" s="7" t="inlineStr"/>
    </row>
    <row r="4429">
      <c r="A4429" s="7" t="n">
        <v>657961</v>
      </c>
      <c r="B4429" s="10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1" t="n">
        <v>2</v>
      </c>
      <c r="G4429" s="11" t="n">
        <v>2</v>
      </c>
      <c r="H4429" s="8" t="n">
        <v>5.91</v>
      </c>
      <c r="I4429" s="8" t="n">
        <v>5.91</v>
      </c>
      <c r="J4429" s="8" t="n"/>
      <c r="K4429" s="7" t="inlineStr">
        <is>
          <t>SEM COTAÇÃO</t>
        </is>
      </c>
      <c r="L4429" s="8" t="n"/>
      <c r="M4429" s="12" t="n"/>
      <c r="N4429" s="7" t="inlineStr"/>
      <c r="O4429" s="7" t="inlineStr"/>
    </row>
    <row r="4430">
      <c r="A4430" s="7" t="n">
        <v>620051</v>
      </c>
      <c r="B4430" s="10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1" t="n">
        <v>2</v>
      </c>
      <c r="G4430" s="11" t="n">
        <v>2</v>
      </c>
      <c r="H4430" s="8" t="n">
        <v>6.87</v>
      </c>
      <c r="I4430" s="8" t="n">
        <v>6.87</v>
      </c>
      <c r="J4430" s="8" t="n"/>
      <c r="K4430" s="7" t="inlineStr">
        <is>
          <t>SEM COTAÇÃO</t>
        </is>
      </c>
      <c r="L4430" s="8" t="n"/>
      <c r="M4430" s="12" t="n"/>
      <c r="N4430" s="7" t="inlineStr"/>
      <c r="O4430" s="7" t="inlineStr"/>
    </row>
    <row r="4431">
      <c r="A4431" s="7" t="n">
        <v>661761</v>
      </c>
      <c r="B4431" s="10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1" t="n">
        <v>3</v>
      </c>
      <c r="G4431" s="11" t="n">
        <v>3</v>
      </c>
      <c r="H4431" s="8" t="n">
        <v>18.1263</v>
      </c>
      <c r="I4431" s="8" t="n">
        <v>18.1263</v>
      </c>
      <c r="J4431" s="8" t="n"/>
      <c r="K4431" s="7" t="inlineStr">
        <is>
          <t>SEM COTAÇÃO</t>
        </is>
      </c>
      <c r="L4431" s="8" t="n"/>
      <c r="M4431" s="12" t="n"/>
      <c r="N4431" s="7" t="inlineStr"/>
      <c r="O4431" s="7" t="inlineStr"/>
    </row>
    <row r="4432">
      <c r="A4432" s="7" t="n">
        <v>552081</v>
      </c>
      <c r="B4432" s="10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1" t="n">
        <v>3</v>
      </c>
      <c r="G4432" s="11" t="n">
        <v>3</v>
      </c>
      <c r="H4432" s="8" t="n">
        <v>9.011200000000001</v>
      </c>
      <c r="I4432" s="8" t="n">
        <v>9.011200000000001</v>
      </c>
      <c r="J4432" s="8" t="n"/>
      <c r="K4432" s="7" t="inlineStr">
        <is>
          <t>SEM COTAÇÃO</t>
        </is>
      </c>
      <c r="L4432" s="8" t="n"/>
      <c r="M4432" s="12" t="n"/>
      <c r="N4432" s="7" t="inlineStr"/>
      <c r="O4432" s="7" t="inlineStr"/>
    </row>
    <row r="4433">
      <c r="A4433" s="7" t="n">
        <v>536741</v>
      </c>
      <c r="B4433" s="10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1" t="n">
        <v>1</v>
      </c>
      <c r="G4433" s="11" t="n">
        <v>1</v>
      </c>
      <c r="H4433" s="8" t="n">
        <v>5.93</v>
      </c>
      <c r="I4433" s="8" t="n">
        <v>5.93</v>
      </c>
      <c r="J4433" s="8" t="n"/>
      <c r="K4433" s="7" t="inlineStr">
        <is>
          <t>SEM COTAÇÃO</t>
        </is>
      </c>
      <c r="L4433" s="8" t="n"/>
      <c r="M4433" s="12" t="n"/>
      <c r="N4433" s="7" t="inlineStr"/>
      <c r="O4433" s="7" t="inlineStr"/>
    </row>
    <row r="4434">
      <c r="A4434" s="7" t="n">
        <v>548561</v>
      </c>
      <c r="B4434" s="10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1" t="n">
        <v>1</v>
      </c>
      <c r="G4434" s="11" t="n">
        <v>1</v>
      </c>
      <c r="H4434" s="8" t="n">
        <v>13.9</v>
      </c>
      <c r="I4434" s="8" t="n">
        <v>13.9</v>
      </c>
      <c r="J4434" s="8" t="n"/>
      <c r="K4434" s="7" t="inlineStr">
        <is>
          <t>SEM COTAÇÃO</t>
        </is>
      </c>
      <c r="L4434" s="8" t="n"/>
      <c r="M4434" s="12" t="n"/>
      <c r="N4434" s="7" t="inlineStr"/>
      <c r="O4434" s="7" t="inlineStr"/>
    </row>
    <row r="4435">
      <c r="A4435" s="7" t="n">
        <v>598641</v>
      </c>
      <c r="B4435" s="10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1" t="n">
        <v>1</v>
      </c>
      <c r="G4435" s="11" t="n">
        <v>1</v>
      </c>
      <c r="H4435" s="8" t="n">
        <v>4.5</v>
      </c>
      <c r="I4435" s="8" t="n">
        <v>4.5</v>
      </c>
      <c r="J4435" s="8" t="n"/>
      <c r="K4435" s="7" t="inlineStr">
        <is>
          <t>SEM COTAÇÃO</t>
        </is>
      </c>
      <c r="L4435" s="8" t="n"/>
      <c r="M4435" s="12" t="n"/>
      <c r="N4435" s="7" t="inlineStr"/>
      <c r="O4435" s="7" t="inlineStr"/>
    </row>
    <row r="4436">
      <c r="A4436" s="7" t="n">
        <v>645621</v>
      </c>
      <c r="B4436" s="10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1" t="n">
        <v>4</v>
      </c>
      <c r="G4436" s="11" t="n">
        <v>4</v>
      </c>
      <c r="H4436" s="8" t="n">
        <v>4.34</v>
      </c>
      <c r="I4436" s="8" t="n">
        <v>4.34</v>
      </c>
      <c r="J4436" s="8" t="n"/>
      <c r="K4436" s="7" t="inlineStr">
        <is>
          <t>SEM COTAÇÃO</t>
        </is>
      </c>
      <c r="L4436" s="8" t="n"/>
      <c r="M4436" s="12" t="n"/>
      <c r="N4436" s="7" t="inlineStr"/>
      <c r="O4436" s="7" t="inlineStr"/>
    </row>
    <row r="4437">
      <c r="A4437" s="7" t="n">
        <v>646971</v>
      </c>
      <c r="B4437" s="10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1" t="n">
        <v>33</v>
      </c>
      <c r="G4437" s="11" t="n">
        <v>33</v>
      </c>
      <c r="H4437" s="8" t="n">
        <v>2.69</v>
      </c>
      <c r="I4437" s="8" t="n">
        <v>2.38</v>
      </c>
      <c r="J4437" s="8" t="n"/>
      <c r="K4437" s="7" t="inlineStr">
        <is>
          <t>SEM COTAÇÃO</t>
        </is>
      </c>
      <c r="L4437" s="8" t="n"/>
      <c r="M4437" s="12" t="n"/>
      <c r="N4437" s="7" t="inlineStr"/>
      <c r="O4437" s="7" t="inlineStr"/>
    </row>
    <row r="4438">
      <c r="A4438" s="7" t="n">
        <v>610651</v>
      </c>
      <c r="B4438" s="10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1" t="n">
        <v>9</v>
      </c>
      <c r="G4438" s="11" t="n">
        <v>9</v>
      </c>
      <c r="H4438" s="8" t="n">
        <v>6.03</v>
      </c>
      <c r="I4438" s="8" t="n">
        <v>6.03</v>
      </c>
      <c r="J4438" s="8" t="n"/>
      <c r="K4438" s="7" t="inlineStr">
        <is>
          <t>SEM COTAÇÃO</t>
        </is>
      </c>
      <c r="L4438" s="8" t="n"/>
      <c r="M4438" s="12" t="n"/>
      <c r="N4438" s="7" t="inlineStr"/>
      <c r="O4438" s="7" t="inlineStr"/>
    </row>
    <row r="4439">
      <c r="A4439" s="7" t="n">
        <v>623761</v>
      </c>
      <c r="B4439" s="10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1" t="n">
        <v>2</v>
      </c>
      <c r="G4439" s="11" t="n">
        <v>2</v>
      </c>
      <c r="H4439" s="8" t="n">
        <v>4.12</v>
      </c>
      <c r="I4439" s="8" t="n">
        <v>4.12</v>
      </c>
      <c r="J4439" s="8" t="n"/>
      <c r="K4439" s="7" t="inlineStr">
        <is>
          <t>SEM COTAÇÃO</t>
        </is>
      </c>
      <c r="L4439" s="8" t="n"/>
      <c r="M4439" s="12" t="n"/>
      <c r="N4439" s="7" t="inlineStr"/>
      <c r="O4439" s="7" t="inlineStr"/>
    </row>
    <row r="4440">
      <c r="A4440" s="7" t="n">
        <v>603731</v>
      </c>
      <c r="B4440" s="10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1" t="n">
        <v>3</v>
      </c>
      <c r="G4440" s="11" t="n">
        <v>3</v>
      </c>
      <c r="H4440" s="8" t="n">
        <v>15.7</v>
      </c>
      <c r="I4440" s="8" t="n">
        <v>15.7</v>
      </c>
      <c r="J4440" s="8" t="n"/>
      <c r="K4440" s="7" t="inlineStr">
        <is>
          <t>SEM COTAÇÃO</t>
        </is>
      </c>
      <c r="L4440" s="8" t="n"/>
      <c r="M4440" s="12" t="n"/>
      <c r="N4440" s="7" t="inlineStr"/>
      <c r="O4440" s="7" t="inlineStr"/>
    </row>
    <row r="4441">
      <c r="A4441" s="7" t="n">
        <v>464681</v>
      </c>
      <c r="B4441" s="10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1" t="n">
        <v>5</v>
      </c>
      <c r="G4441" s="11" t="n">
        <v>5</v>
      </c>
      <c r="H4441" s="8" t="n">
        <v>11.61</v>
      </c>
      <c r="I4441" s="8" t="n">
        <v>10.1</v>
      </c>
      <c r="J4441" s="8" t="n"/>
      <c r="K4441" s="7" t="inlineStr">
        <is>
          <t>SEM COTAÇÃO</t>
        </is>
      </c>
      <c r="L4441" s="8" t="n"/>
      <c r="M4441" s="12" t="n"/>
      <c r="N4441" s="7" t="inlineStr"/>
      <c r="O4441" s="7" t="inlineStr"/>
    </row>
    <row r="4442">
      <c r="A4442" s="7" t="n">
        <v>464521</v>
      </c>
      <c r="B4442" s="10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1" t="n">
        <v>1</v>
      </c>
      <c r="G4442" s="11" t="n">
        <v>1</v>
      </c>
      <c r="H4442" s="8" t="n">
        <v>28.09</v>
      </c>
      <c r="I4442" s="8" t="n">
        <v>26.69</v>
      </c>
      <c r="J4442" s="8" t="n"/>
      <c r="K4442" s="7" t="inlineStr">
        <is>
          <t>SEM COTAÇÃO</t>
        </is>
      </c>
      <c r="L4442" s="8" t="n"/>
      <c r="M4442" s="12" t="n"/>
      <c r="N4442" s="7" t="inlineStr"/>
      <c r="O4442" s="7" t="inlineStr"/>
    </row>
    <row r="4443">
      <c r="A4443" s="7" t="n">
        <v>613801</v>
      </c>
      <c r="B4443" s="10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1" t="n">
        <v>6</v>
      </c>
      <c r="G4443" s="11" t="n">
        <v>6</v>
      </c>
      <c r="H4443" s="8" t="n">
        <v>2.59</v>
      </c>
      <c r="I4443" s="8" t="n">
        <v>2.59</v>
      </c>
      <c r="J4443" s="8" t="n"/>
      <c r="K4443" s="7" t="inlineStr">
        <is>
          <t>SEM COTAÇÃO</t>
        </is>
      </c>
      <c r="L4443" s="8" t="n"/>
      <c r="M4443" s="12" t="n"/>
      <c r="N4443" s="7" t="inlineStr"/>
      <c r="O4443" s="7" t="inlineStr"/>
    </row>
    <row r="4444">
      <c r="A4444" s="7" t="n">
        <v>673871</v>
      </c>
      <c r="B4444" s="10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1" t="n">
        <v>1</v>
      </c>
      <c r="G4444" s="11" t="n">
        <v>1</v>
      </c>
      <c r="H4444" s="8" t="n"/>
      <c r="I4444" s="8" t="n"/>
      <c r="J4444" s="8" t="n"/>
      <c r="K4444" s="7" t="inlineStr">
        <is>
          <t>SEM COTAÇÃO</t>
        </is>
      </c>
      <c r="L4444" s="8" t="n"/>
      <c r="M4444" s="12" t="n"/>
      <c r="N4444" s="7" t="inlineStr"/>
      <c r="O4444" s="7" t="inlineStr"/>
    </row>
    <row r="4445">
      <c r="A4445" s="7" t="n">
        <v>611011</v>
      </c>
      <c r="B4445" s="10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1" t="n">
        <v>1</v>
      </c>
      <c r="G4445" s="11" t="n">
        <v>1</v>
      </c>
      <c r="H4445" s="8" t="n">
        <v>30.55</v>
      </c>
      <c r="I4445" s="8" t="n">
        <v>30.55</v>
      </c>
      <c r="J4445" s="8" t="n"/>
      <c r="K4445" s="7" t="inlineStr">
        <is>
          <t>SEM COTAÇÃO</t>
        </is>
      </c>
      <c r="L4445" s="8" t="n"/>
      <c r="M4445" s="12" t="n"/>
      <c r="N4445" s="7" t="inlineStr"/>
      <c r="O4445" s="7" t="inlineStr"/>
    </row>
    <row r="4446">
      <c r="A4446" s="7" t="n">
        <v>615421</v>
      </c>
      <c r="B4446" s="10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1" t="n">
        <v>1</v>
      </c>
      <c r="G4446" s="11" t="n">
        <v>1</v>
      </c>
      <c r="H4446" s="8" t="n">
        <v>26.69</v>
      </c>
      <c r="I4446" s="8" t="n">
        <v>26.69</v>
      </c>
      <c r="J4446" s="8" t="n"/>
      <c r="K4446" s="7" t="inlineStr">
        <is>
          <t>SEM COTAÇÃO</t>
        </is>
      </c>
      <c r="L4446" s="8" t="n"/>
      <c r="M4446" s="12" t="n"/>
      <c r="N4446" s="7" t="inlineStr"/>
      <c r="O4446" s="7" t="inlineStr"/>
    </row>
    <row r="4447">
      <c r="A4447" s="7" t="n">
        <v>596521</v>
      </c>
      <c r="B4447" s="10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1" t="n">
        <v>10</v>
      </c>
      <c r="G4447" s="11" t="n">
        <v>10</v>
      </c>
      <c r="H4447" s="8" t="n">
        <v>26.0814</v>
      </c>
      <c r="I4447" s="8" t="n">
        <v>23.048</v>
      </c>
      <c r="J4447" s="8" t="n"/>
      <c r="K4447" s="7" t="inlineStr">
        <is>
          <t>SEM COTAÇÃO</t>
        </is>
      </c>
      <c r="L4447" s="8" t="n"/>
      <c r="M4447" s="12" t="n"/>
      <c r="N4447" s="7" t="inlineStr"/>
      <c r="O4447" s="7" t="inlineStr"/>
    </row>
    <row r="4448">
      <c r="A4448" s="7" t="n">
        <v>632821</v>
      </c>
      <c r="B4448" s="10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1" t="n">
        <v>5</v>
      </c>
      <c r="G4448" s="11" t="n">
        <v>5</v>
      </c>
      <c r="H4448" s="8" t="n">
        <v>28.174</v>
      </c>
      <c r="I4448" s="8" t="n">
        <v>23.7392</v>
      </c>
      <c r="J4448" s="8" t="n"/>
      <c r="K4448" s="7" t="inlineStr">
        <is>
          <t>SEM COTAÇÃO</t>
        </is>
      </c>
      <c r="L4448" s="8" t="n"/>
      <c r="M4448" s="12" t="n"/>
      <c r="N4448" s="7" t="inlineStr"/>
      <c r="O4448" s="7" t="inlineStr"/>
    </row>
    <row r="4449">
      <c r="A4449" s="7" t="n">
        <v>558541</v>
      </c>
      <c r="B4449" s="10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1" t="n">
        <v>1</v>
      </c>
      <c r="G4449" s="11" t="n">
        <v>1</v>
      </c>
      <c r="H4449" s="8" t="n">
        <v>50.52</v>
      </c>
      <c r="I4449" s="8" t="n">
        <v>44.8</v>
      </c>
      <c r="J4449" s="8" t="n"/>
      <c r="K4449" s="7" t="inlineStr">
        <is>
          <t>SEM COTAÇÃO</t>
        </is>
      </c>
      <c r="L4449" s="8" t="n"/>
      <c r="M4449" s="12" t="n"/>
      <c r="N4449" s="7" t="inlineStr"/>
      <c r="O4449" s="7" t="inlineStr"/>
    </row>
    <row r="4450">
      <c r="A4450" s="7" t="n">
        <v>684801</v>
      </c>
      <c r="B4450" s="10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1" t="n">
        <v>1</v>
      </c>
      <c r="G4450" s="11" t="n">
        <v>10</v>
      </c>
      <c r="H4450" s="8" t="n">
        <v>3.3814</v>
      </c>
      <c r="I4450" s="8" t="n">
        <v>3.3814</v>
      </c>
      <c r="J4450" s="8" t="n"/>
      <c r="K4450" s="7" t="inlineStr">
        <is>
          <t>SEM COTAÇÃO</t>
        </is>
      </c>
      <c r="L4450" s="8" t="n"/>
      <c r="M4450" s="12" t="n"/>
      <c r="N4450" s="7" t="inlineStr"/>
      <c r="O4450" s="7" t="inlineStr"/>
    </row>
    <row r="4451">
      <c r="A4451" s="7" t="n">
        <v>629251</v>
      </c>
      <c r="B4451" s="10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1" t="n">
        <v>1</v>
      </c>
      <c r="G4451" s="11" t="n">
        <v>1</v>
      </c>
      <c r="H4451" s="8" t="n">
        <v>15.86</v>
      </c>
      <c r="I4451" s="8" t="n">
        <v>15.86</v>
      </c>
      <c r="J4451" s="8" t="n"/>
      <c r="K4451" s="7" t="inlineStr">
        <is>
          <t>SEM COTAÇÃO</t>
        </is>
      </c>
      <c r="L4451" s="8" t="n"/>
      <c r="M4451" s="12" t="n"/>
      <c r="N4451" s="7" t="inlineStr"/>
      <c r="O4451" s="7" t="inlineStr"/>
    </row>
    <row r="4452">
      <c r="A4452" s="7" t="n">
        <v>596341</v>
      </c>
      <c r="B4452" s="10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1" t="n">
        <v>2</v>
      </c>
      <c r="G4452" s="11" t="n">
        <v>2</v>
      </c>
      <c r="H4452" s="8" t="n">
        <v>12.35</v>
      </c>
      <c r="I4452" s="8" t="n">
        <v>12.35</v>
      </c>
      <c r="J4452" s="8" t="n"/>
      <c r="K4452" s="7" t="inlineStr">
        <is>
          <t>SEM COTAÇÃO</t>
        </is>
      </c>
      <c r="L4452" s="8" t="n"/>
      <c r="M4452" s="12" t="n"/>
      <c r="N4452" s="7" t="inlineStr"/>
      <c r="O4452" s="7" t="inlineStr"/>
    </row>
    <row r="4453">
      <c r="A4453" s="7" t="n">
        <v>629271</v>
      </c>
      <c r="B4453" s="10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1" t="n">
        <v>1</v>
      </c>
      <c r="G4453" s="11" t="n">
        <v>1</v>
      </c>
      <c r="H4453" s="8" t="n">
        <v>7.46</v>
      </c>
      <c r="I4453" s="8" t="n">
        <v>7.46</v>
      </c>
      <c r="J4453" s="8" t="n"/>
      <c r="K4453" s="7" t="inlineStr">
        <is>
          <t>SEM COTAÇÃO</t>
        </is>
      </c>
      <c r="L4453" s="8" t="n"/>
      <c r="M4453" s="12" t="n"/>
      <c r="N4453" s="7" t="inlineStr"/>
      <c r="O4453" s="7" t="inlineStr"/>
    </row>
    <row r="4454">
      <c r="A4454" s="7" t="n">
        <v>629161</v>
      </c>
      <c r="B4454" s="10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1" t="n">
        <v>1</v>
      </c>
      <c r="G4454" s="11" t="n">
        <v>1</v>
      </c>
      <c r="H4454" s="8" t="n">
        <v>12.03</v>
      </c>
      <c r="I4454" s="8" t="n">
        <v>12.03</v>
      </c>
      <c r="J4454" s="8" t="n"/>
      <c r="K4454" s="7" t="inlineStr">
        <is>
          <t>SEM COTAÇÃO</t>
        </is>
      </c>
      <c r="L4454" s="8" t="n"/>
      <c r="M4454" s="12" t="n"/>
      <c r="N4454" s="7" t="inlineStr"/>
      <c r="O4454" s="7" t="inlineStr"/>
    </row>
    <row r="4455">
      <c r="A4455" s="7" t="n">
        <v>637381</v>
      </c>
      <c r="B4455" s="10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1" t="n">
        <v>3</v>
      </c>
      <c r="G4455" s="11" t="n">
        <v>3</v>
      </c>
      <c r="H4455" s="8" t="n">
        <v>22.49</v>
      </c>
      <c r="I4455" s="8" t="n">
        <v>22.49</v>
      </c>
      <c r="J4455" s="8" t="n"/>
      <c r="K4455" s="7" t="inlineStr">
        <is>
          <t>SEM COTAÇÃO</t>
        </is>
      </c>
      <c r="L4455" s="8" t="n"/>
      <c r="M4455" s="12" t="n"/>
      <c r="N4455" s="7" t="inlineStr"/>
      <c r="O4455" s="7" t="inlineStr"/>
    </row>
    <row r="4456">
      <c r="A4456" s="7" t="n">
        <v>18001</v>
      </c>
      <c r="B4456" s="10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1" t="n">
        <v>1</v>
      </c>
      <c r="G4456" s="11" t="n">
        <v>1</v>
      </c>
      <c r="H4456" s="8" t="n">
        <v>40.53</v>
      </c>
      <c r="I4456" s="8" t="n">
        <v>40.53</v>
      </c>
      <c r="J4456" s="13" t="n">
        <v>35.81</v>
      </c>
      <c r="K4456" s="7" t="inlineStr">
        <is>
          <t>DIMEC</t>
        </is>
      </c>
      <c r="L4456" s="8" t="n">
        <v>35.81</v>
      </c>
      <c r="M4456" s="12">
        <f>L4456/H4456-1</f>
        <v/>
      </c>
      <c r="N4456" s="15" t="inlineStr">
        <is>
          <t>OK (≤ menor hist.)</t>
        </is>
      </c>
      <c r="O4456" s="7" t="inlineStr"/>
    </row>
    <row r="4457">
      <c r="A4457" s="7" t="n">
        <v>659191</v>
      </c>
      <c r="B4457" s="10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1" t="n">
        <v>5</v>
      </c>
      <c r="G4457" s="11" t="n">
        <v>5</v>
      </c>
      <c r="H4457" s="8" t="n">
        <v>26.08</v>
      </c>
      <c r="I4457" s="8" t="n">
        <v>26.08</v>
      </c>
      <c r="J4457" s="8" t="n"/>
      <c r="K4457" s="7" t="inlineStr">
        <is>
          <t>SEM COTAÇÃO</t>
        </is>
      </c>
      <c r="L4457" s="8" t="n"/>
      <c r="M4457" s="12" t="n"/>
      <c r="N4457" s="7" t="inlineStr"/>
      <c r="O4457" s="7" t="inlineStr"/>
    </row>
    <row r="4458">
      <c r="A4458" s="7" t="n">
        <v>670811</v>
      </c>
      <c r="B4458" s="10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1" t="n">
        <v>2</v>
      </c>
      <c r="G4458" s="11" t="n">
        <v>2</v>
      </c>
      <c r="H4458" s="8" t="n">
        <v>29.02</v>
      </c>
      <c r="I4458" s="8" t="n">
        <v>21.58</v>
      </c>
      <c r="J4458" s="8" t="n"/>
      <c r="K4458" s="7" t="inlineStr">
        <is>
          <t>SEM COTAÇÃO</t>
        </is>
      </c>
      <c r="L4458" s="8" t="n"/>
      <c r="M4458" s="12" t="n"/>
      <c r="N4458" s="7" t="inlineStr"/>
      <c r="O4458" s="7" t="inlineStr"/>
    </row>
    <row r="4459">
      <c r="A4459" s="7" t="n">
        <v>660941</v>
      </c>
      <c r="B4459" s="10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1" t="n">
        <v>1</v>
      </c>
      <c r="G4459" s="11" t="n">
        <v>1</v>
      </c>
      <c r="H4459" s="8" t="n">
        <v>20.74</v>
      </c>
      <c r="I4459" s="8" t="n">
        <v>20.74</v>
      </c>
      <c r="J4459" s="8" t="n"/>
      <c r="K4459" s="7" t="inlineStr">
        <is>
          <t>SEM COTAÇÃO</t>
        </is>
      </c>
      <c r="L4459" s="8" t="n"/>
      <c r="M4459" s="12" t="n"/>
      <c r="N4459" s="7" t="inlineStr"/>
      <c r="O4459" s="7" t="inlineStr"/>
    </row>
    <row r="4460">
      <c r="A4460" s="7" t="n">
        <v>625571</v>
      </c>
      <c r="B4460" s="10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1" t="n">
        <v>36</v>
      </c>
      <c r="G4460" s="11" t="n">
        <v>36</v>
      </c>
      <c r="H4460" s="8" t="n">
        <v>3.29</v>
      </c>
      <c r="I4460" s="8" t="n">
        <v>3.29</v>
      </c>
      <c r="J4460" s="8" t="n"/>
      <c r="K4460" s="7" t="inlineStr">
        <is>
          <t>SEM COTAÇÃO</t>
        </is>
      </c>
      <c r="L4460" s="8" t="n"/>
      <c r="M4460" s="12" t="n"/>
      <c r="N4460" s="7" t="inlineStr"/>
      <c r="O4460" s="7" t="inlineStr"/>
    </row>
    <row r="4461">
      <c r="A4461" s="7" t="n">
        <v>625581</v>
      </c>
      <c r="B4461" s="10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1" t="n">
        <v>4</v>
      </c>
      <c r="G4461" s="11" t="n">
        <v>4</v>
      </c>
      <c r="H4461" s="8" t="n">
        <v>2.9736</v>
      </c>
      <c r="I4461" s="8" t="n">
        <v>2.9736</v>
      </c>
      <c r="J4461" s="8" t="n"/>
      <c r="K4461" s="7" t="inlineStr">
        <is>
          <t>SEM COTAÇÃO</t>
        </is>
      </c>
      <c r="L4461" s="8" t="n"/>
      <c r="M4461" s="12" t="n"/>
      <c r="N4461" s="7" t="inlineStr"/>
      <c r="O4461" s="7" t="inlineStr"/>
    </row>
    <row r="4462">
      <c r="A4462" s="7" t="n">
        <v>650261</v>
      </c>
      <c r="B4462" s="10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1" t="n">
        <v>3</v>
      </c>
      <c r="G4462" s="11" t="n">
        <v>3</v>
      </c>
      <c r="H4462" s="8" t="n">
        <v>5.99</v>
      </c>
      <c r="I4462" s="8" t="n">
        <v>5.99</v>
      </c>
      <c r="J4462" s="8" t="n"/>
      <c r="K4462" s="7" t="inlineStr">
        <is>
          <t>SEM COTAÇÃO</t>
        </is>
      </c>
      <c r="L4462" s="8" t="n"/>
      <c r="M4462" s="12" t="n"/>
      <c r="N4462" s="7" t="inlineStr"/>
      <c r="O4462" s="7" t="inlineStr"/>
    </row>
    <row r="4463">
      <c r="A4463" s="7" t="n">
        <v>652511</v>
      </c>
      <c r="B4463" s="10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1" t="n">
        <v>8</v>
      </c>
      <c r="G4463" s="11" t="n">
        <v>8</v>
      </c>
      <c r="H4463" s="8" t="n">
        <v>5.99</v>
      </c>
      <c r="I4463" s="8" t="n">
        <v>5.99</v>
      </c>
      <c r="J4463" s="8" t="n"/>
      <c r="K4463" s="7" t="inlineStr">
        <is>
          <t>SEM COTAÇÃO</t>
        </is>
      </c>
      <c r="L4463" s="8" t="n"/>
      <c r="M4463" s="12" t="n"/>
      <c r="N4463" s="7" t="inlineStr"/>
      <c r="O4463" s="7" t="inlineStr"/>
    </row>
    <row r="4464">
      <c r="A4464" s="7" t="n">
        <v>652591</v>
      </c>
      <c r="B4464" s="10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1" t="n">
        <v>10</v>
      </c>
      <c r="G4464" s="11" t="n">
        <v>10</v>
      </c>
      <c r="H4464" s="8" t="n">
        <v>5.99</v>
      </c>
      <c r="I4464" s="8" t="n">
        <v>5.99</v>
      </c>
      <c r="J4464" s="8" t="n"/>
      <c r="K4464" s="7" t="inlineStr">
        <is>
          <t>SEM COTAÇÃO</t>
        </is>
      </c>
      <c r="L4464" s="8" t="n"/>
      <c r="M4464" s="12" t="n"/>
      <c r="N4464" s="7" t="inlineStr"/>
      <c r="O4464" s="7" t="inlineStr"/>
    </row>
    <row r="4465">
      <c r="A4465" s="7" t="n">
        <v>656831</v>
      </c>
      <c r="B4465" s="10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1" t="n">
        <v>1</v>
      </c>
      <c r="G4465" s="11" t="n">
        <v>3</v>
      </c>
      <c r="H4465" s="8" t="n">
        <v>0.4992</v>
      </c>
      <c r="I4465" s="8" t="n">
        <v>0.4992</v>
      </c>
      <c r="J4465" s="8" t="n"/>
      <c r="K4465" s="7" t="inlineStr">
        <is>
          <t>SEM COTAÇÃO</t>
        </is>
      </c>
      <c r="L4465" s="8" t="n"/>
      <c r="M4465" s="12" t="n"/>
      <c r="N4465" s="7" t="inlineStr"/>
      <c r="O4465" s="7" t="inlineStr"/>
    </row>
    <row r="4466">
      <c r="A4466" s="7" t="n">
        <v>658421</v>
      </c>
      <c r="B4466" s="10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1" t="n">
        <v>7</v>
      </c>
      <c r="G4466" s="11" t="n">
        <v>7</v>
      </c>
      <c r="H4466" s="8" t="n">
        <v>1.99</v>
      </c>
      <c r="I4466" s="8" t="n">
        <v>1.85</v>
      </c>
      <c r="J4466" s="8" t="n"/>
      <c r="K4466" s="7" t="inlineStr">
        <is>
          <t>SEM COTAÇÃO</t>
        </is>
      </c>
      <c r="L4466" s="8" t="n"/>
      <c r="M4466" s="12" t="n"/>
      <c r="N4466" s="7" t="inlineStr"/>
      <c r="O4466" s="7" t="inlineStr"/>
    </row>
    <row r="4467">
      <c r="A4467" s="7" t="n">
        <v>564421</v>
      </c>
      <c r="B4467" s="10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1" t="n">
        <v>43</v>
      </c>
      <c r="G4467" s="11" t="n">
        <v>43</v>
      </c>
      <c r="H4467" s="8" t="n">
        <v>1.99</v>
      </c>
      <c r="I4467" s="8" t="n">
        <v>1.85</v>
      </c>
      <c r="J4467" s="8" t="n"/>
      <c r="K4467" s="7" t="inlineStr">
        <is>
          <t>SEM COTAÇÃO</t>
        </is>
      </c>
      <c r="L4467" s="8" t="n"/>
      <c r="M4467" s="12" t="n"/>
      <c r="N4467" s="7" t="inlineStr"/>
      <c r="O4467" s="7" t="inlineStr"/>
    </row>
    <row r="4468">
      <c r="A4468" s="7" t="n">
        <v>652461</v>
      </c>
      <c r="B4468" s="10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1" t="n">
        <v>1</v>
      </c>
      <c r="G4468" s="11" t="n">
        <v>1</v>
      </c>
      <c r="H4468" s="8" t="n">
        <v>3.29</v>
      </c>
      <c r="I4468" s="8" t="n">
        <v>3.29</v>
      </c>
      <c r="J4468" s="8" t="n"/>
      <c r="K4468" s="7" t="inlineStr">
        <is>
          <t>SEM COTAÇÃO</t>
        </is>
      </c>
      <c r="L4468" s="8" t="n"/>
      <c r="M4468" s="12" t="n"/>
      <c r="N4468" s="7" t="inlineStr"/>
      <c r="O4468" s="7" t="inlineStr"/>
    </row>
    <row r="4469">
      <c r="A4469" s="7" t="n">
        <v>650251</v>
      </c>
      <c r="B4469" s="10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1" t="n">
        <v>1</v>
      </c>
      <c r="G4469" s="11" t="n">
        <v>1</v>
      </c>
      <c r="H4469" s="8" t="n">
        <v>3.29</v>
      </c>
      <c r="I4469" s="8" t="n">
        <v>3.29</v>
      </c>
      <c r="J4469" s="8" t="n"/>
      <c r="K4469" s="7" t="inlineStr">
        <is>
          <t>SEM COTAÇÃO</t>
        </is>
      </c>
      <c r="L4469" s="8" t="n"/>
      <c r="M4469" s="12" t="n"/>
      <c r="N4469" s="7" t="inlineStr"/>
      <c r="O4469" s="7" t="inlineStr"/>
    </row>
    <row r="4470">
      <c r="A4470" s="7" t="n">
        <v>625601</v>
      </c>
      <c r="B4470" s="10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1" t="n">
        <v>1</v>
      </c>
      <c r="G4470" s="11" t="n">
        <v>1</v>
      </c>
      <c r="H4470" s="8" t="n">
        <v>9.65</v>
      </c>
      <c r="I4470" s="8" t="n">
        <v>9.65</v>
      </c>
      <c r="J4470" s="8" t="n"/>
      <c r="K4470" s="7" t="inlineStr">
        <is>
          <t>SEM COTAÇÃO</t>
        </is>
      </c>
      <c r="L4470" s="8" t="n"/>
      <c r="M4470" s="12" t="n"/>
      <c r="N4470" s="7" t="inlineStr"/>
      <c r="O4470" s="7" t="inlineStr"/>
    </row>
    <row r="4471">
      <c r="A4471" s="7" t="n">
        <v>656821</v>
      </c>
      <c r="B4471" s="10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1" t="n">
        <v>5</v>
      </c>
      <c r="G4471" s="11" t="n">
        <v>5</v>
      </c>
      <c r="H4471" s="8" t="n">
        <v>1.99</v>
      </c>
      <c r="I4471" s="8" t="n">
        <v>1.85</v>
      </c>
      <c r="J4471" s="8" t="n"/>
      <c r="K4471" s="7" t="inlineStr">
        <is>
          <t>SEM COTAÇÃO</t>
        </is>
      </c>
      <c r="L4471" s="8" t="n"/>
      <c r="M4471" s="12" t="n"/>
      <c r="N4471" s="7" t="inlineStr"/>
      <c r="O4471" s="7" t="inlineStr"/>
    </row>
    <row r="4472">
      <c r="A4472" s="7" t="n">
        <v>650241</v>
      </c>
      <c r="B4472" s="10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1" t="n">
        <v>54</v>
      </c>
      <c r="G4472" s="11" t="n">
        <v>54</v>
      </c>
      <c r="H4472" s="8" t="n">
        <v>1.99</v>
      </c>
      <c r="I4472" s="8" t="n">
        <v>1.85</v>
      </c>
      <c r="J4472" s="8" t="n"/>
      <c r="K4472" s="7" t="inlineStr">
        <is>
          <t>SEM COTAÇÃO</t>
        </is>
      </c>
      <c r="L4472" s="8" t="n"/>
      <c r="M4472" s="12" t="n"/>
      <c r="N4472" s="7" t="inlineStr"/>
      <c r="O4472" s="7" t="inlineStr"/>
    </row>
    <row r="4473">
      <c r="A4473" s="7" t="n">
        <v>446421</v>
      </c>
      <c r="B4473" s="10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1" t="n">
        <v>1</v>
      </c>
      <c r="G4473" s="11" t="n">
        <v>1</v>
      </c>
      <c r="H4473" s="8" t="n">
        <v>104.805</v>
      </c>
      <c r="I4473" s="8" t="n">
        <v>104.805</v>
      </c>
      <c r="J4473" s="8" t="n"/>
      <c r="K4473" s="7" t="inlineStr">
        <is>
          <t>SEM COTAÇÃO</t>
        </is>
      </c>
      <c r="L4473" s="8" t="n"/>
      <c r="M4473" s="12" t="n"/>
      <c r="N4473" s="7" t="inlineStr"/>
      <c r="O4473" s="7" t="inlineStr"/>
    </row>
    <row r="4474">
      <c r="A4474" s="7" t="n">
        <v>656301</v>
      </c>
      <c r="B4474" s="10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1" t="n">
        <v>1</v>
      </c>
      <c r="G4474" s="11" t="n">
        <v>1</v>
      </c>
      <c r="H4474" s="8" t="n">
        <v>22.4967</v>
      </c>
      <c r="I4474" s="8" t="n">
        <v>22.4967</v>
      </c>
      <c r="J4474" s="8" t="n"/>
      <c r="K4474" s="7" t="inlineStr">
        <is>
          <t>SEM COTAÇÃO</t>
        </is>
      </c>
      <c r="L4474" s="8" t="n"/>
      <c r="M4474" s="12" t="n"/>
      <c r="N4474" s="7" t="inlineStr"/>
      <c r="O4474" s="7" t="inlineStr"/>
    </row>
    <row r="4475">
      <c r="A4475" s="7" t="n">
        <v>656311</v>
      </c>
      <c r="B4475" s="10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1" t="n">
        <v>1</v>
      </c>
      <c r="G4475" s="11" t="n">
        <v>1</v>
      </c>
      <c r="H4475" s="8" t="n">
        <v>4.4333</v>
      </c>
      <c r="I4475" s="8" t="n">
        <v>4.4333</v>
      </c>
      <c r="J4475" s="8" t="n"/>
      <c r="K4475" s="7" t="inlineStr">
        <is>
          <t>SEM COTAÇÃO</t>
        </is>
      </c>
      <c r="L4475" s="8" t="n"/>
      <c r="M4475" s="12" t="n"/>
      <c r="N4475" s="7" t="inlineStr"/>
      <c r="O4475" s="7" t="inlineStr"/>
    </row>
    <row r="4476">
      <c r="A4476" s="7" t="n">
        <v>655211</v>
      </c>
      <c r="B4476" s="10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1" t="n">
        <v>1</v>
      </c>
      <c r="G4476" s="11" t="n">
        <v>1</v>
      </c>
      <c r="H4476" s="8" t="n">
        <v>14.23</v>
      </c>
      <c r="I4476" s="8" t="n">
        <v>14.23</v>
      </c>
      <c r="J4476" s="8" t="n"/>
      <c r="K4476" s="7" t="inlineStr">
        <is>
          <t>SEM COTAÇÃO</t>
        </is>
      </c>
      <c r="L4476" s="8" t="n"/>
      <c r="M4476" s="12" t="n"/>
      <c r="N4476" s="7" t="inlineStr"/>
      <c r="O4476" s="7" t="inlineStr"/>
    </row>
    <row r="4477">
      <c r="A4477" s="7" t="n">
        <v>656221</v>
      </c>
      <c r="B4477" s="10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1" t="n">
        <v>1</v>
      </c>
      <c r="G4477" s="11" t="n">
        <v>1</v>
      </c>
      <c r="H4477" s="8" t="n">
        <v>13.74</v>
      </c>
      <c r="I4477" s="8" t="n">
        <v>13.74</v>
      </c>
      <c r="J4477" s="8" t="n"/>
      <c r="K4477" s="7" t="inlineStr">
        <is>
          <t>SEM COTAÇÃO</t>
        </is>
      </c>
      <c r="L4477" s="8" t="n"/>
      <c r="M4477" s="12" t="n"/>
      <c r="N4477" s="7" t="inlineStr"/>
      <c r="O4477" s="7" t="inlineStr"/>
    </row>
    <row r="4478">
      <c r="A4478" s="7" t="n">
        <v>660321</v>
      </c>
      <c r="B4478" s="10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1" t="n">
        <v>1</v>
      </c>
      <c r="G4478" s="11" t="n">
        <v>1</v>
      </c>
      <c r="H4478" s="8" t="n">
        <v>29.54</v>
      </c>
      <c r="I4478" s="8" t="n">
        <v>29.54</v>
      </c>
      <c r="J4478" s="8" t="n"/>
      <c r="K4478" s="7" t="inlineStr">
        <is>
          <t>SEM COTAÇÃO</t>
        </is>
      </c>
      <c r="L4478" s="8" t="n"/>
      <c r="M4478" s="12" t="n"/>
      <c r="N4478" s="7" t="inlineStr"/>
      <c r="O4478" s="7" t="inlineStr"/>
    </row>
    <row r="4479">
      <c r="A4479" s="7" t="n">
        <v>39303</v>
      </c>
      <c r="B4479" s="10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1" t="n">
        <v>8</v>
      </c>
      <c r="G4479" s="11" t="n">
        <v>8</v>
      </c>
      <c r="H4479" s="8" t="n">
        <v>16.385</v>
      </c>
      <c r="I4479" s="8" t="n">
        <v>16.385</v>
      </c>
      <c r="J4479" s="13" t="n">
        <v>22.59</v>
      </c>
      <c r="K4479" s="7" t="inlineStr">
        <is>
          <t>DIMEC</t>
        </is>
      </c>
      <c r="L4479" s="8" t="n">
        <v>22.59</v>
      </c>
      <c r="M4479" s="12">
        <f>L4479/H4479-1</f>
        <v/>
      </c>
      <c r="N4479" s="14" t="inlineStr">
        <is>
          <t>ACIMA +37.9%</t>
        </is>
      </c>
      <c r="O4479" s="7" t="inlineStr"/>
    </row>
    <row r="4480">
      <c r="A4480" s="7" t="n">
        <v>210541</v>
      </c>
      <c r="B4480" s="10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1" t="n">
        <v>21</v>
      </c>
      <c r="G4480" s="11" t="n">
        <v>21</v>
      </c>
      <c r="H4480" s="8" t="n">
        <v>17.91</v>
      </c>
      <c r="I4480" s="8" t="n">
        <v>16.955</v>
      </c>
      <c r="J4480" s="8" t="n"/>
      <c r="K4480" s="7" t="inlineStr">
        <is>
          <t>SEM COTAÇÃO</t>
        </is>
      </c>
      <c r="L4480" s="8" t="n"/>
      <c r="M4480" s="12" t="n"/>
      <c r="N4480" s="7" t="inlineStr"/>
      <c r="O4480" s="7" t="inlineStr"/>
    </row>
    <row r="4481">
      <c r="A4481" s="7" t="n">
        <v>684401</v>
      </c>
      <c r="B4481" s="10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1" t="n">
        <v>1</v>
      </c>
      <c r="G4481" s="11" t="n">
        <v>1</v>
      </c>
      <c r="H4481" s="8" t="n">
        <v>2.995</v>
      </c>
      <c r="I4481" s="8" t="n">
        <v>2.995</v>
      </c>
      <c r="J4481" s="8" t="n"/>
      <c r="K4481" s="7" t="inlineStr">
        <is>
          <t>SEM COTAÇÃO</t>
        </is>
      </c>
      <c r="L4481" s="8" t="n"/>
      <c r="M4481" s="12" t="n"/>
      <c r="N4481" s="7" t="inlineStr"/>
      <c r="O4481" s="7" t="inlineStr"/>
    </row>
    <row r="4482">
      <c r="A4482" s="7" t="n">
        <v>684501</v>
      </c>
      <c r="B4482" s="10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1" t="n">
        <v>1</v>
      </c>
      <c r="G4482" s="11" t="n">
        <v>1</v>
      </c>
      <c r="H4482" s="8" t="n">
        <v>2.995</v>
      </c>
      <c r="I4482" s="8" t="n">
        <v>2.995</v>
      </c>
      <c r="J4482" s="8" t="n"/>
      <c r="K4482" s="7" t="inlineStr">
        <is>
          <t>SEM COTAÇÃO</t>
        </is>
      </c>
      <c r="L4482" s="8" t="n"/>
      <c r="M4482" s="12" t="n"/>
      <c r="N4482" s="7" t="inlineStr"/>
      <c r="O4482" s="7" t="inlineStr"/>
    </row>
    <row r="4483">
      <c r="A4483" s="7" t="n">
        <v>684701</v>
      </c>
      <c r="B4483" s="10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1" t="n">
        <v>1</v>
      </c>
      <c r="G4483" s="11" t="n">
        <v>1</v>
      </c>
      <c r="H4483" s="8" t="n">
        <v>2.995</v>
      </c>
      <c r="I4483" s="8" t="n">
        <v>2.995</v>
      </c>
      <c r="J4483" s="8" t="n"/>
      <c r="K4483" s="7" t="inlineStr">
        <is>
          <t>SEM COTAÇÃO</t>
        </is>
      </c>
      <c r="L4483" s="8" t="n"/>
      <c r="M4483" s="12" t="n"/>
      <c r="N4483" s="7" t="inlineStr"/>
      <c r="O4483" s="7" t="inlineStr"/>
    </row>
    <row r="4484">
      <c r="A4484" s="7" t="n">
        <v>207441</v>
      </c>
      <c r="B4484" s="10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1" t="n">
        <v>2</v>
      </c>
      <c r="G4484" s="11" t="n">
        <v>2</v>
      </c>
      <c r="H4484" s="8" t="n">
        <v>73.675</v>
      </c>
      <c r="I4484" s="8" t="n">
        <v>63.0967</v>
      </c>
      <c r="J4484" s="8" t="n"/>
      <c r="K4484" s="7" t="inlineStr">
        <is>
          <t>SEM COTAÇÃO</t>
        </is>
      </c>
      <c r="L4484" s="8" t="n"/>
      <c r="M4484" s="12" t="n"/>
      <c r="N4484" s="7" t="inlineStr"/>
      <c r="O4484" s="7" t="inlineStr"/>
    </row>
    <row r="4485">
      <c r="A4485" s="7" t="n">
        <v>609051</v>
      </c>
      <c r="B4485" s="10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1" t="n">
        <v>1</v>
      </c>
      <c r="G4485" s="11" t="n">
        <v>1</v>
      </c>
      <c r="H4485" s="8" t="n">
        <v>15.42</v>
      </c>
      <c r="I4485" s="8" t="n">
        <v>14.02</v>
      </c>
      <c r="J4485" s="8" t="n"/>
      <c r="K4485" s="7" t="inlineStr">
        <is>
          <t>SEM COTAÇÃO</t>
        </is>
      </c>
      <c r="L4485" s="8" t="n"/>
      <c r="M4485" s="12" t="n"/>
      <c r="N4485" s="7" t="inlineStr"/>
      <c r="O4485" s="7" t="inlineStr"/>
    </row>
    <row r="4486">
      <c r="A4486" s="7" t="n">
        <v>640321</v>
      </c>
      <c r="B4486" s="10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1" t="n">
        <v>1</v>
      </c>
      <c r="G4486" s="11" t="n">
        <v>1</v>
      </c>
      <c r="H4486" s="8" t="n">
        <v>14.58</v>
      </c>
      <c r="I4486" s="8" t="n">
        <v>13.625</v>
      </c>
      <c r="J4486" s="8" t="n"/>
      <c r="K4486" s="7" t="inlineStr">
        <is>
          <t>SEM COTAÇÃO</t>
        </is>
      </c>
      <c r="L4486" s="8" t="n"/>
      <c r="M4486" s="12" t="n"/>
      <c r="N4486" s="7" t="inlineStr"/>
      <c r="O4486" s="7" t="inlineStr"/>
    </row>
    <row r="4487">
      <c r="A4487" s="7" t="n">
        <v>451941</v>
      </c>
      <c r="B4487" s="10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1" t="n">
        <v>2</v>
      </c>
      <c r="G4487" s="11" t="n">
        <v>2</v>
      </c>
      <c r="H4487" s="8" t="n">
        <v>31.855</v>
      </c>
      <c r="I4487" s="8" t="n">
        <v>28.9525</v>
      </c>
      <c r="J4487" s="8" t="n"/>
      <c r="K4487" s="7" t="inlineStr">
        <is>
          <t>SEM COTAÇÃO</t>
        </is>
      </c>
      <c r="L4487" s="8" t="n"/>
      <c r="M4487" s="12" t="n"/>
      <c r="N4487" s="7" t="inlineStr"/>
      <c r="O4487" s="7" t="inlineStr"/>
    </row>
    <row r="4488">
      <c r="A4488" s="7" t="n">
        <v>451921</v>
      </c>
      <c r="B4488" s="10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1" t="n">
        <v>4</v>
      </c>
      <c r="G4488" s="11" t="n">
        <v>4</v>
      </c>
      <c r="H4488" s="8" t="n">
        <v>16.14</v>
      </c>
      <c r="I4488" s="8" t="n">
        <v>15.0733</v>
      </c>
      <c r="J4488" s="8" t="n"/>
      <c r="K4488" s="7" t="inlineStr">
        <is>
          <t>SEM COTAÇÃO</t>
        </is>
      </c>
      <c r="L4488" s="8" t="n"/>
      <c r="M4488" s="12" t="n"/>
      <c r="N4488" s="7" t="inlineStr"/>
      <c r="O4488" s="7" t="inlineStr"/>
    </row>
    <row r="4489">
      <c r="A4489" s="7" t="n">
        <v>282781</v>
      </c>
      <c r="B4489" s="10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1" t="n">
        <v>6</v>
      </c>
      <c r="G4489" s="11" t="n">
        <v>6</v>
      </c>
      <c r="H4489" s="8" t="n">
        <v>32.62</v>
      </c>
      <c r="I4489" s="8" t="n">
        <v>25.57</v>
      </c>
      <c r="J4489" s="8" t="n"/>
      <c r="K4489" s="7" t="inlineStr">
        <is>
          <t>SEM COTAÇÃO</t>
        </is>
      </c>
      <c r="L4489" s="8" t="n"/>
      <c r="M4489" s="12" t="n"/>
      <c r="N4489" s="7" t="inlineStr"/>
      <c r="O4489" s="7" t="inlineStr"/>
    </row>
    <row r="4490">
      <c r="A4490" s="7" t="n">
        <v>70821</v>
      </c>
      <c r="B4490" s="10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1" t="n">
        <v>6</v>
      </c>
      <c r="G4490" s="11" t="n">
        <v>6</v>
      </c>
      <c r="H4490" s="8" t="n">
        <v>19.8856</v>
      </c>
      <c r="I4490" s="8" t="n">
        <v>18.914</v>
      </c>
      <c r="J4490" s="8" t="n"/>
      <c r="K4490" s="7" t="inlineStr">
        <is>
          <t>SEM COTAÇÃO</t>
        </is>
      </c>
      <c r="L4490" s="8" t="n"/>
      <c r="M4490" s="12" t="n"/>
      <c r="N4490" s="7" t="inlineStr"/>
      <c r="O4490" s="7" t="inlineStr"/>
    </row>
    <row r="4491">
      <c r="A4491" s="7" t="n">
        <v>650811</v>
      </c>
      <c r="B4491" s="10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1" t="n">
        <v>1</v>
      </c>
      <c r="G4491" s="11" t="n">
        <v>1</v>
      </c>
      <c r="H4491" s="8" t="n">
        <v>2.4</v>
      </c>
      <c r="I4491" s="8" t="n">
        <v>2.4</v>
      </c>
      <c r="J4491" s="8" t="n"/>
      <c r="K4491" s="7" t="inlineStr">
        <is>
          <t>SEM COTAÇÃO</t>
        </is>
      </c>
      <c r="L4491" s="8" t="n"/>
      <c r="M4491" s="12" t="n"/>
      <c r="N4491" s="7" t="inlineStr"/>
      <c r="O4491" s="7" t="inlineStr"/>
    </row>
    <row r="4492">
      <c r="A4492" s="7" t="n">
        <v>625851</v>
      </c>
      <c r="B4492" s="10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1" t="n">
        <v>5</v>
      </c>
      <c r="G4492" s="11" t="n">
        <v>5</v>
      </c>
      <c r="H4492" s="8" t="n">
        <v>2.45</v>
      </c>
      <c r="I4492" s="8" t="n">
        <v>2.45</v>
      </c>
      <c r="J4492" s="8" t="n"/>
      <c r="K4492" s="7" t="inlineStr">
        <is>
          <t>SEM COTAÇÃO</t>
        </is>
      </c>
      <c r="L4492" s="8" t="n"/>
      <c r="M4492" s="12" t="n"/>
      <c r="N4492" s="7" t="inlineStr"/>
      <c r="O4492" s="7" t="inlineStr"/>
    </row>
    <row r="4493">
      <c r="A4493" s="7" t="n">
        <v>625861</v>
      </c>
      <c r="B4493" s="10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1" t="n">
        <v>9</v>
      </c>
      <c r="G4493" s="11" t="n">
        <v>9</v>
      </c>
      <c r="H4493" s="8" t="n">
        <v>2.45</v>
      </c>
      <c r="I4493" s="8" t="n">
        <v>2.45</v>
      </c>
      <c r="J4493" s="8" t="n"/>
      <c r="K4493" s="7" t="inlineStr">
        <is>
          <t>SEM COTAÇÃO</t>
        </is>
      </c>
      <c r="L4493" s="8" t="n"/>
      <c r="M4493" s="12" t="n"/>
      <c r="N4493" s="7" t="inlineStr"/>
      <c r="O4493" s="7" t="inlineStr"/>
    </row>
    <row r="4494">
      <c r="A4494" s="7" t="n">
        <v>650821</v>
      </c>
      <c r="B4494" s="10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1" t="n">
        <v>1</v>
      </c>
      <c r="G4494" s="11" t="n">
        <v>1</v>
      </c>
      <c r="H4494" s="8" t="n">
        <v>2.4</v>
      </c>
      <c r="I4494" s="8" t="n">
        <v>2.4</v>
      </c>
      <c r="J4494" s="8" t="n"/>
      <c r="K4494" s="7" t="inlineStr">
        <is>
          <t>SEM COTAÇÃO</t>
        </is>
      </c>
      <c r="L4494" s="8" t="n"/>
      <c r="M4494" s="12" t="n"/>
      <c r="N4494" s="7" t="inlineStr"/>
      <c r="O4494" s="7" t="inlineStr"/>
    </row>
    <row r="4495">
      <c r="A4495" s="7" t="n">
        <v>671641</v>
      </c>
      <c r="B4495" s="10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1" t="n">
        <v>3</v>
      </c>
      <c r="G4495" s="11" t="n">
        <v>3</v>
      </c>
      <c r="H4495" s="8" t="n">
        <v>2.87</v>
      </c>
      <c r="I4495" s="8" t="n">
        <v>2.87</v>
      </c>
      <c r="J4495" s="8" t="n"/>
      <c r="K4495" s="7" t="inlineStr">
        <is>
          <t>SEM COTAÇÃO</t>
        </is>
      </c>
      <c r="L4495" s="8" t="n"/>
      <c r="M4495" s="12" t="n"/>
      <c r="N4495" s="7" t="inlineStr"/>
      <c r="O4495" s="7" t="inlineStr"/>
    </row>
    <row r="4496">
      <c r="A4496" s="7" t="n">
        <v>1813</v>
      </c>
      <c r="B4496" s="10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1" t="n">
        <v>1</v>
      </c>
      <c r="G4496" s="11" t="n">
        <v>1</v>
      </c>
      <c r="H4496" s="8" t="n">
        <v>10.15</v>
      </c>
      <c r="I4496" s="8" t="n">
        <v>10.15</v>
      </c>
      <c r="J4496" s="8" t="n"/>
      <c r="K4496" s="7" t="inlineStr">
        <is>
          <t>SEM COTAÇÃO</t>
        </is>
      </c>
      <c r="L4496" s="8" t="n"/>
      <c r="M4496" s="12" t="n"/>
      <c r="N4496" s="7" t="inlineStr"/>
      <c r="O4496" s="7" t="inlineStr"/>
    </row>
    <row r="4497">
      <c r="A4497" s="7" t="n">
        <v>3673</v>
      </c>
      <c r="B4497" s="10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1" t="n">
        <v>1</v>
      </c>
      <c r="G4497" s="11" t="n">
        <v>1</v>
      </c>
      <c r="H4497" s="8" t="n">
        <v>2.3792</v>
      </c>
      <c r="I4497" s="8" t="n">
        <v>2.3792</v>
      </c>
      <c r="J4497" s="8" t="n"/>
      <c r="K4497" s="7" t="inlineStr">
        <is>
          <t>SEM COTAÇÃO</t>
        </is>
      </c>
      <c r="L4497" s="8" t="n"/>
      <c r="M4497" s="12" t="n"/>
      <c r="N4497" s="7" t="inlineStr"/>
      <c r="O4497" s="7" t="inlineStr"/>
    </row>
    <row r="4498">
      <c r="A4498" s="7" t="n">
        <v>681001</v>
      </c>
      <c r="B4498" s="10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1" t="n">
        <v>8</v>
      </c>
      <c r="G4498" s="11" t="n">
        <v>8</v>
      </c>
      <c r="H4498" s="8" t="n">
        <v>1.43</v>
      </c>
      <c r="I4498" s="8" t="n">
        <v>1.43</v>
      </c>
      <c r="J4498" s="8" t="n"/>
      <c r="K4498" s="7" t="inlineStr">
        <is>
          <t>SEM COTAÇÃO</t>
        </is>
      </c>
      <c r="L4498" s="8" t="n"/>
      <c r="M4498" s="12" t="n"/>
      <c r="N4498" s="7" t="inlineStr"/>
      <c r="O4498" s="7" t="inlineStr"/>
    </row>
    <row r="4499">
      <c r="A4499" s="7" t="n">
        <v>640401</v>
      </c>
      <c r="B4499" s="10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1" t="n">
        <v>2</v>
      </c>
      <c r="G4499" s="11" t="n">
        <v>2</v>
      </c>
      <c r="H4499" s="8" t="n">
        <v>3.42</v>
      </c>
      <c r="I4499" s="8" t="n">
        <v>3.42</v>
      </c>
      <c r="J4499" s="8" t="n"/>
      <c r="K4499" s="7" t="inlineStr">
        <is>
          <t>SEM COTAÇÃO</t>
        </is>
      </c>
      <c r="L4499" s="8" t="n"/>
      <c r="M4499" s="12" t="n"/>
      <c r="N4499" s="7" t="inlineStr"/>
      <c r="O4499" s="7" t="inlineStr"/>
    </row>
    <row r="4500">
      <c r="A4500" s="7" t="n">
        <v>394941</v>
      </c>
      <c r="B4500" s="10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1" t="n">
        <v>4</v>
      </c>
      <c r="G4500" s="11" t="n">
        <v>4</v>
      </c>
      <c r="H4500" s="8" t="n">
        <v>4.2</v>
      </c>
      <c r="I4500" s="8" t="n">
        <v>4.2</v>
      </c>
      <c r="J4500" s="8" t="n"/>
      <c r="K4500" s="7" t="inlineStr">
        <is>
          <t>SEM COTAÇÃO</t>
        </is>
      </c>
      <c r="L4500" s="8" t="n"/>
      <c r="M4500" s="12" t="n"/>
      <c r="N4500" s="7" t="inlineStr"/>
      <c r="O4500" s="7" t="inlineStr"/>
    </row>
    <row r="4501">
      <c r="A4501" s="7" t="n">
        <v>563961</v>
      </c>
      <c r="B4501" s="10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1" t="n">
        <v>1</v>
      </c>
      <c r="G4501" s="11" t="n">
        <v>2</v>
      </c>
      <c r="H4501" s="8" t="n">
        <v>1.8355</v>
      </c>
      <c r="I4501" s="8" t="n">
        <v>1.8355</v>
      </c>
      <c r="J4501" s="13" t="n">
        <v>1.4775</v>
      </c>
      <c r="K4501" s="7" t="inlineStr">
        <is>
          <t>DIMEC</t>
        </is>
      </c>
      <c r="L4501" s="8" t="n">
        <v>1.4775</v>
      </c>
      <c r="M4501" s="12">
        <f>L4501/H4501-1</f>
        <v/>
      </c>
      <c r="N4501" s="15" t="inlineStr">
        <is>
          <t>OK (≤ menor hist.)</t>
        </is>
      </c>
      <c r="O4501" s="7" t="inlineStr">
        <is>
          <t>DIMEC: 1 emb = 20 un</t>
        </is>
      </c>
    </row>
    <row r="4502">
      <c r="A4502" s="7" t="n">
        <v>395721</v>
      </c>
      <c r="B4502" s="10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1" t="n">
        <v>1</v>
      </c>
      <c r="G4502" s="11" t="n">
        <v>1</v>
      </c>
      <c r="H4502" s="8" t="n">
        <v>35.85</v>
      </c>
      <c r="I4502" s="8" t="n">
        <v>29.67</v>
      </c>
      <c r="J4502" s="8" t="n"/>
      <c r="K4502" s="7" t="inlineStr">
        <is>
          <t>SEM COTAÇÃO</t>
        </is>
      </c>
      <c r="L4502" s="8" t="n"/>
      <c r="M4502" s="12" t="n"/>
      <c r="N4502" s="7" t="inlineStr"/>
      <c r="O4502" s="7" t="inlineStr"/>
    </row>
    <row r="4503">
      <c r="A4503" s="7" t="n">
        <v>395781</v>
      </c>
      <c r="B4503" s="10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1" t="n">
        <v>4</v>
      </c>
      <c r="G4503" s="11" t="n">
        <v>4</v>
      </c>
      <c r="H4503" s="8" t="n">
        <v>27.43</v>
      </c>
      <c r="I4503" s="8" t="n">
        <v>27.43</v>
      </c>
      <c r="J4503" s="8" t="n"/>
      <c r="K4503" s="7" t="inlineStr">
        <is>
          <t>SEM COTAÇÃO</t>
        </is>
      </c>
      <c r="L4503" s="8" t="n"/>
      <c r="M4503" s="12" t="n"/>
      <c r="N4503" s="7" t="inlineStr"/>
      <c r="O4503" s="7" t="inlineStr"/>
    </row>
    <row r="4504">
      <c r="A4504" s="7" t="n">
        <v>395741</v>
      </c>
      <c r="B4504" s="10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1" t="n">
        <v>1</v>
      </c>
      <c r="G4504" s="11" t="n">
        <v>1</v>
      </c>
      <c r="H4504" s="8" t="n">
        <v>39.48</v>
      </c>
      <c r="I4504" s="8" t="n">
        <v>39.16</v>
      </c>
      <c r="J4504" s="8" t="n"/>
      <c r="K4504" s="7" t="inlineStr">
        <is>
          <t>SEM COTAÇÃO</t>
        </is>
      </c>
      <c r="L4504" s="8" t="n"/>
      <c r="M4504" s="12" t="n"/>
      <c r="N4504" s="7" t="inlineStr"/>
      <c r="O4504" s="7" t="inlineStr"/>
    </row>
    <row r="4505">
      <c r="A4505" s="7" t="n">
        <v>398541</v>
      </c>
      <c r="B4505" s="10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1" t="n">
        <v>6</v>
      </c>
      <c r="G4505" s="11" t="n">
        <v>6</v>
      </c>
      <c r="H4505" s="8" t="n">
        <v>16.83</v>
      </c>
      <c r="I4505" s="8" t="n">
        <v>16.8</v>
      </c>
      <c r="J4505" s="8" t="n"/>
      <c r="K4505" s="7" t="inlineStr">
        <is>
          <t>SEM COTAÇÃO</t>
        </is>
      </c>
      <c r="L4505" s="8" t="n"/>
      <c r="M4505" s="12" t="n"/>
      <c r="N4505" s="7" t="inlineStr"/>
      <c r="O4505" s="7" t="inlineStr"/>
    </row>
    <row r="4506">
      <c r="A4506" s="7" t="n">
        <v>608671</v>
      </c>
      <c r="B4506" s="10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1" t="n">
        <v>1</v>
      </c>
      <c r="G4506" s="11" t="n">
        <v>1</v>
      </c>
      <c r="H4506" s="8" t="n">
        <v>7.94</v>
      </c>
      <c r="I4506" s="8" t="n">
        <v>7.94</v>
      </c>
      <c r="J4506" s="8" t="n"/>
      <c r="K4506" s="7" t="inlineStr">
        <is>
          <t>SEM COTAÇÃO</t>
        </is>
      </c>
      <c r="L4506" s="8" t="n"/>
      <c r="M4506" s="12" t="n"/>
      <c r="N4506" s="7" t="inlineStr"/>
      <c r="O4506" s="7" t="inlineStr"/>
    </row>
    <row r="4507">
      <c r="A4507" s="7" t="n">
        <v>608201</v>
      </c>
      <c r="B4507" s="10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1" t="n">
        <v>1</v>
      </c>
      <c r="G4507" s="11" t="n">
        <v>1</v>
      </c>
      <c r="H4507" s="8" t="n">
        <v>8.74</v>
      </c>
      <c r="I4507" s="8" t="n">
        <v>8.74</v>
      </c>
      <c r="J4507" s="8" t="n"/>
      <c r="K4507" s="7" t="inlineStr">
        <is>
          <t>SEM COTAÇÃO</t>
        </is>
      </c>
      <c r="L4507" s="8" t="n"/>
      <c r="M4507" s="12" t="n"/>
      <c r="N4507" s="7" t="inlineStr"/>
      <c r="O4507" s="7" t="inlineStr"/>
    </row>
    <row r="4508">
      <c r="A4508" s="7" t="n">
        <v>608181</v>
      </c>
      <c r="B4508" s="10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1" t="n">
        <v>1</v>
      </c>
      <c r="G4508" s="11" t="n">
        <v>1</v>
      </c>
      <c r="H4508" s="8" t="n">
        <v>7.66</v>
      </c>
      <c r="I4508" s="8" t="n">
        <v>7.66</v>
      </c>
      <c r="J4508" s="8" t="n"/>
      <c r="K4508" s="7" t="inlineStr">
        <is>
          <t>SEM COTAÇÃO</t>
        </is>
      </c>
      <c r="L4508" s="8" t="n"/>
      <c r="M4508" s="12" t="n"/>
      <c r="N4508" s="7" t="inlineStr"/>
      <c r="O4508" s="7" t="inlineStr"/>
    </row>
    <row r="4509">
      <c r="A4509" s="7" t="n">
        <v>608691</v>
      </c>
      <c r="B4509" s="10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1" t="n">
        <v>1</v>
      </c>
      <c r="G4509" s="11" t="n">
        <v>1</v>
      </c>
      <c r="H4509" s="8" t="n">
        <v>7.54</v>
      </c>
      <c r="I4509" s="8" t="n">
        <v>7.54</v>
      </c>
      <c r="J4509" s="8" t="n"/>
      <c r="K4509" s="7" t="inlineStr">
        <is>
          <t>SEM COTAÇÃO</t>
        </is>
      </c>
      <c r="L4509" s="8" t="n"/>
      <c r="M4509" s="12" t="n"/>
      <c r="N4509" s="7" t="inlineStr"/>
      <c r="O4509" s="7" t="inlineStr"/>
    </row>
    <row r="4510">
      <c r="A4510" s="7" t="n">
        <v>608621</v>
      </c>
      <c r="B4510" s="10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1" t="n">
        <v>1</v>
      </c>
      <c r="G4510" s="11" t="n">
        <v>1</v>
      </c>
      <c r="H4510" s="8" t="n">
        <v>7.37</v>
      </c>
      <c r="I4510" s="8" t="n">
        <v>7.37</v>
      </c>
      <c r="J4510" s="8" t="n"/>
      <c r="K4510" s="7" t="inlineStr">
        <is>
          <t>SEM COTAÇÃO</t>
        </is>
      </c>
      <c r="L4510" s="8" t="n"/>
      <c r="M4510" s="12" t="n"/>
      <c r="N4510" s="7" t="inlineStr"/>
      <c r="O4510" s="7" t="inlineStr"/>
    </row>
    <row r="4511">
      <c r="A4511" s="7" t="n">
        <v>630641</v>
      </c>
      <c r="B4511" s="10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1" t="n">
        <v>3</v>
      </c>
      <c r="G4511" s="11" t="n">
        <v>3</v>
      </c>
      <c r="H4511" s="8" t="n">
        <v>19.97</v>
      </c>
      <c r="I4511" s="8" t="n">
        <v>18.97</v>
      </c>
      <c r="J4511" s="8" t="n"/>
      <c r="K4511" s="7" t="inlineStr">
        <is>
          <t>SEM COTAÇÃO</t>
        </is>
      </c>
      <c r="L4511" s="8" t="n"/>
      <c r="M4511" s="12" t="n"/>
      <c r="N4511" s="7" t="inlineStr"/>
      <c r="O4511" s="7" t="inlineStr"/>
    </row>
    <row r="4512">
      <c r="A4512" s="7" t="n">
        <v>565801</v>
      </c>
      <c r="B4512" s="10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1" t="n">
        <v>13</v>
      </c>
      <c r="G4512" s="11" t="n">
        <v>13</v>
      </c>
      <c r="H4512" s="8" t="n">
        <v>13.08</v>
      </c>
      <c r="I4512" s="8" t="n">
        <v>12.51</v>
      </c>
      <c r="J4512" s="13" t="n">
        <v>13.08</v>
      </c>
      <c r="K4512" s="7" t="inlineStr">
        <is>
          <t>DIMEC</t>
        </is>
      </c>
      <c r="L4512" s="8" t="n">
        <v>13.08</v>
      </c>
      <c r="M4512" s="12">
        <f>L4512/H4512-1</f>
        <v/>
      </c>
      <c r="N4512" s="15" t="inlineStr">
        <is>
          <t>OK (≤ últ. compra)</t>
        </is>
      </c>
      <c r="O4512" s="7" t="inlineStr"/>
    </row>
    <row r="4513">
      <c r="A4513" s="7" t="n">
        <v>655551</v>
      </c>
      <c r="B4513" s="10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1" t="n">
        <v>1</v>
      </c>
      <c r="G4513" s="11" t="n">
        <v>1</v>
      </c>
      <c r="H4513" s="8" t="n">
        <v>18.12</v>
      </c>
      <c r="I4513" s="8" t="n">
        <v>18.12</v>
      </c>
      <c r="J4513" s="8" t="n"/>
      <c r="K4513" s="7" t="inlineStr">
        <is>
          <t>SEM COTAÇÃO</t>
        </is>
      </c>
      <c r="L4513" s="8" t="n"/>
      <c r="M4513" s="12" t="n"/>
      <c r="N4513" s="7" t="inlineStr"/>
      <c r="O4513" s="7" t="inlineStr"/>
    </row>
    <row r="4514">
      <c r="A4514" s="7" t="n">
        <v>18121</v>
      </c>
      <c r="B4514" s="10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1" t="n">
        <v>2</v>
      </c>
      <c r="G4514" s="11" t="n">
        <v>2</v>
      </c>
      <c r="H4514" s="8" t="n">
        <v>49.68</v>
      </c>
      <c r="I4514" s="8" t="n">
        <v>49.67</v>
      </c>
      <c r="J4514" s="8" t="n"/>
      <c r="K4514" s="7" t="inlineStr">
        <is>
          <t>SEM COTAÇÃO</t>
        </is>
      </c>
      <c r="L4514" s="8" t="n"/>
      <c r="M4514" s="12" t="n"/>
      <c r="N4514" s="7" t="inlineStr"/>
      <c r="O4514" s="7" t="inlineStr"/>
    </row>
    <row r="4515">
      <c r="A4515" s="7" t="n">
        <v>413281</v>
      </c>
      <c r="B4515" s="10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1" t="n">
        <v>1</v>
      </c>
      <c r="G4515" s="11" t="n">
        <v>1</v>
      </c>
      <c r="H4515" s="8" t="n">
        <v>64.64</v>
      </c>
      <c r="I4515" s="8" t="n">
        <v>56.81</v>
      </c>
      <c r="J4515" s="8" t="n"/>
      <c r="K4515" s="7" t="inlineStr">
        <is>
          <t>SEM COTAÇÃO</t>
        </is>
      </c>
      <c r="L4515" s="8" t="n"/>
      <c r="M4515" s="12" t="n"/>
      <c r="N4515" s="7" t="inlineStr"/>
      <c r="O4515" s="7" t="inlineStr"/>
    </row>
    <row r="4516">
      <c r="A4516" s="7" t="n">
        <v>413241</v>
      </c>
      <c r="B4516" s="10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1" t="n">
        <v>3</v>
      </c>
      <c r="G4516" s="11" t="n">
        <v>3</v>
      </c>
      <c r="H4516" s="8" t="n">
        <v>60.36</v>
      </c>
      <c r="I4516" s="8" t="n">
        <v>53.0533</v>
      </c>
      <c r="J4516" s="8" t="n"/>
      <c r="K4516" s="7" t="inlineStr">
        <is>
          <t>SEM COTAÇÃO</t>
        </is>
      </c>
      <c r="L4516" s="8" t="n"/>
      <c r="M4516" s="12" t="n"/>
      <c r="N4516" s="7" t="inlineStr"/>
      <c r="O4516" s="7" t="inlineStr"/>
    </row>
    <row r="4517">
      <c r="A4517" s="7" t="n">
        <v>319341</v>
      </c>
      <c r="B4517" s="10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1" t="n">
        <v>4</v>
      </c>
      <c r="G4517" s="11" t="n">
        <v>4</v>
      </c>
      <c r="H4517" s="8" t="n">
        <v>10.31</v>
      </c>
      <c r="I4517" s="8" t="n">
        <v>9.265000000000001</v>
      </c>
      <c r="J4517" s="8" t="n"/>
      <c r="K4517" s="7" t="inlineStr">
        <is>
          <t>SEM COTAÇÃO</t>
        </is>
      </c>
      <c r="L4517" s="8" t="n"/>
      <c r="M4517" s="12" t="n"/>
      <c r="N4517" s="7" t="inlineStr"/>
      <c r="O4517" s="7" t="inlineStr"/>
    </row>
    <row r="4518">
      <c r="A4518" s="7" t="n">
        <v>654341</v>
      </c>
      <c r="B4518" s="10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1" t="n">
        <v>1</v>
      </c>
      <c r="G4518" s="11" t="n">
        <v>1</v>
      </c>
      <c r="H4518" s="8" t="n">
        <v>22.8867</v>
      </c>
      <c r="I4518" s="8" t="n">
        <v>22.8867</v>
      </c>
      <c r="J4518" s="8" t="n"/>
      <c r="K4518" s="7" t="inlineStr">
        <is>
          <t>SEM COTAÇÃO</t>
        </is>
      </c>
      <c r="L4518" s="8" t="n"/>
      <c r="M4518" s="12" t="n"/>
      <c r="N4518" s="7" t="inlineStr"/>
      <c r="O4518" s="7" t="inlineStr"/>
    </row>
    <row r="4519">
      <c r="A4519" s="7" t="n">
        <v>654331</v>
      </c>
      <c r="B4519" s="10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1" t="n">
        <v>1</v>
      </c>
      <c r="G4519" s="11" t="n">
        <v>1</v>
      </c>
      <c r="H4519" s="8" t="n">
        <v>24.47</v>
      </c>
      <c r="I4519" s="8" t="n">
        <v>24.47</v>
      </c>
      <c r="J4519" s="8" t="n"/>
      <c r="K4519" s="7" t="inlineStr">
        <is>
          <t>SEM COTAÇÃO</t>
        </is>
      </c>
      <c r="L4519" s="8" t="n"/>
      <c r="M4519" s="12" t="n"/>
      <c r="N4519" s="7" t="inlineStr"/>
      <c r="O4519" s="7" t="inlineStr"/>
    </row>
    <row r="4520">
      <c r="A4520" s="7" t="n">
        <v>662301</v>
      </c>
      <c r="B4520" s="10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1" t="n">
        <v>1</v>
      </c>
      <c r="G4520" s="11" t="n">
        <v>1</v>
      </c>
      <c r="H4520" s="8" t="n">
        <v>22.43</v>
      </c>
      <c r="I4520" s="8" t="n">
        <v>22.42</v>
      </c>
      <c r="J4520" s="8" t="n"/>
      <c r="K4520" s="7" t="inlineStr">
        <is>
          <t>SEM COTAÇÃO</t>
        </is>
      </c>
      <c r="L4520" s="8" t="n"/>
      <c r="M4520" s="12" t="n"/>
      <c r="N4520" s="7" t="inlineStr"/>
      <c r="O4520" s="7" t="inlineStr"/>
    </row>
    <row r="4521">
      <c r="A4521" s="7" t="n">
        <v>654311</v>
      </c>
      <c r="B4521" s="10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1" t="n">
        <v>4</v>
      </c>
      <c r="G4521" s="11" t="n">
        <v>4</v>
      </c>
      <c r="H4521" s="8" t="n">
        <v>21.68</v>
      </c>
      <c r="I4521" s="8" t="n">
        <v>17.95</v>
      </c>
      <c r="J4521" s="8" t="n"/>
      <c r="K4521" s="7" t="inlineStr">
        <is>
          <t>SEM COTAÇÃO</t>
        </is>
      </c>
      <c r="L4521" s="8" t="n"/>
      <c r="M4521" s="12" t="n"/>
      <c r="N4521" s="7" t="inlineStr"/>
      <c r="O4521" s="7" t="inlineStr"/>
    </row>
    <row r="4522">
      <c r="A4522" s="7" t="n">
        <v>547861</v>
      </c>
      <c r="B4522" s="10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1" t="n">
        <v>1</v>
      </c>
      <c r="G4522" s="11" t="n">
        <v>3</v>
      </c>
      <c r="H4522" s="8" t="n">
        <v>16.614</v>
      </c>
      <c r="I4522" s="8" t="n">
        <v>15.674</v>
      </c>
      <c r="J4522" s="8" t="n"/>
      <c r="K4522" s="7" t="inlineStr">
        <is>
          <t>SEM COTAÇÃO</t>
        </is>
      </c>
      <c r="L4522" s="8" t="n"/>
      <c r="M4522" s="12" t="n"/>
      <c r="N4522" s="7" t="inlineStr"/>
      <c r="O4522" s="7" t="inlineStr"/>
    </row>
    <row r="4523">
      <c r="A4523" s="7" t="n">
        <v>543061</v>
      </c>
      <c r="B4523" s="10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1" t="n">
        <v>1</v>
      </c>
      <c r="G4523" s="11" t="n">
        <v>10</v>
      </c>
      <c r="H4523" s="8" t="n">
        <v>5.734</v>
      </c>
      <c r="I4523" s="8" t="n">
        <v>5.734</v>
      </c>
      <c r="J4523" s="8" t="n"/>
      <c r="K4523" s="7" t="inlineStr">
        <is>
          <t>SEM COTAÇÃO</t>
        </is>
      </c>
      <c r="L4523" s="8" t="n"/>
      <c r="M4523" s="12" t="n"/>
      <c r="N4523" s="7" t="inlineStr"/>
      <c r="O4523" s="7" t="inlineStr"/>
    </row>
    <row r="4524">
      <c r="A4524" s="7" t="n">
        <v>473721</v>
      </c>
      <c r="B4524" s="10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1" t="n">
        <v>8</v>
      </c>
      <c r="G4524" s="11" t="n">
        <v>8</v>
      </c>
      <c r="H4524" s="8" t="n">
        <v>9.449999999999999</v>
      </c>
      <c r="I4524" s="8" t="n">
        <v>8.890000000000001</v>
      </c>
      <c r="J4524" s="8" t="n"/>
      <c r="K4524" s="7" t="inlineStr">
        <is>
          <t>SEM COTAÇÃO</t>
        </is>
      </c>
      <c r="L4524" s="8" t="n"/>
      <c r="M4524" s="12" t="n"/>
      <c r="N4524" s="7" t="inlineStr"/>
      <c r="O4524" s="7" t="inlineStr"/>
    </row>
    <row r="4525">
      <c r="A4525" s="7" t="n">
        <v>474361</v>
      </c>
      <c r="B4525" s="10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1" t="n">
        <v>12</v>
      </c>
      <c r="G4525" s="11" t="n">
        <v>12</v>
      </c>
      <c r="H4525" s="8" t="n">
        <v>12.89</v>
      </c>
      <c r="I4525" s="8" t="n">
        <v>12.03</v>
      </c>
      <c r="J4525" s="8" t="n"/>
      <c r="K4525" s="7" t="inlineStr">
        <is>
          <t>SEM COTAÇÃO</t>
        </is>
      </c>
      <c r="L4525" s="8" t="n"/>
      <c r="M4525" s="12" t="n"/>
      <c r="N4525" s="7" t="inlineStr"/>
      <c r="O4525" s="7" t="inlineStr"/>
    </row>
    <row r="4526">
      <c r="A4526" s="7" t="n">
        <v>662781</v>
      </c>
      <c r="B4526" s="10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1" t="n">
        <v>5</v>
      </c>
      <c r="G4526" s="11" t="n">
        <v>5</v>
      </c>
      <c r="H4526" s="8" t="n">
        <v>25.39</v>
      </c>
      <c r="I4526" s="8" t="n">
        <v>25.39</v>
      </c>
      <c r="J4526" s="13" t="n">
        <v>25.39</v>
      </c>
      <c r="K4526" s="7" t="inlineStr">
        <is>
          <t>DIMEC</t>
        </is>
      </c>
      <c r="L4526" s="8" t="n">
        <v>25.39</v>
      </c>
      <c r="M4526" s="12">
        <f>L4526/H4526-1</f>
        <v/>
      </c>
      <c r="N4526" s="15" t="inlineStr">
        <is>
          <t>OK (≤ menor hist.)</t>
        </is>
      </c>
      <c r="O4526" s="7" t="inlineStr"/>
    </row>
    <row r="4527">
      <c r="A4527" s="7" t="n">
        <v>474381</v>
      </c>
      <c r="B4527" s="10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1" t="n">
        <v>3</v>
      </c>
      <c r="G4527" s="11" t="n">
        <v>3</v>
      </c>
      <c r="H4527" s="8" t="n">
        <v>26.28</v>
      </c>
      <c r="I4527" s="8" t="n">
        <v>26.28</v>
      </c>
      <c r="J4527" s="8" t="n"/>
      <c r="K4527" s="7" t="inlineStr">
        <is>
          <t>SEM COTAÇÃO</t>
        </is>
      </c>
      <c r="L4527" s="8" t="n"/>
      <c r="M4527" s="12" t="n"/>
      <c r="N4527" s="7" t="inlineStr"/>
      <c r="O4527" s="7" t="inlineStr"/>
    </row>
    <row r="4528">
      <c r="A4528" s="7" t="n">
        <v>596721</v>
      </c>
      <c r="B4528" s="10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1" t="n">
        <v>3</v>
      </c>
      <c r="G4528" s="11" t="n">
        <v>3</v>
      </c>
      <c r="H4528" s="8" t="n">
        <v>28.28</v>
      </c>
      <c r="I4528" s="8" t="n">
        <v>18.49</v>
      </c>
      <c r="J4528" s="8" t="n"/>
      <c r="K4528" s="7" t="inlineStr">
        <is>
          <t>SEM COTAÇÃO</t>
        </is>
      </c>
      <c r="L4528" s="8" t="n"/>
      <c r="M4528" s="12" t="n"/>
      <c r="N4528" s="7" t="inlineStr"/>
      <c r="O4528" s="7" t="inlineStr"/>
    </row>
    <row r="4529">
      <c r="A4529" s="7" t="n">
        <v>675881</v>
      </c>
      <c r="B4529" s="10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1" t="n">
        <v>5</v>
      </c>
      <c r="G4529" s="11" t="n">
        <v>5</v>
      </c>
      <c r="H4529" s="8" t="n">
        <v>5.29</v>
      </c>
      <c r="I4529" s="8" t="n">
        <v>5.29</v>
      </c>
      <c r="J4529" s="13" t="n">
        <v>5.68</v>
      </c>
      <c r="K4529" s="7" t="inlineStr">
        <is>
          <t>DIMEC</t>
        </is>
      </c>
      <c r="L4529" s="8" t="n">
        <v>5.68</v>
      </c>
      <c r="M4529" s="12">
        <f>L4529/H4529-1</f>
        <v/>
      </c>
      <c r="N4529" s="14" t="inlineStr">
        <is>
          <t>ACIMA +7.4%</t>
        </is>
      </c>
      <c r="O4529" s="7" t="inlineStr"/>
    </row>
    <row r="4530">
      <c r="A4530" s="7" t="n">
        <v>619911</v>
      </c>
      <c r="B4530" s="10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1" t="n">
        <v>1</v>
      </c>
      <c r="G4530" s="11" t="n">
        <v>1</v>
      </c>
      <c r="H4530" s="8" t="n">
        <v>4.36</v>
      </c>
      <c r="I4530" s="8" t="n">
        <v>4.36</v>
      </c>
      <c r="J4530" s="13" t="n">
        <v>5.57</v>
      </c>
      <c r="K4530" s="7" t="inlineStr">
        <is>
          <t>DIMEC</t>
        </is>
      </c>
      <c r="L4530" s="8" t="n">
        <v>5.57</v>
      </c>
      <c r="M4530" s="12">
        <f>L4530/H4530-1</f>
        <v/>
      </c>
      <c r="N4530" s="14" t="inlineStr">
        <is>
          <t>ACIMA +27.8%</t>
        </is>
      </c>
      <c r="O4530" s="7" t="inlineStr"/>
    </row>
    <row r="4531">
      <c r="A4531" s="7" t="n">
        <v>2973</v>
      </c>
      <c r="B4531" s="10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1" t="n">
        <v>12</v>
      </c>
      <c r="G4531" s="11" t="n">
        <v>12</v>
      </c>
      <c r="H4531" s="8" t="n">
        <v>5.26</v>
      </c>
      <c r="I4531" s="8" t="n">
        <v>5.06</v>
      </c>
      <c r="J4531" s="13" t="n">
        <v>5.26</v>
      </c>
      <c r="K4531" s="7" t="inlineStr">
        <is>
          <t>DIMEC</t>
        </is>
      </c>
      <c r="L4531" s="8" t="n">
        <v>5.26</v>
      </c>
      <c r="M4531" s="12">
        <f>L4531/H4531-1</f>
        <v/>
      </c>
      <c r="N4531" s="15" t="inlineStr">
        <is>
          <t>OK (≤ últ. compra)</t>
        </is>
      </c>
      <c r="O4531" s="7" t="inlineStr"/>
    </row>
    <row r="4532">
      <c r="A4532" s="7" t="n">
        <v>604001</v>
      </c>
      <c r="B4532" s="10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1" t="n">
        <v>10</v>
      </c>
      <c r="G4532" s="11" t="n">
        <v>10</v>
      </c>
      <c r="H4532" s="8" t="n">
        <v>4.48</v>
      </c>
      <c r="I4532" s="8" t="n">
        <v>4.35</v>
      </c>
      <c r="J4532" s="13" t="n">
        <v>4.78</v>
      </c>
      <c r="K4532" s="7" t="inlineStr">
        <is>
          <t>DIMEC</t>
        </is>
      </c>
      <c r="L4532" s="8" t="n">
        <v>4.78</v>
      </c>
      <c r="M4532" s="12">
        <f>L4532/H4532-1</f>
        <v/>
      </c>
      <c r="N4532" s="14" t="inlineStr">
        <is>
          <t>ACIMA +6.7%</t>
        </is>
      </c>
      <c r="O4532" s="7" t="inlineStr"/>
    </row>
    <row r="4533">
      <c r="A4533" s="7" t="n">
        <v>591211</v>
      </c>
      <c r="B4533" s="10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1" t="n">
        <v>3</v>
      </c>
      <c r="G4533" s="11" t="n">
        <v>21</v>
      </c>
      <c r="H4533" s="8" t="n">
        <v>0.4988</v>
      </c>
      <c r="I4533" s="8" t="n">
        <v>0.4988</v>
      </c>
      <c r="J4533" s="13" t="n">
        <v>0.49875</v>
      </c>
      <c r="K4533" s="7" t="inlineStr">
        <is>
          <t>DIMEC</t>
        </is>
      </c>
      <c r="L4533" s="8" t="n">
        <v>0.49875</v>
      </c>
      <c r="M4533" s="12">
        <f>L4533/H4533-1</f>
        <v/>
      </c>
      <c r="N4533" s="15" t="inlineStr">
        <is>
          <t>OK (≤ menor hist.)</t>
        </is>
      </c>
      <c r="O4533" s="7" t="inlineStr">
        <is>
          <t>DIMEC: 1 emb = 8 un</t>
        </is>
      </c>
    </row>
    <row r="4534">
      <c r="A4534" s="7" t="n">
        <v>633941</v>
      </c>
      <c r="B4534" s="10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1" t="n">
        <v>2</v>
      </c>
      <c r="G4534" s="11" t="n">
        <v>2</v>
      </c>
      <c r="H4534" s="8" t="n">
        <v>4.2717</v>
      </c>
      <c r="I4534" s="8" t="n">
        <v>4.2717</v>
      </c>
      <c r="J4534" s="8" t="n"/>
      <c r="K4534" s="7" t="inlineStr">
        <is>
          <t>SEM COTAÇÃO</t>
        </is>
      </c>
      <c r="L4534" s="8" t="n"/>
      <c r="M4534" s="12" t="n"/>
      <c r="N4534" s="7" t="inlineStr"/>
      <c r="O4534" s="7" t="inlineStr"/>
    </row>
    <row r="4535">
      <c r="A4535" s="7" t="n">
        <v>608251</v>
      </c>
      <c r="B4535" s="10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1" t="n">
        <v>1</v>
      </c>
      <c r="G4535" s="11" t="n">
        <v>1</v>
      </c>
      <c r="H4535" s="8" t="n">
        <v>6.39</v>
      </c>
      <c r="I4535" s="8" t="n">
        <v>6.39</v>
      </c>
      <c r="J4535" s="8" t="n"/>
      <c r="K4535" s="7" t="inlineStr">
        <is>
          <t>SEM COTAÇÃO</t>
        </is>
      </c>
      <c r="L4535" s="8" t="n"/>
      <c r="M4535" s="12" t="n"/>
      <c r="N4535" s="7" t="inlineStr"/>
      <c r="O4535" s="7" t="inlineStr"/>
    </row>
    <row r="4536">
      <c r="A4536" s="7" t="n">
        <v>654391</v>
      </c>
      <c r="B4536" s="10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1" t="n">
        <v>1</v>
      </c>
      <c r="G4536" s="11" t="n">
        <v>3</v>
      </c>
      <c r="H4536" s="8" t="n">
        <v>7.1917</v>
      </c>
      <c r="I4536" s="8" t="n">
        <v>7.1917</v>
      </c>
      <c r="J4536" s="8" t="n"/>
      <c r="K4536" s="7" t="inlineStr">
        <is>
          <t>SEM COTAÇÃO</t>
        </is>
      </c>
      <c r="L4536" s="8" t="n"/>
      <c r="M4536" s="12" t="n"/>
      <c r="N4536" s="7" t="inlineStr"/>
      <c r="O4536" s="7" t="inlineStr"/>
    </row>
    <row r="4537">
      <c r="A4537" s="7" t="n">
        <v>295241</v>
      </c>
      <c r="B4537" s="10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1" t="n">
        <v>1</v>
      </c>
      <c r="G4537" s="11" t="n">
        <v>3</v>
      </c>
      <c r="H4537" s="8" t="n">
        <v>49.45</v>
      </c>
      <c r="I4537" s="8" t="n">
        <v>49.45</v>
      </c>
      <c r="J4537" s="8" t="n"/>
      <c r="K4537" s="7" t="inlineStr">
        <is>
          <t>SEM COTAÇÃO</t>
        </is>
      </c>
      <c r="L4537" s="8" t="n"/>
      <c r="M4537" s="12" t="n"/>
      <c r="N4537" s="7" t="inlineStr"/>
      <c r="O4537" s="7" t="inlineStr"/>
    </row>
    <row r="4538">
      <c r="A4538" s="7" t="n">
        <v>4973</v>
      </c>
      <c r="B4538" s="10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1" t="n">
        <v>27</v>
      </c>
      <c r="G4538" s="11" t="n">
        <v>27</v>
      </c>
      <c r="H4538" s="8" t="n">
        <v>0.8853</v>
      </c>
      <c r="I4538" s="8" t="n">
        <v>0.8853</v>
      </c>
      <c r="J4538" s="8" t="n"/>
      <c r="K4538" s="7" t="inlineStr">
        <is>
          <t>SEM COTAÇÃO</t>
        </is>
      </c>
      <c r="L4538" s="8" t="n"/>
      <c r="M4538" s="12" t="n"/>
      <c r="N4538" s="7" t="inlineStr"/>
      <c r="O4538" s="7" t="inlineStr"/>
    </row>
    <row r="4539">
      <c r="A4539" s="7" t="n">
        <v>604221</v>
      </c>
      <c r="B4539" s="10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1" t="n">
        <v>1</v>
      </c>
      <c r="G4539" s="11" t="n">
        <v>1</v>
      </c>
      <c r="H4539" s="8" t="n">
        <v>7.38</v>
      </c>
      <c r="I4539" s="8" t="n">
        <v>7.38</v>
      </c>
      <c r="J4539" s="8" t="n"/>
      <c r="K4539" s="7" t="inlineStr">
        <is>
          <t>SEM COTAÇÃO</t>
        </is>
      </c>
      <c r="L4539" s="8" t="n"/>
      <c r="M4539" s="12" t="n"/>
      <c r="N4539" s="7" t="inlineStr"/>
      <c r="O4539" s="7" t="inlineStr"/>
    </row>
    <row r="4540">
      <c r="A4540" s="7" t="n">
        <v>514</v>
      </c>
      <c r="B4540" s="10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1" t="n">
        <v>1</v>
      </c>
      <c r="G4540" s="11" t="n">
        <v>1</v>
      </c>
      <c r="H4540" s="8" t="n"/>
      <c r="I4540" s="8" t="n"/>
      <c r="J4540" s="8" t="n"/>
      <c r="K4540" s="7" t="inlineStr">
        <is>
          <t>SEM COTAÇÃO</t>
        </is>
      </c>
      <c r="L4540" s="8" t="n"/>
      <c r="M4540" s="12" t="n"/>
      <c r="N4540" s="7" t="inlineStr"/>
      <c r="O4540" s="7" t="inlineStr"/>
    </row>
    <row r="4541">
      <c r="A4541" s="7" t="n">
        <v>614601</v>
      </c>
      <c r="B4541" s="10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1" t="n">
        <v>1</v>
      </c>
      <c r="G4541" s="11" t="n">
        <v>1</v>
      </c>
      <c r="H4541" s="8" t="n">
        <v>9.85</v>
      </c>
      <c r="I4541" s="8" t="n">
        <v>9.85</v>
      </c>
      <c r="J4541" s="8" t="n"/>
      <c r="K4541" s="7" t="inlineStr">
        <is>
          <t>SEM COTAÇÃO</t>
        </is>
      </c>
      <c r="L4541" s="8" t="n"/>
      <c r="M4541" s="12" t="n"/>
      <c r="N4541" s="7" t="inlineStr"/>
      <c r="O4541" s="7" t="inlineStr"/>
    </row>
    <row r="4542">
      <c r="A4542" s="7" t="n">
        <v>630081</v>
      </c>
      <c r="B4542" s="10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1" t="n">
        <v>3</v>
      </c>
      <c r="G4542" s="11" t="n">
        <v>3</v>
      </c>
      <c r="H4542" s="8" t="n">
        <v>3.35</v>
      </c>
      <c r="I4542" s="8" t="n">
        <v>3.35</v>
      </c>
      <c r="J4542" s="8" t="n"/>
      <c r="K4542" s="7" t="inlineStr">
        <is>
          <t>SEM COTAÇÃO</t>
        </is>
      </c>
      <c r="L4542" s="8" t="n"/>
      <c r="M4542" s="12" t="n"/>
      <c r="N4542" s="7" t="inlineStr"/>
      <c r="O4542" s="7" t="inlineStr"/>
    </row>
    <row r="4543">
      <c r="A4543" s="7" t="n">
        <v>55781</v>
      </c>
      <c r="B4543" s="10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1" t="n">
        <v>1</v>
      </c>
      <c r="G4543" s="11" t="n">
        <v>1</v>
      </c>
      <c r="H4543" s="8" t="n">
        <v>5.43</v>
      </c>
      <c r="I4543" s="8" t="n">
        <v>5.43</v>
      </c>
      <c r="J4543" s="8" t="n"/>
      <c r="K4543" s="7" t="inlineStr">
        <is>
          <t>SEM COTAÇÃO</t>
        </is>
      </c>
      <c r="L4543" s="8" t="n"/>
      <c r="M4543" s="12" t="n"/>
      <c r="N4543" s="7" t="inlineStr"/>
      <c r="O4543" s="7" t="inlineStr"/>
    </row>
    <row r="4544">
      <c r="A4544" s="7" t="n">
        <v>169881</v>
      </c>
      <c r="B4544" s="10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1" t="n">
        <v>1</v>
      </c>
      <c r="G4544" s="11" t="n">
        <v>1</v>
      </c>
      <c r="H4544" s="8" t="n">
        <v>5.98</v>
      </c>
      <c r="I4544" s="8" t="n">
        <v>5.98</v>
      </c>
      <c r="J4544" s="8" t="n"/>
      <c r="K4544" s="7" t="inlineStr">
        <is>
          <t>SEM COTAÇÃO</t>
        </is>
      </c>
      <c r="L4544" s="8" t="n"/>
      <c r="M4544" s="12" t="n"/>
      <c r="N4544" s="7" t="inlineStr"/>
      <c r="O4544" s="7" t="inlineStr"/>
    </row>
    <row r="4545">
      <c r="A4545" s="7" t="n">
        <v>621711</v>
      </c>
      <c r="B4545" s="10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1" t="n">
        <v>1</v>
      </c>
      <c r="G4545" s="11" t="n">
        <v>1</v>
      </c>
      <c r="H4545" s="8" t="n">
        <v>12.69</v>
      </c>
      <c r="I4545" s="8" t="n">
        <v>12.69</v>
      </c>
      <c r="J4545" s="8" t="n"/>
      <c r="K4545" s="7" t="inlineStr">
        <is>
          <t>SEM COTAÇÃO</t>
        </is>
      </c>
      <c r="L4545" s="8" t="n"/>
      <c r="M4545" s="12" t="n"/>
      <c r="N4545" s="7" t="inlineStr"/>
      <c r="O4545" s="7" t="inlineStr"/>
    </row>
    <row r="4546">
      <c r="A4546" s="7" t="n">
        <v>219241</v>
      </c>
      <c r="B4546" s="10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1" t="n">
        <v>1</v>
      </c>
      <c r="G4546" s="11" t="n">
        <v>3</v>
      </c>
      <c r="H4546" s="8" t="n"/>
      <c r="I4546" s="8" t="n"/>
      <c r="J4546" s="8" t="n"/>
      <c r="K4546" s="7" t="inlineStr">
        <is>
          <t>SEM COTAÇÃO</t>
        </is>
      </c>
      <c r="L4546" s="8" t="n"/>
      <c r="M4546" s="12" t="n"/>
      <c r="N4546" s="7" t="inlineStr"/>
      <c r="O4546" s="7" t="inlineStr"/>
    </row>
    <row r="4547">
      <c r="A4547" s="7" t="n">
        <v>615331</v>
      </c>
      <c r="B4547" s="10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1" t="n">
        <v>1</v>
      </c>
      <c r="G4547" s="11" t="n">
        <v>1</v>
      </c>
      <c r="H4547" s="8" t="n">
        <v>38.975</v>
      </c>
      <c r="I4547" s="8" t="n">
        <v>38.975</v>
      </c>
      <c r="J4547" s="8" t="n"/>
      <c r="K4547" s="7" t="inlineStr">
        <is>
          <t>SEM COTAÇÃO</t>
        </is>
      </c>
      <c r="L4547" s="8" t="n"/>
      <c r="M4547" s="12" t="n"/>
      <c r="N4547" s="7" t="inlineStr"/>
      <c r="O4547" s="7" t="inlineStr"/>
    </row>
    <row r="4548">
      <c r="A4548" s="7" t="n">
        <v>621491</v>
      </c>
      <c r="B4548" s="10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1" t="n">
        <v>1</v>
      </c>
      <c r="G4548" s="11" t="n">
        <v>1</v>
      </c>
      <c r="H4548" s="8" t="n">
        <v>42.835</v>
      </c>
      <c r="I4548" s="8" t="n">
        <v>42.835</v>
      </c>
      <c r="J4548" s="8" t="n"/>
      <c r="K4548" s="7" t="inlineStr">
        <is>
          <t>SEM COTAÇÃO</t>
        </is>
      </c>
      <c r="L4548" s="8" t="n"/>
      <c r="M4548" s="12" t="n"/>
      <c r="N4548" s="7" t="inlineStr"/>
      <c r="O4548" s="7" t="inlineStr"/>
    </row>
    <row r="4549">
      <c r="A4549" s="7" t="n">
        <v>319461</v>
      </c>
      <c r="B4549" s="10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1" t="n">
        <v>1</v>
      </c>
      <c r="G4549" s="11" t="n">
        <v>1</v>
      </c>
      <c r="H4549" s="8" t="n">
        <v>4.45</v>
      </c>
      <c r="I4549" s="8" t="n">
        <v>4.45</v>
      </c>
      <c r="J4549" s="8" t="n"/>
      <c r="K4549" s="7" t="inlineStr">
        <is>
          <t>SEM COTAÇÃO</t>
        </is>
      </c>
      <c r="L4549" s="8" t="n"/>
      <c r="M4549" s="12" t="n"/>
      <c r="N4549" s="7" t="inlineStr"/>
      <c r="O4549" s="7" t="inlineStr"/>
    </row>
    <row r="4550">
      <c r="A4550" s="7" t="n">
        <v>612521</v>
      </c>
      <c r="B4550" s="10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1" t="n">
        <v>1</v>
      </c>
      <c r="G4550" s="11" t="n">
        <v>1</v>
      </c>
      <c r="H4550" s="8" t="n">
        <v>51.49</v>
      </c>
      <c r="I4550" s="8" t="n">
        <v>51.49</v>
      </c>
      <c r="J4550" s="8" t="n"/>
      <c r="K4550" s="7" t="inlineStr">
        <is>
          <t>SEM COTAÇÃO</t>
        </is>
      </c>
      <c r="L4550" s="8" t="n"/>
      <c r="M4550" s="12" t="n"/>
      <c r="N4550" s="7" t="inlineStr"/>
      <c r="O4550" s="7" t="inlineStr"/>
    </row>
    <row r="4551">
      <c r="A4551" s="7" t="n">
        <v>319361</v>
      </c>
      <c r="B4551" s="10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1" t="n">
        <v>1</v>
      </c>
      <c r="G4551" s="11" t="n">
        <v>1</v>
      </c>
      <c r="H4551" s="8" t="n">
        <v>8.619999999999999</v>
      </c>
      <c r="I4551" s="8" t="n">
        <v>8.619999999999999</v>
      </c>
      <c r="J4551" s="8" t="n"/>
      <c r="K4551" s="7" t="inlineStr">
        <is>
          <t>SEM COTAÇÃO</t>
        </is>
      </c>
      <c r="L4551" s="8" t="n"/>
      <c r="M4551" s="12" t="n"/>
      <c r="N4551" s="7" t="inlineStr"/>
      <c r="O4551" s="7" t="inlineStr"/>
    </row>
    <row r="4552">
      <c r="A4552" s="7" t="n">
        <v>612341</v>
      </c>
      <c r="B4552" s="10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1" t="n">
        <v>1</v>
      </c>
      <c r="G4552" s="11" t="n">
        <v>6</v>
      </c>
      <c r="H4552" s="8" t="n">
        <v>3.47</v>
      </c>
      <c r="I4552" s="8" t="n">
        <v>3.47</v>
      </c>
      <c r="J4552" s="8" t="n"/>
      <c r="K4552" s="7" t="inlineStr">
        <is>
          <t>SEM COTAÇÃO</t>
        </is>
      </c>
      <c r="L4552" s="8" t="n"/>
      <c r="M4552" s="12" t="n"/>
      <c r="N4552" s="7" t="inlineStr"/>
      <c r="O4552" s="7" t="inlineStr"/>
    </row>
    <row r="4553">
      <c r="A4553" s="7" t="n">
        <v>344301</v>
      </c>
      <c r="B4553" s="10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1" t="n">
        <v>1</v>
      </c>
      <c r="G4553" s="11" t="n">
        <v>1</v>
      </c>
      <c r="H4553" s="8" t="n">
        <v>56.86</v>
      </c>
      <c r="I4553" s="8" t="n">
        <v>56.86</v>
      </c>
      <c r="J4553" s="8" t="n"/>
      <c r="K4553" s="7" t="inlineStr">
        <is>
          <t>SEM COTAÇÃO</t>
        </is>
      </c>
      <c r="L4553" s="8" t="n"/>
      <c r="M4553" s="12" t="n"/>
      <c r="N4553" s="7" t="inlineStr"/>
      <c r="O4553" s="7" t="inlineStr"/>
    </row>
    <row r="4554">
      <c r="A4554" s="7" t="n">
        <v>624941</v>
      </c>
      <c r="B4554" s="10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1" t="n">
        <v>1</v>
      </c>
      <c r="G4554" s="11" t="n">
        <v>1</v>
      </c>
      <c r="H4554" s="8" t="n">
        <v>36.81</v>
      </c>
      <c r="I4554" s="8" t="n">
        <v>36.81</v>
      </c>
      <c r="J4554" s="8" t="n"/>
      <c r="K4554" s="7" t="inlineStr">
        <is>
          <t>SEM COTAÇÃO</t>
        </is>
      </c>
      <c r="L4554" s="8" t="n"/>
      <c r="M4554" s="12" t="n"/>
      <c r="N4554" s="7" t="inlineStr"/>
      <c r="O4554" s="7" t="inlineStr"/>
    </row>
    <row r="4555">
      <c r="A4555" s="7" t="n">
        <v>580661</v>
      </c>
      <c r="B4555" s="10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1" t="n">
        <v>1</v>
      </c>
      <c r="G4555" s="11" t="n">
        <v>3</v>
      </c>
      <c r="H4555" s="8" t="n">
        <v>1.6773</v>
      </c>
      <c r="I4555" s="8" t="n">
        <v>1.6773</v>
      </c>
      <c r="J4555" s="8" t="n"/>
      <c r="K4555" s="7" t="inlineStr">
        <is>
          <t>SEM COTAÇÃO</t>
        </is>
      </c>
      <c r="L4555" s="8" t="n"/>
      <c r="M4555" s="12" t="n"/>
      <c r="N4555" s="7" t="inlineStr"/>
      <c r="O4555" s="7" t="inlineStr"/>
    </row>
    <row r="4556">
      <c r="A4556" s="7" t="n">
        <v>579621</v>
      </c>
      <c r="B4556" s="10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1" t="n">
        <v>1</v>
      </c>
      <c r="G4556" s="11" t="n">
        <v>8</v>
      </c>
      <c r="H4556" s="8" t="n">
        <v>2.8442</v>
      </c>
      <c r="I4556" s="8" t="n">
        <v>2.8442</v>
      </c>
      <c r="J4556" s="8" t="n"/>
      <c r="K4556" s="7" t="inlineStr">
        <is>
          <t>SEM COTAÇÃO</t>
        </is>
      </c>
      <c r="L4556" s="8" t="n"/>
      <c r="M4556" s="12" t="n"/>
      <c r="N4556" s="7" t="inlineStr"/>
      <c r="O4556" s="7" t="inlineStr"/>
    </row>
    <row r="4557">
      <c r="A4557" s="7" t="n">
        <v>461961</v>
      </c>
      <c r="B4557" s="10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1" t="n">
        <v>1</v>
      </c>
      <c r="G4557" s="11" t="n">
        <v>1</v>
      </c>
      <c r="H4557" s="8" t="n">
        <v>19.23</v>
      </c>
      <c r="I4557" s="8" t="n">
        <v>19.23</v>
      </c>
      <c r="J4557" s="13" t="n">
        <v>18.94</v>
      </c>
      <c r="K4557" s="7" t="inlineStr">
        <is>
          <t>DIMEC</t>
        </is>
      </c>
      <c r="L4557" s="8" t="n">
        <v>18.94</v>
      </c>
      <c r="M4557" s="12">
        <f>L4557/H4557-1</f>
        <v/>
      </c>
      <c r="N4557" s="15" t="inlineStr">
        <is>
          <t>OK (≤ menor hist.)</t>
        </is>
      </c>
      <c r="O4557" s="7" t="inlineStr"/>
    </row>
    <row r="4558">
      <c r="A4558" s="7" t="n">
        <v>647141</v>
      </c>
      <c r="B4558" s="10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1" t="n">
        <v>1</v>
      </c>
      <c r="G4558" s="11" t="n">
        <v>1</v>
      </c>
      <c r="H4558" s="8" t="n">
        <v>4.52</v>
      </c>
      <c r="I4558" s="8" t="n">
        <v>4.52</v>
      </c>
      <c r="J4558" s="8" t="n"/>
      <c r="K4558" s="7" t="inlineStr">
        <is>
          <t>SEM COTAÇÃO</t>
        </is>
      </c>
      <c r="L4558" s="8" t="n"/>
      <c r="M4558" s="12" t="n"/>
      <c r="N4558" s="7" t="inlineStr"/>
      <c r="O4558" s="7" t="inlineStr"/>
    </row>
    <row r="4559">
      <c r="A4559" s="7" t="n">
        <v>474341</v>
      </c>
      <c r="B4559" s="10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1" t="n">
        <v>9</v>
      </c>
      <c r="G4559" s="11" t="n">
        <v>9</v>
      </c>
      <c r="H4559" s="8" t="n">
        <v>8.859999999999999</v>
      </c>
      <c r="I4559" s="8" t="n">
        <v>8.859999999999999</v>
      </c>
      <c r="J4559" s="8" t="n"/>
      <c r="K4559" s="7" t="inlineStr">
        <is>
          <t>SEM COTAÇÃO</t>
        </is>
      </c>
      <c r="L4559" s="8" t="n"/>
      <c r="M4559" s="12" t="n"/>
      <c r="N4559" s="7" t="inlineStr"/>
      <c r="O4559" s="7" t="inlineStr"/>
    </row>
    <row r="4560">
      <c r="A4560" s="7" t="n">
        <v>646561</v>
      </c>
      <c r="B4560" s="10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1" t="n">
        <v>1</v>
      </c>
      <c r="G4560" s="11" t="n">
        <v>1</v>
      </c>
      <c r="H4560" s="8" t="n">
        <v>13.37</v>
      </c>
      <c r="I4560" s="8" t="n">
        <v>13.37</v>
      </c>
      <c r="J4560" s="8" t="n"/>
      <c r="K4560" s="7" t="inlineStr">
        <is>
          <t>SEM COTAÇÃO</t>
        </is>
      </c>
      <c r="L4560" s="8" t="n"/>
      <c r="M4560" s="12" t="n"/>
      <c r="N4560" s="7" t="inlineStr"/>
      <c r="O4560" s="7" t="inlineStr"/>
    </row>
    <row r="4561">
      <c r="A4561" s="7" t="n">
        <v>616431</v>
      </c>
      <c r="B4561" s="10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1" t="n">
        <v>1</v>
      </c>
      <c r="G4561" s="11" t="n">
        <v>1</v>
      </c>
      <c r="H4561" s="8" t="n"/>
      <c r="I4561" s="8" t="n"/>
      <c r="J4561" s="8" t="n"/>
      <c r="K4561" s="7" t="inlineStr">
        <is>
          <t>SEM COTAÇÃO</t>
        </is>
      </c>
      <c r="L4561" s="8" t="n"/>
      <c r="M4561" s="12" t="n"/>
      <c r="N4561" s="7" t="inlineStr"/>
      <c r="O4561" s="7" t="inlineStr"/>
    </row>
    <row r="4562">
      <c r="A4562" s="7" t="n">
        <v>608981</v>
      </c>
      <c r="B4562" s="10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1" t="n">
        <v>1</v>
      </c>
      <c r="G4562" s="11" t="n">
        <v>1</v>
      </c>
      <c r="H4562" s="8" t="n">
        <v>52.19</v>
      </c>
      <c r="I4562" s="8" t="n">
        <v>46.85</v>
      </c>
      <c r="J4562" s="8" t="n"/>
      <c r="K4562" s="7" t="inlineStr">
        <is>
          <t>SEM COTAÇÃO</t>
        </is>
      </c>
      <c r="L4562" s="8" t="n"/>
      <c r="M4562" s="12" t="n"/>
      <c r="N4562" s="7" t="inlineStr"/>
      <c r="O4562" s="7" t="inlineStr"/>
    </row>
    <row r="4563">
      <c r="A4563" s="7" t="n">
        <v>612541</v>
      </c>
      <c r="B4563" s="10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1" t="n">
        <v>3</v>
      </c>
      <c r="G4563" s="11" t="n">
        <v>3</v>
      </c>
      <c r="H4563" s="8" t="n">
        <v>35.24</v>
      </c>
      <c r="I4563" s="8" t="n">
        <v>31.645</v>
      </c>
      <c r="J4563" s="8" t="n"/>
      <c r="K4563" s="7" t="inlineStr">
        <is>
          <t>SEM COTAÇÃO</t>
        </is>
      </c>
      <c r="L4563" s="8" t="n"/>
      <c r="M4563" s="12" t="n"/>
      <c r="N4563" s="7" t="inlineStr"/>
      <c r="O4563" s="7" t="inlineStr"/>
    </row>
    <row r="4564">
      <c r="A4564" s="7" t="n">
        <v>16681</v>
      </c>
      <c r="B4564" s="10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1" t="n">
        <v>4</v>
      </c>
      <c r="G4564" s="11" t="n">
        <v>4</v>
      </c>
      <c r="H4564" s="8" t="n">
        <v>29.05</v>
      </c>
      <c r="I4564" s="8" t="n">
        <v>29.05</v>
      </c>
      <c r="J4564" s="8" t="n"/>
      <c r="K4564" s="7" t="inlineStr">
        <is>
          <t>SEM COTAÇÃO</t>
        </is>
      </c>
      <c r="L4564" s="8" t="n"/>
      <c r="M4564" s="12" t="n"/>
      <c r="N4564" s="7" t="inlineStr"/>
      <c r="O4564" s="7" t="inlineStr"/>
    </row>
    <row r="4565">
      <c r="A4565" s="7" t="n">
        <v>16721</v>
      </c>
      <c r="B4565" s="10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1" t="n">
        <v>6</v>
      </c>
      <c r="G4565" s="11" t="n">
        <v>6</v>
      </c>
      <c r="H4565" s="8" t="n">
        <v>53.92</v>
      </c>
      <c r="I4565" s="8" t="n">
        <v>53.32</v>
      </c>
      <c r="J4565" s="8" t="n"/>
      <c r="K4565" s="7" t="inlineStr">
        <is>
          <t>SEM COTAÇÃO</t>
        </is>
      </c>
      <c r="L4565" s="8" t="n"/>
      <c r="M4565" s="12" t="n"/>
      <c r="N4565" s="7" t="inlineStr"/>
      <c r="O4565" s="7" t="inlineStr"/>
    </row>
    <row r="4566">
      <c r="A4566" s="7" t="n">
        <v>993</v>
      </c>
      <c r="B4566" s="10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1" t="n">
        <v>9</v>
      </c>
      <c r="G4566" s="11" t="n">
        <v>54</v>
      </c>
      <c r="H4566" s="8" t="n">
        <v>15.8375</v>
      </c>
      <c r="I4566" s="8" t="n">
        <v>13.1538</v>
      </c>
      <c r="J4566" s="8" t="n"/>
      <c r="K4566" s="7" t="inlineStr">
        <is>
          <t>SEM COTAÇÃO</t>
        </is>
      </c>
      <c r="L4566" s="8" t="n"/>
      <c r="M4566" s="12" t="n"/>
      <c r="N4566" s="7" t="inlineStr"/>
      <c r="O4566" s="7" t="inlineStr"/>
    </row>
    <row r="4567">
      <c r="A4567" s="7" t="n">
        <v>651281</v>
      </c>
      <c r="B4567" s="10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1" t="n">
        <v>1</v>
      </c>
      <c r="G4567" s="11" t="n">
        <v>1</v>
      </c>
      <c r="H4567" s="8" t="n">
        <v>9.960000000000001</v>
      </c>
      <c r="I4567" s="8" t="n">
        <v>7.77</v>
      </c>
      <c r="J4567" s="8" t="n"/>
      <c r="K4567" s="7" t="inlineStr">
        <is>
          <t>SEM COTAÇÃO</t>
        </is>
      </c>
      <c r="L4567" s="8" t="n"/>
      <c r="M4567" s="12" t="n"/>
      <c r="N4567" s="7" t="inlineStr"/>
      <c r="O4567" s="7" t="inlineStr"/>
    </row>
    <row r="4568">
      <c r="A4568" s="7" t="n">
        <v>660421</v>
      </c>
      <c r="B4568" s="10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1" t="n">
        <v>1</v>
      </c>
      <c r="G4568" s="11" t="n">
        <v>1</v>
      </c>
      <c r="H4568" s="8" t="n">
        <v>47.15</v>
      </c>
      <c r="I4568" s="8" t="n">
        <v>7.66</v>
      </c>
      <c r="J4568" s="8" t="n"/>
      <c r="K4568" s="7" t="inlineStr">
        <is>
          <t>SEM COTAÇÃO</t>
        </is>
      </c>
      <c r="L4568" s="8" t="n"/>
      <c r="M4568" s="12" t="n"/>
      <c r="N4568" s="7" t="inlineStr"/>
      <c r="O4568" s="7" t="inlineStr"/>
    </row>
    <row r="4569">
      <c r="A4569" s="7" t="n">
        <v>318341</v>
      </c>
      <c r="B4569" s="10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1" t="n">
        <v>5</v>
      </c>
      <c r="G4569" s="11" t="n">
        <v>54</v>
      </c>
      <c r="H4569" s="8" t="n">
        <v>16.2392</v>
      </c>
      <c r="I4569" s="8" t="n">
        <v>12.3925</v>
      </c>
      <c r="J4569" s="8" t="n"/>
      <c r="K4569" s="7" t="inlineStr">
        <is>
          <t>SEM COTAÇÃO</t>
        </is>
      </c>
      <c r="L4569" s="8" t="n"/>
      <c r="M4569" s="12" t="n"/>
      <c r="N4569" s="7" t="inlineStr"/>
      <c r="O4569" s="7" t="inlineStr"/>
    </row>
    <row r="4570">
      <c r="A4570" s="7" t="n">
        <v>600581</v>
      </c>
      <c r="B4570" s="10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1" t="n">
        <v>11</v>
      </c>
      <c r="G4570" s="11" t="n">
        <v>250</v>
      </c>
      <c r="H4570" s="8" t="n">
        <v>17.0408</v>
      </c>
      <c r="I4570" s="8" t="n">
        <v>11.9136</v>
      </c>
      <c r="J4570" s="8" t="n"/>
      <c r="K4570" s="7" t="inlineStr">
        <is>
          <t>SEM COTAÇÃO</t>
        </is>
      </c>
      <c r="L4570" s="8" t="n"/>
      <c r="M4570" s="12" t="n"/>
      <c r="N4570" s="7" t="inlineStr"/>
      <c r="O4570" s="7" t="inlineStr"/>
    </row>
    <row r="4571">
      <c r="A4571" s="7" t="n">
        <v>395921</v>
      </c>
      <c r="B4571" s="10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1" t="n">
        <v>5</v>
      </c>
      <c r="G4571" s="11" t="n">
        <v>230</v>
      </c>
      <c r="H4571" s="8" t="n">
        <v>3.7506</v>
      </c>
      <c r="I4571" s="8" t="n">
        <v>2.769</v>
      </c>
      <c r="J4571" s="8" t="n"/>
      <c r="K4571" s="7" t="inlineStr">
        <is>
          <t>SEM COTAÇÃO</t>
        </is>
      </c>
      <c r="L4571" s="8" t="n"/>
      <c r="M4571" s="12" t="n"/>
      <c r="N4571" s="7" t="inlineStr"/>
      <c r="O4571" s="7" t="inlineStr"/>
    </row>
    <row r="4572">
      <c r="A4572" s="7" t="n">
        <v>542821</v>
      </c>
      <c r="B4572" s="10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1" t="n">
        <v>9</v>
      </c>
      <c r="G4572" s="11" t="n">
        <v>9</v>
      </c>
      <c r="H4572" s="8" t="n">
        <v>38.6</v>
      </c>
      <c r="I4572" s="8" t="n">
        <v>28.35</v>
      </c>
      <c r="J4572" s="8" t="n"/>
      <c r="K4572" s="7" t="inlineStr">
        <is>
          <t>SEM COTAÇÃO</t>
        </is>
      </c>
      <c r="L4572" s="8" t="n"/>
      <c r="M4572" s="12" t="n"/>
      <c r="N4572" s="7" t="inlineStr"/>
      <c r="O4572" s="7" t="inlineStr"/>
    </row>
    <row r="4573">
      <c r="A4573" s="7" t="n">
        <v>610801</v>
      </c>
      <c r="B4573" s="10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1" t="n">
        <v>4</v>
      </c>
      <c r="G4573" s="11" t="n">
        <v>4</v>
      </c>
      <c r="H4573" s="8" t="n">
        <v>28.7367</v>
      </c>
      <c r="I4573" s="8" t="n">
        <v>24.38</v>
      </c>
      <c r="J4573" s="8" t="n"/>
      <c r="K4573" s="7" t="inlineStr">
        <is>
          <t>SEM COTAÇÃO</t>
        </is>
      </c>
      <c r="L4573" s="8" t="n"/>
      <c r="M4573" s="12" t="n"/>
      <c r="N4573" s="7" t="inlineStr"/>
      <c r="O4573" s="7" t="inlineStr"/>
    </row>
    <row r="4574">
      <c r="A4574" s="7" t="n">
        <v>254901</v>
      </c>
      <c r="B4574" s="10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1" t="n">
        <v>1</v>
      </c>
      <c r="G4574" s="11" t="n">
        <v>1</v>
      </c>
      <c r="H4574" s="8" t="n">
        <v>50.5</v>
      </c>
      <c r="I4574" s="8" t="n">
        <v>35.1083</v>
      </c>
      <c r="J4574" s="8" t="n"/>
      <c r="K4574" s="7" t="inlineStr">
        <is>
          <t>SEM COTAÇÃO</t>
        </is>
      </c>
      <c r="L4574" s="8" t="n"/>
      <c r="M4574" s="12" t="n"/>
      <c r="N4574" s="7" t="inlineStr"/>
      <c r="O4574" s="7" t="inlineStr"/>
    </row>
    <row r="4575">
      <c r="A4575" s="7" t="n">
        <v>671911</v>
      </c>
      <c r="B4575" s="10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1" t="n">
        <v>2</v>
      </c>
      <c r="G4575" s="11" t="n">
        <v>2</v>
      </c>
      <c r="H4575" s="8" t="n">
        <v>53.03</v>
      </c>
      <c r="I4575" s="8" t="n">
        <v>53.03</v>
      </c>
      <c r="J4575" s="8" t="n"/>
      <c r="K4575" s="7" t="inlineStr">
        <is>
          <t>SEM COTAÇÃO</t>
        </is>
      </c>
      <c r="L4575" s="8" t="n"/>
      <c r="M4575" s="12" t="n"/>
      <c r="N4575" s="7" t="inlineStr"/>
      <c r="O4575" s="7" t="inlineStr"/>
    </row>
    <row r="4576">
      <c r="A4576" s="7" t="n">
        <v>531981</v>
      </c>
      <c r="B4576" s="10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1" t="n">
        <v>29</v>
      </c>
      <c r="G4576" s="11" t="n">
        <v>29</v>
      </c>
      <c r="H4576" s="8" t="n">
        <v>2.76</v>
      </c>
      <c r="I4576" s="8" t="n">
        <v>2.5533</v>
      </c>
      <c r="J4576" s="8" t="n"/>
      <c r="K4576" s="7" t="inlineStr">
        <is>
          <t>SEM COTAÇÃO</t>
        </is>
      </c>
      <c r="L4576" s="8" t="n"/>
      <c r="M4576" s="12" t="n"/>
      <c r="N4576" s="7" t="inlineStr"/>
      <c r="O4576" s="7" t="inlineStr"/>
    </row>
    <row r="4577">
      <c r="A4577" s="7" t="n">
        <v>35603</v>
      </c>
      <c r="B4577" s="10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1" t="n">
        <v>2</v>
      </c>
      <c r="G4577" s="11" t="n">
        <v>2</v>
      </c>
      <c r="H4577" s="8" t="n">
        <v>14.57</v>
      </c>
      <c r="I4577" s="8" t="n">
        <v>14.57</v>
      </c>
      <c r="J4577" s="8" t="n"/>
      <c r="K4577" s="7" t="inlineStr">
        <is>
          <t>SEM COTAÇÃO</t>
        </is>
      </c>
      <c r="L4577" s="8" t="n"/>
      <c r="M4577" s="12" t="n"/>
      <c r="N4577" s="7" t="inlineStr"/>
      <c r="O4577" s="7" t="inlineStr"/>
    </row>
    <row r="4578">
      <c r="A4578" s="7" t="n">
        <v>468541</v>
      </c>
      <c r="B4578" s="10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1" t="n">
        <v>1</v>
      </c>
      <c r="G4578" s="11" t="n">
        <v>1</v>
      </c>
      <c r="H4578" s="8" t="n">
        <v>47.28</v>
      </c>
      <c r="I4578" s="8" t="n">
        <v>47.28</v>
      </c>
      <c r="J4578" s="8" t="n"/>
      <c r="K4578" s="7" t="inlineStr">
        <is>
          <t>SEM COTAÇÃO</t>
        </is>
      </c>
      <c r="L4578" s="8" t="n"/>
      <c r="M4578" s="12" t="n"/>
      <c r="N4578" s="7" t="inlineStr"/>
      <c r="O4578" s="7" t="inlineStr"/>
    </row>
    <row r="4579">
      <c r="A4579" s="7" t="n">
        <v>562761</v>
      </c>
      <c r="B4579" s="10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1" t="n">
        <v>4</v>
      </c>
      <c r="G4579" s="11" t="n">
        <v>4</v>
      </c>
      <c r="H4579" s="8" t="n">
        <v>22.27</v>
      </c>
      <c r="I4579" s="8" t="n">
        <v>22.27</v>
      </c>
      <c r="J4579" s="8" t="n"/>
      <c r="K4579" s="7" t="inlineStr">
        <is>
          <t>SEM COTAÇÃO</t>
        </is>
      </c>
      <c r="L4579" s="8" t="n"/>
      <c r="M4579" s="12" t="n"/>
      <c r="N4579" s="7" t="inlineStr"/>
      <c r="O4579" s="7" t="inlineStr"/>
    </row>
    <row r="4580">
      <c r="A4580" s="7" t="n">
        <v>604071</v>
      </c>
      <c r="B4580" s="10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1" t="n">
        <v>2</v>
      </c>
      <c r="G4580" s="11" t="n">
        <v>2</v>
      </c>
      <c r="H4580" s="8" t="n">
        <v>20.05</v>
      </c>
      <c r="I4580" s="8" t="n">
        <v>20.05</v>
      </c>
      <c r="J4580" s="8" t="n"/>
      <c r="K4580" s="7" t="inlineStr">
        <is>
          <t>SEM COTAÇÃO</t>
        </is>
      </c>
      <c r="L4580" s="8" t="n"/>
      <c r="M4580" s="12" t="n"/>
      <c r="N4580" s="7" t="inlineStr"/>
      <c r="O4580" s="7" t="inlineStr"/>
    </row>
    <row r="4581">
      <c r="A4581" s="7" t="n">
        <v>656021</v>
      </c>
      <c r="B4581" s="10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1" t="n">
        <v>4</v>
      </c>
      <c r="G4581" s="11" t="n">
        <v>4</v>
      </c>
      <c r="H4581" s="8" t="n">
        <v>14.88</v>
      </c>
      <c r="I4581" s="8" t="n">
        <v>11.52</v>
      </c>
      <c r="J4581" s="8" t="n"/>
      <c r="K4581" s="7" t="inlineStr">
        <is>
          <t>SEM COTAÇÃO</t>
        </is>
      </c>
      <c r="L4581" s="8" t="n"/>
      <c r="M4581" s="12" t="n"/>
      <c r="N4581" s="7" t="inlineStr"/>
      <c r="O4581" s="7" t="inlineStr"/>
    </row>
    <row r="4582">
      <c r="A4582" s="7" t="n">
        <v>655051</v>
      </c>
      <c r="B4582" s="10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1" t="n">
        <v>7</v>
      </c>
      <c r="G4582" s="11" t="n">
        <v>7</v>
      </c>
      <c r="H4582" s="8" t="n">
        <v>12.72</v>
      </c>
      <c r="I4582" s="8" t="n">
        <v>12.72</v>
      </c>
      <c r="J4582" s="8" t="n"/>
      <c r="K4582" s="7" t="inlineStr">
        <is>
          <t>SEM COTAÇÃO</t>
        </is>
      </c>
      <c r="L4582" s="8" t="n"/>
      <c r="M4582" s="12" t="n"/>
      <c r="N4582" s="7" t="inlineStr"/>
      <c r="O4582" s="7" t="inlineStr"/>
    </row>
    <row r="4583">
      <c r="A4583" s="7" t="n">
        <v>654741</v>
      </c>
      <c r="B4583" s="10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1" t="n">
        <v>2</v>
      </c>
      <c r="G4583" s="11" t="n">
        <v>2</v>
      </c>
      <c r="H4583" s="8" t="n">
        <v>27.78</v>
      </c>
      <c r="I4583" s="8" t="n">
        <v>27.78</v>
      </c>
      <c r="J4583" s="8" t="n"/>
      <c r="K4583" s="7" t="inlineStr">
        <is>
          <t>SEM COTAÇÃO</t>
        </is>
      </c>
      <c r="L4583" s="8" t="n"/>
      <c r="M4583" s="12" t="n"/>
      <c r="N4583" s="7" t="inlineStr"/>
      <c r="O4583" s="7" t="inlineStr"/>
    </row>
    <row r="4584">
      <c r="A4584" s="7" t="n">
        <v>660921</v>
      </c>
      <c r="B4584" s="10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1" t="n">
        <v>3</v>
      </c>
      <c r="G4584" s="11" t="n">
        <v>3</v>
      </c>
      <c r="H4584" s="8" t="n">
        <v>19.28</v>
      </c>
      <c r="I4584" s="8" t="n">
        <v>19.28</v>
      </c>
      <c r="J4584" s="8" t="n"/>
      <c r="K4584" s="7" t="inlineStr">
        <is>
          <t>SEM COTAÇÃO</t>
        </is>
      </c>
      <c r="L4584" s="8" t="n"/>
      <c r="M4584" s="12" t="n"/>
      <c r="N4584" s="7" t="inlineStr"/>
      <c r="O4584" s="7" t="inlineStr"/>
    </row>
    <row r="4585">
      <c r="A4585" s="7" t="n">
        <v>198161</v>
      </c>
      <c r="B4585" s="10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1" t="n">
        <v>6</v>
      </c>
      <c r="G4585" s="11" t="n">
        <v>6</v>
      </c>
      <c r="H4585" s="8" t="n">
        <v>7.3</v>
      </c>
      <c r="I4585" s="8" t="n">
        <v>6.89</v>
      </c>
      <c r="J4585" s="8" t="n"/>
      <c r="K4585" s="7" t="inlineStr">
        <is>
          <t>SEM COTAÇÃO</t>
        </is>
      </c>
      <c r="L4585" s="8" t="n"/>
      <c r="M4585" s="12" t="n"/>
      <c r="N4585" s="7" t="inlineStr"/>
      <c r="O4585" s="7" t="inlineStr"/>
    </row>
    <row r="4586">
      <c r="A4586" s="7" t="n">
        <v>198181</v>
      </c>
      <c r="B4586" s="10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1" t="n">
        <v>12</v>
      </c>
      <c r="G4586" s="11" t="n">
        <v>12</v>
      </c>
      <c r="H4586" s="8" t="n">
        <v>13.49</v>
      </c>
      <c r="I4586" s="8" t="n">
        <v>12.09</v>
      </c>
      <c r="J4586" s="8" t="n"/>
      <c r="K4586" s="7" t="inlineStr">
        <is>
          <t>SEM COTAÇÃO</t>
        </is>
      </c>
      <c r="L4586" s="8" t="n"/>
      <c r="M4586" s="12" t="n"/>
      <c r="N4586" s="7" t="inlineStr"/>
      <c r="O4586" s="7" t="inlineStr"/>
    </row>
    <row r="4587">
      <c r="A4587" s="7" t="n">
        <v>653221</v>
      </c>
      <c r="B4587" s="10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1" t="n">
        <v>1</v>
      </c>
      <c r="G4587" s="11" t="n">
        <v>1</v>
      </c>
      <c r="H4587" s="8" t="n">
        <v>29.28</v>
      </c>
      <c r="I4587" s="8" t="n">
        <v>29.28</v>
      </c>
      <c r="J4587" s="8" t="n"/>
      <c r="K4587" s="7" t="inlineStr">
        <is>
          <t>SEM COTAÇÃO</t>
        </is>
      </c>
      <c r="L4587" s="8" t="n"/>
      <c r="M4587" s="12" t="n"/>
      <c r="N4587" s="7" t="inlineStr"/>
      <c r="O4587" s="7" t="inlineStr"/>
    </row>
    <row r="4588">
      <c r="A4588" s="7" t="n">
        <v>193221</v>
      </c>
      <c r="B4588" s="10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1" t="n">
        <v>2</v>
      </c>
      <c r="G4588" s="11" t="n">
        <v>2</v>
      </c>
      <c r="H4588" s="8" t="n">
        <v>21.98</v>
      </c>
      <c r="I4588" s="8" t="n">
        <v>21.98</v>
      </c>
      <c r="J4588" s="13" t="n">
        <v>27.09</v>
      </c>
      <c r="K4588" s="7" t="inlineStr">
        <is>
          <t>DIMEC</t>
        </is>
      </c>
      <c r="L4588" s="8" t="n">
        <v>27.09</v>
      </c>
      <c r="M4588" s="12">
        <f>L4588/H4588-1</f>
        <v/>
      </c>
      <c r="N4588" s="14" t="inlineStr">
        <is>
          <t>ACIMA +23.2%</t>
        </is>
      </c>
      <c r="O4588" s="7" t="inlineStr"/>
    </row>
    <row r="4589">
      <c r="A4589" s="7" t="n">
        <v>193181</v>
      </c>
      <c r="B4589" s="10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1" t="n">
        <v>1</v>
      </c>
      <c r="G4589" s="11" t="n">
        <v>1</v>
      </c>
      <c r="H4589" s="8" t="n">
        <v>12.69</v>
      </c>
      <c r="I4589" s="8" t="n">
        <v>12.69</v>
      </c>
      <c r="J4589" s="13" t="n">
        <v>17.54</v>
      </c>
      <c r="K4589" s="7" t="inlineStr">
        <is>
          <t>DIMEC</t>
        </is>
      </c>
      <c r="L4589" s="8" t="n">
        <v>17.54</v>
      </c>
      <c r="M4589" s="12">
        <f>L4589/H4589-1</f>
        <v/>
      </c>
      <c r="N4589" s="14" t="inlineStr">
        <is>
          <t>ACIMA +38.2%</t>
        </is>
      </c>
      <c r="O4589" s="7" t="inlineStr"/>
    </row>
    <row r="4590">
      <c r="A4590" s="7" t="n">
        <v>653211</v>
      </c>
      <c r="B4590" s="10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1" t="n">
        <v>2</v>
      </c>
      <c r="G4590" s="11" t="n">
        <v>2</v>
      </c>
      <c r="H4590" s="8" t="n">
        <v>19.58</v>
      </c>
      <c r="I4590" s="8" t="n">
        <v>19.58</v>
      </c>
      <c r="J4590" s="13" t="n">
        <v>23.22</v>
      </c>
      <c r="K4590" s="7" t="inlineStr">
        <is>
          <t>DIMEC</t>
        </is>
      </c>
      <c r="L4590" s="8" t="n">
        <v>23.22</v>
      </c>
      <c r="M4590" s="12">
        <f>L4590/H4590-1</f>
        <v/>
      </c>
      <c r="N4590" s="14" t="inlineStr">
        <is>
          <t>ACIMA +18.6%</t>
        </is>
      </c>
      <c r="O4590" s="7" t="inlineStr"/>
    </row>
    <row r="4591">
      <c r="A4591" s="7" t="n">
        <v>3063</v>
      </c>
      <c r="B4591" s="10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1" t="n">
        <v>4</v>
      </c>
      <c r="G4591" s="11" t="n">
        <v>4</v>
      </c>
      <c r="H4591" s="8" t="n">
        <v>14.54</v>
      </c>
      <c r="I4591" s="8" t="n">
        <v>10.73</v>
      </c>
      <c r="J4591" s="13" t="n">
        <v>13.39</v>
      </c>
      <c r="K4591" s="7" t="inlineStr">
        <is>
          <t>DIMEC</t>
        </is>
      </c>
      <c r="L4591" s="8" t="n">
        <v>13.39</v>
      </c>
      <c r="M4591" s="12">
        <f>L4591/H4591-1</f>
        <v/>
      </c>
      <c r="N4591" s="15" t="inlineStr">
        <is>
          <t>OK (≤ últ. compra)</t>
        </is>
      </c>
      <c r="O4591" s="7" t="inlineStr"/>
    </row>
    <row r="4592">
      <c r="A4592" s="7" t="n">
        <v>655081</v>
      </c>
      <c r="B4592" s="10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1" t="n">
        <v>2</v>
      </c>
      <c r="G4592" s="11" t="n">
        <v>2</v>
      </c>
      <c r="H4592" s="8" t="n">
        <v>12.72</v>
      </c>
      <c r="I4592" s="8" t="n">
        <v>12.72</v>
      </c>
      <c r="J4592" s="8" t="n"/>
      <c r="K4592" s="7" t="inlineStr">
        <is>
          <t>SEM COTAÇÃO</t>
        </is>
      </c>
      <c r="L4592" s="8" t="n"/>
      <c r="M4592" s="12" t="n"/>
      <c r="N4592" s="7" t="inlineStr"/>
      <c r="O4592" s="7" t="inlineStr"/>
    </row>
    <row r="4593">
      <c r="A4593" s="7" t="n">
        <v>623661</v>
      </c>
      <c r="B4593" s="10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1" t="n">
        <v>2</v>
      </c>
      <c r="G4593" s="11" t="n">
        <v>2</v>
      </c>
      <c r="H4593" s="8" t="n">
        <v>11.68</v>
      </c>
      <c r="I4593" s="8" t="n">
        <v>11.395</v>
      </c>
      <c r="J4593" s="8" t="n"/>
      <c r="K4593" s="7" t="inlineStr">
        <is>
          <t>SEM COTAÇÃO</t>
        </is>
      </c>
      <c r="L4593" s="8" t="n"/>
      <c r="M4593" s="12" t="n"/>
      <c r="N4593" s="7" t="inlineStr"/>
      <c r="O4593" s="7" t="inlineStr"/>
    </row>
    <row r="4594">
      <c r="A4594" s="7" t="n">
        <v>193261</v>
      </c>
      <c r="B4594" s="10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1" t="n">
        <v>1</v>
      </c>
      <c r="G4594" s="11" t="n">
        <v>1</v>
      </c>
      <c r="H4594" s="8" t="n">
        <v>23.77</v>
      </c>
      <c r="I4594" s="8" t="n">
        <v>23.77</v>
      </c>
      <c r="J4594" s="8" t="n"/>
      <c r="K4594" s="7" t="inlineStr">
        <is>
          <t>SEM COTAÇÃO</t>
        </is>
      </c>
      <c r="L4594" s="8" t="n"/>
      <c r="M4594" s="12" t="n"/>
      <c r="N4594" s="7" t="inlineStr"/>
      <c r="O4594" s="7" t="inlineStr"/>
    </row>
    <row r="4595">
      <c r="A4595" s="7" t="n">
        <v>198101</v>
      </c>
      <c r="B4595" s="10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1" t="n">
        <v>2</v>
      </c>
      <c r="G4595" s="11" t="n">
        <v>2</v>
      </c>
      <c r="H4595" s="8" t="n">
        <v>25.99</v>
      </c>
      <c r="I4595" s="8" t="n">
        <v>25.99</v>
      </c>
      <c r="J4595" s="8" t="n"/>
      <c r="K4595" s="7" t="inlineStr">
        <is>
          <t>SEM COTAÇÃO</t>
        </is>
      </c>
      <c r="L4595" s="8" t="n"/>
      <c r="M4595" s="12" t="n"/>
      <c r="N4595" s="7" t="inlineStr"/>
      <c r="O4595" s="7" t="inlineStr"/>
    </row>
    <row r="4596">
      <c r="A4596" s="7" t="n">
        <v>193241</v>
      </c>
      <c r="B4596" s="10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1" t="n">
        <v>2</v>
      </c>
      <c r="G4596" s="11" t="n">
        <v>2</v>
      </c>
      <c r="H4596" s="8" t="n">
        <v>13.95</v>
      </c>
      <c r="I4596" s="8" t="n">
        <v>13.95</v>
      </c>
      <c r="J4596" s="13" t="n">
        <v>16.57</v>
      </c>
      <c r="K4596" s="7" t="inlineStr">
        <is>
          <t>DIMEC</t>
        </is>
      </c>
      <c r="L4596" s="8" t="n">
        <v>16.57</v>
      </c>
      <c r="M4596" s="12">
        <f>L4596/H4596-1</f>
        <v/>
      </c>
      <c r="N4596" s="14" t="inlineStr">
        <is>
          <t>ACIMA +18.8%</t>
        </is>
      </c>
      <c r="O4596" s="7" t="inlineStr"/>
    </row>
    <row r="4597">
      <c r="A4597" s="7" t="n">
        <v>193001</v>
      </c>
      <c r="B4597" s="10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1" t="n">
        <v>1</v>
      </c>
      <c r="G4597" s="11" t="n">
        <v>1</v>
      </c>
      <c r="H4597" s="8" t="n">
        <v>13.68</v>
      </c>
      <c r="I4597" s="8" t="n">
        <v>13.68</v>
      </c>
      <c r="J4597" s="13" t="n">
        <v>16.03</v>
      </c>
      <c r="K4597" s="7" t="inlineStr">
        <is>
          <t>DIMEC</t>
        </is>
      </c>
      <c r="L4597" s="8" t="n">
        <v>16.03</v>
      </c>
      <c r="M4597" s="12">
        <f>L4597/H4597-1</f>
        <v/>
      </c>
      <c r="N4597" s="14" t="inlineStr">
        <is>
          <t>ACIMA +17.2%</t>
        </is>
      </c>
      <c r="O4597" s="7" t="inlineStr"/>
    </row>
    <row r="4598">
      <c r="A4598" s="7" t="n">
        <v>193101</v>
      </c>
      <c r="B4598" s="10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1" t="n">
        <v>1</v>
      </c>
      <c r="G4598" s="11" t="n">
        <v>1</v>
      </c>
      <c r="H4598" s="8" t="n">
        <v>18.96</v>
      </c>
      <c r="I4598" s="8" t="n">
        <v>18.96</v>
      </c>
      <c r="J4598" s="8" t="n"/>
      <c r="K4598" s="7" t="inlineStr">
        <is>
          <t>SEM COTAÇÃO</t>
        </is>
      </c>
      <c r="L4598" s="8" t="n"/>
      <c r="M4598" s="12" t="n"/>
      <c r="N4598" s="7" t="inlineStr"/>
      <c r="O4598" s="7" t="inlineStr"/>
    </row>
    <row r="4599">
      <c r="A4599" s="7" t="n">
        <v>193041</v>
      </c>
      <c r="B4599" s="10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1" t="n">
        <v>1</v>
      </c>
      <c r="G4599" s="11" t="n">
        <v>1</v>
      </c>
      <c r="H4599" s="8" t="n">
        <v>4.75</v>
      </c>
      <c r="I4599" s="8" t="n">
        <v>3.99</v>
      </c>
      <c r="J4599" s="8" t="n"/>
      <c r="K4599" s="7" t="inlineStr">
        <is>
          <t>SEM COTAÇÃO</t>
        </is>
      </c>
      <c r="L4599" s="8" t="n"/>
      <c r="M4599" s="12" t="n"/>
      <c r="N4599" s="7" t="inlineStr"/>
      <c r="O4599" s="7" t="inlineStr"/>
    </row>
    <row r="4600">
      <c r="A4600" s="7" t="n">
        <v>655091</v>
      </c>
      <c r="B4600" s="10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1" t="n">
        <v>3</v>
      </c>
      <c r="G4600" s="11" t="n">
        <v>3</v>
      </c>
      <c r="H4600" s="8" t="n">
        <v>16.61</v>
      </c>
      <c r="I4600" s="8" t="n">
        <v>16.61</v>
      </c>
      <c r="J4600" s="8" t="n"/>
      <c r="K4600" s="7" t="inlineStr">
        <is>
          <t>SEM COTAÇÃO</t>
        </is>
      </c>
      <c r="L4600" s="8" t="n"/>
      <c r="M4600" s="12" t="n"/>
      <c r="N4600" s="7" t="inlineStr"/>
      <c r="O4600" s="7" t="inlineStr"/>
    </row>
    <row r="4601">
      <c r="A4601" s="7" t="n">
        <v>646191</v>
      </c>
      <c r="B4601" s="10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1" t="n">
        <v>1</v>
      </c>
      <c r="G4601" s="11" t="n">
        <v>1</v>
      </c>
      <c r="H4601" s="8" t="n">
        <v>37.19</v>
      </c>
      <c r="I4601" s="8" t="n">
        <v>37.19</v>
      </c>
      <c r="J4601" s="8" t="n"/>
      <c r="K4601" s="7" t="inlineStr">
        <is>
          <t>SEM COTAÇÃO</t>
        </is>
      </c>
      <c r="L4601" s="8" t="n"/>
      <c r="M4601" s="12" t="n"/>
      <c r="N4601" s="7" t="inlineStr"/>
      <c r="O4601" s="7" t="inlineStr"/>
    </row>
    <row r="4602">
      <c r="A4602" s="7" t="n">
        <v>664031</v>
      </c>
      <c r="B4602" s="10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1" t="n">
        <v>2</v>
      </c>
      <c r="G4602" s="11" t="n">
        <v>2</v>
      </c>
      <c r="H4602" s="8" t="n"/>
      <c r="I4602" s="8" t="n"/>
      <c r="J4602" s="8" t="n"/>
      <c r="K4602" s="7" t="inlineStr">
        <is>
          <t>SEM COTAÇÃO</t>
        </is>
      </c>
      <c r="L4602" s="8" t="n"/>
      <c r="M4602" s="12" t="n"/>
      <c r="N4602" s="7" t="inlineStr"/>
      <c r="O4602" s="7" t="inlineStr"/>
    </row>
    <row r="4603">
      <c r="A4603" s="7" t="n">
        <v>663461</v>
      </c>
      <c r="B4603" s="10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1" t="n">
        <v>2</v>
      </c>
      <c r="G4603" s="11" t="n">
        <v>2</v>
      </c>
      <c r="H4603" s="8" t="n">
        <v>20.48</v>
      </c>
      <c r="I4603" s="8" t="n">
        <v>20.48</v>
      </c>
      <c r="J4603" s="8" t="n"/>
      <c r="K4603" s="7" t="inlineStr">
        <is>
          <t>SEM COTAÇÃO</t>
        </is>
      </c>
      <c r="L4603" s="8" t="n"/>
      <c r="M4603" s="12" t="n"/>
      <c r="N4603" s="7" t="inlineStr"/>
      <c r="O4603" s="7" t="inlineStr"/>
    </row>
    <row r="4604">
      <c r="A4604" s="7" t="n">
        <v>532021</v>
      </c>
      <c r="B4604" s="10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1" t="n">
        <v>223</v>
      </c>
      <c r="G4604" s="11" t="n">
        <v>223</v>
      </c>
      <c r="H4604" s="8" t="n">
        <v>3.92</v>
      </c>
      <c r="I4604" s="8" t="n">
        <v>3.92</v>
      </c>
      <c r="J4604" s="8" t="n"/>
      <c r="K4604" s="7" t="inlineStr">
        <is>
          <t>SEM COTAÇÃO</t>
        </is>
      </c>
      <c r="L4604" s="8" t="n"/>
      <c r="M4604" s="12" t="n"/>
      <c r="N4604" s="7" t="inlineStr"/>
      <c r="O4604" s="7" t="inlineStr"/>
    </row>
    <row r="4605">
      <c r="A4605" s="7" t="n">
        <v>638991</v>
      </c>
      <c r="B4605" s="10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1" t="n">
        <v>2</v>
      </c>
      <c r="G4605" s="11" t="n">
        <v>2</v>
      </c>
      <c r="H4605" s="8" t="n">
        <v>7.22</v>
      </c>
      <c r="I4605" s="8" t="n">
        <v>7.22</v>
      </c>
      <c r="J4605" s="8" t="n"/>
      <c r="K4605" s="7" t="inlineStr">
        <is>
          <t>SEM COTAÇÃO</t>
        </is>
      </c>
      <c r="L4605" s="8" t="n"/>
      <c r="M4605" s="12" t="n"/>
      <c r="N4605" s="7" t="inlineStr"/>
      <c r="O4605" s="7" t="inlineStr"/>
    </row>
    <row r="4606">
      <c r="A4606" s="7" t="n">
        <v>542841</v>
      </c>
      <c r="B4606" s="10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1" t="n">
        <v>45</v>
      </c>
      <c r="G4606" s="11" t="n">
        <v>45</v>
      </c>
      <c r="H4606" s="8" t="n">
        <v>2.36</v>
      </c>
      <c r="I4606" s="8" t="n">
        <v>2.36</v>
      </c>
      <c r="J4606" s="8" t="n"/>
      <c r="K4606" s="7" t="inlineStr">
        <is>
          <t>SEM COTAÇÃO</t>
        </is>
      </c>
      <c r="L4606" s="8" t="n"/>
      <c r="M4606" s="12" t="n"/>
      <c r="N4606" s="7" t="inlineStr"/>
      <c r="O4606" s="7" t="inlineStr"/>
    </row>
    <row r="4607">
      <c r="A4607" s="7" t="n">
        <v>4943</v>
      </c>
      <c r="B4607" s="10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1" t="n">
        <v>1</v>
      </c>
      <c r="G4607" s="11" t="n">
        <v>1</v>
      </c>
      <c r="H4607" s="8" t="n">
        <v>14.99</v>
      </c>
      <c r="I4607" s="8" t="n">
        <v>14.99</v>
      </c>
      <c r="J4607" s="8" t="n"/>
      <c r="K4607" s="7" t="inlineStr">
        <is>
          <t>SEM COTAÇÃO</t>
        </is>
      </c>
      <c r="L4607" s="8" t="n"/>
      <c r="M4607" s="12" t="n"/>
      <c r="N4607" s="7" t="inlineStr"/>
      <c r="O4607" s="7" t="inlineStr"/>
    </row>
    <row r="4608">
      <c r="A4608" s="7" t="n">
        <v>532061</v>
      </c>
      <c r="B4608" s="10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1" t="n">
        <v>62</v>
      </c>
      <c r="G4608" s="11" t="n">
        <v>62</v>
      </c>
      <c r="H4608" s="8" t="n">
        <v>4.58</v>
      </c>
      <c r="I4608" s="8" t="n">
        <v>4.58</v>
      </c>
      <c r="J4608" s="13" t="n">
        <v>5.39</v>
      </c>
      <c r="K4608" s="7" t="inlineStr">
        <is>
          <t>DIMEC</t>
        </is>
      </c>
      <c r="L4608" s="8" t="n">
        <v>5.39</v>
      </c>
      <c r="M4608" s="12">
        <f>L4608/H4608-1</f>
        <v/>
      </c>
      <c r="N4608" s="14" t="inlineStr">
        <is>
          <t>ACIMA +17.7%</t>
        </is>
      </c>
      <c r="O4608" s="7" t="inlineStr"/>
    </row>
    <row r="4609">
      <c r="A4609" s="7" t="n">
        <v>4053</v>
      </c>
      <c r="B4609" s="10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1" t="n">
        <v>1</v>
      </c>
      <c r="G4609" s="11" t="n">
        <v>1</v>
      </c>
      <c r="H4609" s="8" t="n">
        <v>14.84</v>
      </c>
      <c r="I4609" s="8" t="n">
        <v>14.84</v>
      </c>
      <c r="J4609" s="13" t="n">
        <v>14.84</v>
      </c>
      <c r="K4609" s="7" t="inlineStr">
        <is>
          <t>DIMEC</t>
        </is>
      </c>
      <c r="L4609" s="8" t="n">
        <v>14.84</v>
      </c>
      <c r="M4609" s="12">
        <f>L4609/H4609-1</f>
        <v/>
      </c>
      <c r="N4609" s="15" t="inlineStr">
        <is>
          <t>OK (≤ menor hist.)</t>
        </is>
      </c>
      <c r="O4609" s="7" t="inlineStr"/>
    </row>
    <row r="4610">
      <c r="A4610" s="7" t="n">
        <v>549221</v>
      </c>
      <c r="B4610" s="10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1" t="n">
        <v>65</v>
      </c>
      <c r="G4610" s="11" t="n">
        <v>65</v>
      </c>
      <c r="H4610" s="8" t="n">
        <v>5</v>
      </c>
      <c r="I4610" s="8" t="n">
        <v>5</v>
      </c>
      <c r="J4610" s="8" t="n"/>
      <c r="K4610" s="7" t="inlineStr">
        <is>
          <t>SEM COTAÇÃO</t>
        </is>
      </c>
      <c r="L4610" s="8" t="n"/>
      <c r="M4610" s="12" t="n"/>
      <c r="N4610" s="7" t="inlineStr"/>
      <c r="O4610" s="7" t="inlineStr"/>
    </row>
    <row r="4611">
      <c r="A4611" s="7" t="n">
        <v>538321</v>
      </c>
      <c r="B4611" s="10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1" t="n">
        <v>29</v>
      </c>
      <c r="G4611" s="11" t="n">
        <v>29</v>
      </c>
      <c r="H4611" s="8" t="n">
        <v>3.01</v>
      </c>
      <c r="I4611" s="8" t="n">
        <v>3.01</v>
      </c>
      <c r="J4611" s="8" t="n"/>
      <c r="K4611" s="7" t="inlineStr">
        <is>
          <t>SEM COTAÇÃO</t>
        </is>
      </c>
      <c r="L4611" s="8" t="n"/>
      <c r="M4611" s="12" t="n"/>
      <c r="N4611" s="7" t="inlineStr"/>
      <c r="O4611" s="7" t="inlineStr"/>
    </row>
    <row r="4612">
      <c r="A4612" s="7" t="n">
        <v>604081</v>
      </c>
      <c r="B4612" s="10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1" t="n">
        <v>1</v>
      </c>
      <c r="G4612" s="11" t="n">
        <v>1</v>
      </c>
      <c r="H4612" s="8" t="n">
        <v>10.79</v>
      </c>
      <c r="I4612" s="8" t="n">
        <v>10.79</v>
      </c>
      <c r="J4612" s="13" t="n">
        <v>11.73</v>
      </c>
      <c r="K4612" s="7" t="inlineStr">
        <is>
          <t>DIMEC</t>
        </is>
      </c>
      <c r="L4612" s="8" t="n">
        <v>11.73</v>
      </c>
      <c r="M4612" s="12">
        <f>L4612/H4612-1</f>
        <v/>
      </c>
      <c r="N4612" s="14" t="inlineStr">
        <is>
          <t>ACIMA +8.7%</t>
        </is>
      </c>
      <c r="O4612" s="7" t="inlineStr"/>
    </row>
    <row r="4613">
      <c r="A4613" s="7" t="n">
        <v>622781</v>
      </c>
      <c r="B4613" s="10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1" t="n">
        <v>1</v>
      </c>
      <c r="G4613" s="11" t="n">
        <v>1</v>
      </c>
      <c r="H4613" s="8" t="n">
        <v>103.42</v>
      </c>
      <c r="I4613" s="8" t="n">
        <v>97.12</v>
      </c>
      <c r="J4613" s="8" t="n"/>
      <c r="K4613" s="7" t="inlineStr">
        <is>
          <t>SEM COTAÇÃO</t>
        </is>
      </c>
      <c r="L4613" s="8" t="n"/>
      <c r="M4613" s="12" t="n"/>
      <c r="N4613" s="7" t="inlineStr"/>
      <c r="O4613" s="7" t="inlineStr"/>
    </row>
    <row r="4614">
      <c r="A4614" s="7" t="n">
        <v>386261</v>
      </c>
      <c r="B4614" s="10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1" t="n">
        <v>1</v>
      </c>
      <c r="G4614" s="11" t="n">
        <v>1</v>
      </c>
      <c r="H4614" s="8" t="n">
        <v>81.81999999999999</v>
      </c>
      <c r="I4614" s="8" t="n">
        <v>69.45999999999999</v>
      </c>
      <c r="J4614" s="8" t="n"/>
      <c r="K4614" s="7" t="inlineStr">
        <is>
          <t>SEM COTAÇÃO</t>
        </is>
      </c>
      <c r="L4614" s="8" t="n"/>
      <c r="M4614" s="12" t="n"/>
      <c r="N4614" s="7" t="inlineStr"/>
      <c r="O4614" s="7" t="inlineStr"/>
    </row>
    <row r="4615">
      <c r="A4615" s="7" t="n">
        <v>753</v>
      </c>
      <c r="B4615" s="10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1" t="n">
        <v>2</v>
      </c>
      <c r="G4615" s="11" t="n">
        <v>2</v>
      </c>
      <c r="H4615" s="8" t="n">
        <v>2.33</v>
      </c>
      <c r="I4615" s="8" t="n">
        <v>2.33</v>
      </c>
      <c r="J4615" s="8" t="n"/>
      <c r="K4615" s="7" t="inlineStr">
        <is>
          <t>SEM COTAÇÃO</t>
        </is>
      </c>
      <c r="L4615" s="8" t="n"/>
      <c r="M4615" s="12" t="n"/>
      <c r="N4615" s="7" t="inlineStr"/>
      <c r="O4615" s="7" t="inlineStr"/>
    </row>
    <row r="4616">
      <c r="A4616" s="7" t="n">
        <v>121961</v>
      </c>
      <c r="B4616" s="10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1" t="n">
        <v>8</v>
      </c>
      <c r="G4616" s="11" t="n">
        <v>8</v>
      </c>
      <c r="H4616" s="8" t="n">
        <v>7.29</v>
      </c>
      <c r="I4616" s="8" t="n">
        <v>7.29</v>
      </c>
      <c r="J4616" s="13" t="n">
        <v>7.31</v>
      </c>
      <c r="K4616" s="7" t="inlineStr">
        <is>
          <t>DIMEC</t>
        </is>
      </c>
      <c r="L4616" s="8" t="n">
        <v>7.31</v>
      </c>
      <c r="M4616" s="12">
        <f>L4616/H4616-1</f>
        <v/>
      </c>
      <c r="N4616" s="14" t="inlineStr">
        <is>
          <t>ACIMA +0.3%</t>
        </is>
      </c>
      <c r="O4616" s="7" t="inlineStr"/>
    </row>
    <row r="4617">
      <c r="A4617" s="7" t="n">
        <v>211861</v>
      </c>
      <c r="B4617" s="10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1" t="n">
        <v>1</v>
      </c>
      <c r="G4617" s="11" t="n">
        <v>2</v>
      </c>
      <c r="H4617" s="8" t="n">
        <v>3.428</v>
      </c>
      <c r="I4617" s="8" t="n">
        <v>3.4276</v>
      </c>
      <c r="J4617" s="8" t="n"/>
      <c r="K4617" s="7" t="inlineStr">
        <is>
          <t>SEM COTAÇÃO</t>
        </is>
      </c>
      <c r="L4617" s="8" t="n"/>
      <c r="M4617" s="12" t="n"/>
      <c r="N4617" s="7" t="inlineStr"/>
      <c r="O4617" s="7" t="inlineStr"/>
    </row>
    <row r="4618">
      <c r="A4618" s="7" t="n">
        <v>647851</v>
      </c>
      <c r="B4618" s="10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1" t="n">
        <v>2</v>
      </c>
      <c r="G4618" s="11" t="n">
        <v>2</v>
      </c>
      <c r="H4618" s="8" t="n">
        <v>14.4425</v>
      </c>
      <c r="I4618" s="8" t="n">
        <v>14.4425</v>
      </c>
      <c r="J4618" s="8" t="n"/>
      <c r="K4618" s="7" t="inlineStr">
        <is>
          <t>SEM COTAÇÃO</t>
        </is>
      </c>
      <c r="L4618" s="8" t="n"/>
      <c r="M4618" s="12" t="n"/>
      <c r="N4618" s="7" t="inlineStr"/>
      <c r="O4618" s="7" t="inlineStr"/>
    </row>
    <row r="4619">
      <c r="A4619" s="7" t="n">
        <v>608211</v>
      </c>
      <c r="B4619" s="10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1" t="n">
        <v>1</v>
      </c>
      <c r="G4619" s="11" t="n">
        <v>1</v>
      </c>
      <c r="H4619" s="8" t="n">
        <v>19.95</v>
      </c>
      <c r="I4619" s="8" t="n">
        <v>19.95</v>
      </c>
      <c r="J4619" s="8" t="n"/>
      <c r="K4619" s="7" t="inlineStr">
        <is>
          <t>SEM COTAÇÃO</t>
        </is>
      </c>
      <c r="L4619" s="8" t="n"/>
      <c r="M4619" s="12" t="n"/>
      <c r="N4619" s="7" t="inlineStr"/>
      <c r="O4619" s="7" t="inlineStr"/>
    </row>
    <row r="4620">
      <c r="A4620" s="7" t="n">
        <v>608231</v>
      </c>
      <c r="B4620" s="10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1" t="n">
        <v>1</v>
      </c>
      <c r="G4620" s="11" t="n">
        <v>1</v>
      </c>
      <c r="H4620" s="8" t="n">
        <v>13.28</v>
      </c>
      <c r="I4620" s="8" t="n">
        <v>13.28</v>
      </c>
      <c r="J4620" s="8" t="n"/>
      <c r="K4620" s="7" t="inlineStr">
        <is>
          <t>SEM COTAÇÃO</t>
        </is>
      </c>
      <c r="L4620" s="8" t="n"/>
      <c r="M4620" s="12" t="n"/>
      <c r="N4620" s="7" t="inlineStr"/>
      <c r="O4620" s="7" t="inlineStr"/>
    </row>
    <row r="4621">
      <c r="A4621" s="7" t="n">
        <v>646391</v>
      </c>
      <c r="B4621" s="10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1" t="n">
        <v>1</v>
      </c>
      <c r="G4621" s="11" t="n">
        <v>1</v>
      </c>
      <c r="H4621" s="8" t="n">
        <v>27.03</v>
      </c>
      <c r="I4621" s="8" t="n">
        <v>27.03</v>
      </c>
      <c r="J4621" s="8" t="n"/>
      <c r="K4621" s="7" t="inlineStr">
        <is>
          <t>SEM COTAÇÃO</t>
        </is>
      </c>
      <c r="L4621" s="8" t="n"/>
      <c r="M4621" s="12" t="n"/>
      <c r="N4621" s="7" t="inlineStr"/>
      <c r="O4621" s="7" t="inlineStr"/>
    </row>
    <row r="4622">
      <c r="A4622" s="7" t="n">
        <v>635001</v>
      </c>
      <c r="B4622" s="10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1" t="n">
        <v>2</v>
      </c>
      <c r="G4622" s="11" t="n">
        <v>2</v>
      </c>
      <c r="H4622" s="8" t="n">
        <v>19.8</v>
      </c>
      <c r="I4622" s="8" t="n">
        <v>19.8</v>
      </c>
      <c r="J4622" s="8" t="n"/>
      <c r="K4622" s="7" t="inlineStr">
        <is>
          <t>SEM COTAÇÃO</t>
        </is>
      </c>
      <c r="L4622" s="8" t="n"/>
      <c r="M4622" s="12" t="n"/>
      <c r="N4622" s="7" t="inlineStr"/>
      <c r="O4622" s="7" t="inlineStr"/>
    </row>
    <row r="4623">
      <c r="A4623" s="7" t="n">
        <v>634991</v>
      </c>
      <c r="B4623" s="10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1" t="n">
        <v>1</v>
      </c>
      <c r="G4623" s="11" t="n">
        <v>1</v>
      </c>
      <c r="H4623" s="8" t="n">
        <v>19.8</v>
      </c>
      <c r="I4623" s="8" t="n">
        <v>19.8</v>
      </c>
      <c r="J4623" s="8" t="n"/>
      <c r="K4623" s="7" t="inlineStr">
        <is>
          <t>SEM COTAÇÃO</t>
        </is>
      </c>
      <c r="L4623" s="8" t="n"/>
      <c r="M4623" s="12" t="n"/>
      <c r="N4623" s="7" t="inlineStr"/>
      <c r="O4623" s="7" t="inlineStr"/>
    </row>
    <row r="4624">
      <c r="A4624" s="7" t="n">
        <v>635011</v>
      </c>
      <c r="B4624" s="10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1" t="n">
        <v>1</v>
      </c>
      <c r="G4624" s="11" t="n">
        <v>1</v>
      </c>
      <c r="H4624" s="8" t="n">
        <v>19.8</v>
      </c>
      <c r="I4624" s="8" t="n">
        <v>19.8</v>
      </c>
      <c r="J4624" s="8" t="n"/>
      <c r="K4624" s="7" t="inlineStr">
        <is>
          <t>SEM COTAÇÃO</t>
        </is>
      </c>
      <c r="L4624" s="8" t="n"/>
      <c r="M4624" s="12" t="n"/>
      <c r="N4624" s="7" t="inlineStr"/>
      <c r="O4624" s="7" t="inlineStr"/>
    </row>
    <row r="4625">
      <c r="A4625" s="7" t="n">
        <v>635041</v>
      </c>
      <c r="B4625" s="10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1" t="n">
        <v>1</v>
      </c>
      <c r="G4625" s="11" t="n">
        <v>1</v>
      </c>
      <c r="H4625" s="8" t="n">
        <v>19.3</v>
      </c>
      <c r="I4625" s="8" t="n">
        <v>19.3</v>
      </c>
      <c r="J4625" s="8" t="n"/>
      <c r="K4625" s="7" t="inlineStr">
        <is>
          <t>SEM COTAÇÃO</t>
        </is>
      </c>
      <c r="L4625" s="8" t="n"/>
      <c r="M4625" s="12" t="n"/>
      <c r="N4625" s="7" t="inlineStr"/>
      <c r="O4625" s="7" t="inlineStr"/>
    </row>
    <row r="4626">
      <c r="A4626" s="7" t="n">
        <v>634981</v>
      </c>
      <c r="B4626" s="10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1" t="n">
        <v>1</v>
      </c>
      <c r="G4626" s="11" t="n">
        <v>1</v>
      </c>
      <c r="H4626" s="8" t="n">
        <v>18.08</v>
      </c>
      <c r="I4626" s="8" t="n">
        <v>18.08</v>
      </c>
      <c r="J4626" s="8" t="n"/>
      <c r="K4626" s="7" t="inlineStr">
        <is>
          <t>SEM COTAÇÃO</t>
        </is>
      </c>
      <c r="L4626" s="8" t="n"/>
      <c r="M4626" s="12" t="n"/>
      <c r="N4626" s="7" t="inlineStr"/>
      <c r="O4626" s="7" t="inlineStr"/>
    </row>
    <row r="4627">
      <c r="A4627" s="7" t="n">
        <v>646421</v>
      </c>
      <c r="B4627" s="10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1" t="n">
        <v>1</v>
      </c>
      <c r="G4627" s="11" t="n">
        <v>1</v>
      </c>
      <c r="H4627" s="8" t="n">
        <v>18.23</v>
      </c>
      <c r="I4627" s="8" t="n">
        <v>18.23</v>
      </c>
      <c r="J4627" s="8" t="n"/>
      <c r="K4627" s="7" t="inlineStr">
        <is>
          <t>SEM COTAÇÃO</t>
        </is>
      </c>
      <c r="L4627" s="8" t="n"/>
      <c r="M4627" s="12" t="n"/>
      <c r="N4627" s="7" t="inlineStr"/>
      <c r="O4627" s="7" t="inlineStr"/>
    </row>
    <row r="4628">
      <c r="A4628" s="7" t="n">
        <v>635151</v>
      </c>
      <c r="B4628" s="10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1" t="n">
        <v>1</v>
      </c>
      <c r="G4628" s="11" t="n">
        <v>1</v>
      </c>
      <c r="H4628" s="8" t="n">
        <v>18.23</v>
      </c>
      <c r="I4628" s="8" t="n">
        <v>18.23</v>
      </c>
      <c r="J4628" s="8" t="n"/>
      <c r="K4628" s="7" t="inlineStr">
        <is>
          <t>SEM COTAÇÃO</t>
        </is>
      </c>
      <c r="L4628" s="8" t="n"/>
      <c r="M4628" s="12" t="n"/>
      <c r="N4628" s="7" t="inlineStr"/>
      <c r="O4628" s="7" t="inlineStr"/>
    </row>
    <row r="4629">
      <c r="A4629" s="7" t="n">
        <v>635051</v>
      </c>
      <c r="B4629" s="10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1" t="n">
        <v>1</v>
      </c>
      <c r="G4629" s="11" t="n">
        <v>1</v>
      </c>
      <c r="H4629" s="8" t="n">
        <v>19.11</v>
      </c>
      <c r="I4629" s="8" t="n">
        <v>19.11</v>
      </c>
      <c r="J4629" s="8" t="n"/>
      <c r="K4629" s="7" t="inlineStr">
        <is>
          <t>SEM COTAÇÃO</t>
        </is>
      </c>
      <c r="L4629" s="8" t="n"/>
      <c r="M4629" s="12" t="n"/>
      <c r="N4629" s="7" t="inlineStr"/>
      <c r="O4629" s="7" t="inlineStr"/>
    </row>
    <row r="4630">
      <c r="A4630" s="7" t="n">
        <v>635071</v>
      </c>
      <c r="B4630" s="10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1" t="n">
        <v>1</v>
      </c>
      <c r="G4630" s="11" t="n">
        <v>1</v>
      </c>
      <c r="H4630" s="8" t="n">
        <v>18.08</v>
      </c>
      <c r="I4630" s="8" t="n">
        <v>18.08</v>
      </c>
      <c r="J4630" s="8" t="n"/>
      <c r="K4630" s="7" t="inlineStr">
        <is>
          <t>SEM COTAÇÃO</t>
        </is>
      </c>
      <c r="L4630" s="8" t="n"/>
      <c r="M4630" s="12" t="n"/>
      <c r="N4630" s="7" t="inlineStr"/>
      <c r="O4630" s="7" t="inlineStr"/>
    </row>
    <row r="4631">
      <c r="A4631" s="7" t="n">
        <v>635101</v>
      </c>
      <c r="B4631" s="10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1" t="n">
        <v>1</v>
      </c>
      <c r="G4631" s="11" t="n">
        <v>1</v>
      </c>
      <c r="H4631" s="8" t="n">
        <v>18.08</v>
      </c>
      <c r="I4631" s="8" t="n">
        <v>18.08</v>
      </c>
      <c r="J4631" s="8" t="n"/>
      <c r="K4631" s="7" t="inlineStr">
        <is>
          <t>SEM COTAÇÃO</t>
        </is>
      </c>
      <c r="L4631" s="8" t="n"/>
      <c r="M4631" s="12" t="n"/>
      <c r="N4631" s="7" t="inlineStr"/>
      <c r="O4631" s="7" t="inlineStr"/>
    </row>
    <row r="4632">
      <c r="A4632" s="7" t="n">
        <v>635141</v>
      </c>
      <c r="B4632" s="10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1" t="n">
        <v>4</v>
      </c>
      <c r="G4632" s="11" t="n">
        <v>4</v>
      </c>
      <c r="H4632" s="8" t="n">
        <v>18.23</v>
      </c>
      <c r="I4632" s="8" t="n">
        <v>18.23</v>
      </c>
      <c r="J4632" s="8" t="n"/>
      <c r="K4632" s="7" t="inlineStr">
        <is>
          <t>SEM COTAÇÃO</t>
        </is>
      </c>
      <c r="L4632" s="8" t="n"/>
      <c r="M4632" s="12" t="n"/>
      <c r="N4632" s="7" t="inlineStr"/>
      <c r="O4632" s="7" t="inlineStr"/>
    </row>
    <row r="4633">
      <c r="A4633" s="7" t="n">
        <v>635081</v>
      </c>
      <c r="B4633" s="10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1" t="n">
        <v>1</v>
      </c>
      <c r="G4633" s="11" t="n">
        <v>1</v>
      </c>
      <c r="H4633" s="8" t="n">
        <v>16.55</v>
      </c>
      <c r="I4633" s="8" t="n">
        <v>16.55</v>
      </c>
      <c r="J4633" s="8" t="n"/>
      <c r="K4633" s="7" t="inlineStr">
        <is>
          <t>SEM COTAÇÃO</t>
        </is>
      </c>
      <c r="L4633" s="8" t="n"/>
      <c r="M4633" s="12" t="n"/>
      <c r="N4633" s="7" t="inlineStr"/>
      <c r="O4633" s="7" t="inlineStr"/>
    </row>
    <row r="4634">
      <c r="A4634" s="7" t="n">
        <v>635111</v>
      </c>
      <c r="B4634" s="10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1" t="n">
        <v>1</v>
      </c>
      <c r="G4634" s="11" t="n">
        <v>1</v>
      </c>
      <c r="H4634" s="8" t="n">
        <v>15.85</v>
      </c>
      <c r="I4634" s="8" t="n">
        <v>15.85</v>
      </c>
      <c r="J4634" s="8" t="n"/>
      <c r="K4634" s="7" t="inlineStr">
        <is>
          <t>SEM COTAÇÃO</t>
        </is>
      </c>
      <c r="L4634" s="8" t="n"/>
      <c r="M4634" s="12" t="n"/>
      <c r="N4634" s="7" t="inlineStr"/>
      <c r="O4634" s="7" t="inlineStr"/>
    </row>
    <row r="4635">
      <c r="A4635" s="7" t="n">
        <v>646451</v>
      </c>
      <c r="B4635" s="10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1" t="n">
        <v>1</v>
      </c>
      <c r="G4635" s="11" t="n">
        <v>1</v>
      </c>
      <c r="H4635" s="8" t="n">
        <v>15.85</v>
      </c>
      <c r="I4635" s="8" t="n">
        <v>15.85</v>
      </c>
      <c r="J4635" s="8" t="n"/>
      <c r="K4635" s="7" t="inlineStr">
        <is>
          <t>SEM COTAÇÃO</t>
        </is>
      </c>
      <c r="L4635" s="8" t="n"/>
      <c r="M4635" s="12" t="n"/>
      <c r="N4635" s="7" t="inlineStr"/>
      <c r="O4635" s="7" t="inlineStr"/>
    </row>
    <row r="4636">
      <c r="A4636" s="7" t="n">
        <v>635161</v>
      </c>
      <c r="B4636" s="10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1" t="n">
        <v>1</v>
      </c>
      <c r="G4636" s="11" t="n">
        <v>1</v>
      </c>
      <c r="H4636" s="8" t="n">
        <v>15.85</v>
      </c>
      <c r="I4636" s="8" t="n">
        <v>15.85</v>
      </c>
      <c r="J4636" s="8" t="n"/>
      <c r="K4636" s="7" t="inlineStr">
        <is>
          <t>SEM COTAÇÃO</t>
        </is>
      </c>
      <c r="L4636" s="8" t="n"/>
      <c r="M4636" s="12" t="n"/>
      <c r="N4636" s="7" t="inlineStr"/>
      <c r="O4636" s="7" t="inlineStr"/>
    </row>
    <row r="4637">
      <c r="A4637" s="7" t="n">
        <v>635091</v>
      </c>
      <c r="B4637" s="10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1" t="n">
        <v>1</v>
      </c>
      <c r="G4637" s="11" t="n">
        <v>1</v>
      </c>
      <c r="H4637" s="8" t="n">
        <v>18.74</v>
      </c>
      <c r="I4637" s="8" t="n">
        <v>18.74</v>
      </c>
      <c r="J4637" s="8" t="n"/>
      <c r="K4637" s="7" t="inlineStr">
        <is>
          <t>SEM COTAÇÃO</t>
        </is>
      </c>
      <c r="L4637" s="8" t="n"/>
      <c r="M4637" s="12" t="n"/>
      <c r="N4637" s="7" t="inlineStr"/>
      <c r="O4637" s="7" t="inlineStr"/>
    </row>
    <row r="4638">
      <c r="A4638" s="7" t="n">
        <v>634971</v>
      </c>
      <c r="B4638" s="10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1" t="n">
        <v>1</v>
      </c>
      <c r="G4638" s="11" t="n">
        <v>1</v>
      </c>
      <c r="H4638" s="8" t="n">
        <v>15.85</v>
      </c>
      <c r="I4638" s="8" t="n">
        <v>15.85</v>
      </c>
      <c r="J4638" s="8" t="n"/>
      <c r="K4638" s="7" t="inlineStr">
        <is>
          <t>SEM COTAÇÃO</t>
        </is>
      </c>
      <c r="L4638" s="8" t="n"/>
      <c r="M4638" s="12" t="n"/>
      <c r="N4638" s="7" t="inlineStr"/>
      <c r="O4638" s="7" t="inlineStr"/>
    </row>
    <row r="4639">
      <c r="A4639" s="7" t="n">
        <v>635021</v>
      </c>
      <c r="B4639" s="10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1" t="n">
        <v>4</v>
      </c>
      <c r="G4639" s="11" t="n">
        <v>4</v>
      </c>
      <c r="H4639" s="8" t="n">
        <v>15.85</v>
      </c>
      <c r="I4639" s="8" t="n">
        <v>15.85</v>
      </c>
      <c r="J4639" s="8" t="n"/>
      <c r="K4639" s="7" t="inlineStr">
        <is>
          <t>SEM COTAÇÃO</t>
        </is>
      </c>
      <c r="L4639" s="8" t="n"/>
      <c r="M4639" s="12" t="n"/>
      <c r="N4639" s="7" t="inlineStr"/>
      <c r="O4639" s="7" t="inlineStr"/>
    </row>
    <row r="4640">
      <c r="A4640" s="7" t="n">
        <v>646461</v>
      </c>
      <c r="B4640" s="10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1" t="n">
        <v>1</v>
      </c>
      <c r="G4640" s="11" t="n">
        <v>1</v>
      </c>
      <c r="H4640" s="8" t="n">
        <v>15.72</v>
      </c>
      <c r="I4640" s="8" t="n">
        <v>15.72</v>
      </c>
      <c r="J4640" s="8" t="n"/>
      <c r="K4640" s="7" t="inlineStr">
        <is>
          <t>SEM COTAÇÃO</t>
        </is>
      </c>
      <c r="L4640" s="8" t="n"/>
      <c r="M4640" s="12" t="n"/>
      <c r="N4640" s="7" t="inlineStr"/>
      <c r="O4640" s="7" t="inlineStr"/>
    </row>
    <row r="4641">
      <c r="A4641" s="7" t="n">
        <v>616851</v>
      </c>
      <c r="B4641" s="10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1" t="n">
        <v>1</v>
      </c>
      <c r="G4641" s="11" t="n">
        <v>1</v>
      </c>
      <c r="H4641" s="8" t="n">
        <v>9.23</v>
      </c>
      <c r="I4641" s="8" t="n">
        <v>9.23</v>
      </c>
      <c r="J4641" s="8" t="n"/>
      <c r="K4641" s="7" t="inlineStr">
        <is>
          <t>SEM COTAÇÃO</t>
        </is>
      </c>
      <c r="L4641" s="8" t="n"/>
      <c r="M4641" s="12" t="n"/>
      <c r="N4641" s="7" t="inlineStr"/>
      <c r="O4641" s="7" t="inlineStr"/>
    </row>
    <row r="4642">
      <c r="A4642" s="7" t="n">
        <v>646491</v>
      </c>
      <c r="B4642" s="10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1" t="n">
        <v>1</v>
      </c>
      <c r="G4642" s="11" t="n">
        <v>1</v>
      </c>
      <c r="H4642" s="8" t="n">
        <v>13.54</v>
      </c>
      <c r="I4642" s="8" t="n">
        <v>13.54</v>
      </c>
      <c r="J4642" s="8" t="n"/>
      <c r="K4642" s="7" t="inlineStr">
        <is>
          <t>SEM COTAÇÃO</t>
        </is>
      </c>
      <c r="L4642" s="8" t="n"/>
      <c r="M4642" s="12" t="n"/>
      <c r="N4642" s="7" t="inlineStr"/>
      <c r="O4642" s="7" t="inlineStr"/>
    </row>
    <row r="4643">
      <c r="A4643" s="7" t="n">
        <v>646541</v>
      </c>
      <c r="B4643" s="10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1" t="n">
        <v>1</v>
      </c>
      <c r="G4643" s="11" t="n">
        <v>1</v>
      </c>
      <c r="H4643" s="8" t="n">
        <v>13.37</v>
      </c>
      <c r="I4643" s="8" t="n">
        <v>13.37</v>
      </c>
      <c r="J4643" s="8" t="n"/>
      <c r="K4643" s="7" t="inlineStr">
        <is>
          <t>SEM COTAÇÃO</t>
        </is>
      </c>
      <c r="L4643" s="8" t="n"/>
      <c r="M4643" s="12" t="n"/>
      <c r="N4643" s="7" t="inlineStr"/>
      <c r="O4643" s="7" t="inlineStr"/>
    </row>
    <row r="4644">
      <c r="A4644" s="7" t="n">
        <v>646581</v>
      </c>
      <c r="B4644" s="10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1" t="n">
        <v>1</v>
      </c>
      <c r="G4644" s="11" t="n">
        <v>1</v>
      </c>
      <c r="H4644" s="8" t="n">
        <v>13.37</v>
      </c>
      <c r="I4644" s="8" t="n">
        <v>13.37</v>
      </c>
      <c r="J4644" s="8" t="n"/>
      <c r="K4644" s="7" t="inlineStr">
        <is>
          <t>SEM COTAÇÃO</t>
        </is>
      </c>
      <c r="L4644" s="8" t="n"/>
      <c r="M4644" s="12" t="n"/>
      <c r="N4644" s="7" t="inlineStr"/>
      <c r="O4644" s="7" t="inlineStr"/>
    </row>
    <row r="4645">
      <c r="A4645" s="7" t="n">
        <v>646591</v>
      </c>
      <c r="B4645" s="10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1" t="n">
        <v>1</v>
      </c>
      <c r="G4645" s="11" t="n">
        <v>1</v>
      </c>
      <c r="H4645" s="8" t="n">
        <v>13.37</v>
      </c>
      <c r="I4645" s="8" t="n">
        <v>13.37</v>
      </c>
      <c r="J4645" s="8" t="n"/>
      <c r="K4645" s="7" t="inlineStr">
        <is>
          <t>SEM COTAÇÃO</t>
        </is>
      </c>
      <c r="L4645" s="8" t="n"/>
      <c r="M4645" s="12" t="n"/>
      <c r="N4645" s="7" t="inlineStr"/>
      <c r="O4645" s="7" t="inlineStr"/>
    </row>
    <row r="4646">
      <c r="A4646" s="7" t="n">
        <v>646571</v>
      </c>
      <c r="B4646" s="10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1" t="n">
        <v>1</v>
      </c>
      <c r="G4646" s="11" t="n">
        <v>1</v>
      </c>
      <c r="H4646" s="8" t="n">
        <v>13.37</v>
      </c>
      <c r="I4646" s="8" t="n">
        <v>13.37</v>
      </c>
      <c r="J4646" s="8" t="n"/>
      <c r="K4646" s="7" t="inlineStr">
        <is>
          <t>SEM COTAÇÃO</t>
        </is>
      </c>
      <c r="L4646" s="8" t="n"/>
      <c r="M4646" s="12" t="n"/>
      <c r="N4646" s="7" t="inlineStr"/>
      <c r="O4646" s="7" t="inlineStr"/>
    </row>
    <row r="4647">
      <c r="A4647" s="7" t="n">
        <v>608471</v>
      </c>
      <c r="B4647" s="10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1" t="n">
        <v>1</v>
      </c>
      <c r="G4647" s="11" t="n">
        <v>1</v>
      </c>
      <c r="H4647" s="8" t="n">
        <v>20.3</v>
      </c>
      <c r="I4647" s="8" t="n">
        <v>20.3</v>
      </c>
      <c r="J4647" s="8" t="n"/>
      <c r="K4647" s="7" t="inlineStr">
        <is>
          <t>SEM COTAÇÃO</t>
        </is>
      </c>
      <c r="L4647" s="8" t="n"/>
      <c r="M4647" s="12" t="n"/>
      <c r="N4647" s="7" t="inlineStr"/>
      <c r="O4647" s="7" t="inlineStr"/>
    </row>
    <row r="4648">
      <c r="A4648" s="7" t="n">
        <v>635231</v>
      </c>
      <c r="B4648" s="10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1" t="n">
        <v>1</v>
      </c>
      <c r="G4648" s="11" t="n">
        <v>1</v>
      </c>
      <c r="H4648" s="8" t="n">
        <v>17.04</v>
      </c>
      <c r="I4648" s="8" t="n">
        <v>17.04</v>
      </c>
      <c r="J4648" s="8" t="n"/>
      <c r="K4648" s="7" t="inlineStr">
        <is>
          <t>SEM COTAÇÃO</t>
        </is>
      </c>
      <c r="L4648" s="8" t="n"/>
      <c r="M4648" s="12" t="n"/>
      <c r="N4648" s="7" t="inlineStr"/>
      <c r="O4648" s="7" t="inlineStr"/>
    </row>
    <row r="4649">
      <c r="A4649" s="7" t="n">
        <v>596011</v>
      </c>
      <c r="B4649" s="10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1" t="n">
        <v>1</v>
      </c>
      <c r="G4649" s="11" t="n">
        <v>1</v>
      </c>
      <c r="H4649" s="8" t="n">
        <v>11.1</v>
      </c>
      <c r="I4649" s="8" t="n">
        <v>11.1</v>
      </c>
      <c r="J4649" s="8" t="n"/>
      <c r="K4649" s="7" t="inlineStr">
        <is>
          <t>SEM COTAÇÃO</t>
        </is>
      </c>
      <c r="L4649" s="8" t="n"/>
      <c r="M4649" s="12" t="n"/>
      <c r="N4649" s="7" t="inlineStr"/>
      <c r="O4649" s="7" t="inlineStr"/>
    </row>
    <row r="4650">
      <c r="A4650" s="7" t="n">
        <v>595991</v>
      </c>
      <c r="B4650" s="10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1" t="n">
        <v>1</v>
      </c>
      <c r="G4650" s="11" t="n">
        <v>1</v>
      </c>
      <c r="H4650" s="8" t="n">
        <v>8.82</v>
      </c>
      <c r="I4650" s="8" t="n">
        <v>8.82</v>
      </c>
      <c r="J4650" s="8" t="n"/>
      <c r="K4650" s="7" t="inlineStr">
        <is>
          <t>SEM COTAÇÃO</t>
        </is>
      </c>
      <c r="L4650" s="8" t="n"/>
      <c r="M4650" s="12" t="n"/>
      <c r="N4650" s="7" t="inlineStr"/>
      <c r="O4650" s="7" t="inlineStr"/>
    </row>
    <row r="4651">
      <c r="A4651" s="7" t="n">
        <v>616761</v>
      </c>
      <c r="B4651" s="10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1" t="n">
        <v>1</v>
      </c>
      <c r="G4651" s="11" t="n">
        <v>1</v>
      </c>
      <c r="H4651" s="8" t="n">
        <v>8.630000000000001</v>
      </c>
      <c r="I4651" s="8" t="n">
        <v>8.630000000000001</v>
      </c>
      <c r="J4651" s="8" t="n"/>
      <c r="K4651" s="7" t="inlineStr">
        <is>
          <t>SEM COTAÇÃO</t>
        </is>
      </c>
      <c r="L4651" s="8" t="n"/>
      <c r="M4651" s="12" t="n"/>
      <c r="N4651" s="7" t="inlineStr"/>
      <c r="O4651" s="7" t="inlineStr"/>
    </row>
    <row r="4652">
      <c r="A4652" s="7" t="n">
        <v>616751</v>
      </c>
      <c r="B4652" s="10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1" t="n">
        <v>1</v>
      </c>
      <c r="G4652" s="11" t="n">
        <v>1</v>
      </c>
      <c r="H4652" s="8" t="n">
        <v>20.3</v>
      </c>
      <c r="I4652" s="8" t="n">
        <v>20.3</v>
      </c>
      <c r="J4652" s="8" t="n"/>
      <c r="K4652" s="7" t="inlineStr">
        <is>
          <t>SEM COTAÇÃO</t>
        </is>
      </c>
      <c r="L4652" s="8" t="n"/>
      <c r="M4652" s="12" t="n"/>
      <c r="N4652" s="7" t="inlineStr"/>
      <c r="O4652" s="7" t="inlineStr"/>
    </row>
    <row r="4653">
      <c r="A4653" s="7" t="n">
        <v>616741</v>
      </c>
      <c r="B4653" s="10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1" t="n">
        <v>1</v>
      </c>
      <c r="G4653" s="11" t="n">
        <v>1</v>
      </c>
      <c r="H4653" s="8" t="n">
        <v>20.3</v>
      </c>
      <c r="I4653" s="8" t="n">
        <v>20.3</v>
      </c>
      <c r="J4653" s="8" t="n"/>
      <c r="K4653" s="7" t="inlineStr">
        <is>
          <t>SEM COTAÇÃO</t>
        </is>
      </c>
      <c r="L4653" s="8" t="n"/>
      <c r="M4653" s="12" t="n"/>
      <c r="N4653" s="7" t="inlineStr"/>
      <c r="O4653" s="7" t="inlineStr"/>
    </row>
    <row r="4654">
      <c r="A4654" s="7" t="n">
        <v>638001</v>
      </c>
      <c r="B4654" s="10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1" t="n">
        <v>3</v>
      </c>
      <c r="G4654" s="11" t="n">
        <v>3</v>
      </c>
      <c r="H4654" s="8" t="n">
        <v>1.7522</v>
      </c>
      <c r="I4654" s="8" t="n">
        <v>1.7522</v>
      </c>
      <c r="J4654" s="8" t="n"/>
      <c r="K4654" s="7" t="inlineStr">
        <is>
          <t>SEM COTAÇÃO</t>
        </is>
      </c>
      <c r="L4654" s="8" t="n"/>
      <c r="M4654" s="12" t="n"/>
      <c r="N4654" s="7" t="inlineStr"/>
      <c r="O4654" s="7" t="inlineStr"/>
    </row>
    <row r="4655">
      <c r="A4655" s="7" t="n">
        <v>638011</v>
      </c>
      <c r="B4655" s="10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1" t="n">
        <v>3</v>
      </c>
      <c r="G4655" s="11" t="n">
        <v>3</v>
      </c>
      <c r="H4655" s="8" t="n">
        <v>1.7522</v>
      </c>
      <c r="I4655" s="8" t="n">
        <v>1.7522</v>
      </c>
      <c r="J4655" s="8" t="n"/>
      <c r="K4655" s="7" t="inlineStr">
        <is>
          <t>SEM COTAÇÃO</t>
        </is>
      </c>
      <c r="L4655" s="8" t="n"/>
      <c r="M4655" s="12" t="n"/>
      <c r="N4655" s="7" t="inlineStr"/>
      <c r="O4655" s="7" t="inlineStr"/>
    </row>
    <row r="4656">
      <c r="A4656" s="7" t="n">
        <v>655901</v>
      </c>
      <c r="B4656" s="10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1" t="n">
        <v>1</v>
      </c>
      <c r="G4656" s="11" t="n">
        <v>1</v>
      </c>
      <c r="H4656" s="8" t="n">
        <v>96.51000000000001</v>
      </c>
      <c r="I4656" s="8" t="n">
        <v>96.51000000000001</v>
      </c>
      <c r="J4656" s="8" t="n"/>
      <c r="K4656" s="7" t="inlineStr">
        <is>
          <t>SEM COTAÇÃO</t>
        </is>
      </c>
      <c r="L4656" s="8" t="n"/>
      <c r="M4656" s="12" t="n"/>
      <c r="N4656" s="7" t="inlineStr"/>
      <c r="O4656" s="7" t="inlineStr"/>
    </row>
    <row r="4657">
      <c r="A4657" s="7" t="n">
        <v>638361</v>
      </c>
      <c r="B4657" s="10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1" t="n">
        <v>1</v>
      </c>
      <c r="G4657" s="11" t="n">
        <v>1</v>
      </c>
      <c r="H4657" s="8" t="n">
        <v>96.51000000000001</v>
      </c>
      <c r="I4657" s="8" t="n">
        <v>96.51000000000001</v>
      </c>
      <c r="J4657" s="8" t="n"/>
      <c r="K4657" s="7" t="inlineStr">
        <is>
          <t>SEM COTAÇÃO</t>
        </is>
      </c>
      <c r="L4657" s="8" t="n"/>
      <c r="M4657" s="12" t="n"/>
      <c r="N4657" s="7" t="inlineStr"/>
      <c r="O4657" s="7" t="inlineStr"/>
    </row>
    <row r="4658">
      <c r="A4658" s="7" t="n">
        <v>638371</v>
      </c>
      <c r="B4658" s="10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1" t="n">
        <v>1</v>
      </c>
      <c r="G4658" s="11" t="n">
        <v>1</v>
      </c>
      <c r="H4658" s="8" t="n">
        <v>96.51000000000001</v>
      </c>
      <c r="I4658" s="8" t="n">
        <v>96.51000000000001</v>
      </c>
      <c r="J4658" s="8" t="n"/>
      <c r="K4658" s="7" t="inlineStr">
        <is>
          <t>SEM COTAÇÃO</t>
        </is>
      </c>
      <c r="L4658" s="8" t="n"/>
      <c r="M4658" s="12" t="n"/>
      <c r="N4658" s="7" t="inlineStr"/>
      <c r="O4658" s="7" t="inlineStr"/>
    </row>
    <row r="4659">
      <c r="A4659" s="7" t="n">
        <v>597441</v>
      </c>
      <c r="B4659" s="10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1" t="n">
        <v>1</v>
      </c>
      <c r="G4659" s="11" t="n">
        <v>1</v>
      </c>
      <c r="H4659" s="8" t="n">
        <v>141.71</v>
      </c>
      <c r="I4659" s="8" t="n">
        <v>124.11</v>
      </c>
      <c r="J4659" s="8" t="n"/>
      <c r="K4659" s="7" t="inlineStr">
        <is>
          <t>SEM COTAÇÃO</t>
        </is>
      </c>
      <c r="L4659" s="8" t="n"/>
      <c r="M4659" s="12" t="n"/>
      <c r="N4659" s="7" t="inlineStr"/>
      <c r="O4659" s="7" t="inlineStr"/>
    </row>
    <row r="4660">
      <c r="A4660" s="7" t="n">
        <v>606031</v>
      </c>
      <c r="B4660" s="10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1" t="n">
        <v>1</v>
      </c>
      <c r="G4660" s="11" t="n">
        <v>1</v>
      </c>
      <c r="H4660" s="8" t="n">
        <v>141.71</v>
      </c>
      <c r="I4660" s="8" t="n">
        <v>124.11</v>
      </c>
      <c r="J4660" s="8" t="n"/>
      <c r="K4660" s="7" t="inlineStr">
        <is>
          <t>SEM COTAÇÃO</t>
        </is>
      </c>
      <c r="L4660" s="8" t="n"/>
      <c r="M4660" s="12" t="n"/>
      <c r="N4660" s="7" t="inlineStr"/>
      <c r="O4660" s="7" t="inlineStr"/>
    </row>
    <row r="4661">
      <c r="A4661" s="7" t="n">
        <v>635351</v>
      </c>
      <c r="B4661" s="10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1" t="n">
        <v>1</v>
      </c>
      <c r="G4661" s="11" t="n">
        <v>1</v>
      </c>
      <c r="H4661" s="8" t="n">
        <v>124.11</v>
      </c>
      <c r="I4661" s="8" t="n">
        <v>124.11</v>
      </c>
      <c r="J4661" s="8" t="n"/>
      <c r="K4661" s="7" t="inlineStr">
        <is>
          <t>SEM COTAÇÃO</t>
        </is>
      </c>
      <c r="L4661" s="8" t="n"/>
      <c r="M4661" s="12" t="n"/>
      <c r="N4661" s="7" t="inlineStr"/>
      <c r="O4661" s="7" t="inlineStr"/>
    </row>
    <row r="4662">
      <c r="A4662" s="7" t="n">
        <v>655921</v>
      </c>
      <c r="B4662" s="10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1" t="n">
        <v>1</v>
      </c>
      <c r="G4662" s="11" t="n">
        <v>1</v>
      </c>
      <c r="H4662" s="8" t="n">
        <v>7.59</v>
      </c>
      <c r="I4662" s="8" t="n">
        <v>7.59</v>
      </c>
      <c r="J4662" s="8" t="n"/>
      <c r="K4662" s="7" t="inlineStr">
        <is>
          <t>SEM COTAÇÃO</t>
        </is>
      </c>
      <c r="L4662" s="8" t="n"/>
      <c r="M4662" s="12" t="n"/>
      <c r="N4662" s="7" t="inlineStr"/>
      <c r="O4662" s="7" t="inlineStr"/>
    </row>
    <row r="4663">
      <c r="A4663" s="7" t="n">
        <v>655911</v>
      </c>
      <c r="B4663" s="10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1" t="n">
        <v>1</v>
      </c>
      <c r="G4663" s="11" t="n">
        <v>1</v>
      </c>
      <c r="H4663" s="8" t="n">
        <v>8.1</v>
      </c>
      <c r="I4663" s="8" t="n">
        <v>7.59</v>
      </c>
      <c r="J4663" s="8" t="n"/>
      <c r="K4663" s="7" t="inlineStr">
        <is>
          <t>SEM COTAÇÃO</t>
        </is>
      </c>
      <c r="L4663" s="8" t="n"/>
      <c r="M4663" s="12" t="n"/>
      <c r="N4663" s="7" t="inlineStr"/>
      <c r="O4663" s="7" t="inlineStr"/>
    </row>
    <row r="4664">
      <c r="A4664" s="7" t="n">
        <v>643311</v>
      </c>
      <c r="B4664" s="10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1" t="n">
        <v>1</v>
      </c>
      <c r="G4664" s="11" t="n">
        <v>1</v>
      </c>
      <c r="H4664" s="8" t="n">
        <v>7.59</v>
      </c>
      <c r="I4664" s="8" t="n">
        <v>7.59</v>
      </c>
      <c r="J4664" s="8" t="n"/>
      <c r="K4664" s="7" t="inlineStr">
        <is>
          <t>SEM COTAÇÃO</t>
        </is>
      </c>
      <c r="L4664" s="8" t="n"/>
      <c r="M4664" s="12" t="n"/>
      <c r="N4664" s="7" t="inlineStr"/>
      <c r="O4664" s="7" t="inlineStr"/>
    </row>
    <row r="4665">
      <c r="A4665" s="7" t="n">
        <v>646201</v>
      </c>
      <c r="B4665" s="10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1" t="n">
        <v>1</v>
      </c>
      <c r="G4665" s="11" t="n">
        <v>1</v>
      </c>
      <c r="H4665" s="8" t="n">
        <v>6.99</v>
      </c>
      <c r="I4665" s="8" t="n">
        <v>6.99</v>
      </c>
      <c r="J4665" s="8" t="n"/>
      <c r="K4665" s="7" t="inlineStr">
        <is>
          <t>SEM COTAÇÃO</t>
        </is>
      </c>
      <c r="L4665" s="8" t="n"/>
      <c r="M4665" s="12" t="n"/>
      <c r="N4665" s="7" t="inlineStr"/>
      <c r="O4665" s="7" t="inlineStr"/>
    </row>
    <row r="4666">
      <c r="A4666" s="7" t="n">
        <v>65101</v>
      </c>
      <c r="B4666" s="10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1" t="n">
        <v>12</v>
      </c>
      <c r="G4666" s="11" t="n">
        <v>12</v>
      </c>
      <c r="H4666" s="8" t="n">
        <v>30.73</v>
      </c>
      <c r="I4666" s="8" t="n">
        <v>23.2152</v>
      </c>
      <c r="J4666" s="8" t="n"/>
      <c r="K4666" s="7" t="inlineStr">
        <is>
          <t>SEM COTAÇÃO</t>
        </is>
      </c>
      <c r="L4666" s="8" t="n"/>
      <c r="M4666" s="12" t="n"/>
      <c r="N4666" s="7" t="inlineStr"/>
      <c r="O4666" s="7" t="inlineStr"/>
    </row>
    <row r="4667">
      <c r="A4667" s="7" t="n">
        <v>65081</v>
      </c>
      <c r="B4667" s="10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1" t="n">
        <v>1</v>
      </c>
      <c r="G4667" s="11" t="n">
        <v>1</v>
      </c>
      <c r="H4667" s="8" t="n">
        <v>51.6533</v>
      </c>
      <c r="I4667" s="8" t="n">
        <v>45.41</v>
      </c>
      <c r="J4667" s="8" t="n"/>
      <c r="K4667" s="7" t="inlineStr">
        <is>
          <t>SEM COTAÇÃO</t>
        </is>
      </c>
      <c r="L4667" s="8" t="n"/>
      <c r="M4667" s="12" t="n"/>
      <c r="N4667" s="7" t="inlineStr"/>
      <c r="O4667" s="7" t="inlineStr"/>
    </row>
    <row r="4668">
      <c r="A4668" s="7" t="n">
        <v>273361</v>
      </c>
      <c r="B4668" s="10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1" t="n">
        <v>6</v>
      </c>
      <c r="G4668" s="11" t="n">
        <v>6</v>
      </c>
      <c r="H4668" s="8" t="n">
        <v>28.7379</v>
      </c>
      <c r="I4668" s="8" t="n">
        <v>24.3825</v>
      </c>
      <c r="J4668" s="8" t="n"/>
      <c r="K4668" s="7" t="inlineStr">
        <is>
          <t>SEM COTAÇÃO</t>
        </is>
      </c>
      <c r="L4668" s="8" t="n"/>
      <c r="M4668" s="12" t="n"/>
      <c r="N4668" s="7" t="inlineStr"/>
      <c r="O4668" s="7" t="inlineStr"/>
    </row>
    <row r="4669">
      <c r="A4669" s="7" t="n">
        <v>564601</v>
      </c>
      <c r="B4669" s="10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1" t="n">
        <v>1</v>
      </c>
      <c r="G4669" s="11" t="n">
        <v>1</v>
      </c>
      <c r="H4669" s="8" t="n">
        <v>25.83</v>
      </c>
      <c r="I4669" s="8" t="n">
        <v>25.83</v>
      </c>
      <c r="J4669" s="8" t="n"/>
      <c r="K4669" s="7" t="inlineStr">
        <is>
          <t>SEM COTAÇÃO</t>
        </is>
      </c>
      <c r="L4669" s="8" t="n"/>
      <c r="M4669" s="12" t="n"/>
      <c r="N4669" s="7" t="inlineStr"/>
      <c r="O4669" s="7" t="inlineStr"/>
    </row>
    <row r="4670">
      <c r="A4670" s="7" t="n">
        <v>556961</v>
      </c>
      <c r="B4670" s="10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1" t="n">
        <v>22</v>
      </c>
      <c r="G4670" s="11" t="n">
        <v>22</v>
      </c>
      <c r="H4670" s="8" t="n">
        <v>8.69</v>
      </c>
      <c r="I4670" s="8" t="n">
        <v>7.99</v>
      </c>
      <c r="J4670" s="8" t="n"/>
      <c r="K4670" s="7" t="inlineStr">
        <is>
          <t>SEM COTAÇÃO</t>
        </is>
      </c>
      <c r="L4670" s="8" t="n"/>
      <c r="M4670" s="12" t="n"/>
      <c r="N4670" s="7" t="inlineStr"/>
      <c r="O4670" s="7" t="inlineStr"/>
    </row>
    <row r="4671">
      <c r="A4671" s="7" t="n">
        <v>621611</v>
      </c>
      <c r="B4671" s="10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1" t="n">
        <v>1</v>
      </c>
      <c r="G4671" s="11" t="n">
        <v>1</v>
      </c>
      <c r="H4671" s="8" t="n">
        <v>6.76</v>
      </c>
      <c r="I4671" s="8" t="n">
        <v>6.76</v>
      </c>
      <c r="J4671" s="8" t="n"/>
      <c r="K4671" s="7" t="inlineStr">
        <is>
          <t>SEM COTAÇÃO</t>
        </is>
      </c>
      <c r="L4671" s="8" t="n"/>
      <c r="M4671" s="12" t="n"/>
      <c r="N4671" s="7" t="inlineStr"/>
      <c r="O4671" s="7" t="inlineStr"/>
    </row>
    <row r="4672">
      <c r="A4672" s="7" t="n">
        <v>629041</v>
      </c>
      <c r="B4672" s="10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1" t="n">
        <v>1</v>
      </c>
      <c r="G4672" s="11" t="n">
        <v>1</v>
      </c>
      <c r="H4672" s="8" t="n">
        <v>3.16</v>
      </c>
      <c r="I4672" s="8" t="n">
        <v>3.16</v>
      </c>
      <c r="J4672" s="8" t="n"/>
      <c r="K4672" s="7" t="inlineStr">
        <is>
          <t>SEM COTAÇÃO</t>
        </is>
      </c>
      <c r="L4672" s="8" t="n"/>
      <c r="M4672" s="12" t="n"/>
      <c r="N4672" s="7" t="inlineStr"/>
      <c r="O4672" s="7" t="inlineStr"/>
    </row>
    <row r="4673">
      <c r="A4673" s="7" t="n">
        <v>629021</v>
      </c>
      <c r="B4673" s="10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1" t="n">
        <v>2</v>
      </c>
      <c r="G4673" s="11" t="n">
        <v>2</v>
      </c>
      <c r="H4673" s="8" t="n">
        <v>3.16</v>
      </c>
      <c r="I4673" s="8" t="n">
        <v>3.16</v>
      </c>
      <c r="J4673" s="8" t="n"/>
      <c r="K4673" s="7" t="inlineStr">
        <is>
          <t>SEM COTAÇÃO</t>
        </is>
      </c>
      <c r="L4673" s="8" t="n"/>
      <c r="M4673" s="12" t="n"/>
      <c r="N4673" s="7" t="inlineStr"/>
      <c r="O4673" s="7" t="inlineStr"/>
    </row>
    <row r="4674">
      <c r="A4674" s="7" t="n">
        <v>629031</v>
      </c>
      <c r="B4674" s="10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1" t="n">
        <v>1</v>
      </c>
      <c r="G4674" s="11" t="n">
        <v>1</v>
      </c>
      <c r="H4674" s="8" t="n">
        <v>3.16</v>
      </c>
      <c r="I4674" s="8" t="n">
        <v>3.16</v>
      </c>
      <c r="J4674" s="8" t="n"/>
      <c r="K4674" s="7" t="inlineStr">
        <is>
          <t>SEM COTAÇÃO</t>
        </is>
      </c>
      <c r="L4674" s="8" t="n"/>
      <c r="M4674" s="12" t="n"/>
      <c r="N4674" s="7" t="inlineStr"/>
      <c r="O4674" s="7" t="inlineStr"/>
    </row>
    <row r="4675">
      <c r="A4675" s="7" t="n">
        <v>629201</v>
      </c>
      <c r="B4675" s="10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1" t="n">
        <v>1</v>
      </c>
      <c r="G4675" s="11" t="n">
        <v>1</v>
      </c>
      <c r="H4675" s="8" t="n">
        <v>8.23</v>
      </c>
      <c r="I4675" s="8" t="n">
        <v>8.23</v>
      </c>
      <c r="J4675" s="8" t="n"/>
      <c r="K4675" s="7" t="inlineStr">
        <is>
          <t>SEM COTAÇÃO</t>
        </is>
      </c>
      <c r="L4675" s="8" t="n"/>
      <c r="M4675" s="12" t="n"/>
      <c r="N4675" s="7" t="inlineStr"/>
      <c r="O4675" s="7" t="inlineStr"/>
    </row>
    <row r="4676">
      <c r="A4676" s="7" t="n">
        <v>590821</v>
      </c>
      <c r="B4676" s="10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1" t="n">
        <v>2</v>
      </c>
      <c r="G4676" s="11" t="n">
        <v>2</v>
      </c>
      <c r="H4676" s="8" t="n">
        <v>6.11</v>
      </c>
      <c r="I4676" s="8" t="n">
        <v>6.11</v>
      </c>
      <c r="J4676" s="8" t="n"/>
      <c r="K4676" s="7" t="inlineStr">
        <is>
          <t>SEM COTAÇÃO</t>
        </is>
      </c>
      <c r="L4676" s="8" t="n"/>
      <c r="M4676" s="12" t="n"/>
      <c r="N4676" s="7" t="inlineStr"/>
      <c r="O4676" s="7" t="inlineStr"/>
    </row>
    <row r="4677">
      <c r="A4677" s="7" t="n">
        <v>593871</v>
      </c>
      <c r="B4677" s="10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1" t="n">
        <v>4</v>
      </c>
      <c r="G4677" s="11" t="n">
        <v>4</v>
      </c>
      <c r="H4677" s="8" t="n">
        <v>6.07</v>
      </c>
      <c r="I4677" s="8" t="n">
        <v>6.07</v>
      </c>
      <c r="J4677" s="8" t="n"/>
      <c r="K4677" s="7" t="inlineStr">
        <is>
          <t>SEM COTAÇÃO</t>
        </is>
      </c>
      <c r="L4677" s="8" t="n"/>
      <c r="M4677" s="12" t="n"/>
      <c r="N4677" s="7" t="inlineStr"/>
      <c r="O4677" s="7" t="inlineStr"/>
    </row>
    <row r="4678">
      <c r="A4678" s="7" t="n">
        <v>593881</v>
      </c>
      <c r="B4678" s="10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1" t="n">
        <v>2</v>
      </c>
      <c r="G4678" s="11" t="n">
        <v>2</v>
      </c>
      <c r="H4678" s="8" t="n">
        <v>7.26</v>
      </c>
      <c r="I4678" s="8" t="n">
        <v>7.26</v>
      </c>
      <c r="J4678" s="8" t="n"/>
      <c r="K4678" s="7" t="inlineStr">
        <is>
          <t>SEM COTAÇÃO</t>
        </is>
      </c>
      <c r="L4678" s="8" t="n"/>
      <c r="M4678" s="12" t="n"/>
      <c r="N4678" s="7" t="inlineStr"/>
      <c r="O4678" s="7" t="inlineStr"/>
    </row>
    <row r="4679">
      <c r="A4679" s="7" t="n">
        <v>656161</v>
      </c>
      <c r="B4679" s="10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1" t="n">
        <v>1</v>
      </c>
      <c r="G4679" s="11" t="n">
        <v>1</v>
      </c>
      <c r="H4679" s="8" t="n">
        <v>10.2</v>
      </c>
      <c r="I4679" s="8" t="n">
        <v>10.2</v>
      </c>
      <c r="J4679" s="8" t="n"/>
      <c r="K4679" s="7" t="inlineStr">
        <is>
          <t>SEM COTAÇÃO</t>
        </is>
      </c>
      <c r="L4679" s="8" t="n"/>
      <c r="M4679" s="12" t="n"/>
      <c r="N4679" s="7" t="inlineStr"/>
      <c r="O4679" s="7" t="inlineStr"/>
    </row>
    <row r="4680">
      <c r="A4680" s="7" t="n">
        <v>593561</v>
      </c>
      <c r="B4680" s="10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1" t="n">
        <v>3</v>
      </c>
      <c r="G4680" s="11" t="n">
        <v>3</v>
      </c>
      <c r="H4680" s="8" t="n">
        <v>6.5817</v>
      </c>
      <c r="I4680" s="8" t="n">
        <v>6.5817</v>
      </c>
      <c r="J4680" s="8" t="n"/>
      <c r="K4680" s="7" t="inlineStr">
        <is>
          <t>SEM COTAÇÃO</t>
        </is>
      </c>
      <c r="L4680" s="8" t="n"/>
      <c r="M4680" s="12" t="n"/>
      <c r="N4680" s="7" t="inlineStr"/>
      <c r="O4680" s="7" t="inlineStr"/>
    </row>
    <row r="4681">
      <c r="A4681" s="7" t="n">
        <v>593581</v>
      </c>
      <c r="B4681" s="10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1" t="n">
        <v>7</v>
      </c>
      <c r="G4681" s="11" t="n">
        <v>7</v>
      </c>
      <c r="H4681" s="8" t="n">
        <v>6.5817</v>
      </c>
      <c r="I4681" s="8" t="n">
        <v>6.1517</v>
      </c>
      <c r="J4681" s="8" t="n"/>
      <c r="K4681" s="7" t="inlineStr">
        <is>
          <t>SEM COTAÇÃO</t>
        </is>
      </c>
      <c r="L4681" s="8" t="n"/>
      <c r="M4681" s="12" t="n"/>
      <c r="N4681" s="7" t="inlineStr"/>
      <c r="O4681" s="7" t="inlineStr"/>
    </row>
    <row r="4682">
      <c r="A4682" s="7" t="n">
        <v>326621</v>
      </c>
      <c r="B4682" s="10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1" t="n">
        <v>14</v>
      </c>
      <c r="G4682" s="11" t="n">
        <v>14</v>
      </c>
      <c r="H4682" s="8" t="n">
        <v>4.9244</v>
      </c>
      <c r="I4682" s="8" t="n">
        <v>3.8667</v>
      </c>
      <c r="J4682" s="8" t="n"/>
      <c r="K4682" s="7" t="inlineStr">
        <is>
          <t>SEM COTAÇÃO</t>
        </is>
      </c>
      <c r="L4682" s="8" t="n"/>
      <c r="M4682" s="12" t="n"/>
      <c r="N4682" s="7" t="inlineStr"/>
      <c r="O4682" s="7" t="inlineStr"/>
    </row>
    <row r="4683">
      <c r="A4683" s="7" t="n">
        <v>287141</v>
      </c>
      <c r="B4683" s="10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1" t="n">
        <v>2</v>
      </c>
      <c r="G4683" s="11" t="n">
        <v>2</v>
      </c>
      <c r="H4683" s="8" t="n">
        <v>41.61</v>
      </c>
      <c r="I4683" s="8" t="n">
        <v>36.88</v>
      </c>
      <c r="J4683" s="8" t="n"/>
      <c r="K4683" s="7" t="inlineStr">
        <is>
          <t>SEM COTAÇÃO</t>
        </is>
      </c>
      <c r="L4683" s="8" t="n"/>
      <c r="M4683" s="12" t="n"/>
      <c r="N4683" s="7" t="inlineStr"/>
      <c r="O4683" s="7" t="inlineStr"/>
    </row>
    <row r="4684">
      <c r="A4684" s="7" t="n">
        <v>429501</v>
      </c>
      <c r="B4684" s="10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1" t="n">
        <v>2</v>
      </c>
      <c r="G4684" s="11" t="n">
        <v>2</v>
      </c>
      <c r="H4684" s="8" t="n">
        <v>140.09</v>
      </c>
      <c r="I4684" s="8" t="n">
        <v>133.3</v>
      </c>
      <c r="J4684" s="8" t="n"/>
      <c r="K4684" s="7" t="inlineStr">
        <is>
          <t>SEM COTAÇÃO</t>
        </is>
      </c>
      <c r="L4684" s="8" t="n"/>
      <c r="M4684" s="12" t="n"/>
      <c r="N4684" s="7" t="inlineStr"/>
      <c r="O4684" s="7" t="inlineStr"/>
    </row>
    <row r="4685">
      <c r="A4685" s="7" t="n">
        <v>261481</v>
      </c>
      <c r="B4685" s="10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1" t="n">
        <v>4</v>
      </c>
      <c r="G4685" s="11" t="n">
        <v>4</v>
      </c>
      <c r="H4685" s="8" t="n">
        <v>67.565</v>
      </c>
      <c r="I4685" s="8" t="n">
        <v>61.93</v>
      </c>
      <c r="J4685" s="8" t="n"/>
      <c r="K4685" s="7" t="inlineStr">
        <is>
          <t>SEM COTAÇÃO</t>
        </is>
      </c>
      <c r="L4685" s="8" t="n"/>
      <c r="M4685" s="12" t="n"/>
      <c r="N4685" s="7" t="inlineStr"/>
      <c r="O4685" s="7" t="inlineStr"/>
    </row>
    <row r="4686">
      <c r="A4686" s="7" t="n">
        <v>535521</v>
      </c>
      <c r="B4686" s="10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1" t="n">
        <v>2</v>
      </c>
      <c r="G4686" s="11" t="n">
        <v>2</v>
      </c>
      <c r="H4686" s="8" t="n">
        <v>9.26</v>
      </c>
      <c r="I4686" s="8" t="n">
        <v>9.26</v>
      </c>
      <c r="J4686" s="8" t="n"/>
      <c r="K4686" s="7" t="inlineStr">
        <is>
          <t>SEM COTAÇÃO</t>
        </is>
      </c>
      <c r="L4686" s="8" t="n"/>
      <c r="M4686" s="12" t="n"/>
      <c r="N4686" s="7" t="inlineStr"/>
      <c r="O4686" s="7" t="inlineStr"/>
    </row>
    <row r="4687">
      <c r="A4687" s="7" t="n">
        <v>654811</v>
      </c>
      <c r="B4687" s="10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1" t="n">
        <v>3</v>
      </c>
      <c r="G4687" s="11" t="n">
        <v>3</v>
      </c>
      <c r="H4687" s="8" t="n">
        <v>22.17</v>
      </c>
      <c r="I4687" s="8" t="n">
        <v>22.17</v>
      </c>
      <c r="J4687" s="8" t="n"/>
      <c r="K4687" s="7" t="inlineStr">
        <is>
          <t>SEM COTAÇÃO</t>
        </is>
      </c>
      <c r="L4687" s="8" t="n"/>
      <c r="M4687" s="12" t="n"/>
      <c r="N4687" s="7" t="inlineStr"/>
      <c r="O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9" t="inlineStr">
        <is>
          <t>Cód. interno</t>
        </is>
      </c>
      <c r="B1" s="9" t="inlineStr">
        <is>
          <t>Cód. forn.</t>
        </is>
      </c>
      <c r="C1" s="9" t="inlineStr">
        <is>
          <t>EAN</t>
        </is>
      </c>
      <c r="D1" s="9" t="inlineStr">
        <is>
          <t>Produto</t>
        </is>
      </c>
      <c r="E1" s="9" t="inlineStr">
        <is>
          <t>Un/Emb</t>
        </is>
      </c>
      <c r="F1" s="9" t="inlineStr">
        <is>
          <t>Caixas</t>
        </is>
      </c>
      <c r="G1" s="9" t="inlineStr">
        <is>
          <t>Qtd pedido</t>
        </is>
      </c>
      <c r="H1" s="9" t="inlineStr">
        <is>
          <t>Preço (emb.)</t>
        </is>
      </c>
      <c r="I1" s="9" t="inlineStr">
        <is>
          <t>Total</t>
        </is>
      </c>
      <c r="J1" s="9" t="inlineStr">
        <is>
          <t>Preço un. eq.</t>
        </is>
      </c>
      <c r="K1" s="9" t="inlineStr">
        <is>
          <t>Últ. compra</t>
        </is>
      </c>
      <c r="L1" s="9" t="inlineStr">
        <is>
          <t>Menor hist.</t>
        </is>
      </c>
      <c r="M1" s="9" t="inlineStr">
        <is>
          <t>Dif. %</t>
        </is>
      </c>
      <c r="N1" s="9" t="inlineStr">
        <is>
          <t>Status</t>
        </is>
      </c>
      <c r="O1" s="9" t="inlineStr">
        <is>
          <t>OBS</t>
        </is>
      </c>
    </row>
    <row r="2">
      <c r="A2" s="7" t="n">
        <v>441</v>
      </c>
      <c r="B2" s="7" t="inlineStr">
        <is>
          <t>4853</t>
        </is>
      </c>
      <c r="C2" s="10" t="inlineStr">
        <is>
          <t>7896422513173</t>
        </is>
      </c>
      <c r="D2" s="7" t="inlineStr">
        <is>
          <t>- DOMPERIDONA 1MG/ML SUS OR FR 100ML+PIPET DOS</t>
        </is>
      </c>
      <c r="E2" s="11" t="n">
        <v>1</v>
      </c>
      <c r="F2" s="11" t="n">
        <v>3</v>
      </c>
      <c r="G2" s="11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12">
        <f>J2/K2-1</f>
        <v/>
      </c>
      <c r="N2" s="7" t="inlineStr">
        <is>
          <t>ACIMA +30.2%</t>
        </is>
      </c>
      <c r="O2" s="7" t="inlineStr"/>
    </row>
    <row r="3">
      <c r="A3" s="7" t="n">
        <v>634551</v>
      </c>
      <c r="B3" s="7" t="inlineStr">
        <is>
          <t>9626</t>
        </is>
      </c>
      <c r="C3" s="10" t="inlineStr">
        <is>
          <t>7895143226942</t>
        </is>
      </c>
      <c r="D3" s="7" t="inlineStr">
        <is>
          <t>5MAG 500MG 60CAPS QUALYNUTRI</t>
        </is>
      </c>
      <c r="E3" s="11" t="n">
        <v>1</v>
      </c>
      <c r="F3" s="11" t="n">
        <v>2</v>
      </c>
      <c r="G3" s="11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12">
        <f>J3/K3-1</f>
        <v/>
      </c>
      <c r="N3" s="7" t="inlineStr">
        <is>
          <t>OK (≤ menor hist.)</t>
        </is>
      </c>
      <c r="O3" s="7" t="inlineStr"/>
    </row>
    <row r="4">
      <c r="A4" s="7" t="n">
        <v>638981</v>
      </c>
      <c r="B4" s="7" t="inlineStr">
        <is>
          <t>7634</t>
        </is>
      </c>
      <c r="C4" s="10" t="inlineStr">
        <is>
          <t>7894164009008</t>
        </is>
      </c>
      <c r="D4" s="7" t="inlineStr">
        <is>
          <t>ABIDOR CRIANCA 32G 60ML SUS.</t>
        </is>
      </c>
      <c r="E4" s="11" t="n">
        <v>1</v>
      </c>
      <c r="F4" s="11" t="n">
        <v>4</v>
      </c>
      <c r="G4" s="11" t="n">
        <v>4</v>
      </c>
      <c r="H4" s="8" t="n">
        <v>6.4</v>
      </c>
      <c r="I4" s="8">
        <f>G4*H4</f>
        <v/>
      </c>
      <c r="J4" s="8">
        <f>H4/E4</f>
        <v/>
      </c>
      <c r="K4" s="8" t="n">
        <v>5.65</v>
      </c>
      <c r="L4" s="8" t="n">
        <v>5.65</v>
      </c>
      <c r="M4" s="12">
        <f>J4/K4-1</f>
        <v/>
      </c>
      <c r="N4" s="7" t="inlineStr">
        <is>
          <t>ACIMA +13.3%</t>
        </is>
      </c>
      <c r="O4" s="7" t="inlineStr"/>
    </row>
    <row r="5">
      <c r="A5" s="7" t="n">
        <v>2081</v>
      </c>
      <c r="B5" s="7" t="inlineStr">
        <is>
          <t>8910</t>
        </is>
      </c>
      <c r="C5" s="10" t="inlineStr">
        <is>
          <t>7899620912731</t>
        </is>
      </c>
      <c r="D5" s="7" t="inlineStr">
        <is>
          <t>ACEBROFILINA 10MG/ML XPE FR 120ML+COP MED</t>
        </is>
      </c>
      <c r="E5" s="11" t="n">
        <v>1</v>
      </c>
      <c r="F5" s="11" t="n">
        <v>2</v>
      </c>
      <c r="G5" s="11" t="n">
        <v>2</v>
      </c>
      <c r="H5" s="8" t="n">
        <v>7.03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12">
        <f>J5/K5-1</f>
        <v/>
      </c>
      <c r="N5" s="7" t="inlineStr">
        <is>
          <t>ACIMA +0.3%</t>
        </is>
      </c>
      <c r="O5" s="7" t="inlineStr"/>
    </row>
    <row r="6">
      <c r="A6" s="7" t="n">
        <v>403321</v>
      </c>
      <c r="B6" s="7" t="inlineStr">
        <is>
          <t>866</t>
        </is>
      </c>
      <c r="C6" s="10" t="inlineStr">
        <is>
          <t>7893454300115</t>
        </is>
      </c>
      <c r="D6" s="7" t="inlineStr">
        <is>
          <t>ACERATUM SOL FR 10ML</t>
        </is>
      </c>
      <c r="E6" s="11" t="n">
        <v>1</v>
      </c>
      <c r="F6" s="11" t="n">
        <v>1</v>
      </c>
      <c r="G6" s="11" t="n">
        <v>1</v>
      </c>
      <c r="H6" s="8" t="n">
        <v>11.39</v>
      </c>
      <c r="I6" s="8">
        <f>G6*H6</f>
        <v/>
      </c>
      <c r="J6" s="8">
        <f>H6/E6</f>
        <v/>
      </c>
      <c r="K6" s="8" t="n">
        <v>13.04</v>
      </c>
      <c r="L6" s="8" t="n">
        <v>13.04</v>
      </c>
      <c r="M6" s="12">
        <f>J6/K6-1</f>
        <v/>
      </c>
      <c r="N6" s="7" t="inlineStr">
        <is>
          <t>OK (≤ menor hist.)</t>
        </is>
      </c>
      <c r="O6" s="7" t="inlineStr"/>
    </row>
    <row r="7">
      <c r="A7" s="7" t="n">
        <v>14301</v>
      </c>
      <c r="B7" s="7" t="inlineStr">
        <is>
          <t>2509</t>
        </is>
      </c>
      <c r="C7" s="10" t="inlineStr">
        <is>
          <t>7898122913772</t>
        </is>
      </c>
      <c r="D7" s="7" t="inlineStr">
        <is>
          <t>ACIDO ASCORBICO (VIT C) HYPOFARMA 100 MG/ML SOL INJ IV/IM CX 100 AMP VD AMB X 5 ML (EMB HOSP)</t>
        </is>
      </c>
      <c r="E7" s="11" t="n">
        <v>1</v>
      </c>
      <c r="F7" s="11" t="n">
        <v>1</v>
      </c>
      <c r="G7" s="11" t="n">
        <v>1</v>
      </c>
      <c r="H7" s="8" t="n">
        <v>103.59</v>
      </c>
      <c r="I7" s="8">
        <f>G7*H7</f>
        <v/>
      </c>
      <c r="J7" s="8">
        <f>H7/E7</f>
        <v/>
      </c>
      <c r="K7" s="8" t="n">
        <v>117</v>
      </c>
      <c r="L7" s="8" t="n">
        <v>117</v>
      </c>
      <c r="M7" s="12">
        <f>J7/K7-1</f>
        <v/>
      </c>
      <c r="N7" s="7" t="inlineStr">
        <is>
          <t>OK (≤ menor hist.)</t>
        </is>
      </c>
      <c r="O7" s="7" t="inlineStr"/>
    </row>
    <row r="8">
      <c r="A8" s="7" t="n">
        <v>1463</v>
      </c>
      <c r="B8" s="7" t="inlineStr">
        <is>
          <t>2194</t>
        </is>
      </c>
      <c r="C8" s="10" t="inlineStr">
        <is>
          <t>7898277713739</t>
        </is>
      </c>
      <c r="D8" s="7" t="inlineStr">
        <is>
          <t>AFT RUB 30ML SPRAY BUCAL</t>
        </is>
      </c>
      <c r="E8" s="11" t="n">
        <v>1</v>
      </c>
      <c r="F8" s="11" t="n">
        <v>1</v>
      </c>
      <c r="G8" s="11" t="n">
        <v>1</v>
      </c>
      <c r="H8" s="8" t="n">
        <v>8.09</v>
      </c>
      <c r="I8" s="8">
        <f>G8*H8</f>
        <v/>
      </c>
      <c r="J8" s="8">
        <f>H8/E8</f>
        <v/>
      </c>
      <c r="K8" s="8" t="n">
        <v>8.09</v>
      </c>
      <c r="L8" s="8" t="n">
        <v>8.09</v>
      </c>
      <c r="M8" s="12">
        <f>J8/K8-1</f>
        <v/>
      </c>
      <c r="N8" s="7" t="inlineStr">
        <is>
          <t>OK (≤ menor hist.)</t>
        </is>
      </c>
      <c r="O8" s="7" t="inlineStr"/>
    </row>
    <row r="9">
      <c r="A9" s="7" t="n">
        <v>538041</v>
      </c>
      <c r="B9" s="7" t="inlineStr">
        <is>
          <t>4782</t>
        </is>
      </c>
      <c r="C9" s="10" t="inlineStr">
        <is>
          <t>7894164005208</t>
        </is>
      </c>
      <c r="D9" s="7" t="inlineStr">
        <is>
          <t>AFTANAX 100MG/ML SPRAY 25ML</t>
        </is>
      </c>
      <c r="E9" s="11" t="n">
        <v>1</v>
      </c>
      <c r="F9" s="11" t="n">
        <v>1</v>
      </c>
      <c r="G9" s="11" t="n">
        <v>1</v>
      </c>
      <c r="H9" s="8" t="n">
        <v>12.35</v>
      </c>
      <c r="I9" s="8">
        <f>G9*H9</f>
        <v/>
      </c>
      <c r="J9" s="8">
        <f>H9/E9</f>
        <v/>
      </c>
      <c r="K9" s="8" t="n">
        <v>12.35</v>
      </c>
      <c r="L9" s="8" t="n">
        <v>12.35</v>
      </c>
      <c r="M9" s="12">
        <f>J9/K9-1</f>
        <v/>
      </c>
      <c r="N9" s="7" t="inlineStr">
        <is>
          <t>OK (≤ menor hist.)</t>
        </is>
      </c>
      <c r="O9" s="7" t="inlineStr"/>
    </row>
    <row r="10">
      <c r="A10" s="7" t="n">
        <v>532121</v>
      </c>
      <c r="B10" s="7" t="inlineStr">
        <is>
          <t>137</t>
        </is>
      </c>
      <c r="C10" s="10" t="inlineStr">
        <is>
          <t>7898031310082</t>
        </is>
      </c>
      <c r="D10" s="7" t="inlineStr">
        <is>
          <t>AGUA BORICADA 3% 100ML</t>
        </is>
      </c>
      <c r="E10" s="11" t="n">
        <v>1</v>
      </c>
      <c r="F10" s="11" t="n">
        <v>1</v>
      </c>
      <c r="G10" s="11" t="n">
        <v>1</v>
      </c>
      <c r="H10" s="8" t="n">
        <v>2.69</v>
      </c>
      <c r="I10" s="8">
        <f>G10*H10</f>
        <v/>
      </c>
      <c r="J10" s="8">
        <f>H10/E10</f>
        <v/>
      </c>
      <c r="K10" s="8" t="n">
        <v>2.49</v>
      </c>
      <c r="L10" s="8" t="n">
        <v>2.49</v>
      </c>
      <c r="M10" s="12">
        <f>J10/K10-1</f>
        <v/>
      </c>
      <c r="N10" s="7" t="inlineStr">
        <is>
          <t>ACIMA +8.0%</t>
        </is>
      </c>
      <c r="O10" s="7" t="inlineStr"/>
    </row>
    <row r="11">
      <c r="A11" s="7" t="n">
        <v>541181</v>
      </c>
      <c r="B11" s="7" t="inlineStr">
        <is>
          <t>1251</t>
        </is>
      </c>
      <c r="C11" s="10" t="inlineStr">
        <is>
          <t>7898048691419</t>
        </is>
      </c>
      <c r="D11" s="7" t="inlineStr">
        <is>
          <t>AGUA FLOR DE LARANJEIRA 100ML</t>
        </is>
      </c>
      <c r="E11" s="11" t="n">
        <v>1</v>
      </c>
      <c r="F11" s="11" t="n">
        <v>2</v>
      </c>
      <c r="G11" s="11" t="n">
        <v>2</v>
      </c>
      <c r="H11" s="8" t="n">
        <v>5.06</v>
      </c>
      <c r="I11" s="8">
        <f>G11*H11</f>
        <v/>
      </c>
      <c r="J11" s="8">
        <f>H11/E11</f>
        <v/>
      </c>
      <c r="K11" s="8" t="n">
        <v>5.06</v>
      </c>
      <c r="L11" s="8" t="n">
        <v>5.06</v>
      </c>
      <c r="M11" s="12">
        <f>J11/K11-1</f>
        <v/>
      </c>
      <c r="N11" s="7" t="inlineStr">
        <is>
          <t>OK (≤ menor hist.)</t>
        </is>
      </c>
      <c r="O11" s="7" t="inlineStr"/>
    </row>
    <row r="12">
      <c r="A12" s="7" t="n">
        <v>618971</v>
      </c>
      <c r="B12" s="7" t="inlineStr">
        <is>
          <t>324</t>
        </is>
      </c>
      <c r="C12" s="10" t="inlineStr">
        <is>
          <t>7898048690771</t>
        </is>
      </c>
      <c r="D12" s="7" t="inlineStr">
        <is>
          <t>AGUA INGLESA 450ML (CINCHONA OFFICINALI)</t>
        </is>
      </c>
      <c r="E12" s="11" t="n">
        <v>1</v>
      </c>
      <c r="F12" s="11" t="n">
        <v>7</v>
      </c>
      <c r="G12" s="11" t="n">
        <v>7</v>
      </c>
      <c r="H12" s="8" t="n">
        <v>10.73</v>
      </c>
      <c r="I12" s="8">
        <f>G12*H12</f>
        <v/>
      </c>
      <c r="J12" s="8">
        <f>H12/E12</f>
        <v/>
      </c>
      <c r="K12" s="8" t="n">
        <v>11.95</v>
      </c>
      <c r="L12" s="8" t="n">
        <v>10.05</v>
      </c>
      <c r="M12" s="12">
        <f>J12/K12-1</f>
        <v/>
      </c>
      <c r="N12" s="7" t="inlineStr">
        <is>
          <t>OK (≤ últ. compra)</t>
        </is>
      </c>
      <c r="O12" s="7" t="inlineStr"/>
    </row>
    <row r="13">
      <c r="A13" s="7" t="n">
        <v>647221</v>
      </c>
      <c r="B13" s="7" t="inlineStr">
        <is>
          <t>685</t>
        </is>
      </c>
      <c r="C13" s="10" t="inlineStr">
        <is>
          <t>7896023705397</t>
        </is>
      </c>
      <c r="D13" s="7" t="inlineStr">
        <is>
          <t>AGUA INGLESA 500ML</t>
        </is>
      </c>
      <c r="E13" s="11" t="n">
        <v>1</v>
      </c>
      <c r="F13" s="11" t="n">
        <v>3</v>
      </c>
      <c r="G13" s="11" t="n">
        <v>3</v>
      </c>
      <c r="H13" s="8" t="n">
        <v>22.17</v>
      </c>
      <c r="I13" s="8">
        <f>G13*H13</f>
        <v/>
      </c>
      <c r="J13" s="8">
        <f>H13/E13</f>
        <v/>
      </c>
      <c r="K13" s="8" t="n">
        <v>22.12</v>
      </c>
      <c r="L13" s="8" t="n">
        <v>22.12</v>
      </c>
      <c r="M13" s="12">
        <f>J13/K13-1</f>
        <v/>
      </c>
      <c r="N13" s="7" t="inlineStr">
        <is>
          <t>ACIMA +0.2%</t>
        </is>
      </c>
      <c r="O13" s="7" t="inlineStr"/>
    </row>
    <row r="14">
      <c r="A14" s="7" t="n">
        <v>584341</v>
      </c>
      <c r="B14" s="7" t="inlineStr">
        <is>
          <t>2382</t>
        </is>
      </c>
      <c r="C14" s="10" t="inlineStr">
        <is>
          <t>7897732606234</t>
        </is>
      </c>
      <c r="D14" s="7" t="inlineStr">
        <is>
          <t>AGUA INGLESA SOBRAL COMPOSTA 430ML (SBR)</t>
        </is>
      </c>
      <c r="E14" s="11" t="n">
        <v>1</v>
      </c>
      <c r="F14" s="11" t="n">
        <v>22</v>
      </c>
      <c r="G14" s="11" t="n">
        <v>22</v>
      </c>
      <c r="H14" s="8" t="n">
        <v>14.39</v>
      </c>
      <c r="I14" s="8">
        <f>G14*H14</f>
        <v/>
      </c>
      <c r="J14" s="8">
        <f>H14/E14</f>
        <v/>
      </c>
      <c r="K14" s="8" t="n">
        <v>11.36</v>
      </c>
      <c r="L14" s="8" t="n">
        <v>11.36</v>
      </c>
      <c r="M14" s="12">
        <f>J14/K14-1</f>
        <v/>
      </c>
      <c r="N14" s="7" t="inlineStr">
        <is>
          <t>ACIMA +26.7%</t>
        </is>
      </c>
      <c r="O14" s="7" t="inlineStr"/>
    </row>
    <row r="15">
      <c r="A15" s="7" t="n">
        <v>532161</v>
      </c>
      <c r="B15" s="7" t="inlineStr">
        <is>
          <t>1467</t>
        </is>
      </c>
      <c r="C15" s="10" t="inlineStr">
        <is>
          <t>7898031310587</t>
        </is>
      </c>
      <c r="D15" s="7" t="inlineStr">
        <is>
          <t>AGUA OXIGENADA ALMOT. 10 VOL. 100ML</t>
        </is>
      </c>
      <c r="E15" s="11" t="n">
        <v>1</v>
      </c>
      <c r="F15" s="11" t="n">
        <v>45</v>
      </c>
      <c r="G15" s="11" t="n">
        <v>45</v>
      </c>
      <c r="H15" s="8" t="n">
        <v>2.69</v>
      </c>
      <c r="I15" s="8">
        <f>G15*H15</f>
        <v/>
      </c>
      <c r="J15" s="8">
        <f>H15/E15</f>
        <v/>
      </c>
      <c r="K15" s="8" t="n">
        <v>2.35</v>
      </c>
      <c r="L15" s="8" t="n">
        <v>2.18</v>
      </c>
      <c r="M15" s="12">
        <f>J15/K15-1</f>
        <v/>
      </c>
      <c r="N15" s="7" t="inlineStr">
        <is>
          <t>ACIMA +14.5%</t>
        </is>
      </c>
      <c r="O15" s="7" t="inlineStr"/>
    </row>
    <row r="16">
      <c r="A16" s="7" t="n">
        <v>534761</v>
      </c>
      <c r="B16" s="7" t="inlineStr">
        <is>
          <t>2970</t>
        </is>
      </c>
      <c r="C16" s="10" t="inlineStr">
        <is>
          <t>7896902210905</t>
        </is>
      </c>
      <c r="D16" s="7" t="inlineStr">
        <is>
          <t>AGUA OXIGENADA CREMOSA - AMONIA 100ML</t>
        </is>
      </c>
      <c r="E16" s="11" t="n">
        <v>1</v>
      </c>
      <c r="F16" s="11" t="n">
        <v>2</v>
      </c>
      <c r="G16" s="11" t="n">
        <v>2</v>
      </c>
      <c r="H16" s="8" t="n">
        <v>2.42</v>
      </c>
      <c r="I16" s="8">
        <f>G16*H16</f>
        <v/>
      </c>
      <c r="J16" s="8">
        <f>H16/E16</f>
        <v/>
      </c>
      <c r="K16" s="8" t="n">
        <v>1.95</v>
      </c>
      <c r="L16" s="8" t="n">
        <v>1.95</v>
      </c>
      <c r="M16" s="12">
        <f>J16/K16-1</f>
        <v/>
      </c>
      <c r="N16" s="7" t="inlineStr">
        <is>
          <t>ACIMA +24.1%</t>
        </is>
      </c>
      <c r="O16" s="7" t="inlineStr"/>
    </row>
    <row r="17">
      <c r="A17" s="7" t="n">
        <v>547721</v>
      </c>
      <c r="B17" s="7" t="inlineStr">
        <is>
          <t>320</t>
        </is>
      </c>
      <c r="C17" s="10" t="inlineStr">
        <is>
          <t>7896902211544</t>
        </is>
      </c>
      <c r="D17" s="7" t="inlineStr">
        <is>
          <t>AGUA OXIGENADA VOL10</t>
        </is>
      </c>
      <c r="E17" s="11" t="n">
        <v>1</v>
      </c>
      <c r="F17" s="11" t="n">
        <v>39</v>
      </c>
      <c r="G17" s="11" t="n">
        <v>39</v>
      </c>
      <c r="H17" s="8" t="n">
        <v>2.4</v>
      </c>
      <c r="I17" s="8">
        <f>G17*H17</f>
        <v/>
      </c>
      <c r="J17" s="8">
        <f>H17/E17</f>
        <v/>
      </c>
      <c r="K17" s="8" t="n">
        <v>2.37</v>
      </c>
      <c r="L17" s="8" t="n">
        <v>1.9</v>
      </c>
      <c r="M17" s="12">
        <f>J17/K17-1</f>
        <v/>
      </c>
      <c r="N17" s="7" t="inlineStr">
        <is>
          <t>ACIMA +1.3%</t>
        </is>
      </c>
      <c r="O17" s="7" t="inlineStr"/>
    </row>
    <row r="18">
      <c r="A18" s="7" t="n">
        <v>651171</v>
      </c>
      <c r="B18" s="7" t="inlineStr">
        <is>
          <t>4245</t>
        </is>
      </c>
      <c r="C18" s="10" t="inlineStr">
        <is>
          <t>7898048690900</t>
        </is>
      </c>
      <c r="D18" s="7" t="inlineStr">
        <is>
          <t>AGUARDENTE ALEMA JALAPA 200ML</t>
        </is>
      </c>
      <c r="E18" s="11" t="n">
        <v>1</v>
      </c>
      <c r="F18" s="11" t="n">
        <v>1</v>
      </c>
      <c r="G18" s="11" t="n">
        <v>1</v>
      </c>
      <c r="H18" s="8" t="n">
        <v>8.119999999999999</v>
      </c>
      <c r="I18" s="8">
        <f>G18*H18</f>
        <v/>
      </c>
      <c r="J18" s="8">
        <f>H18/E18</f>
        <v/>
      </c>
      <c r="K18" s="8" t="n">
        <v>8.09</v>
      </c>
      <c r="L18" s="8" t="n">
        <v>8.09</v>
      </c>
      <c r="M18" s="12">
        <f>J18/K18-1</f>
        <v/>
      </c>
      <c r="N18" s="7" t="inlineStr">
        <is>
          <t>ACIMA +0.4%</t>
        </is>
      </c>
      <c r="O18" s="7" t="inlineStr"/>
    </row>
    <row r="19">
      <c r="A19" s="7" t="n">
        <v>532201</v>
      </c>
      <c r="B19" s="7" t="inlineStr">
        <is>
          <t>854</t>
        </is>
      </c>
      <c r="C19" s="10" t="inlineStr">
        <is>
          <t>7898048690887</t>
        </is>
      </c>
      <c r="D19" s="7" t="inlineStr">
        <is>
          <t>AGUARDENTE ALEMA JALAPA D1 30ML</t>
        </is>
      </c>
      <c r="E19" s="11" t="n">
        <v>1</v>
      </c>
      <c r="F19" s="11" t="n">
        <v>3</v>
      </c>
      <c r="G19" s="11" t="n">
        <v>3</v>
      </c>
      <c r="H19" s="8" t="n">
        <v>2.4</v>
      </c>
      <c r="I19" s="8">
        <f>G19*H19</f>
        <v/>
      </c>
      <c r="J19" s="8">
        <f>H19/E19</f>
        <v/>
      </c>
      <c r="K19" s="8" t="n">
        <v>2.4</v>
      </c>
      <c r="L19" s="8" t="n">
        <v>2.38</v>
      </c>
      <c r="M19" s="12">
        <f>J19/K19-1</f>
        <v/>
      </c>
      <c r="N19" s="7" t="inlineStr">
        <is>
          <t>OK (≤ últ. compra)</t>
        </is>
      </c>
      <c r="O19" s="7" t="inlineStr"/>
    </row>
    <row r="20">
      <c r="A20" s="7" t="n">
        <v>578621</v>
      </c>
      <c r="B20" s="7" t="inlineStr">
        <is>
          <t>505</t>
        </is>
      </c>
      <c r="C20" s="10" t="inlineStr">
        <is>
          <t>7899780159182</t>
        </is>
      </c>
      <c r="D20" s="7" t="inlineStr">
        <is>
          <t>AGULHA 30X0,7 DESC. WILTEX</t>
        </is>
      </c>
      <c r="E20" s="11" t="n">
        <v>100</v>
      </c>
      <c r="F20" s="11" t="n">
        <v>1</v>
      </c>
      <c r="G20" s="11" t="n">
        <v>1</v>
      </c>
      <c r="H20" s="8" t="n">
        <v>11.6</v>
      </c>
      <c r="I20" s="8">
        <f>G20*H20</f>
        <v/>
      </c>
      <c r="J20" s="8">
        <f>H20/E20</f>
        <v/>
      </c>
      <c r="K20" s="8" t="n">
        <v>0.1234</v>
      </c>
      <c r="L20" s="8" t="n">
        <v>0.1234</v>
      </c>
      <c r="M20" s="12">
        <f>J20/K20-1</f>
        <v/>
      </c>
      <c r="N20" s="7" t="inlineStr">
        <is>
          <t>OK (≤ menor hist.)</t>
        </is>
      </c>
      <c r="O20" s="7" t="inlineStr">
        <is>
          <t>1 emb = 100 un</t>
        </is>
      </c>
    </row>
    <row r="21">
      <c r="A21" s="7" t="n">
        <v>553701</v>
      </c>
      <c r="B21" s="7" t="inlineStr">
        <is>
          <t>503</t>
        </is>
      </c>
      <c r="C21" s="10" t="inlineStr">
        <is>
          <t>78936263</t>
        </is>
      </c>
      <c r="D21" s="7" t="inlineStr">
        <is>
          <t>AGULHA 30X8 WILTEX</t>
        </is>
      </c>
      <c r="E21" s="11" t="n">
        <v>100</v>
      </c>
      <c r="F21" s="11" t="n">
        <v>3</v>
      </c>
      <c r="G21" s="11" t="n">
        <v>1</v>
      </c>
      <c r="H21" s="8" t="n">
        <v>11.42</v>
      </c>
      <c r="I21" s="8">
        <f>G21*H21</f>
        <v/>
      </c>
      <c r="J21" s="8">
        <f>H21/E21</f>
        <v/>
      </c>
      <c r="K21" s="8" t="n">
        <v>0.15</v>
      </c>
      <c r="L21" s="8" t="n">
        <v>0.15</v>
      </c>
      <c r="M21" s="12">
        <f>J21/K21-1</f>
        <v/>
      </c>
      <c r="N21" s="7" t="inlineStr">
        <is>
          <t>OK (≤ menor hist.)</t>
        </is>
      </c>
      <c r="O21" s="7" t="inlineStr">
        <is>
          <t>1 emb = 100 un</t>
        </is>
      </c>
    </row>
    <row r="22">
      <c r="A22" s="7" t="n">
        <v>532221</v>
      </c>
      <c r="B22" s="7" t="inlineStr">
        <is>
          <t>7101</t>
        </is>
      </c>
      <c r="C22" s="10" t="inlineStr">
        <is>
          <t>7898031311010</t>
        </is>
      </c>
      <c r="D22" s="7" t="inlineStr">
        <is>
          <t>ALCOOL 70% SPRAY 50 ML</t>
        </is>
      </c>
      <c r="E22" s="11" t="n">
        <v>1</v>
      </c>
      <c r="F22" s="11" t="n">
        <v>15</v>
      </c>
      <c r="G22" s="11" t="n">
        <v>15</v>
      </c>
      <c r="H22" s="8" t="n">
        <v>4.24</v>
      </c>
      <c r="I22" s="8">
        <f>G22*H22</f>
        <v/>
      </c>
      <c r="J22" s="8">
        <f>H22/E22</f>
        <v/>
      </c>
      <c r="K22" s="8" t="n">
        <v>4.01</v>
      </c>
      <c r="L22" s="8" t="n">
        <v>4.01</v>
      </c>
      <c r="M22" s="12">
        <f>J22/K22-1</f>
        <v/>
      </c>
      <c r="N22" s="7" t="inlineStr">
        <is>
          <t>ACIMA +5.7%</t>
        </is>
      </c>
      <c r="O22" s="7" t="inlineStr"/>
    </row>
    <row r="23">
      <c r="A23" s="7" t="n">
        <v>559941</v>
      </c>
      <c r="B23" s="7" t="inlineStr">
        <is>
          <t>5030</t>
        </is>
      </c>
      <c r="C23" s="10" t="inlineStr">
        <is>
          <t>7898179710775</t>
        </is>
      </c>
      <c r="D23" s="7" t="inlineStr">
        <is>
          <t>ALCOOL ETILICO 50ML</t>
        </is>
      </c>
      <c r="E23" s="11" t="n">
        <v>1</v>
      </c>
      <c r="F23" s="11" t="n">
        <v>7</v>
      </c>
      <c r="G23" s="11" t="n">
        <v>7</v>
      </c>
      <c r="H23" s="8" t="n">
        <v>2.43</v>
      </c>
      <c r="I23" s="8">
        <f>G23*H23</f>
        <v/>
      </c>
      <c r="J23" s="8">
        <f>H23/E23</f>
        <v/>
      </c>
      <c r="K23" s="8" t="n">
        <v>2.11</v>
      </c>
      <c r="L23" s="8" t="n">
        <v>2.11</v>
      </c>
      <c r="M23" s="12">
        <f>J23/K23-1</f>
        <v/>
      </c>
      <c r="N23" s="7" t="inlineStr">
        <is>
          <t>ACIMA +15.2%</t>
        </is>
      </c>
      <c r="O23" s="7" t="inlineStr"/>
    </row>
    <row r="24">
      <c r="A24" s="7" t="n">
        <v>4353</v>
      </c>
      <c r="B24" s="7" t="inlineStr">
        <is>
          <t>1959</t>
        </is>
      </c>
      <c r="C24" s="10" t="inlineStr">
        <is>
          <t>7898582292257</t>
        </is>
      </c>
      <c r="D24" s="7" t="inlineStr">
        <is>
          <t>ALCOOL GEL 60ML UNIPROTEGE</t>
        </is>
      </c>
      <c r="E24" s="11" t="n">
        <v>1</v>
      </c>
      <c r="F24" s="11" t="n">
        <v>4</v>
      </c>
      <c r="G24" s="11" t="n">
        <v>4</v>
      </c>
      <c r="H24" s="8" t="n">
        <v>5.17</v>
      </c>
      <c r="I24" s="8">
        <f>G24*H24</f>
        <v/>
      </c>
      <c r="J24" s="8">
        <f>H24/E24</f>
        <v/>
      </c>
      <c r="K24" s="8" t="n">
        <v>4.51</v>
      </c>
      <c r="L24" s="8" t="n">
        <v>4.51</v>
      </c>
      <c r="M24" s="12">
        <f>J24/K24-1</f>
        <v/>
      </c>
      <c r="N24" s="7" t="inlineStr">
        <is>
          <t>ACIMA +14.6%</t>
        </is>
      </c>
      <c r="O24" s="7" t="inlineStr"/>
    </row>
    <row r="25">
      <c r="A25" s="7" t="n">
        <v>571901</v>
      </c>
      <c r="B25" s="7" t="inlineStr">
        <is>
          <t>9310</t>
        </is>
      </c>
      <c r="C25" s="10" t="inlineStr">
        <is>
          <t>7898582291694</t>
        </is>
      </c>
      <c r="D25" s="7" t="inlineStr">
        <is>
          <t>ALCOOL GEL 70% PERFUMAD COM MICROES 60ML</t>
        </is>
      </c>
      <c r="E25" s="11" t="n">
        <v>1</v>
      </c>
      <c r="F25" s="11" t="n">
        <v>4</v>
      </c>
      <c r="G25" s="11" t="n">
        <v>4</v>
      </c>
      <c r="H25" s="8" t="n">
        <v>5.6</v>
      </c>
      <c r="I25" s="8">
        <f>G25*H25</f>
        <v/>
      </c>
      <c r="J25" s="8">
        <f>H25/E25</f>
        <v/>
      </c>
      <c r="K25" s="8" t="n">
        <v>5.59</v>
      </c>
      <c r="L25" s="8" t="n">
        <v>5.39</v>
      </c>
      <c r="M25" s="12">
        <f>J25/K25-1</f>
        <v/>
      </c>
      <c r="N25" s="7" t="inlineStr">
        <is>
          <t>ACIMA +0.2%</t>
        </is>
      </c>
      <c r="O25" s="7" t="inlineStr"/>
    </row>
    <row r="26">
      <c r="A26" s="7" t="n">
        <v>532241</v>
      </c>
      <c r="B26" s="7" t="inlineStr">
        <is>
          <t>141</t>
        </is>
      </c>
      <c r="C26" s="10" t="inlineStr">
        <is>
          <t>7898031310198</t>
        </is>
      </c>
      <c r="D26" s="7" t="inlineStr">
        <is>
          <t>ALCOOL IODADO 1% 100ML</t>
        </is>
      </c>
      <c r="E26" s="11" t="n">
        <v>1</v>
      </c>
      <c r="F26" s="11" t="n">
        <v>11</v>
      </c>
      <c r="G26" s="11" t="n">
        <v>11</v>
      </c>
      <c r="H26" s="8" t="n">
        <v>4.17</v>
      </c>
      <c r="I26" s="8">
        <f>G26*H26</f>
        <v/>
      </c>
      <c r="J26" s="8">
        <f>H26/E26</f>
        <v/>
      </c>
      <c r="K26" s="8" t="n">
        <v>3.91</v>
      </c>
      <c r="L26" s="8" t="n">
        <v>3.66</v>
      </c>
      <c r="M26" s="12">
        <f>J26/K26-1</f>
        <v/>
      </c>
      <c r="N26" s="7" t="inlineStr">
        <is>
          <t>ACIMA +6.6%</t>
        </is>
      </c>
      <c r="O26" s="7" t="inlineStr"/>
    </row>
    <row r="27">
      <c r="A27" s="7" t="n">
        <v>331061</v>
      </c>
      <c r="B27" s="7" t="inlineStr">
        <is>
          <t>1521</t>
        </is>
      </c>
      <c r="C27" s="10" t="inlineStr">
        <is>
          <t>7896523209715</t>
        </is>
      </c>
      <c r="D27" s="7" t="inlineStr">
        <is>
          <t>ALERGOMINE 10MG/G CREME BG 30G</t>
        </is>
      </c>
      <c r="E27" s="11" t="n">
        <v>1</v>
      </c>
      <c r="F27" s="11" t="n">
        <v>5</v>
      </c>
      <c r="G27" s="11" t="n">
        <v>5</v>
      </c>
      <c r="H27" s="8" t="n">
        <v>6.55</v>
      </c>
      <c r="I27" s="8">
        <f>G27*H27</f>
        <v/>
      </c>
      <c r="J27" s="8">
        <f>H27/E27</f>
        <v/>
      </c>
      <c r="K27" s="8" t="n">
        <v>6.89</v>
      </c>
      <c r="L27" s="8" t="n">
        <v>6.89</v>
      </c>
      <c r="M27" s="12">
        <f>J27/K27-1</f>
        <v/>
      </c>
      <c r="N27" s="7" t="inlineStr">
        <is>
          <t>OK (≤ menor hist.)</t>
        </is>
      </c>
      <c r="O27" s="7" t="inlineStr"/>
    </row>
    <row r="28">
      <c r="A28" s="7" t="n">
        <v>562421</v>
      </c>
      <c r="B28" s="7" t="inlineStr">
        <is>
          <t>812</t>
        </is>
      </c>
      <c r="C28" s="10" t="inlineStr">
        <is>
          <t>7894488000019</t>
        </is>
      </c>
      <c r="D28" s="7" t="inlineStr">
        <is>
          <t>ALGODAO SPARTERX MULTIUSO 25G</t>
        </is>
      </c>
      <c r="E28" s="11" t="n">
        <v>1</v>
      </c>
      <c r="F28" s="11" t="n">
        <v>25</v>
      </c>
      <c r="G28" s="11" t="n">
        <v>25</v>
      </c>
      <c r="H28" s="8" t="n">
        <v>1.09</v>
      </c>
      <c r="I28" s="8">
        <f>G28*H28</f>
        <v/>
      </c>
      <c r="J28" s="8">
        <f>H28/E28</f>
        <v/>
      </c>
      <c r="K28" s="8" t="n">
        <v>1.09</v>
      </c>
      <c r="L28" s="8" t="n">
        <v>1.09</v>
      </c>
      <c r="M28" s="12">
        <f>J28/K28-1</f>
        <v/>
      </c>
      <c r="N28" s="7" t="inlineStr">
        <is>
          <t>OK (≤ menor hist.)</t>
        </is>
      </c>
      <c r="O28" s="7" t="inlineStr"/>
    </row>
    <row r="29">
      <c r="A29" s="7" t="n">
        <v>4373</v>
      </c>
      <c r="B29" s="7" t="inlineStr">
        <is>
          <t>5181</t>
        </is>
      </c>
      <c r="C29" s="10" t="inlineStr">
        <is>
          <t>7896186003316</t>
        </is>
      </c>
      <c r="D29" s="7" t="inlineStr">
        <is>
          <t>ALIVIK 40G POTE</t>
        </is>
      </c>
      <c r="E29" s="11" t="n">
        <v>1</v>
      </c>
      <c r="F29" s="11" t="n">
        <v>5</v>
      </c>
      <c r="G29" s="11" t="n">
        <v>5</v>
      </c>
      <c r="H29" s="8" t="n">
        <v>8.02</v>
      </c>
      <c r="I29" s="8">
        <f>G29*H29</f>
        <v/>
      </c>
      <c r="J29" s="8">
        <f>H29/E29</f>
        <v/>
      </c>
      <c r="K29" s="8" t="n">
        <v>6.52</v>
      </c>
      <c r="L29" s="8" t="n">
        <v>6.52</v>
      </c>
      <c r="M29" s="12">
        <f>J29/K29-1</f>
        <v/>
      </c>
      <c r="N29" s="7" t="inlineStr">
        <is>
          <t>ACIMA +23.0%</t>
        </is>
      </c>
      <c r="O29" s="7" t="inlineStr"/>
    </row>
    <row r="30">
      <c r="A30" s="7" t="n">
        <v>29321</v>
      </c>
      <c r="B30" s="7" t="inlineStr">
        <is>
          <t>161</t>
        </is>
      </c>
      <c r="C30" s="10" t="inlineStr">
        <is>
          <t>7896422516921</t>
        </is>
      </c>
      <c r="D30" s="7" t="inlineStr">
        <is>
          <t>ALOPURINOL 100MG CX 30 COMP</t>
        </is>
      </c>
      <c r="E30" s="11" t="n">
        <v>1</v>
      </c>
      <c r="F30" s="11" t="n">
        <v>1</v>
      </c>
      <c r="G30" s="11" t="n">
        <v>1</v>
      </c>
      <c r="H30" s="8" t="n">
        <v>4.85</v>
      </c>
      <c r="I30" s="8">
        <f>G30*H30</f>
        <v/>
      </c>
      <c r="J30" s="8">
        <f>H30/E30</f>
        <v/>
      </c>
      <c r="K30" s="8" t="n">
        <v>4.0675</v>
      </c>
      <c r="L30" s="8" t="n">
        <v>3.83</v>
      </c>
      <c r="M30" s="12">
        <f>J30/K30-1</f>
        <v/>
      </c>
      <c r="N30" s="7" t="inlineStr">
        <is>
          <t>ACIMA +19.2%</t>
        </is>
      </c>
      <c r="O30" s="7" t="inlineStr"/>
    </row>
    <row r="31">
      <c r="A31" s="7" t="n">
        <v>122441</v>
      </c>
      <c r="B31" s="7" t="inlineStr">
        <is>
          <t>111</t>
        </is>
      </c>
      <c r="C31" s="10" t="inlineStr">
        <is>
          <t>7898100243143</t>
        </is>
      </c>
      <c r="D31" s="7" t="inlineStr">
        <is>
          <t>AMBROL 15MG/5ML XPE FR 100ML PED</t>
        </is>
      </c>
      <c r="E31" s="11" t="n">
        <v>1</v>
      </c>
      <c r="F31" s="11" t="n">
        <v>16</v>
      </c>
      <c r="G31" s="11" t="n">
        <v>16</v>
      </c>
      <c r="H31" s="8" t="n">
        <v>4.69</v>
      </c>
      <c r="I31" s="8">
        <f>G31*H31</f>
        <v/>
      </c>
      <c r="J31" s="8">
        <f>H31/E31</f>
        <v/>
      </c>
      <c r="K31" s="8" t="n">
        <v>3.69</v>
      </c>
      <c r="L31" s="8" t="n">
        <v>3.69</v>
      </c>
      <c r="M31" s="12">
        <f>J31/K31-1</f>
        <v/>
      </c>
      <c r="N31" s="7" t="inlineStr">
        <is>
          <t>ACIMA +27.1%</t>
        </is>
      </c>
      <c r="O31" s="7" t="inlineStr"/>
    </row>
    <row r="32">
      <c r="A32" s="7" t="n">
        <v>122461</v>
      </c>
      <c r="B32" s="7" t="inlineStr">
        <is>
          <t>110</t>
        </is>
      </c>
      <c r="C32" s="10" t="inlineStr">
        <is>
          <t>7898100243150</t>
        </is>
      </c>
      <c r="D32" s="7" t="inlineStr">
        <is>
          <t>AMBROL 30MG/5ML XPE FR 100ML ADU</t>
        </is>
      </c>
      <c r="E32" s="11" t="n">
        <v>1</v>
      </c>
      <c r="F32" s="11" t="n">
        <v>70</v>
      </c>
      <c r="G32" s="11" t="n">
        <v>70</v>
      </c>
      <c r="H32" s="8" t="n">
        <v>4.71</v>
      </c>
      <c r="I32" s="8">
        <f>G32*H32</f>
        <v/>
      </c>
      <c r="J32" s="8">
        <f>H32/E32</f>
        <v/>
      </c>
      <c r="K32" s="8" t="n">
        <v>4.68</v>
      </c>
      <c r="L32" s="8" t="n">
        <v>3.69</v>
      </c>
      <c r="M32" s="12">
        <f>J32/K32-1</f>
        <v/>
      </c>
      <c r="N32" s="7" t="inlineStr">
        <is>
          <t>ACIMA +0.6%</t>
        </is>
      </c>
      <c r="O32" s="7" t="inlineStr"/>
    </row>
    <row r="33">
      <c r="A33" s="7" t="n">
        <v>533061</v>
      </c>
      <c r="B33" s="7" t="inlineStr">
        <is>
          <t>6555</t>
        </is>
      </c>
      <c r="C33" s="10" t="inlineStr">
        <is>
          <t>7899620915091</t>
        </is>
      </c>
      <c r="D33" s="7" t="inlineStr">
        <is>
          <t>APETISINA BC 240ML MORANGO</t>
        </is>
      </c>
      <c r="E33" s="11" t="n">
        <v>1</v>
      </c>
      <c r="F33" s="11" t="n">
        <v>5</v>
      </c>
      <c r="G33" s="11" t="n">
        <v>5</v>
      </c>
      <c r="H33" s="8" t="n">
        <v>5.49</v>
      </c>
      <c r="I33" s="8">
        <f>G33*H33</f>
        <v/>
      </c>
      <c r="J33" s="8">
        <f>H33/E33</f>
        <v/>
      </c>
      <c r="K33" s="8" t="n">
        <v>4.35</v>
      </c>
      <c r="L33" s="8" t="n">
        <v>4.35</v>
      </c>
      <c r="M33" s="12">
        <f>J33/K33-1</f>
        <v/>
      </c>
      <c r="N33" s="7" t="inlineStr">
        <is>
          <t>ACIMA +26.2%</t>
        </is>
      </c>
      <c r="O33" s="7" t="inlineStr"/>
    </row>
    <row r="34">
      <c r="A34" s="7" t="n">
        <v>547741</v>
      </c>
      <c r="B34" s="7" t="inlineStr">
        <is>
          <t>2609</t>
        </is>
      </c>
      <c r="C34" s="10" t="inlineStr">
        <is>
          <t>7899620910584</t>
        </is>
      </c>
      <c r="D34" s="7" t="inlineStr">
        <is>
          <t>APETISINA BC 240ML UVA</t>
        </is>
      </c>
      <c r="E34" s="11" t="n">
        <v>1</v>
      </c>
      <c r="F34" s="11" t="n">
        <v>4</v>
      </c>
      <c r="G34" s="11" t="n">
        <v>4</v>
      </c>
      <c r="H34" s="8" t="n">
        <v>5.49</v>
      </c>
      <c r="I34" s="8">
        <f>G34*H34</f>
        <v/>
      </c>
      <c r="J34" s="8">
        <f>H34/E34</f>
        <v/>
      </c>
      <c r="K34" s="8" t="n">
        <v>5.48</v>
      </c>
      <c r="L34" s="8" t="n">
        <v>4.8</v>
      </c>
      <c r="M34" s="12">
        <f>J34/K34-1</f>
        <v/>
      </c>
      <c r="N34" s="7" t="inlineStr">
        <is>
          <t>ACIMA +0.2%</t>
        </is>
      </c>
      <c r="O34" s="7" t="inlineStr"/>
    </row>
    <row r="35">
      <c r="A35" s="7" t="n">
        <v>5503</v>
      </c>
      <c r="B35" s="7" t="inlineStr">
        <is>
          <t>9627</t>
        </is>
      </c>
      <c r="C35" s="10" t="inlineStr">
        <is>
          <t>7898767760922</t>
        </is>
      </c>
      <c r="D35" s="7" t="inlineStr">
        <is>
          <t>ARTRIFLEX 40MG C/60 CPS</t>
        </is>
      </c>
      <c r="E35" s="11" t="n">
        <v>1</v>
      </c>
      <c r="F35" s="11" t="n">
        <v>1</v>
      </c>
      <c r="G35" s="11" t="n">
        <v>1</v>
      </c>
      <c r="H35" s="8" t="n">
        <v>42.39</v>
      </c>
      <c r="I35" s="8">
        <f>G35*H35</f>
        <v/>
      </c>
      <c r="J35" s="8">
        <f>H35/E35</f>
        <v/>
      </c>
      <c r="K35" s="8" t="n">
        <v>26.99</v>
      </c>
      <c r="L35" s="8" t="n">
        <v>26.99</v>
      </c>
      <c r="M35" s="12">
        <f>J35/K35-1</f>
        <v/>
      </c>
      <c r="N35" s="7" t="inlineStr">
        <is>
          <t>ACIMA +57.1%</t>
        </is>
      </c>
      <c r="O35" s="7" t="inlineStr"/>
    </row>
    <row r="36">
      <c r="A36" s="7" t="n">
        <v>339181</v>
      </c>
      <c r="B36" s="7" t="inlineStr">
        <is>
          <t>9</t>
        </is>
      </c>
      <c r="C36" s="10" t="inlineStr">
        <is>
          <t>7898216360581</t>
        </is>
      </c>
      <c r="D36" s="7" t="inlineStr">
        <is>
          <t>ARTRITEC 7,5MG CX 10 COMP</t>
        </is>
      </c>
      <c r="E36" s="11" t="n">
        <v>1</v>
      </c>
      <c r="F36" s="11" t="n">
        <v>2</v>
      </c>
      <c r="G36" s="11" t="n">
        <v>2</v>
      </c>
      <c r="H36" s="8" t="n">
        <v>3.3</v>
      </c>
      <c r="I36" s="8">
        <f>G36*H36</f>
        <v/>
      </c>
      <c r="J36" s="8">
        <f>H36/E36</f>
        <v/>
      </c>
      <c r="K36" s="8" t="n">
        <v>3.22</v>
      </c>
      <c r="L36" s="8" t="n">
        <v>3.22</v>
      </c>
      <c r="M36" s="12">
        <f>J36/K36-1</f>
        <v/>
      </c>
      <c r="N36" s="7" t="inlineStr">
        <is>
          <t>ACIMA +2.5%</t>
        </is>
      </c>
      <c r="O36" s="7" t="inlineStr"/>
    </row>
    <row r="37">
      <c r="A37" s="7" t="n">
        <v>3443</v>
      </c>
      <c r="B37" s="7" t="inlineStr">
        <is>
          <t>6415</t>
        </is>
      </c>
      <c r="C37" s="10" t="inlineStr">
        <is>
          <t>7898108641323</t>
        </is>
      </c>
      <c r="D37" s="7" t="inlineStr">
        <is>
          <t>ATADURA DE CREPE 06CM C/12 UND</t>
        </is>
      </c>
      <c r="E37" s="11" t="n">
        <v>1</v>
      </c>
      <c r="F37" s="11" t="n">
        <v>1</v>
      </c>
      <c r="G37" s="11" t="n">
        <v>1</v>
      </c>
      <c r="H37" s="8" t="n">
        <v>1.24</v>
      </c>
      <c r="I37" s="8">
        <f>G37*H37</f>
        <v/>
      </c>
      <c r="J37" s="8">
        <f>H37/E37</f>
        <v/>
      </c>
      <c r="K37" s="8" t="n">
        <v>12.54</v>
      </c>
      <c r="L37" s="8" t="n">
        <v>12.54</v>
      </c>
      <c r="M37" s="12">
        <f>J37/K37-1</f>
        <v/>
      </c>
      <c r="N37" s="7" t="inlineStr">
        <is>
          <t>OK (≤ menor hist.)</t>
        </is>
      </c>
      <c r="O37" s="7" t="inlineStr">
        <is>
          <t>conferir emb.</t>
        </is>
      </c>
    </row>
    <row r="38">
      <c r="A38" s="7" t="n">
        <v>597791</v>
      </c>
      <c r="B38" s="7" t="inlineStr">
        <is>
          <t>7705</t>
        </is>
      </c>
      <c r="C38" s="10" t="inlineStr">
        <is>
          <t>7898933598625</t>
        </is>
      </c>
      <c r="D38" s="7" t="inlineStr">
        <is>
          <t>ATADURA DE CREPE 06CM UND</t>
        </is>
      </c>
      <c r="E38" s="11" t="n">
        <v>12</v>
      </c>
      <c r="F38" s="11" t="n">
        <v>7</v>
      </c>
      <c r="G38" s="11" t="n">
        <v>1</v>
      </c>
      <c r="H38" s="8" t="n">
        <v>5.25</v>
      </c>
      <c r="I38" s="8">
        <f>G38*H38</f>
        <v/>
      </c>
      <c r="J38" s="8">
        <f>H38/E38</f>
        <v/>
      </c>
      <c r="K38" s="8" t="n">
        <v>0.4992</v>
      </c>
      <c r="L38" s="8" t="n">
        <v>0.4992</v>
      </c>
      <c r="M38" s="12">
        <f>J38/K38-1</f>
        <v/>
      </c>
      <c r="N38" s="7" t="inlineStr">
        <is>
          <t>OK (≤ menor hist.)</t>
        </is>
      </c>
      <c r="O38" s="7" t="inlineStr">
        <is>
          <t>1 emb = 12 un</t>
        </is>
      </c>
    </row>
    <row r="39">
      <c r="A39" s="7" t="n">
        <v>621511</v>
      </c>
      <c r="B39" s="7" t="inlineStr">
        <is>
          <t>7648</t>
        </is>
      </c>
      <c r="C39" s="10" t="inlineStr">
        <is>
          <t>7898933598816</t>
        </is>
      </c>
      <c r="D39" s="7" t="inlineStr">
        <is>
          <t>ATADURA DE CREPE 10CM 13 FIOS TEXPHARMA</t>
        </is>
      </c>
      <c r="E39" s="11" t="n">
        <v>12</v>
      </c>
      <c r="F39" s="11" t="n">
        <v>12</v>
      </c>
      <c r="G39" s="11" t="n">
        <v>1</v>
      </c>
      <c r="H39" s="8" t="n">
        <v>6.53</v>
      </c>
      <c r="I39" s="8">
        <f>G39*H39</f>
        <v/>
      </c>
      <c r="J39" s="8">
        <f>H39/E39</f>
        <v/>
      </c>
      <c r="K39" s="8" t="n">
        <v>0.8325</v>
      </c>
      <c r="L39" s="8" t="n">
        <v>0.8325</v>
      </c>
      <c r="M39" s="12">
        <f>J39/K39-1</f>
        <v/>
      </c>
      <c r="N39" s="7" t="inlineStr">
        <is>
          <t>OK (≤ menor hist.)</t>
        </is>
      </c>
      <c r="O39" s="7" t="inlineStr">
        <is>
          <t>1 emb = 12 un</t>
        </is>
      </c>
    </row>
    <row r="40">
      <c r="A40" s="7" t="n">
        <v>623471</v>
      </c>
      <c r="B40" s="7" t="inlineStr">
        <is>
          <t>7553</t>
        </is>
      </c>
      <c r="C40" s="10" t="inlineStr">
        <is>
          <t>7898933598755</t>
        </is>
      </c>
      <c r="D40" s="7" t="inlineStr">
        <is>
          <t>ATADURA DE CREPE 15CM C/12 UND</t>
        </is>
      </c>
      <c r="E40" s="11" t="n">
        <v>12</v>
      </c>
      <c r="F40" s="11" t="n">
        <v>11</v>
      </c>
      <c r="G40" s="11" t="n">
        <v>1</v>
      </c>
      <c r="H40" s="8" t="n">
        <v>9.82</v>
      </c>
      <c r="I40" s="8">
        <f>G40*H40</f>
        <v/>
      </c>
      <c r="J40" s="8">
        <f>H40/E40</f>
        <v/>
      </c>
      <c r="K40" s="8" t="n">
        <v>1.2492</v>
      </c>
      <c r="L40" s="8" t="n">
        <v>1.1658</v>
      </c>
      <c r="M40" s="12">
        <f>J40/K40-1</f>
        <v/>
      </c>
      <c r="N40" s="7" t="inlineStr">
        <is>
          <t>OK (≤ menor hist.)</t>
        </is>
      </c>
      <c r="O40" s="7" t="inlineStr">
        <is>
          <t>1 emb = 12 un</t>
        </is>
      </c>
    </row>
    <row r="41">
      <c r="A41" s="7" t="n">
        <v>623481</v>
      </c>
      <c r="B41" s="7" t="inlineStr">
        <is>
          <t>7706</t>
        </is>
      </c>
      <c r="C41" s="10" t="inlineStr">
        <is>
          <t>7898933598847</t>
        </is>
      </c>
      <c r="D41" s="7" t="inlineStr">
        <is>
          <t>ATADURA DE CREPE 20CM 13 FIOS TEXPHARMA</t>
        </is>
      </c>
      <c r="E41" s="11" t="n">
        <v>12</v>
      </c>
      <c r="F41" s="11" t="n">
        <v>1</v>
      </c>
      <c r="G41" s="11" t="n">
        <v>1</v>
      </c>
      <c r="H41" s="8" t="n">
        <v>13.08</v>
      </c>
      <c r="I41" s="8">
        <f>G41*H41</f>
        <v/>
      </c>
      <c r="J41" s="8">
        <f>H41/E41</f>
        <v/>
      </c>
      <c r="K41" s="8" t="n">
        <v>1.6658</v>
      </c>
      <c r="L41" s="8" t="n">
        <v>1.6658</v>
      </c>
      <c r="M41" s="12">
        <f>J41/K41-1</f>
        <v/>
      </c>
      <c r="N41" s="7" t="inlineStr">
        <is>
          <t>OK (≤ menor hist.)</t>
        </is>
      </c>
      <c r="O41" s="7" t="inlineStr">
        <is>
          <t>1 emb = 12 un</t>
        </is>
      </c>
    </row>
    <row r="42">
      <c r="A42" s="7" t="n">
        <v>613211</v>
      </c>
      <c r="B42" s="7" t="inlineStr">
        <is>
          <t>7710</t>
        </is>
      </c>
      <c r="C42" s="10" t="inlineStr">
        <is>
          <t>7898933598786</t>
        </is>
      </c>
      <c r="D42" s="7" t="inlineStr">
        <is>
          <t>ATADURA DE CREPE 30CM C/12 UND</t>
        </is>
      </c>
      <c r="E42" s="11" t="n">
        <v>12</v>
      </c>
      <c r="F42" s="11" t="n">
        <v>3</v>
      </c>
      <c r="G42" s="11" t="n">
        <v>1</v>
      </c>
      <c r="H42" s="8" t="n">
        <v>19.67</v>
      </c>
      <c r="I42" s="8">
        <f>G42*H42</f>
        <v/>
      </c>
      <c r="J42" s="8">
        <f>H42/E42</f>
        <v/>
      </c>
      <c r="K42" s="8" t="n">
        <v>2.1658</v>
      </c>
      <c r="L42" s="8" t="n">
        <v>2.1658</v>
      </c>
      <c r="M42" s="12">
        <f>J42/K42-1</f>
        <v/>
      </c>
      <c r="N42" s="7" t="inlineStr">
        <is>
          <t>OK (≤ menor hist.)</t>
        </is>
      </c>
      <c r="O42" s="7" t="inlineStr">
        <is>
          <t>1 emb = 12 un</t>
        </is>
      </c>
    </row>
    <row r="43">
      <c r="A43" s="7" t="n">
        <v>653621</v>
      </c>
      <c r="B43" s="7" t="inlineStr">
        <is>
          <t>10682</t>
        </is>
      </c>
      <c r="C43" s="10" t="inlineStr">
        <is>
          <t>7898108642108</t>
        </is>
      </c>
      <c r="D43" s="7" t="inlineStr">
        <is>
          <t>ATADURA DE CREPE MICKEY 12CM</t>
        </is>
      </c>
      <c r="E43" s="11" t="n">
        <v>1</v>
      </c>
      <c r="F43" s="11" t="n">
        <v>2</v>
      </c>
      <c r="G43" s="11" t="n">
        <v>2</v>
      </c>
      <c r="H43" s="8" t="n">
        <v>2.66</v>
      </c>
      <c r="I43" s="8">
        <f>G43*H43</f>
        <v/>
      </c>
      <c r="J43" s="8">
        <f>H43/E43</f>
        <v/>
      </c>
      <c r="K43" s="8" t="n">
        <v>2.53</v>
      </c>
      <c r="L43" s="8" t="n">
        <v>2.51</v>
      </c>
      <c r="M43" s="12">
        <f>J43/K43-1</f>
        <v/>
      </c>
      <c r="N43" s="7" t="inlineStr">
        <is>
          <t>ACIMA +5.1%</t>
        </is>
      </c>
      <c r="O43" s="7" t="inlineStr"/>
    </row>
    <row r="44">
      <c r="A44" s="7" t="n">
        <v>661601</v>
      </c>
      <c r="B44" s="7" t="inlineStr">
        <is>
          <t>224</t>
        </is>
      </c>
      <c r="C44" s="10" t="inlineStr">
        <is>
          <t>7898108641347</t>
        </is>
      </c>
      <c r="D44" s="7" t="inlineStr">
        <is>
          <t>ATADURA DE CREPE SANF 12CMX1,80M</t>
        </is>
      </c>
      <c r="E44" s="11" t="n">
        <v>1</v>
      </c>
      <c r="F44" s="11" t="n">
        <v>2</v>
      </c>
      <c r="G44" s="11" t="n">
        <v>2</v>
      </c>
      <c r="H44" s="8" t="n">
        <v>2.33</v>
      </c>
      <c r="I44" s="8">
        <f>G44*H44</f>
        <v/>
      </c>
      <c r="J44" s="8">
        <f>H44/E44</f>
        <v/>
      </c>
      <c r="K44" s="8" t="n">
        <v>2.23</v>
      </c>
      <c r="L44" s="8" t="n">
        <v>2.23</v>
      </c>
      <c r="M44" s="12">
        <f>J44/K44-1</f>
        <v/>
      </c>
      <c r="N44" s="7" t="inlineStr">
        <is>
          <t>ACIMA +4.5%</t>
        </is>
      </c>
      <c r="O44" s="7" t="inlineStr"/>
    </row>
    <row r="45">
      <c r="A45" s="7" t="n">
        <v>648271</v>
      </c>
      <c r="B45" s="7" t="inlineStr">
        <is>
          <t>225</t>
        </is>
      </c>
      <c r="C45" s="10" t="inlineStr">
        <is>
          <t>7898108641354</t>
        </is>
      </c>
      <c r="D45" s="7" t="inlineStr">
        <is>
          <t>ATADURA DE CREPE SANF 15CMX1,80M</t>
        </is>
      </c>
      <c r="E45" s="11" t="n">
        <v>1</v>
      </c>
      <c r="F45" s="11" t="n">
        <v>1</v>
      </c>
      <c r="G45" s="11" t="n">
        <v>1</v>
      </c>
      <c r="H45" s="8" t="n">
        <v>3.07</v>
      </c>
      <c r="I45" s="8">
        <f>G45*H45</f>
        <v/>
      </c>
      <c r="J45" s="8">
        <f>H45/E45</f>
        <v/>
      </c>
      <c r="K45" s="8" t="n">
        <v>2.6808</v>
      </c>
      <c r="L45" s="8" t="n">
        <v>2.6808</v>
      </c>
      <c r="M45" s="12">
        <f>J45/K45-1</f>
        <v/>
      </c>
      <c r="N45" s="7" t="inlineStr">
        <is>
          <t>ACIMA +14.5%</t>
        </is>
      </c>
      <c r="O45" s="7" t="inlineStr"/>
    </row>
    <row r="46">
      <c r="A46" s="7" t="n">
        <v>648171</v>
      </c>
      <c r="B46" s="7" t="inlineStr">
        <is>
          <t>8460</t>
        </is>
      </c>
      <c r="C46" s="10" t="inlineStr">
        <is>
          <t>7908007905478</t>
        </is>
      </c>
      <c r="D46" s="7" t="inlineStr">
        <is>
          <t>AUTOTESTE COVID-19 AG (TESTE RAPIDO)</t>
        </is>
      </c>
      <c r="E46" s="11" t="n">
        <v>1</v>
      </c>
      <c r="F46" s="11" t="n">
        <v>1</v>
      </c>
      <c r="G46" s="11" t="n">
        <v>1</v>
      </c>
      <c r="H46" s="8" t="n">
        <v>8.289999999999999</v>
      </c>
      <c r="I46" s="8">
        <f>G46*H46</f>
        <v/>
      </c>
      <c r="J46" s="8">
        <f>H46/E46</f>
        <v/>
      </c>
      <c r="K46" s="8" t="n">
        <v>10.7</v>
      </c>
      <c r="L46" s="8" t="n">
        <v>10.7</v>
      </c>
      <c r="M46" s="12">
        <f>J46/K46-1</f>
        <v/>
      </c>
      <c r="N46" s="7" t="inlineStr">
        <is>
          <t>OK (≤ menor hist.)</t>
        </is>
      </c>
      <c r="O46" s="7" t="inlineStr"/>
    </row>
    <row r="47">
      <c r="A47" s="7" t="n">
        <v>3143</v>
      </c>
      <c r="B47" s="7" t="inlineStr">
        <is>
          <t>165</t>
        </is>
      </c>
      <c r="C47" s="10" t="inlineStr">
        <is>
          <t>7898031310259</t>
        </is>
      </c>
      <c r="D47" s="7" t="inlineStr">
        <is>
          <t>AZEITE DOCE 30ML</t>
        </is>
      </c>
      <c r="E47" s="11" t="n">
        <v>1</v>
      </c>
      <c r="F47" s="11" t="n">
        <v>1</v>
      </c>
      <c r="G47" s="11" t="n">
        <v>1</v>
      </c>
      <c r="H47" s="8" t="n">
        <v>3.6</v>
      </c>
      <c r="I47" s="8">
        <f>G47*H47</f>
        <v/>
      </c>
      <c r="J47" s="8">
        <f>H47/E47</f>
        <v/>
      </c>
      <c r="K47" s="8" t="n">
        <v>3.54</v>
      </c>
      <c r="L47" s="8" t="n">
        <v>3.54</v>
      </c>
      <c r="M47" s="12">
        <f>J47/K47-1</f>
        <v/>
      </c>
      <c r="N47" s="7" t="inlineStr">
        <is>
          <t>ACIMA +1.7%</t>
        </is>
      </c>
      <c r="O47" s="7" t="inlineStr"/>
    </row>
    <row r="48">
      <c r="A48" s="7" t="n">
        <v>46141</v>
      </c>
      <c r="B48" s="7" t="inlineStr">
        <is>
          <t>2051</t>
        </is>
      </c>
      <c r="C48" s="10" t="inlineStr">
        <is>
          <t>7898060132518</t>
        </is>
      </c>
      <c r="D48" s="7" t="inlineStr">
        <is>
          <t>AZITROMICINA 500MG CX 5 COMP</t>
        </is>
      </c>
      <c r="E48" s="11" t="n">
        <v>1</v>
      </c>
      <c r="F48" s="11" t="n">
        <v>1</v>
      </c>
      <c r="G48" s="11" t="n">
        <v>1</v>
      </c>
      <c r="H48" s="8" t="n">
        <v>6.44</v>
      </c>
      <c r="I48" s="8">
        <f>G48*H48</f>
        <v/>
      </c>
      <c r="J48" s="8">
        <f>H48/E48</f>
        <v/>
      </c>
      <c r="K48" s="8" t="n">
        <v>5.86</v>
      </c>
      <c r="L48" s="8" t="n">
        <v>5.86</v>
      </c>
      <c r="M48" s="12">
        <f>J48/K48-1</f>
        <v/>
      </c>
      <c r="N48" s="7" t="inlineStr">
        <is>
          <t>ACIMA +9.9%</t>
        </is>
      </c>
      <c r="O48" s="7" t="inlineStr"/>
    </row>
    <row r="49">
      <c r="A49" s="7" t="n">
        <v>47221</v>
      </c>
      <c r="B49" s="7" t="inlineStr">
        <is>
          <t>4650</t>
        </is>
      </c>
      <c r="C49" s="10" t="inlineStr">
        <is>
          <t>7898216365708</t>
        </is>
      </c>
      <c r="D49" s="7" t="inlineStr">
        <is>
          <t>AZITROMICINA DI-HIDRATADA 500MG CX 5 COMP REV</t>
        </is>
      </c>
      <c r="E49" s="11" t="n">
        <v>1</v>
      </c>
      <c r="F49" s="11" t="n">
        <v>18</v>
      </c>
      <c r="G49" s="11" t="n">
        <v>18</v>
      </c>
      <c r="H49" s="8" t="n">
        <v>6</v>
      </c>
      <c r="I49" s="8">
        <f>G49*H49</f>
        <v/>
      </c>
      <c r="J49" s="8">
        <f>H49/E49</f>
        <v/>
      </c>
      <c r="K49" s="8" t="n">
        <v>5.78</v>
      </c>
      <c r="L49" s="8" t="n">
        <v>5.78</v>
      </c>
      <c r="M49" s="12">
        <f>J49/K49-1</f>
        <v/>
      </c>
      <c r="N49" s="7" t="inlineStr">
        <is>
          <t>ACIMA +3.8%</t>
        </is>
      </c>
      <c r="O49" s="7" t="inlineStr"/>
    </row>
    <row r="50">
      <c r="A50" s="7" t="n">
        <v>48221</v>
      </c>
      <c r="B50" s="7" t="inlineStr">
        <is>
          <t>4</t>
        </is>
      </c>
      <c r="C50" s="10" t="inlineStr">
        <is>
          <t>7898216360123</t>
        </is>
      </c>
      <c r="D50" s="7" t="inlineStr">
        <is>
          <t>AZITROPHAR 500MG CX 3 COM REV</t>
        </is>
      </c>
      <c r="E50" s="11" t="n">
        <v>1</v>
      </c>
      <c r="F50" s="11" t="n">
        <v>3</v>
      </c>
      <c r="G50" s="11" t="n">
        <v>3</v>
      </c>
      <c r="H50" s="8" t="n">
        <v>3.91</v>
      </c>
      <c r="I50" s="8">
        <f>G50*H50</f>
        <v/>
      </c>
      <c r="J50" s="8">
        <f>H50/E50</f>
        <v/>
      </c>
      <c r="K50" s="8" t="n">
        <v>3.63</v>
      </c>
      <c r="L50" s="8" t="n">
        <v>3.63</v>
      </c>
      <c r="M50" s="12">
        <f>J50/K50-1</f>
        <v/>
      </c>
      <c r="N50" s="7" t="inlineStr">
        <is>
          <t>ACIMA +7.7%</t>
        </is>
      </c>
      <c r="O50" s="7" t="inlineStr"/>
    </row>
    <row r="51">
      <c r="A51" s="7" t="n">
        <v>47701</v>
      </c>
      <c r="B51" s="7" t="inlineStr">
        <is>
          <t>6</t>
        </is>
      </c>
      <c r="C51" s="10" t="inlineStr">
        <is>
          <t>7898216364510</t>
        </is>
      </c>
      <c r="D51" s="7" t="inlineStr">
        <is>
          <t>AZITROPHAR 600MG PO SUS OR FR 15ML + SER DOS 5ML</t>
        </is>
      </c>
      <c r="E51" s="11" t="n">
        <v>1</v>
      </c>
      <c r="F51" s="11" t="n">
        <v>6</v>
      </c>
      <c r="G51" s="11" t="n">
        <v>6</v>
      </c>
      <c r="H51" s="8" t="n">
        <v>14.499</v>
      </c>
      <c r="I51" s="8">
        <f>G51*H51</f>
        <v/>
      </c>
      <c r="J51" s="8">
        <f>H51/E51</f>
        <v/>
      </c>
      <c r="K51" s="8" t="n">
        <v>13.96</v>
      </c>
      <c r="L51" s="8" t="n">
        <v>13.96</v>
      </c>
      <c r="M51" s="12">
        <f>J51/K51-1</f>
        <v/>
      </c>
      <c r="N51" s="7" t="inlineStr">
        <is>
          <t>ACIMA +3.9%</t>
        </is>
      </c>
      <c r="O51" s="7" t="inlineStr"/>
    </row>
    <row r="52">
      <c r="A52" s="7" t="n">
        <v>533001</v>
      </c>
      <c r="B52" s="7" t="inlineStr">
        <is>
          <t>1371</t>
        </is>
      </c>
      <c r="C52" s="10" t="inlineStr">
        <is>
          <t>7896523223223</t>
        </is>
      </c>
      <c r="D52" s="7" t="inlineStr">
        <is>
          <t>BABYMED MENINO 45G POMADA</t>
        </is>
      </c>
      <c r="E52" s="11" t="n">
        <v>1</v>
      </c>
      <c r="F52" s="11" t="n">
        <v>11</v>
      </c>
      <c r="G52" s="11" t="n">
        <v>11</v>
      </c>
      <c r="H52" s="8" t="n">
        <v>6.74</v>
      </c>
      <c r="I52" s="8">
        <f>G52*H52</f>
        <v/>
      </c>
      <c r="J52" s="8">
        <f>H52/E52</f>
        <v/>
      </c>
      <c r="K52" s="8" t="n">
        <v>4.99</v>
      </c>
      <c r="L52" s="8" t="n">
        <v>4.99</v>
      </c>
      <c r="M52" s="12">
        <f>J52/K52-1</f>
        <v/>
      </c>
      <c r="N52" s="7" t="inlineStr">
        <is>
          <t>ACIMA +35.1%</t>
        </is>
      </c>
      <c r="O52" s="7" t="inlineStr"/>
    </row>
    <row r="53">
      <c r="A53" s="7" t="n">
        <v>606841</v>
      </c>
      <c r="B53" s="7" t="inlineStr">
        <is>
          <t>1619</t>
        </is>
      </c>
      <c r="C53" s="10" t="inlineStr">
        <is>
          <t>7896148500259</t>
        </is>
      </c>
      <c r="D53" s="7" t="inlineStr">
        <is>
          <t>BALAS DE FITOMELITO 37G (FIT)</t>
        </is>
      </c>
      <c r="E53" s="11" t="n">
        <v>1</v>
      </c>
      <c r="F53" s="11" t="n">
        <v>11</v>
      </c>
      <c r="G53" s="11" t="n">
        <v>11</v>
      </c>
      <c r="H53" s="8" t="n">
        <v>4.47</v>
      </c>
      <c r="I53" s="8">
        <f>G53*H53</f>
        <v/>
      </c>
      <c r="J53" s="8">
        <f>H53/E53</f>
        <v/>
      </c>
      <c r="K53" s="8" t="n">
        <v>3.68</v>
      </c>
      <c r="L53" s="8" t="n">
        <v>3.68</v>
      </c>
      <c r="M53" s="12">
        <f>J53/K53-1</f>
        <v/>
      </c>
      <c r="N53" s="7" t="inlineStr">
        <is>
          <t>ACIMA +21.5%</t>
        </is>
      </c>
      <c r="O53" s="7" t="inlineStr"/>
    </row>
    <row r="54">
      <c r="A54" s="7" t="n">
        <v>541321</v>
      </c>
      <c r="B54" s="7" t="inlineStr">
        <is>
          <t>10510</t>
        </is>
      </c>
      <c r="C54" s="10" t="inlineStr">
        <is>
          <t>7898563802468</t>
        </is>
      </c>
      <c r="D54" s="7" t="inlineStr">
        <is>
          <t>BATOM DE CACAU UN</t>
        </is>
      </c>
      <c r="E54" s="11" t="n">
        <v>1</v>
      </c>
      <c r="F54" s="11" t="n">
        <v>1</v>
      </c>
      <c r="G54" s="11" t="n">
        <v>1</v>
      </c>
      <c r="H54" s="8" t="n">
        <v>1.61</v>
      </c>
      <c r="I54" s="8">
        <f>G54*H54</f>
        <v/>
      </c>
      <c r="J54" s="8">
        <f>H54/E54</f>
        <v/>
      </c>
      <c r="K54" s="8" t="n">
        <v>1.61</v>
      </c>
      <c r="L54" s="8" t="n">
        <v>1.61</v>
      </c>
      <c r="M54" s="12">
        <f>J54/K54-1</f>
        <v/>
      </c>
      <c r="N54" s="7" t="inlineStr">
        <is>
          <t>OK (≤ menor hist.)</t>
        </is>
      </c>
      <c r="O54" s="7" t="inlineStr"/>
    </row>
    <row r="55">
      <c r="A55" s="7" t="n">
        <v>590701</v>
      </c>
      <c r="B55" s="7" t="inlineStr">
        <is>
          <t>3079</t>
        </is>
      </c>
      <c r="C55" s="10" t="inlineStr">
        <is>
          <t>7898031310075</t>
        </is>
      </c>
      <c r="D55" s="7" t="inlineStr">
        <is>
          <t>BAZELIN 10G UN</t>
        </is>
      </c>
      <c r="E55" s="11" t="n">
        <v>1</v>
      </c>
      <c r="F55" s="11" t="n">
        <v>1</v>
      </c>
      <c r="G55" s="11" t="n">
        <v>1</v>
      </c>
      <c r="H55" s="8" t="n">
        <v>3.81</v>
      </c>
      <c r="I55" s="8">
        <f>G55*H55</f>
        <v/>
      </c>
      <c r="J55" s="8">
        <f>H55/E55</f>
        <v/>
      </c>
      <c r="K55" s="8" t="n">
        <v>3.79</v>
      </c>
      <c r="L55" s="8" t="n">
        <v>3.79</v>
      </c>
      <c r="M55" s="12">
        <f>J55/K55-1</f>
        <v/>
      </c>
      <c r="N55" s="7" t="inlineStr">
        <is>
          <t>ACIMA +0.5%</t>
        </is>
      </c>
      <c r="O55" s="7" t="inlineStr"/>
    </row>
    <row r="56">
      <c r="A56" s="7" t="n">
        <v>446981</v>
      </c>
      <c r="B56" s="7" t="inlineStr">
        <is>
          <t>508</t>
        </is>
      </c>
      <c r="C56" s="10" t="inlineStr">
        <is>
          <t>7897917000260</t>
        </is>
      </c>
      <c r="D56" s="7" t="inlineStr">
        <is>
          <t>BELFACTRIM 400+80MG CX 20 COMP</t>
        </is>
      </c>
      <c r="E56" s="11" t="n">
        <v>1</v>
      </c>
      <c r="F56" s="11" t="n">
        <v>2</v>
      </c>
      <c r="G56" s="11" t="n">
        <v>2</v>
      </c>
      <c r="H56" s="8" t="n">
        <v>6.3</v>
      </c>
      <c r="I56" s="8">
        <f>G56*H56</f>
        <v/>
      </c>
      <c r="J56" s="8">
        <f>H56/E56</f>
        <v/>
      </c>
      <c r="K56" s="8" t="n">
        <v>5.42</v>
      </c>
      <c r="L56" s="8" t="n">
        <v>5.42</v>
      </c>
      <c r="M56" s="12">
        <f>J56/K56-1</f>
        <v/>
      </c>
      <c r="N56" s="7" t="inlineStr">
        <is>
          <t>ACIMA +16.2%</t>
        </is>
      </c>
      <c r="O56" s="7" t="inlineStr"/>
    </row>
    <row r="57">
      <c r="A57" s="7" t="n">
        <v>212561</v>
      </c>
      <c r="B57" s="7" t="inlineStr">
        <is>
          <t>181</t>
        </is>
      </c>
      <c r="C57" s="10" t="inlineStr">
        <is>
          <t>7897917001465</t>
        </is>
      </c>
      <c r="D57" s="7" t="inlineStr">
        <is>
          <t>BELFAREN 50MG CX 20 COMP</t>
        </is>
      </c>
      <c r="E57" s="11" t="n">
        <v>1</v>
      </c>
      <c r="F57" s="11" t="n">
        <v>2</v>
      </c>
      <c r="G57" s="11" t="n">
        <v>2</v>
      </c>
      <c r="H57" s="8" t="n">
        <v>1.78</v>
      </c>
      <c r="I57" s="8">
        <f>G57*H57</f>
        <v/>
      </c>
      <c r="J57" s="8">
        <f>H57/E57</f>
        <v/>
      </c>
      <c r="K57" s="8" t="n">
        <v>1.62</v>
      </c>
      <c r="L57" s="8" t="n">
        <v>1.62</v>
      </c>
      <c r="M57" s="12">
        <f>J57/K57-1</f>
        <v/>
      </c>
      <c r="N57" s="7" t="inlineStr">
        <is>
          <t>ACIMA +9.9%</t>
        </is>
      </c>
      <c r="O57" s="7" t="inlineStr"/>
    </row>
    <row r="58">
      <c r="A58" s="7" t="n">
        <v>210461</v>
      </c>
      <c r="B58" s="7" t="inlineStr">
        <is>
          <t>9611</t>
        </is>
      </c>
      <c r="C58" s="10" t="inlineStr">
        <is>
          <t>7896004800400</t>
        </is>
      </c>
      <c r="D58" s="7" t="inlineStr">
        <is>
          <t>BENEVRAN CX 20 DRG</t>
        </is>
      </c>
      <c r="E58" s="11" t="n">
        <v>1</v>
      </c>
      <c r="F58" s="11" t="n">
        <v>31</v>
      </c>
      <c r="G58" s="11" t="n">
        <v>31</v>
      </c>
      <c r="H58" s="8" t="n">
        <v>2.34</v>
      </c>
      <c r="I58" s="8">
        <f>G58*H58</f>
        <v/>
      </c>
      <c r="J58" s="8">
        <f>H58/E58</f>
        <v/>
      </c>
      <c r="K58" s="8" t="n">
        <v>2.34</v>
      </c>
      <c r="L58" s="8" t="n">
        <v>2.34</v>
      </c>
      <c r="M58" s="12">
        <f>J58/K58-1</f>
        <v/>
      </c>
      <c r="N58" s="7" t="inlineStr">
        <is>
          <t>OK (≤ menor hist.)</t>
        </is>
      </c>
      <c r="O58" s="7" t="inlineStr"/>
    </row>
    <row r="59">
      <c r="A59" s="7" t="n">
        <v>49581</v>
      </c>
      <c r="B59" s="7" t="inlineStr">
        <is>
          <t>453</t>
        </is>
      </c>
      <c r="C59" s="10" t="inlineStr">
        <is>
          <t>7898014560077</t>
        </is>
      </c>
      <c r="D59" s="7" t="inlineStr">
        <is>
          <t>BENZODERM 100 MG/G SAB CT FIL PP X 60 G</t>
        </is>
      </c>
      <c r="E59" s="11" t="n">
        <v>1</v>
      </c>
      <c r="F59" s="11" t="n">
        <v>1</v>
      </c>
      <c r="G59" s="11" t="n">
        <v>1</v>
      </c>
      <c r="H59" s="8" t="n">
        <v>6.59</v>
      </c>
      <c r="I59" s="8">
        <f>G59*H59</f>
        <v/>
      </c>
      <c r="J59" s="8">
        <f>H59/E59</f>
        <v/>
      </c>
      <c r="K59" s="8" t="n">
        <v>6.59</v>
      </c>
      <c r="L59" s="8" t="n">
        <v>6.59</v>
      </c>
      <c r="M59" s="12">
        <f>J59/K59-1</f>
        <v/>
      </c>
      <c r="N59" s="7" t="inlineStr">
        <is>
          <t>OK (≤ menor hist.)</t>
        </is>
      </c>
      <c r="O59" s="7" t="inlineStr"/>
    </row>
    <row r="60">
      <c r="A60" s="7" t="n">
        <v>50061</v>
      </c>
      <c r="B60" s="7" t="inlineStr">
        <is>
          <t>5589</t>
        </is>
      </c>
      <c r="C60" s="10" t="inlineStr">
        <is>
          <t>7897917000994</t>
        </is>
      </c>
      <c r="D60" s="7" t="inlineStr">
        <is>
          <t>BENZOILMETRONIDAZOL 40MG/ML SUS OR FR 100ML+COP MED</t>
        </is>
      </c>
      <c r="E60" s="11" t="n">
        <v>1</v>
      </c>
      <c r="F60" s="11" t="n">
        <v>10</v>
      </c>
      <c r="G60" s="11" t="n">
        <v>10</v>
      </c>
      <c r="H60" s="8" t="n">
        <v>9.83</v>
      </c>
      <c r="I60" s="8">
        <f>G60*H60</f>
        <v/>
      </c>
      <c r="J60" s="8">
        <f>H60/E60</f>
        <v/>
      </c>
      <c r="K60" s="8" t="n">
        <v>8.84</v>
      </c>
      <c r="L60" s="8" t="n">
        <v>8.84</v>
      </c>
      <c r="M60" s="12">
        <f>J60/K60-1</f>
        <v/>
      </c>
      <c r="N60" s="7" t="inlineStr">
        <is>
          <t>ACIMA +11.2%</t>
        </is>
      </c>
      <c r="O60" s="7" t="inlineStr"/>
    </row>
    <row r="61">
      <c r="A61" s="7" t="n">
        <v>208141</v>
      </c>
      <c r="B61" s="7" t="inlineStr">
        <is>
          <t>1357</t>
        </is>
      </c>
      <c r="C61" s="10" t="inlineStr">
        <is>
          <t>7896523210797</t>
        </is>
      </c>
      <c r="D61" s="7" t="inlineStr">
        <is>
          <t>BEPANTRIZ 50MG/G POM DERM BG 30G</t>
        </is>
      </c>
      <c r="E61" s="11" t="n">
        <v>1</v>
      </c>
      <c r="F61" s="11" t="n">
        <v>9</v>
      </c>
      <c r="G61" s="11" t="n">
        <v>9</v>
      </c>
      <c r="H61" s="8" t="n">
        <v>7.43</v>
      </c>
      <c r="I61" s="8">
        <f>G61*H61</f>
        <v/>
      </c>
      <c r="J61" s="8">
        <f>H61/E61</f>
        <v/>
      </c>
      <c r="K61" s="8" t="n">
        <v>6.49</v>
      </c>
      <c r="L61" s="8" t="n">
        <v>6.49</v>
      </c>
      <c r="M61" s="12">
        <f>J61/K61-1</f>
        <v/>
      </c>
      <c r="N61" s="7" t="inlineStr">
        <is>
          <t>ACIMA +14.5%</t>
        </is>
      </c>
      <c r="O61" s="7" t="inlineStr"/>
    </row>
    <row r="62">
      <c r="A62" s="7" t="n">
        <v>538061</v>
      </c>
      <c r="B62" s="7" t="inlineStr">
        <is>
          <t>143</t>
        </is>
      </c>
      <c r="C62" s="10" t="inlineStr">
        <is>
          <t>7898031310303</t>
        </is>
      </c>
      <c r="D62" s="7" t="inlineStr">
        <is>
          <t>BICARBONATO DE SODIO 100G</t>
        </is>
      </c>
      <c r="E62" s="11" t="n">
        <v>1</v>
      </c>
      <c r="F62" s="11" t="n">
        <v>24</v>
      </c>
      <c r="G62" s="11" t="n">
        <v>24</v>
      </c>
      <c r="H62" s="8" t="n">
        <v>3.23</v>
      </c>
      <c r="I62" s="8">
        <f>G62*H62</f>
        <v/>
      </c>
      <c r="J62" s="8">
        <f>H62/E62</f>
        <v/>
      </c>
      <c r="K62" s="8" t="n">
        <v>3.05</v>
      </c>
      <c r="L62" s="8" t="n">
        <v>3.05</v>
      </c>
      <c r="M62" s="12">
        <f>J62/K62-1</f>
        <v/>
      </c>
      <c r="N62" s="7" t="inlineStr">
        <is>
          <t>ACIMA +5.9%</t>
        </is>
      </c>
      <c r="O62" s="7" t="inlineStr"/>
    </row>
    <row r="63">
      <c r="A63" s="7" t="n">
        <v>619101</v>
      </c>
      <c r="B63" s="7" t="inlineStr">
        <is>
          <t>8452</t>
        </is>
      </c>
      <c r="C63" s="10" t="inlineStr">
        <is>
          <t>7898953484243</t>
        </is>
      </c>
      <c r="D63" s="7" t="inlineStr">
        <is>
          <t>BICO P/ SERINGA DE LAVAGEN NASAL C/2</t>
        </is>
      </c>
      <c r="E63" s="11" t="n">
        <v>1</v>
      </c>
      <c r="F63" s="11" t="n">
        <v>7</v>
      </c>
      <c r="G63" s="11" t="n">
        <v>7</v>
      </c>
      <c r="H63" s="8" t="n">
        <v>4.3</v>
      </c>
      <c r="I63" s="8">
        <f>G63*H63</f>
        <v/>
      </c>
      <c r="J63" s="8">
        <f>H63/E63</f>
        <v/>
      </c>
      <c r="K63" s="8" t="n">
        <v>4.3</v>
      </c>
      <c r="L63" s="8" t="n">
        <v>4.3</v>
      </c>
      <c r="M63" s="12">
        <f>J63/K63-1</f>
        <v/>
      </c>
      <c r="N63" s="7" t="inlineStr">
        <is>
          <t>OK (≤ menor hist.)</t>
        </is>
      </c>
      <c r="O63" s="7" t="inlineStr"/>
    </row>
    <row r="64">
      <c r="A64" s="7" t="n">
        <v>3893</v>
      </c>
      <c r="B64" s="7" t="inlineStr">
        <is>
          <t>7444</t>
        </is>
      </c>
      <c r="C64" s="10" t="inlineStr">
        <is>
          <t>7908414448933</t>
        </is>
      </c>
      <c r="D64" s="7" t="inlineStr">
        <is>
          <t>BOLSA TERMICA GEL AZUL HC353</t>
        </is>
      </c>
      <c r="E64" s="11" t="n">
        <v>1</v>
      </c>
      <c r="F64" s="11" t="n">
        <v>6</v>
      </c>
      <c r="G64" s="11" t="n">
        <v>6</v>
      </c>
      <c r="H64" s="8" t="n">
        <v>12.92</v>
      </c>
      <c r="I64" s="8">
        <f>G64*H64</f>
        <v/>
      </c>
      <c r="J64" s="8">
        <f>H64/E64</f>
        <v/>
      </c>
      <c r="K64" s="8" t="n">
        <v>12.92</v>
      </c>
      <c r="L64" s="8" t="n">
        <v>12.92</v>
      </c>
      <c r="M64" s="12">
        <f>J64/K64-1</f>
        <v/>
      </c>
      <c r="N64" s="7" t="inlineStr">
        <is>
          <t>OK (≤ menor hist.)</t>
        </is>
      </c>
      <c r="O64" s="7" t="inlineStr"/>
    </row>
    <row r="65">
      <c r="A65" s="7" t="n">
        <v>674321</v>
      </c>
      <c r="B65" s="7" t="inlineStr">
        <is>
          <t>9959</t>
        </is>
      </c>
      <c r="C65" s="10" t="inlineStr">
        <is>
          <t>7898975719040</t>
        </is>
      </c>
      <c r="D65" s="7" t="inlineStr">
        <is>
          <t>BOLSA TERMICA GEL QUENTE OU FRIO GRANDE</t>
        </is>
      </c>
      <c r="E65" s="11" t="n">
        <v>1</v>
      </c>
      <c r="F65" s="11" t="n">
        <v>1</v>
      </c>
      <c r="G65" s="11" t="n">
        <v>1</v>
      </c>
      <c r="H65" s="8" t="n">
        <v>10.63</v>
      </c>
      <c r="I65" s="8">
        <f>G65*H65</f>
        <v/>
      </c>
      <c r="J65" s="8">
        <f>H65/E65</f>
        <v/>
      </c>
      <c r="K65" s="8" t="n">
        <v>10.63</v>
      </c>
      <c r="L65" s="8" t="n">
        <v>10.63</v>
      </c>
      <c r="M65" s="12">
        <f>J65/K65-1</f>
        <v/>
      </c>
      <c r="N65" s="7" t="inlineStr">
        <is>
          <t>OK (≤ menor hist.)</t>
        </is>
      </c>
      <c r="O65" s="7" t="inlineStr"/>
    </row>
    <row r="66">
      <c r="A66" s="7" t="n">
        <v>194</v>
      </c>
      <c r="B66" s="7" t="inlineStr">
        <is>
          <t>10651</t>
        </is>
      </c>
      <c r="C66" s="10" t="inlineStr">
        <is>
          <t>7894164010264</t>
        </is>
      </c>
      <c r="D66" s="7" t="inlineStr">
        <is>
          <t>BROMOPRIDA 4MG/ML 20ML</t>
        </is>
      </c>
      <c r="E66" s="11" t="n">
        <v>1</v>
      </c>
      <c r="F66" s="11" t="n">
        <v>2</v>
      </c>
      <c r="G66" s="11" t="n">
        <v>2</v>
      </c>
      <c r="H66" s="8" t="n">
        <v>3.58</v>
      </c>
      <c r="I66" s="8">
        <f>G66*H66</f>
        <v/>
      </c>
      <c r="J66" s="8">
        <f>H66/E66</f>
        <v/>
      </c>
      <c r="K66" s="8" t="n">
        <v>3.58</v>
      </c>
      <c r="L66" s="8" t="n">
        <v>3.58</v>
      </c>
      <c r="M66" s="12">
        <f>J66/K66-1</f>
        <v/>
      </c>
      <c r="N66" s="7" t="inlineStr">
        <is>
          <t>OK (≤ menor hist.)</t>
        </is>
      </c>
      <c r="O66" s="7" t="inlineStr"/>
    </row>
    <row r="67">
      <c r="A67" s="7" t="n">
        <v>294981</v>
      </c>
      <c r="B67" s="7" t="inlineStr">
        <is>
          <t>1553</t>
        </is>
      </c>
      <c r="C67" s="10" t="inlineStr">
        <is>
          <t>7896472513284</t>
        </is>
      </c>
      <c r="D67" s="7" t="inlineStr">
        <is>
          <t>BUPROVIL 300MG CX 20 COMP</t>
        </is>
      </c>
      <c r="E67" s="11" t="n">
        <v>1</v>
      </c>
      <c r="F67" s="11" t="n">
        <v>1</v>
      </c>
      <c r="G67" s="11" t="n">
        <v>1</v>
      </c>
      <c r="H67" s="8" t="n">
        <v>5.63</v>
      </c>
      <c r="I67" s="8">
        <f>G67*H67</f>
        <v/>
      </c>
      <c r="J67" s="8">
        <f>H67/E67</f>
        <v/>
      </c>
      <c r="K67" s="8" t="n">
        <v>5.63</v>
      </c>
      <c r="L67" s="8" t="n">
        <v>5.63</v>
      </c>
      <c r="M67" s="12">
        <f>J67/K67-1</f>
        <v/>
      </c>
      <c r="N67" s="7" t="inlineStr">
        <is>
          <t>OK (≤ menor hist.)</t>
        </is>
      </c>
      <c r="O67" s="7" t="inlineStr"/>
    </row>
    <row r="68">
      <c r="A68" s="7" t="n">
        <v>71481</v>
      </c>
      <c r="B68" s="7" t="inlineStr">
        <is>
          <t>10610</t>
        </is>
      </c>
      <c r="C68" s="10" t="inlineStr">
        <is>
          <t>7895296211024</t>
        </is>
      </c>
      <c r="D68" s="7" t="inlineStr">
        <is>
          <t>CABERGOLINA 0,5 MG CX 8 COMP</t>
        </is>
      </c>
      <c r="E68" s="11" t="n">
        <v>1</v>
      </c>
      <c r="F68" s="11" t="n">
        <v>1</v>
      </c>
      <c r="G68" s="11" t="n">
        <v>1</v>
      </c>
      <c r="H68" s="8" t="n">
        <v>62.18</v>
      </c>
      <c r="I68" s="8">
        <f>G68*H68</f>
        <v/>
      </c>
      <c r="J68" s="8">
        <f>H68/E68</f>
        <v/>
      </c>
      <c r="K68" s="8" t="n">
        <v>50.565</v>
      </c>
      <c r="L68" s="8" t="n">
        <v>50.565</v>
      </c>
      <c r="M68" s="12">
        <f>J68/K68-1</f>
        <v/>
      </c>
      <c r="N68" s="7" t="inlineStr">
        <is>
          <t>ACIMA +23.0%</t>
        </is>
      </c>
      <c r="O68" s="7" t="inlineStr"/>
    </row>
    <row r="69">
      <c r="A69" s="7" t="n">
        <v>596481</v>
      </c>
      <c r="B69" s="7" t="inlineStr">
        <is>
          <t>5564</t>
        </is>
      </c>
      <c r="C69" s="10" t="inlineStr">
        <is>
          <t>7894164005260</t>
        </is>
      </c>
      <c r="D69" s="7" t="inlineStr">
        <is>
          <t>CALOFIM 5ML SOL (AIRELA)</t>
        </is>
      </c>
      <c r="E69" s="11" t="n">
        <v>1</v>
      </c>
      <c r="F69" s="11" t="n">
        <v>8</v>
      </c>
      <c r="G69" s="11" t="n">
        <v>8</v>
      </c>
      <c r="H69" s="8" t="n">
        <v>8.9</v>
      </c>
      <c r="I69" s="8">
        <f>G69*H69</f>
        <v/>
      </c>
      <c r="J69" s="8">
        <f>H69/E69</f>
        <v/>
      </c>
      <c r="K69" s="8" t="n">
        <v>8.56</v>
      </c>
      <c r="L69" s="8" t="n">
        <v>8.48</v>
      </c>
      <c r="M69" s="12">
        <f>J69/K69-1</f>
        <v/>
      </c>
      <c r="N69" s="7" t="inlineStr">
        <is>
          <t>ACIMA +4.0%</t>
        </is>
      </c>
      <c r="O69" s="7" t="inlineStr"/>
    </row>
    <row r="70">
      <c r="A70" s="7" t="n">
        <v>74721</v>
      </c>
      <c r="B70" s="7" t="inlineStr">
        <is>
          <t>1128</t>
        </is>
      </c>
      <c r="C70" s="10" t="inlineStr">
        <is>
          <t>7899620910164</t>
        </is>
      </c>
      <c r="D70" s="7" t="inlineStr">
        <is>
          <t>CAPTOPRIL 50MG CX 30 COMP</t>
        </is>
      </c>
      <c r="E70" s="11" t="n">
        <v>1</v>
      </c>
      <c r="F70" s="11" t="n">
        <v>3</v>
      </c>
      <c r="G70" s="11" t="n">
        <v>3</v>
      </c>
      <c r="H70" s="8" t="n">
        <v>4.04</v>
      </c>
      <c r="I70" s="8">
        <f>G70*H70</f>
        <v/>
      </c>
      <c r="J70" s="8">
        <f>H70/E70</f>
        <v/>
      </c>
      <c r="K70" s="8" t="n">
        <v>4.04</v>
      </c>
      <c r="L70" s="8" t="n">
        <v>4.04</v>
      </c>
      <c r="M70" s="12">
        <f>J70/K70-1</f>
        <v/>
      </c>
      <c r="N70" s="7" t="inlineStr">
        <is>
          <t>OK (≤ menor hist.)</t>
        </is>
      </c>
      <c r="O70" s="7" t="inlineStr"/>
    </row>
    <row r="71">
      <c r="A71" s="7" t="n">
        <v>84281</v>
      </c>
      <c r="B71" s="7" t="inlineStr">
        <is>
          <t>2273</t>
        </is>
      </c>
      <c r="C71" s="10" t="inlineStr">
        <is>
          <t>7895296261036</t>
        </is>
      </c>
      <c r="D71" s="7" t="inlineStr">
        <is>
          <t>CARDBET 3,125MG CX 30 COMP</t>
        </is>
      </c>
      <c r="E71" s="11" t="n">
        <v>1</v>
      </c>
      <c r="F71" s="11" t="n">
        <v>3</v>
      </c>
      <c r="G71" s="11" t="n">
        <v>3</v>
      </c>
      <c r="H71" s="8" t="n">
        <v>3.62</v>
      </c>
      <c r="I71" s="8">
        <f>G71*H71</f>
        <v/>
      </c>
      <c r="J71" s="8">
        <f>H71/E71</f>
        <v/>
      </c>
      <c r="K71" s="8" t="n">
        <v>3</v>
      </c>
      <c r="L71" s="8" t="n">
        <v>3</v>
      </c>
      <c r="M71" s="12">
        <f>J71/K71-1</f>
        <v/>
      </c>
      <c r="N71" s="7" t="inlineStr">
        <is>
          <t>ACIMA +20.7%</t>
        </is>
      </c>
      <c r="O71" s="7" t="inlineStr"/>
    </row>
    <row r="72">
      <c r="A72" s="7" t="n">
        <v>86481</v>
      </c>
      <c r="B72" s="7" t="inlineStr">
        <is>
          <t>1669</t>
        </is>
      </c>
      <c r="C72" s="10" t="inlineStr">
        <is>
          <t>7896004718309</t>
        </is>
      </c>
      <c r="D72" s="7" t="inlineStr">
        <is>
          <t>CEDROXIL 500MG CX 8 CAP</t>
        </is>
      </c>
      <c r="E72" s="11" t="n">
        <v>1</v>
      </c>
      <c r="F72" s="11" t="n">
        <v>1</v>
      </c>
      <c r="G72" s="11" t="n">
        <v>1</v>
      </c>
      <c r="H72" s="8" t="n">
        <v>9.789999999999999</v>
      </c>
      <c r="I72" s="8">
        <f>G72*H72</f>
        <v/>
      </c>
      <c r="J72" s="8">
        <f>H72/E72</f>
        <v/>
      </c>
      <c r="K72" s="8" t="n">
        <v>9.4</v>
      </c>
      <c r="L72" s="8" t="n">
        <v>9.35</v>
      </c>
      <c r="M72" s="12">
        <f>J72/K72-1</f>
        <v/>
      </c>
      <c r="N72" s="7" t="inlineStr">
        <is>
          <t>ACIMA +4.1%</t>
        </is>
      </c>
      <c r="O72" s="7" t="inlineStr"/>
    </row>
    <row r="73">
      <c r="A73" s="7" t="n">
        <v>630661</v>
      </c>
      <c r="B73" s="7" t="inlineStr">
        <is>
          <t>8333</t>
        </is>
      </c>
      <c r="C73" s="10" t="inlineStr">
        <is>
          <t>7896920304556</t>
        </is>
      </c>
      <c r="D73" s="7" t="inlineStr">
        <is>
          <t>CENTROMAX A Z 60 CAPS</t>
        </is>
      </c>
      <c r="E73" s="11" t="n">
        <v>1</v>
      </c>
      <c r="F73" s="11" t="n">
        <v>1</v>
      </c>
      <c r="G73" s="11" t="n">
        <v>1</v>
      </c>
      <c r="H73" s="8" t="n">
        <v>28.48981</v>
      </c>
      <c r="I73" s="8">
        <f>G73*H73</f>
        <v/>
      </c>
      <c r="J73" s="8">
        <f>H73/E73</f>
        <v/>
      </c>
      <c r="K73" s="8" t="n">
        <v>26.85</v>
      </c>
      <c r="L73" s="8" t="n">
        <v>26.85</v>
      </c>
      <c r="M73" s="12">
        <f>J73/K73-1</f>
        <v/>
      </c>
      <c r="N73" s="7" t="inlineStr">
        <is>
          <t>ACIMA +6.1%</t>
        </is>
      </c>
      <c r="O73" s="7" t="inlineStr"/>
    </row>
    <row r="74">
      <c r="A74" s="7" t="n">
        <v>1301</v>
      </c>
      <c r="B74" s="7" t="inlineStr">
        <is>
          <t>372</t>
        </is>
      </c>
      <c r="C74" s="10" t="inlineStr">
        <is>
          <t>7893454100647</t>
        </is>
      </c>
      <c r="D74" s="7" t="inlineStr">
        <is>
          <t>CETOBETA 20+0,64+2,5MG/G POM BG 30G</t>
        </is>
      </c>
      <c r="E74" s="11" t="n">
        <v>1</v>
      </c>
      <c r="F74" s="11" t="n">
        <v>21</v>
      </c>
      <c r="G74" s="11" t="n">
        <v>21</v>
      </c>
      <c r="H74" s="8" t="n">
        <v>8.76</v>
      </c>
      <c r="I74" s="8">
        <f>G74*H74</f>
        <v/>
      </c>
      <c r="J74" s="8">
        <f>H74/E74</f>
        <v/>
      </c>
      <c r="K74" s="8" t="n">
        <v>8</v>
      </c>
      <c r="L74" s="8" t="n">
        <v>7.69</v>
      </c>
      <c r="M74" s="12">
        <f>J74/K74-1</f>
        <v/>
      </c>
      <c r="N74" s="7" t="inlineStr">
        <is>
          <t>ACIMA +9.5%</t>
        </is>
      </c>
      <c r="O74" s="7" t="inlineStr"/>
    </row>
    <row r="75">
      <c r="A75" s="7" t="n">
        <v>92221</v>
      </c>
      <c r="B75" s="7" t="inlineStr">
        <is>
          <t>3542</t>
        </is>
      </c>
      <c r="C75" s="10" t="inlineStr">
        <is>
          <t>7899620911352</t>
        </is>
      </c>
      <c r="D75" s="7" t="inlineStr">
        <is>
          <t>CETOCONAZOL 200MG CX 10 COMP</t>
        </is>
      </c>
      <c r="E75" s="11" t="n">
        <v>1</v>
      </c>
      <c r="F75" s="11" t="n">
        <v>2</v>
      </c>
      <c r="G75" s="11" t="n">
        <v>2</v>
      </c>
      <c r="H75" s="8" t="n">
        <v>4.28</v>
      </c>
      <c r="I75" s="8">
        <f>G75*H75</f>
        <v/>
      </c>
      <c r="J75" s="8">
        <f>H75/E75</f>
        <v/>
      </c>
      <c r="K75" s="8" t="n">
        <v>4.1</v>
      </c>
      <c r="L75" s="8" t="n">
        <v>4.1</v>
      </c>
      <c r="M75" s="12">
        <f>J75/K75-1</f>
        <v/>
      </c>
      <c r="N75" s="7" t="inlineStr">
        <is>
          <t>ACIMA +4.4%</t>
        </is>
      </c>
      <c r="O75" s="7" t="inlineStr"/>
    </row>
    <row r="76">
      <c r="A76" s="7" t="n">
        <v>92021</v>
      </c>
      <c r="B76" s="7" t="inlineStr">
        <is>
          <t>234</t>
        </is>
      </c>
      <c r="C76" s="10" t="inlineStr">
        <is>
          <t>7898216367535</t>
        </is>
      </c>
      <c r="D76" s="7" t="inlineStr">
        <is>
          <t>CETOCONAZOL 200MG CX 10 COMP</t>
        </is>
      </c>
      <c r="E76" s="11" t="n">
        <v>1</v>
      </c>
      <c r="F76" s="11" t="n">
        <v>4</v>
      </c>
      <c r="G76" s="11" t="n">
        <v>4</v>
      </c>
      <c r="H76" s="8" t="n">
        <v>6.16</v>
      </c>
      <c r="I76" s="8">
        <f>G76*H76</f>
        <v/>
      </c>
      <c r="J76" s="8">
        <f>H76/E76</f>
        <v/>
      </c>
      <c r="K76" s="8" t="n">
        <v>4.81</v>
      </c>
      <c r="L76" s="8" t="n">
        <v>4.81</v>
      </c>
      <c r="M76" s="12">
        <f>J76/K76-1</f>
        <v/>
      </c>
      <c r="N76" s="7" t="inlineStr">
        <is>
          <t>ACIMA +28.1%</t>
        </is>
      </c>
      <c r="O76" s="7" t="inlineStr"/>
    </row>
    <row r="77">
      <c r="A77" s="7" t="n">
        <v>96181</v>
      </c>
      <c r="B77" s="7" t="inlineStr">
        <is>
          <t>4848</t>
        </is>
      </c>
      <c r="C77" s="10" t="inlineStr">
        <is>
          <t>7896422507295</t>
        </is>
      </c>
      <c r="D77" s="7" t="inlineStr">
        <is>
          <t>CETOPROFENO 100MG CX 20 COMP</t>
        </is>
      </c>
      <c r="E77" s="11" t="n">
        <v>1</v>
      </c>
      <c r="F77" s="11" t="n">
        <v>36</v>
      </c>
      <c r="G77" s="11" t="n">
        <v>36</v>
      </c>
      <c r="H77" s="8" t="n">
        <v>22.49</v>
      </c>
      <c r="I77" s="8">
        <f>G77*H77</f>
        <v/>
      </c>
      <c r="J77" s="8">
        <f>H77/E77</f>
        <v/>
      </c>
      <c r="K77" s="8" t="n">
        <v>20.1267</v>
      </c>
      <c r="L77" s="8" t="n">
        <v>17.7656</v>
      </c>
      <c r="M77" s="12">
        <f>J77/K77-1</f>
        <v/>
      </c>
      <c r="N77" s="7" t="inlineStr">
        <is>
          <t>ACIMA +11.7%</t>
        </is>
      </c>
      <c r="O77" s="7" t="inlineStr"/>
    </row>
    <row r="78">
      <c r="A78" s="7" t="n">
        <v>95101</v>
      </c>
      <c r="B78" s="7" t="inlineStr">
        <is>
          <t>4849</t>
        </is>
      </c>
      <c r="C78" s="10" t="inlineStr">
        <is>
          <t>7891058002961</t>
        </is>
      </c>
      <c r="D78" s="7" t="inlineStr">
        <is>
          <t>CETOPROFENO 150MG CX 10 COMP REV LIB PROL</t>
        </is>
      </c>
      <c r="E78" s="11" t="n">
        <v>1</v>
      </c>
      <c r="F78" s="11" t="n">
        <v>153</v>
      </c>
      <c r="G78" s="11" t="n">
        <v>153</v>
      </c>
      <c r="H78" s="8" t="n">
        <v>5.99</v>
      </c>
      <c r="I78" s="8">
        <f>G78*H78</f>
        <v/>
      </c>
      <c r="J78" s="8">
        <f>H78/E78</f>
        <v/>
      </c>
      <c r="K78" s="8" t="n">
        <v>5.1338</v>
      </c>
      <c r="L78" s="8" t="n">
        <v>5.1338</v>
      </c>
      <c r="M78" s="12">
        <f>J78/K78-1</f>
        <v/>
      </c>
      <c r="N78" s="7" t="inlineStr">
        <is>
          <t>ACIMA +16.7%</t>
        </is>
      </c>
      <c r="O78" s="7" t="inlineStr"/>
    </row>
    <row r="79">
      <c r="A79" s="7" t="n">
        <v>95121</v>
      </c>
      <c r="B79" s="7" t="inlineStr">
        <is>
          <t>4850</t>
        </is>
      </c>
      <c r="C79" s="10" t="inlineStr">
        <is>
          <t>7896422507349</t>
        </is>
      </c>
      <c r="D79" s="7" t="inlineStr">
        <is>
          <t>CETOPROFENO 50MG CX 24 CAP</t>
        </is>
      </c>
      <c r="E79" s="11" t="n">
        <v>1</v>
      </c>
      <c r="F79" s="11" t="n">
        <v>1</v>
      </c>
      <c r="G79" s="11" t="n">
        <v>1</v>
      </c>
      <c r="H79" s="8" t="n">
        <v>10.49</v>
      </c>
      <c r="I79" s="8">
        <f>G79*H79</f>
        <v/>
      </c>
      <c r="J79" s="8">
        <f>H79/E79</f>
        <v/>
      </c>
      <c r="K79" s="8" t="n">
        <v>8.57</v>
      </c>
      <c r="L79" s="8" t="n">
        <v>7.375</v>
      </c>
      <c r="M79" s="12">
        <f>J79/K79-1</f>
        <v/>
      </c>
      <c r="N79" s="7" t="inlineStr">
        <is>
          <t>ACIMA +22.4%</t>
        </is>
      </c>
      <c r="O79" s="7" t="inlineStr"/>
    </row>
    <row r="80">
      <c r="A80" s="7" t="n">
        <v>608881</v>
      </c>
      <c r="B80" s="7" t="inlineStr">
        <is>
          <t>5415</t>
        </is>
      </c>
      <c r="C80" s="10" t="inlineStr">
        <is>
          <t>7898108640678</t>
        </is>
      </c>
      <c r="D80" s="7" t="inlineStr">
        <is>
          <t>CICATRISAN CURATIVO 10UN MICROPOROSO</t>
        </is>
      </c>
      <c r="E80" s="11" t="n">
        <v>1</v>
      </c>
      <c r="F80" s="11" t="n">
        <v>7</v>
      </c>
      <c r="G80" s="11" t="n">
        <v>7</v>
      </c>
      <c r="H80" s="8" t="n">
        <v>2.01</v>
      </c>
      <c r="I80" s="8">
        <f>G80*H80</f>
        <v/>
      </c>
      <c r="J80" s="8">
        <f>H80/E80</f>
        <v/>
      </c>
      <c r="K80" s="8" t="n">
        <v>1.96</v>
      </c>
      <c r="L80" s="8" t="n">
        <v>1.68</v>
      </c>
      <c r="M80" s="12">
        <f>J80/K80-1</f>
        <v/>
      </c>
      <c r="N80" s="7" t="inlineStr">
        <is>
          <t>ACIMA +2.6%</t>
        </is>
      </c>
      <c r="O80" s="7" t="inlineStr"/>
    </row>
    <row r="81">
      <c r="A81" s="7" t="n">
        <v>98201</v>
      </c>
      <c r="B81" s="7" t="inlineStr">
        <is>
          <t>9995</t>
        </is>
      </c>
      <c r="C81" s="10" t="inlineStr">
        <is>
          <t>7896422512169</t>
        </is>
      </c>
      <c r="D81" s="7" t="inlineStr">
        <is>
          <t>CICLOPIROX OLAMINA 10MG CREME DERM BG 20G</t>
        </is>
      </c>
      <c r="E81" s="11" t="n">
        <v>1</v>
      </c>
      <c r="F81" s="11" t="n">
        <v>1</v>
      </c>
      <c r="G81" s="11" t="n">
        <v>1</v>
      </c>
      <c r="H81" s="8" t="n">
        <v>12.91</v>
      </c>
      <c r="I81" s="8">
        <f>G81*H81</f>
        <v/>
      </c>
      <c r="J81" s="8">
        <f>H81/E81</f>
        <v/>
      </c>
      <c r="K81" s="8" t="n">
        <v>9.56</v>
      </c>
      <c r="L81" s="8" t="n">
        <v>9.19</v>
      </c>
      <c r="M81" s="12">
        <f>J81/K81-1</f>
        <v/>
      </c>
      <c r="N81" s="7" t="inlineStr">
        <is>
          <t>ACIMA +35.0%</t>
        </is>
      </c>
      <c r="O81" s="7" t="inlineStr"/>
    </row>
    <row r="82">
      <c r="A82" s="7" t="n">
        <v>127321</v>
      </c>
      <c r="B82" s="7" t="inlineStr">
        <is>
          <t>1135</t>
        </is>
      </c>
      <c r="C82" s="10" t="inlineStr">
        <is>
          <t>7896523216454</t>
        </is>
      </c>
      <c r="D82" s="7" t="inlineStr">
        <is>
          <t>CIFLOGEX 3,0MG CX 12 PAST SB LARANJA</t>
        </is>
      </c>
      <c r="E82" s="11" t="n">
        <v>1</v>
      </c>
      <c r="F82" s="11" t="n">
        <v>7</v>
      </c>
      <c r="G82" s="11" t="n">
        <v>7</v>
      </c>
      <c r="H82" s="8" t="n">
        <v>9.44</v>
      </c>
      <c r="I82" s="8">
        <f>G82*H82</f>
        <v/>
      </c>
      <c r="J82" s="8">
        <f>H82/E82</f>
        <v/>
      </c>
      <c r="K82" s="8" t="n">
        <v>7.49</v>
      </c>
      <c r="L82" s="8" t="n">
        <v>7.49</v>
      </c>
      <c r="M82" s="12">
        <f>J82/K82-1</f>
        <v/>
      </c>
      <c r="N82" s="7" t="inlineStr">
        <is>
          <t>ACIMA +26.0%</t>
        </is>
      </c>
      <c r="O82" s="7" t="inlineStr"/>
    </row>
    <row r="83">
      <c r="A83" s="7" t="n">
        <v>108901</v>
      </c>
      <c r="B83" s="7" t="inlineStr">
        <is>
          <t>6973</t>
        </is>
      </c>
      <c r="C83" s="10" t="inlineStr">
        <is>
          <t>7898216363445</t>
        </is>
      </c>
      <c r="D83" s="7" t="inlineStr">
        <is>
          <t>CLARITROMICINA 500MG CX 14 COMP REV</t>
        </is>
      </c>
      <c r="E83" s="11" t="n">
        <v>1</v>
      </c>
      <c r="F83" s="11" t="n">
        <v>7</v>
      </c>
      <c r="G83" s="11" t="n">
        <v>7</v>
      </c>
      <c r="H83" s="8" t="n">
        <v>45.8</v>
      </c>
      <c r="I83" s="8">
        <f>G83*H83</f>
        <v/>
      </c>
      <c r="J83" s="8">
        <f>H83/E83</f>
        <v/>
      </c>
      <c r="K83" s="8" t="n">
        <v>64.98999999999999</v>
      </c>
      <c r="L83" s="8" t="n">
        <v>43.94</v>
      </c>
      <c r="M83" s="12">
        <f>J83/K83-1</f>
        <v/>
      </c>
      <c r="N83" s="7" t="inlineStr">
        <is>
          <t>OK (≤ últ. compra)</t>
        </is>
      </c>
      <c r="O83" s="7" t="inlineStr"/>
    </row>
    <row r="84">
      <c r="A84" s="7" t="n">
        <v>1103</v>
      </c>
      <c r="B84" s="7" t="inlineStr">
        <is>
          <t>8359</t>
        </is>
      </c>
      <c r="C84" s="10" t="inlineStr">
        <is>
          <t>7898216361267</t>
        </is>
      </c>
      <c r="D84" s="7" t="inlineStr">
        <is>
          <t>CLARITROMICINA 500MG CX 7 COMP REV</t>
        </is>
      </c>
      <c r="E84" s="11" t="n">
        <v>1</v>
      </c>
      <c r="F84" s="11" t="n">
        <v>5</v>
      </c>
      <c r="G84" s="11" t="n">
        <v>5</v>
      </c>
      <c r="H84" s="8" t="n">
        <v>25.38</v>
      </c>
      <c r="I84" s="8">
        <f>G84*H84</f>
        <v/>
      </c>
      <c r="J84" s="8">
        <f>H84/E84</f>
        <v/>
      </c>
      <c r="K84" s="8" t="n">
        <v>31.9</v>
      </c>
      <c r="L84" s="8" t="n">
        <v>23.13</v>
      </c>
      <c r="M84" s="12">
        <f>J84/K84-1</f>
        <v/>
      </c>
      <c r="N84" s="7" t="inlineStr">
        <is>
          <t>OK (≤ últ. compra)</t>
        </is>
      </c>
      <c r="O84" s="7" t="inlineStr"/>
    </row>
    <row r="85">
      <c r="A85" s="7" t="n">
        <v>631621</v>
      </c>
      <c r="B85" s="7" t="inlineStr">
        <is>
          <t>2492</t>
        </is>
      </c>
      <c r="C85" s="10" t="inlineStr">
        <is>
          <t>7895296449816</t>
        </is>
      </c>
      <c r="D85" s="7" t="inlineStr">
        <is>
          <t>CLOR. NARATRIPTANA 2,5 MG C/4 COM REV-NQ</t>
        </is>
      </c>
      <c r="E85" s="11" t="n">
        <v>1</v>
      </c>
      <c r="F85" s="11" t="n">
        <v>7</v>
      </c>
      <c r="G85" s="11" t="n">
        <v>7</v>
      </c>
      <c r="H85" s="8" t="n">
        <v>7.78</v>
      </c>
      <c r="I85" s="8">
        <f>G85*H85</f>
        <v/>
      </c>
      <c r="J85" s="8">
        <f>H85/E85</f>
        <v/>
      </c>
      <c r="K85" s="8" t="n">
        <v>7.78</v>
      </c>
      <c r="L85" s="8" t="n">
        <v>6.5788</v>
      </c>
      <c r="M85" s="12">
        <f>J85/K85-1</f>
        <v/>
      </c>
      <c r="N85" s="7" t="inlineStr">
        <is>
          <t>OK (≤ últ. compra)</t>
        </is>
      </c>
      <c r="O85" s="7" t="inlineStr"/>
    </row>
    <row r="86">
      <c r="A86" s="7" t="n">
        <v>146381</v>
      </c>
      <c r="B86" s="7" t="inlineStr">
        <is>
          <t>5937</t>
        </is>
      </c>
      <c r="C86" s="10" t="inlineStr">
        <is>
          <t>7895296447317</t>
        </is>
      </c>
      <c r="D86" s="7" t="inlineStr">
        <is>
          <t>CLOR.FEXOFENADINA 120MG 1BLX10COM REV-NQ</t>
        </is>
      </c>
      <c r="E86" s="11" t="n">
        <v>1</v>
      </c>
      <c r="F86" s="11" t="n">
        <v>1</v>
      </c>
      <c r="G86" s="11" t="n">
        <v>1</v>
      </c>
      <c r="H86" s="8" t="n">
        <v>7.45</v>
      </c>
      <c r="I86" s="8">
        <f>G86*H86</f>
        <v/>
      </c>
      <c r="J86" s="8">
        <f>H86/E86</f>
        <v/>
      </c>
      <c r="K86" s="8" t="n">
        <v>5.6</v>
      </c>
      <c r="L86" s="8" t="n">
        <v>5.6</v>
      </c>
      <c r="M86" s="12">
        <f>J86/K86-1</f>
        <v/>
      </c>
      <c r="N86" s="7" t="inlineStr">
        <is>
          <t>ACIMA +33.0%</t>
        </is>
      </c>
      <c r="O86" s="7" t="inlineStr"/>
    </row>
    <row r="87">
      <c r="A87" s="7" t="n">
        <v>646641</v>
      </c>
      <c r="B87" s="7" t="inlineStr">
        <is>
          <t>8003</t>
        </is>
      </c>
      <c r="C87" s="10" t="inlineStr">
        <is>
          <t>7898048690405</t>
        </is>
      </c>
      <c r="D87" s="7" t="inlineStr">
        <is>
          <t>CLORETO DE MAGNESIO P.A 600MG C/60 CPR</t>
        </is>
      </c>
      <c r="E87" s="11" t="n">
        <v>1</v>
      </c>
      <c r="F87" s="11" t="n">
        <v>5</v>
      </c>
      <c r="G87" s="11" t="n">
        <v>5</v>
      </c>
      <c r="H87" s="8" t="n">
        <v>9.18</v>
      </c>
      <c r="I87" s="8">
        <f>G87*H87</f>
        <v/>
      </c>
      <c r="J87" s="8">
        <f>H87/E87</f>
        <v/>
      </c>
      <c r="K87" s="8" t="n">
        <v>8.9</v>
      </c>
      <c r="L87" s="8" t="n">
        <v>8.9</v>
      </c>
      <c r="M87" s="12">
        <f>J87/K87-1</f>
        <v/>
      </c>
      <c r="N87" s="7" t="inlineStr">
        <is>
          <t>ACIMA +3.1%</t>
        </is>
      </c>
      <c r="O87" s="7" t="inlineStr"/>
    </row>
    <row r="88">
      <c r="A88" s="7" t="n">
        <v>560161</v>
      </c>
      <c r="B88" s="7" t="inlineStr">
        <is>
          <t>147</t>
        </is>
      </c>
      <c r="C88" s="10" t="inlineStr">
        <is>
          <t>7898031310365</t>
        </is>
      </c>
      <c r="D88" s="7" t="inlineStr">
        <is>
          <t>CLORETO DE MAGNESIO PA 33G</t>
        </is>
      </c>
      <c r="E88" s="11" t="n">
        <v>1</v>
      </c>
      <c r="F88" s="11" t="n">
        <v>1</v>
      </c>
      <c r="G88" s="11" t="n">
        <v>1</v>
      </c>
      <c r="H88" s="8" t="n">
        <v>5.39</v>
      </c>
      <c r="I88" s="8">
        <f>G88*H88</f>
        <v/>
      </c>
      <c r="J88" s="8">
        <f>H88/E88</f>
        <v/>
      </c>
      <c r="K88" s="8" t="n">
        <v>4.93</v>
      </c>
      <c r="L88" s="8" t="n">
        <v>4.93</v>
      </c>
      <c r="M88" s="12">
        <f>J88/K88-1</f>
        <v/>
      </c>
      <c r="N88" s="7" t="inlineStr">
        <is>
          <t>ACIMA +9.3%</t>
        </is>
      </c>
      <c r="O88" s="7" t="inlineStr"/>
    </row>
    <row r="89">
      <c r="A89" s="7" t="n">
        <v>619951</v>
      </c>
      <c r="B89" s="7" t="inlineStr">
        <is>
          <t>1332</t>
        </is>
      </c>
      <c r="C89" s="10" t="inlineStr">
        <is>
          <t>7898031310853</t>
        </is>
      </c>
      <c r="D89" s="7" t="inlineStr">
        <is>
          <t>CLORETO DE MAGNESIO PA 500MG C/60 CPS</t>
        </is>
      </c>
      <c r="E89" s="11" t="n">
        <v>1</v>
      </c>
      <c r="F89" s="11" t="n">
        <v>6</v>
      </c>
      <c r="G89" s="11" t="n">
        <v>6</v>
      </c>
      <c r="H89" s="8" t="n">
        <v>13.61</v>
      </c>
      <c r="I89" s="8">
        <f>G89*H89</f>
        <v/>
      </c>
      <c r="J89" s="8">
        <f>H89/E89</f>
        <v/>
      </c>
      <c r="K89" s="8" t="n">
        <v>13.61</v>
      </c>
      <c r="L89" s="8" t="n">
        <v>13.61</v>
      </c>
      <c r="M89" s="12">
        <f>J89/K89-1</f>
        <v/>
      </c>
      <c r="N89" s="7" t="inlineStr">
        <is>
          <t>OK (≤ menor hist.)</t>
        </is>
      </c>
      <c r="O89" s="7" t="inlineStr"/>
    </row>
    <row r="90">
      <c r="A90" s="7" t="n">
        <v>124681</v>
      </c>
      <c r="B90" s="7" t="inlineStr">
        <is>
          <t>9911</t>
        </is>
      </c>
      <c r="C90" s="10" t="inlineStr">
        <is>
          <t>7891058001681</t>
        </is>
      </c>
      <c r="D90" s="7" t="inlineStr">
        <is>
          <t>CLORIDRATO DE AMIODARONA 200MG CX 30 COMP</t>
        </is>
      </c>
      <c r="E90" s="11" t="n">
        <v>1</v>
      </c>
      <c r="F90" s="11" t="n">
        <v>1</v>
      </c>
      <c r="G90" s="11" t="n">
        <v>1</v>
      </c>
      <c r="H90" s="8" t="n">
        <v>20.44</v>
      </c>
      <c r="I90" s="8">
        <f>G90*H90</f>
        <v/>
      </c>
      <c r="J90" s="8">
        <f>H90/E90</f>
        <v/>
      </c>
      <c r="K90" s="8" t="n">
        <v>16.4233</v>
      </c>
      <c r="L90" s="8" t="n">
        <v>13.6767</v>
      </c>
      <c r="M90" s="12">
        <f>J90/K90-1</f>
        <v/>
      </c>
      <c r="N90" s="7" t="inlineStr">
        <is>
          <t>ACIMA +24.5%</t>
        </is>
      </c>
      <c r="O90" s="7" t="inlineStr"/>
    </row>
    <row r="91">
      <c r="A91" s="7" t="n">
        <v>132801</v>
      </c>
      <c r="B91" s="7" t="inlineStr">
        <is>
          <t>2260</t>
        </is>
      </c>
      <c r="C91" s="10" t="inlineStr">
        <is>
          <t>7896523214641</t>
        </is>
      </c>
      <c r="D91" s="7" t="inlineStr">
        <is>
          <t>CLORIDRATO DE CICLOBENZAPRINA 10MG CX 15 COMP REV</t>
        </is>
      </c>
      <c r="E91" s="11" t="n">
        <v>1</v>
      </c>
      <c r="F91" s="11" t="n">
        <v>34</v>
      </c>
      <c r="G91" s="11" t="n">
        <v>34</v>
      </c>
      <c r="H91" s="8" t="n">
        <v>2.63</v>
      </c>
      <c r="I91" s="8">
        <f>G91*H91</f>
        <v/>
      </c>
      <c r="J91" s="8">
        <f>H91/E91</f>
        <v/>
      </c>
      <c r="K91" s="8" t="n">
        <v>2.63</v>
      </c>
      <c r="L91" s="8" t="n">
        <v>2.49</v>
      </c>
      <c r="M91" s="12">
        <f>J91/K91-1</f>
        <v/>
      </c>
      <c r="N91" s="7" t="inlineStr">
        <is>
          <t>OK (≤ últ. compra)</t>
        </is>
      </c>
      <c r="O91" s="7" t="inlineStr"/>
    </row>
    <row r="92">
      <c r="A92" s="7" t="n">
        <v>134601</v>
      </c>
      <c r="B92" s="7" t="inlineStr">
        <is>
          <t>6559</t>
        </is>
      </c>
      <c r="C92" s="10" t="inlineStr">
        <is>
          <t>7898060139951</t>
        </is>
      </c>
      <c r="D92" s="7" t="inlineStr">
        <is>
          <t>CLORIDRATO DE CICLOBENZAPRINA 10MG CX 30 COMP REV</t>
        </is>
      </c>
      <c r="E92" s="11" t="n">
        <v>1</v>
      </c>
      <c r="F92" s="11" t="n">
        <v>4</v>
      </c>
      <c r="G92" s="11" t="n">
        <v>4</v>
      </c>
      <c r="H92" s="8" t="n">
        <v>5.58</v>
      </c>
      <c r="I92" s="8">
        <f>G92*H92</f>
        <v/>
      </c>
      <c r="J92" s="8">
        <f>H92/E92</f>
        <v/>
      </c>
      <c r="K92" s="8" t="n">
        <v>5.48</v>
      </c>
      <c r="L92" s="8" t="n">
        <v>5.48</v>
      </c>
      <c r="M92" s="12">
        <f>J92/K92-1</f>
        <v/>
      </c>
      <c r="N92" s="7" t="inlineStr">
        <is>
          <t>ACIMA +1.8%</t>
        </is>
      </c>
      <c r="O92" s="7" t="inlineStr"/>
    </row>
    <row r="93">
      <c r="A93" s="7" t="n">
        <v>4093</v>
      </c>
      <c r="B93" s="7" t="inlineStr">
        <is>
          <t>9491</t>
        </is>
      </c>
      <c r="C93" s="10" t="inlineStr">
        <is>
          <t>7899095204188</t>
        </is>
      </c>
      <c r="D93" s="7" t="inlineStr">
        <is>
          <t>CLORIDRATO DE CICLOBENZAPRINA 5MG C/15 CPR</t>
        </is>
      </c>
      <c r="E93" s="11" t="n">
        <v>1</v>
      </c>
      <c r="F93" s="11" t="n">
        <v>2</v>
      </c>
      <c r="G93" s="11" t="n">
        <v>2</v>
      </c>
      <c r="H93" s="8" t="n">
        <v>4.25</v>
      </c>
      <c r="I93" s="8">
        <f>G93*H93</f>
        <v/>
      </c>
      <c r="J93" s="8">
        <f>H93/E93</f>
        <v/>
      </c>
      <c r="K93" s="8" t="n">
        <v>3.36</v>
      </c>
      <c r="L93" s="8" t="n">
        <v>3.36</v>
      </c>
      <c r="M93" s="12">
        <f>J93/K93-1</f>
        <v/>
      </c>
      <c r="N93" s="7" t="inlineStr">
        <is>
          <t>ACIMA +26.5%</t>
        </is>
      </c>
      <c r="O93" s="7" t="inlineStr"/>
    </row>
    <row r="94">
      <c r="A94" s="7" t="n">
        <v>134661</v>
      </c>
      <c r="B94" s="7" t="inlineStr">
        <is>
          <t>5401</t>
        </is>
      </c>
      <c r="C94" s="10" t="inlineStr">
        <is>
          <t>7898060139913</t>
        </is>
      </c>
      <c r="D94" s="7" t="inlineStr">
        <is>
          <t>CLORIDRATO DE CICLOBENZAPRINA 5MG CX 15 COMP REV</t>
        </is>
      </c>
      <c r="E94" s="11" t="n">
        <v>1</v>
      </c>
      <c r="F94" s="11" t="n">
        <v>1</v>
      </c>
      <c r="G94" s="11" t="n">
        <v>1</v>
      </c>
      <c r="H94" s="8" t="n">
        <v>2.55</v>
      </c>
      <c r="I94" s="8">
        <f>G94*H94</f>
        <v/>
      </c>
      <c r="J94" s="8">
        <f>H94/E94</f>
        <v/>
      </c>
      <c r="K94" s="8" t="n">
        <v>2.53</v>
      </c>
      <c r="L94" s="8" t="n">
        <v>2.53</v>
      </c>
      <c r="M94" s="12">
        <f>J94/K94-1</f>
        <v/>
      </c>
      <c r="N94" s="7" t="inlineStr">
        <is>
          <t>ACIMA +0.8%</t>
        </is>
      </c>
      <c r="O94" s="7" t="inlineStr"/>
    </row>
    <row r="95">
      <c r="A95" s="7" t="n">
        <v>135981</v>
      </c>
      <c r="B95" s="7" t="inlineStr">
        <is>
          <t>2006</t>
        </is>
      </c>
      <c r="C95" s="10" t="inlineStr">
        <is>
          <t>7898216360185</t>
        </is>
      </c>
      <c r="D95" s="7" t="inlineStr">
        <is>
          <t>CLORIDRATO DE CIPROFLOXACINO 500MG CX 14 COMP REV</t>
        </is>
      </c>
      <c r="E95" s="11" t="n">
        <v>1</v>
      </c>
      <c r="F95" s="11" t="n">
        <v>14</v>
      </c>
      <c r="G95" s="11" t="n">
        <v>14</v>
      </c>
      <c r="H95" s="8" t="n">
        <v>6.43</v>
      </c>
      <c r="I95" s="8">
        <f>G95*H95</f>
        <v/>
      </c>
      <c r="J95" s="8">
        <f>H95/E95</f>
        <v/>
      </c>
      <c r="K95" s="8" t="n">
        <v>6.19</v>
      </c>
      <c r="L95" s="8" t="n">
        <v>5.99</v>
      </c>
      <c r="M95" s="12">
        <f>J95/K95-1</f>
        <v/>
      </c>
      <c r="N95" s="7" t="inlineStr">
        <is>
          <t>ACIMA +3.9%</t>
        </is>
      </c>
      <c r="O95" s="7" t="inlineStr"/>
    </row>
    <row r="96">
      <c r="A96" s="7" t="n">
        <v>136261</v>
      </c>
      <c r="B96" s="7" t="inlineStr">
        <is>
          <t>418</t>
        </is>
      </c>
      <c r="C96" s="10" t="inlineStr">
        <is>
          <t>7898060131399</t>
        </is>
      </c>
      <c r="D96" s="7" t="inlineStr">
        <is>
          <t>CLORIDRATO DE CIPROFLOXACINO 500MG CX 14 COMP REV</t>
        </is>
      </c>
      <c r="E96" s="11" t="n">
        <v>1</v>
      </c>
      <c r="F96" s="11" t="n">
        <v>1</v>
      </c>
      <c r="G96" s="11" t="n">
        <v>1</v>
      </c>
      <c r="H96" s="8" t="n">
        <v>7.42</v>
      </c>
      <c r="I96" s="8">
        <f>G96*H96</f>
        <v/>
      </c>
      <c r="J96" s="8">
        <f>H96/E96</f>
        <v/>
      </c>
      <c r="K96" s="8" t="n">
        <v>5.99</v>
      </c>
      <c r="L96" s="8" t="n">
        <v>5.99</v>
      </c>
      <c r="M96" s="12">
        <f>J96/K96-1</f>
        <v/>
      </c>
      <c r="N96" s="7" t="inlineStr">
        <is>
          <t>ACIMA +23.9%</t>
        </is>
      </c>
      <c r="O96" s="7" t="inlineStr"/>
    </row>
    <row r="97">
      <c r="A97" s="7" t="n">
        <v>142821</v>
      </c>
      <c r="B97" s="7" t="inlineStr">
        <is>
          <t>5936</t>
        </is>
      </c>
      <c r="C97" s="10" t="inlineStr">
        <is>
          <t>7895296186018</t>
        </is>
      </c>
      <c r="D97" s="7" t="inlineStr">
        <is>
          <t>CLORIDRATO DE DORZOLAMIDA 20MG/ML FR X 5ML</t>
        </is>
      </c>
      <c r="E97" s="11" t="n">
        <v>1</v>
      </c>
      <c r="F97" s="11" t="n">
        <v>2</v>
      </c>
      <c r="G97" s="11" t="n">
        <v>2</v>
      </c>
      <c r="H97" s="8" t="n">
        <v>46.94</v>
      </c>
      <c r="I97" s="8">
        <f>G97*H97</f>
        <v/>
      </c>
      <c r="J97" s="8">
        <f>H97/E97</f>
        <v/>
      </c>
      <c r="K97" s="8" t="n">
        <v>29.87</v>
      </c>
      <c r="L97" s="8" t="n">
        <v>29.87</v>
      </c>
      <c r="M97" s="12">
        <f>J97/K97-1</f>
        <v/>
      </c>
      <c r="N97" s="7" t="inlineStr">
        <is>
          <t>ACIMA +57.1%</t>
        </is>
      </c>
      <c r="O97" s="7" t="inlineStr"/>
    </row>
    <row r="98">
      <c r="A98" s="7" t="n">
        <v>146661</v>
      </c>
      <c r="B98" s="7" t="inlineStr">
        <is>
          <t>4270</t>
        </is>
      </c>
      <c r="C98" s="10" t="inlineStr">
        <is>
          <t>7896523220239</t>
        </is>
      </c>
      <c r="D98" s="7" t="inlineStr">
        <is>
          <t>CLORIDRATO DE FEXOFENADINA 60MG CX 10 COMP REV</t>
        </is>
      </c>
      <c r="E98" s="11" t="n">
        <v>1</v>
      </c>
      <c r="F98" s="11" t="n">
        <v>3</v>
      </c>
      <c r="G98" s="11" t="n">
        <v>3</v>
      </c>
      <c r="H98" s="8" t="n">
        <v>8.4</v>
      </c>
      <c r="I98" s="8">
        <f>G98*H98</f>
        <v/>
      </c>
      <c r="J98" s="8">
        <f>H98/E98</f>
        <v/>
      </c>
      <c r="K98" s="8" t="n">
        <v>6.69</v>
      </c>
      <c r="L98" s="8" t="n">
        <v>6.18</v>
      </c>
      <c r="M98" s="12">
        <f>J98/K98-1</f>
        <v/>
      </c>
      <c r="N98" s="7" t="inlineStr">
        <is>
          <t>ACIMA +25.6%</t>
        </is>
      </c>
      <c r="O98" s="7" t="inlineStr"/>
    </row>
    <row r="99">
      <c r="A99" s="7" t="n">
        <v>152261</v>
      </c>
      <c r="B99" s="7" t="inlineStr">
        <is>
          <t>6524</t>
        </is>
      </c>
      <c r="C99" s="10" t="inlineStr">
        <is>
          <t>7898216360864</t>
        </is>
      </c>
      <c r="D99" s="7" t="inlineStr">
        <is>
          <t>CLORIDRATO DE LIDOCAINA 20MG/G GELEIA BG 30G</t>
        </is>
      </c>
      <c r="E99" s="11" t="n">
        <v>1</v>
      </c>
      <c r="F99" s="11" t="n">
        <v>1</v>
      </c>
      <c r="G99" s="11" t="n">
        <v>1</v>
      </c>
      <c r="H99" s="8" t="n">
        <v>8.949999999999999</v>
      </c>
      <c r="I99" s="8">
        <f>G99*H99</f>
        <v/>
      </c>
      <c r="J99" s="8">
        <f>H99/E99</f>
        <v/>
      </c>
      <c r="K99" s="8" t="n">
        <v>8.93</v>
      </c>
      <c r="L99" s="8" t="n">
        <v>8.77</v>
      </c>
      <c r="M99" s="12">
        <f>J99/K99-1</f>
        <v/>
      </c>
      <c r="N99" s="7" t="inlineStr">
        <is>
          <t>ACIMA +0.2%</t>
        </is>
      </c>
      <c r="O99" s="7" t="inlineStr"/>
    </row>
    <row r="100">
      <c r="A100" s="7" t="n">
        <v>323981</v>
      </c>
      <c r="B100" s="7" t="inlineStr">
        <is>
          <t>3580</t>
        </is>
      </c>
      <c r="C100" s="10" t="inlineStr">
        <is>
          <t>7898060132600</t>
        </is>
      </c>
      <c r="D100" s="7" t="inlineStr">
        <is>
          <t>CLORIDRATO DE LOPERAMIDA 2MG CX 12 COMP</t>
        </is>
      </c>
      <c r="E100" s="11" t="n">
        <v>1</v>
      </c>
      <c r="F100" s="11" t="n">
        <v>19</v>
      </c>
      <c r="G100" s="11" t="n">
        <v>19</v>
      </c>
      <c r="H100" s="8" t="n">
        <v>2.08</v>
      </c>
      <c r="I100" s="8">
        <f>G100*H100</f>
        <v/>
      </c>
      <c r="J100" s="8">
        <f>H100/E100</f>
        <v/>
      </c>
      <c r="K100" s="8" t="n">
        <v>2.02</v>
      </c>
      <c r="L100" s="8" t="n">
        <v>2.02</v>
      </c>
      <c r="M100" s="12">
        <f>J100/K100-1</f>
        <v/>
      </c>
      <c r="N100" s="7" t="inlineStr">
        <is>
          <t>ACIMA +3.0%</t>
        </is>
      </c>
      <c r="O100" s="7" t="inlineStr"/>
    </row>
    <row r="101">
      <c r="A101" s="7" t="n">
        <v>511621</v>
      </c>
      <c r="B101" s="7" t="inlineStr">
        <is>
          <t>8223</t>
        </is>
      </c>
      <c r="C101" s="10" t="inlineStr">
        <is>
          <t>7897917005708</t>
        </is>
      </c>
      <c r="D101" s="7" t="inlineStr">
        <is>
          <t>CLORIDRATO DE METOCLOPRAMIDA 10MG CX 20 COMP</t>
        </is>
      </c>
      <c r="E101" s="11" t="n">
        <v>1</v>
      </c>
      <c r="F101" s="11" t="n">
        <v>1</v>
      </c>
      <c r="G101" s="11" t="n">
        <v>1</v>
      </c>
      <c r="H101" s="8" t="n">
        <v>3.2</v>
      </c>
      <c r="I101" s="8">
        <f>G101*H101</f>
        <v/>
      </c>
      <c r="J101" s="8">
        <f>H101/E101</f>
        <v/>
      </c>
      <c r="K101" s="8" t="n">
        <v>3.2</v>
      </c>
      <c r="L101" s="8" t="n">
        <v>3.2</v>
      </c>
      <c r="M101" s="12">
        <f>J101/K101-1</f>
        <v/>
      </c>
      <c r="N101" s="7" t="inlineStr">
        <is>
          <t>OK (≤ menor hist.)</t>
        </is>
      </c>
      <c r="O101" s="7" t="inlineStr"/>
    </row>
    <row r="102">
      <c r="A102" s="7" t="n">
        <v>171281</v>
      </c>
      <c r="B102" s="7" t="inlineStr">
        <is>
          <t>63</t>
        </is>
      </c>
      <c r="C102" s="10" t="inlineStr">
        <is>
          <t>7898216362431</t>
        </is>
      </c>
      <c r="D102" s="7" t="inlineStr">
        <is>
          <t>CLORIDRATO DE PROPANOLOL 40MG CX 30 COMP</t>
        </is>
      </c>
      <c r="E102" s="11" t="n">
        <v>1</v>
      </c>
      <c r="F102" s="11" t="n">
        <v>4</v>
      </c>
      <c r="G102" s="11" t="n">
        <v>4</v>
      </c>
      <c r="H102" s="8" t="n">
        <v>2.23</v>
      </c>
      <c r="I102" s="8">
        <f>G102*H102</f>
        <v/>
      </c>
      <c r="J102" s="8">
        <f>H102/E102</f>
        <v/>
      </c>
      <c r="K102" s="8" t="n">
        <v>2.12</v>
      </c>
      <c r="L102" s="8" t="n">
        <v>2.12</v>
      </c>
      <c r="M102" s="12">
        <f>J102/K102-1</f>
        <v/>
      </c>
      <c r="N102" s="7" t="inlineStr">
        <is>
          <t>ACIMA +5.2%</t>
        </is>
      </c>
      <c r="O102" s="7" t="inlineStr"/>
    </row>
    <row r="103">
      <c r="A103" s="7" t="n">
        <v>651111</v>
      </c>
      <c r="B103" s="7" t="inlineStr">
        <is>
          <t>8643</t>
        </is>
      </c>
      <c r="C103" s="10" t="inlineStr">
        <is>
          <t>7891317009052</t>
        </is>
      </c>
      <c r="D103" s="7" t="inlineStr">
        <is>
          <t>CLORIDRATO DE TRAMADOL 100MG 10ML GTS</t>
        </is>
      </c>
      <c r="E103" s="11" t="n">
        <v>1</v>
      </c>
      <c r="F103" s="11" t="n">
        <v>1</v>
      </c>
      <c r="G103" s="11" t="n">
        <v>1</v>
      </c>
      <c r="H103" s="8" t="n">
        <v>17.29</v>
      </c>
      <c r="I103" s="8">
        <f>G103*H103</f>
        <v/>
      </c>
      <c r="J103" s="8">
        <f>H103/E103</f>
        <v/>
      </c>
      <c r="K103" s="8" t="n">
        <v>14.0725</v>
      </c>
      <c r="L103" s="8" t="n">
        <v>14.0725</v>
      </c>
      <c r="M103" s="12">
        <f>J103/K103-1</f>
        <v/>
      </c>
      <c r="N103" s="7" t="inlineStr">
        <is>
          <t>ACIMA +22.9%</t>
        </is>
      </c>
      <c r="O103" s="7" t="inlineStr"/>
    </row>
    <row r="104">
      <c r="A104" s="7" t="n">
        <v>189601</v>
      </c>
      <c r="B104" s="7" t="inlineStr">
        <is>
          <t>9914</t>
        </is>
      </c>
      <c r="C104" s="10" t="inlineStr">
        <is>
          <t>7896422506427</t>
        </is>
      </c>
      <c r="D104" s="7" t="inlineStr">
        <is>
          <t>CLOTRIMAZOL 10MG CREM VAG BG 35G+6APLIC</t>
        </is>
      </c>
      <c r="E104" s="11" t="n">
        <v>1</v>
      </c>
      <c r="F104" s="11" t="n">
        <v>7</v>
      </c>
      <c r="G104" s="11" t="n">
        <v>7</v>
      </c>
      <c r="H104" s="8" t="n">
        <v>17.18</v>
      </c>
      <c r="I104" s="8">
        <f>G104*H104</f>
        <v/>
      </c>
      <c r="J104" s="8">
        <f>H104/E104</f>
        <v/>
      </c>
      <c r="K104" s="8" t="n">
        <v>15.376</v>
      </c>
      <c r="L104" s="8" t="n">
        <v>13.0614</v>
      </c>
      <c r="M104" s="12">
        <f>J104/K104-1</f>
        <v/>
      </c>
      <c r="N104" s="7" t="inlineStr">
        <is>
          <t>ACIMA +11.7%</t>
        </is>
      </c>
      <c r="O104" s="7" t="inlineStr"/>
    </row>
    <row r="105">
      <c r="A105" s="7" t="n">
        <v>189641</v>
      </c>
      <c r="B105" s="7" t="inlineStr">
        <is>
          <t>9898</t>
        </is>
      </c>
      <c r="C105" s="10" t="inlineStr">
        <is>
          <t>7896422506434</t>
        </is>
      </c>
      <c r="D105" s="7" t="inlineStr">
        <is>
          <t>CLOTRIMAZOL 20MG CREM VAG BG 20G+3APLIC</t>
        </is>
      </c>
      <c r="E105" s="11" t="n">
        <v>1</v>
      </c>
      <c r="F105" s="11" t="n">
        <v>7</v>
      </c>
      <c r="G105" s="11" t="n">
        <v>7</v>
      </c>
      <c r="H105" s="8" t="n">
        <v>17</v>
      </c>
      <c r="I105" s="8">
        <f>G105*H105</f>
        <v/>
      </c>
      <c r="J105" s="8">
        <f>H105/E105</f>
        <v/>
      </c>
      <c r="K105" s="8" t="n">
        <v>13.045</v>
      </c>
      <c r="L105" s="8" t="n">
        <v>13.045</v>
      </c>
      <c r="M105" s="12">
        <f>J105/K105-1</f>
        <v/>
      </c>
      <c r="N105" s="7" t="inlineStr">
        <is>
          <t>ACIMA +30.3%</t>
        </is>
      </c>
      <c r="O105" s="7" t="inlineStr"/>
    </row>
    <row r="106">
      <c r="A106" s="7" t="n">
        <v>189681</v>
      </c>
      <c r="B106" s="7" t="inlineStr">
        <is>
          <t>8235</t>
        </is>
      </c>
      <c r="C106" s="10" t="inlineStr">
        <is>
          <t>7896422504812</t>
        </is>
      </c>
      <c r="D106" s="7" t="inlineStr">
        <is>
          <t>CLOTRIMAZOL CREM DERM BG 20G</t>
        </is>
      </c>
      <c r="E106" s="11" t="n">
        <v>1</v>
      </c>
      <c r="F106" s="11" t="n">
        <v>6</v>
      </c>
      <c r="G106" s="11" t="n">
        <v>6</v>
      </c>
      <c r="H106" s="8" t="n">
        <v>5.44</v>
      </c>
      <c r="I106" s="8">
        <f>G106*H106</f>
        <v/>
      </c>
      <c r="J106" s="8">
        <f>H106/E106</f>
        <v/>
      </c>
      <c r="K106" s="8" t="n">
        <v>4.1567</v>
      </c>
      <c r="L106" s="8" t="n">
        <v>4.1567</v>
      </c>
      <c r="M106" s="12">
        <f>J106/K106-1</f>
        <v/>
      </c>
      <c r="N106" s="7" t="inlineStr">
        <is>
          <t>ACIMA +30.9%</t>
        </is>
      </c>
      <c r="O106" s="7" t="inlineStr"/>
    </row>
    <row r="107">
      <c r="A107" s="7" t="n">
        <v>570701</v>
      </c>
      <c r="B107" s="7" t="inlineStr">
        <is>
          <t>6994</t>
        </is>
      </c>
      <c r="C107" s="10" t="inlineStr">
        <is>
          <t>7898953484014</t>
        </is>
      </c>
      <c r="D107" s="7" t="inlineStr">
        <is>
          <t>COLETOR UNIV.BRANCO 80ML TAMPA VERDE</t>
        </is>
      </c>
      <c r="E107" s="11" t="n">
        <v>1</v>
      </c>
      <c r="F107" s="11" t="n">
        <v>113</v>
      </c>
      <c r="G107" s="11" t="n">
        <v>113</v>
      </c>
      <c r="H107" s="8" t="n">
        <v>0.6</v>
      </c>
      <c r="I107" s="8">
        <f>G107*H107</f>
        <v/>
      </c>
      <c r="J107" s="8">
        <f>H107/E107</f>
        <v/>
      </c>
      <c r="K107" s="8" t="n">
        <v>0.54</v>
      </c>
      <c r="L107" s="8" t="n">
        <v>0.54</v>
      </c>
      <c r="M107" s="12">
        <f>J107/K107-1</f>
        <v/>
      </c>
      <c r="N107" s="7" t="inlineStr">
        <is>
          <t>ACIMA +11.1%</t>
        </is>
      </c>
      <c r="O107" s="7" t="inlineStr"/>
    </row>
    <row r="108">
      <c r="A108" s="7" t="n">
        <v>661121</v>
      </c>
      <c r="B108" s="7" t="inlineStr">
        <is>
          <t>8069</t>
        </is>
      </c>
      <c r="C108" s="10" t="inlineStr">
        <is>
          <t>7897146650021</t>
        </is>
      </c>
      <c r="D108" s="7" t="inlineStr">
        <is>
          <t>COMPLEXO B C/100 CPR.</t>
        </is>
      </c>
      <c r="E108" s="11" t="n">
        <v>1</v>
      </c>
      <c r="F108" s="11" t="n">
        <v>1</v>
      </c>
      <c r="G108" s="11" t="n">
        <v>1</v>
      </c>
      <c r="H108" s="8" t="n">
        <v>7.97</v>
      </c>
      <c r="I108" s="8">
        <f>G108*H108</f>
        <v/>
      </c>
      <c r="J108" s="8">
        <f>H108/E108</f>
        <v/>
      </c>
      <c r="K108" s="8" t="n">
        <v>7.97</v>
      </c>
      <c r="L108" s="8" t="n">
        <v>7.97</v>
      </c>
      <c r="M108" s="12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608751</v>
      </c>
      <c r="B109" s="7" t="inlineStr">
        <is>
          <t>795</t>
        </is>
      </c>
      <c r="C109" s="10" t="inlineStr">
        <is>
          <t>7897146600200</t>
        </is>
      </c>
      <c r="D109" s="7" t="inlineStr">
        <is>
          <t>COMPLEXO B C/30 CPR</t>
        </is>
      </c>
      <c r="E109" s="11" t="n">
        <v>1</v>
      </c>
      <c r="F109" s="11" t="n">
        <v>1</v>
      </c>
      <c r="G109" s="11" t="n">
        <v>1</v>
      </c>
      <c r="H109" s="8" t="n">
        <v>3.38</v>
      </c>
      <c r="I109" s="8">
        <f>G109*H109</f>
        <v/>
      </c>
      <c r="J109" s="8">
        <f>H109/E109</f>
        <v/>
      </c>
      <c r="K109" s="8" t="n">
        <v>3.38</v>
      </c>
      <c r="L109" s="8" t="n">
        <v>3.38</v>
      </c>
      <c r="M109" s="12">
        <f>J109/K109-1</f>
        <v/>
      </c>
      <c r="N109" s="7" t="inlineStr">
        <is>
          <t>OK (≤ menor hist.)</t>
        </is>
      </c>
      <c r="O109" s="7" t="inlineStr"/>
    </row>
    <row r="110">
      <c r="A110" s="7" t="n">
        <v>602191</v>
      </c>
      <c r="B110" s="7" t="inlineStr">
        <is>
          <t>2195</t>
        </is>
      </c>
      <c r="C110" s="10" t="inlineStr">
        <is>
          <t>7898277713258</t>
        </is>
      </c>
      <c r="D110" s="7" t="inlineStr">
        <is>
          <t>COMPLEXO B C/50 COMP REV (ARTE NATIVA)</t>
        </is>
      </c>
      <c r="E110" s="11" t="n">
        <v>1</v>
      </c>
      <c r="F110" s="11" t="n">
        <v>5</v>
      </c>
      <c r="G110" s="11" t="n">
        <v>5</v>
      </c>
      <c r="H110" s="8" t="n">
        <v>5.82</v>
      </c>
      <c r="I110" s="8">
        <f>G110*H110</f>
        <v/>
      </c>
      <c r="J110" s="8">
        <f>H110/E110</f>
        <v/>
      </c>
      <c r="K110" s="8" t="n">
        <v>5.75</v>
      </c>
      <c r="L110" s="8" t="n">
        <v>5.75</v>
      </c>
      <c r="M110" s="12">
        <f>J110/K110-1</f>
        <v/>
      </c>
      <c r="N110" s="7" t="inlineStr">
        <is>
          <t>ACIMA +1.2%</t>
        </is>
      </c>
      <c r="O110" s="7" t="inlineStr"/>
    </row>
    <row r="111">
      <c r="A111" s="7" t="n">
        <v>592581</v>
      </c>
      <c r="B111" s="7" t="inlineStr">
        <is>
          <t>7632</t>
        </is>
      </c>
      <c r="C111" s="10" t="inlineStr">
        <is>
          <t>7897146600064</t>
        </is>
      </c>
      <c r="D111" s="7" t="inlineStr">
        <is>
          <t>COMPLEXO B C/50 CPR</t>
        </is>
      </c>
      <c r="E111" s="11" t="n">
        <v>1</v>
      </c>
      <c r="F111" s="11" t="n">
        <v>4</v>
      </c>
      <c r="G111" s="11" t="n">
        <v>4</v>
      </c>
      <c r="H111" s="8" t="n">
        <v>5</v>
      </c>
      <c r="I111" s="8">
        <f>G111*H111</f>
        <v/>
      </c>
      <c r="J111" s="8">
        <f>H111/E111</f>
        <v/>
      </c>
      <c r="K111" s="8" t="n">
        <v>5</v>
      </c>
      <c r="L111" s="8" t="n">
        <v>5</v>
      </c>
      <c r="M111" s="12">
        <f>J111/K111-1</f>
        <v/>
      </c>
      <c r="N111" s="7" t="inlineStr">
        <is>
          <t>OK (≤ menor hist.)</t>
        </is>
      </c>
      <c r="O111" s="7" t="inlineStr"/>
    </row>
    <row r="112">
      <c r="A112" s="7" t="n">
        <v>541341</v>
      </c>
      <c r="B112" s="7" t="inlineStr">
        <is>
          <t>5033</t>
        </is>
      </c>
      <c r="C112" s="10" t="inlineStr">
        <is>
          <t>7898964832156</t>
        </is>
      </c>
      <c r="D112" s="7" t="inlineStr">
        <is>
          <t>COMPLEXO B C/60COMP.</t>
        </is>
      </c>
      <c r="E112" s="11" t="n">
        <v>1</v>
      </c>
      <c r="F112" s="11" t="n">
        <v>10</v>
      </c>
      <c r="G112" s="11" t="n">
        <v>10</v>
      </c>
      <c r="H112" s="8" t="n">
        <v>5.24</v>
      </c>
      <c r="I112" s="8">
        <f>G112*H112</f>
        <v/>
      </c>
      <c r="J112" s="8">
        <f>H112/E112</f>
        <v/>
      </c>
      <c r="K112" s="8" t="n">
        <v>5.24</v>
      </c>
      <c r="L112" s="8" t="n">
        <v>5.13</v>
      </c>
      <c r="M112" s="12">
        <f>J112/K112-1</f>
        <v/>
      </c>
      <c r="N112" s="7" t="inlineStr">
        <is>
          <t>OK (≤ últ. compra)</t>
        </is>
      </c>
      <c r="O112" s="7" t="inlineStr"/>
    </row>
    <row r="113">
      <c r="A113" s="7" t="n">
        <v>581021</v>
      </c>
      <c r="B113" s="7" t="inlineStr">
        <is>
          <t>3494</t>
        </is>
      </c>
      <c r="C113" s="10" t="inlineStr">
        <is>
          <t>7898277713333</t>
        </is>
      </c>
      <c r="D113" s="7" t="inlineStr">
        <is>
          <t>COMPLEXO B SOL ORAL 100ML (POLIVITAMINAS</t>
        </is>
      </c>
      <c r="E113" s="11" t="n">
        <v>1</v>
      </c>
      <c r="F113" s="11" t="n">
        <v>3</v>
      </c>
      <c r="G113" s="11" t="n">
        <v>3</v>
      </c>
      <c r="H113" s="8" t="n">
        <v>3.9</v>
      </c>
      <c r="I113" s="8">
        <f>G113*H113</f>
        <v/>
      </c>
      <c r="J113" s="8">
        <f>H113/E113</f>
        <v/>
      </c>
      <c r="K113" s="8" t="n">
        <v>3.9</v>
      </c>
      <c r="L113" s="8" t="n">
        <v>3.9</v>
      </c>
      <c r="M113" s="12">
        <f>J113/K113-1</f>
        <v/>
      </c>
      <c r="N113" s="7" t="inlineStr">
        <is>
          <t>OK (≤ menor hist.)</t>
        </is>
      </c>
      <c r="O113" s="7" t="inlineStr"/>
    </row>
    <row r="114">
      <c r="A114" s="7" t="n">
        <v>556101</v>
      </c>
      <c r="B114" s="7" t="inlineStr">
        <is>
          <t>6037</t>
        </is>
      </c>
      <c r="C114" s="10" t="inlineStr">
        <is>
          <t>7898668060152</t>
        </is>
      </c>
      <c r="D114" s="7" t="inlineStr">
        <is>
          <t>COMPRESSA GAZE 11 FIOS C/10 UND LIVIA</t>
        </is>
      </c>
      <c r="E114" s="11" t="n">
        <v>1</v>
      </c>
      <c r="F114" s="11" t="n">
        <v>347</v>
      </c>
      <c r="G114" s="11" t="n">
        <v>347</v>
      </c>
      <c r="H114" s="8" t="n">
        <v>0.55</v>
      </c>
      <c r="I114" s="8">
        <f>G114*H114</f>
        <v/>
      </c>
      <c r="J114" s="8">
        <f>H114/E114</f>
        <v/>
      </c>
      <c r="K114" s="8" t="n">
        <v>0.55</v>
      </c>
      <c r="L114" s="8" t="n">
        <v>0.1</v>
      </c>
      <c r="M114" s="12">
        <f>J114/K114-1</f>
        <v/>
      </c>
      <c r="N114" s="7" t="inlineStr">
        <is>
          <t>OK (≤ últ. compra)</t>
        </is>
      </c>
      <c r="O114" s="7" t="inlineStr"/>
    </row>
    <row r="115">
      <c r="A115" s="7" t="n">
        <v>593361</v>
      </c>
      <c r="B115" s="7" t="inlineStr">
        <is>
          <t>5571</t>
        </is>
      </c>
      <c r="C115" s="10" t="inlineStr">
        <is>
          <t>7898933598168</t>
        </is>
      </c>
      <c r="D115" s="7" t="inlineStr">
        <is>
          <t>COMPRESSA GAZE 13 FIOS C/10 UN TEXPHARMA</t>
        </is>
      </c>
      <c r="E115" s="11" t="n">
        <v>1</v>
      </c>
      <c r="F115" s="11" t="n">
        <v>144</v>
      </c>
      <c r="G115" s="11" t="n">
        <v>144</v>
      </c>
      <c r="H115" s="8" t="n">
        <v>0.59</v>
      </c>
      <c r="I115" s="8">
        <f>G115*H115</f>
        <v/>
      </c>
      <c r="J115" s="8">
        <f>H115/E115</f>
        <v/>
      </c>
      <c r="K115" s="8" t="n">
        <v>0.1</v>
      </c>
      <c r="L115" s="8" t="n">
        <v>0.1</v>
      </c>
      <c r="M115" s="12">
        <f>J115/K115-1</f>
        <v/>
      </c>
      <c r="N115" s="7" t="inlineStr">
        <is>
          <t>ACIMA +490.0%</t>
        </is>
      </c>
      <c r="O115" s="7" t="inlineStr">
        <is>
          <t>conferir emb.</t>
        </is>
      </c>
    </row>
    <row r="116">
      <c r="A116" s="7" t="n">
        <v>538361</v>
      </c>
      <c r="B116" s="7" t="inlineStr">
        <is>
          <t>4382</t>
        </is>
      </c>
      <c r="C116" s="10" t="inlineStr">
        <is>
          <t>7898668060190</t>
        </is>
      </c>
      <c r="D116" s="7" t="inlineStr">
        <is>
          <t>COMPRESSA GAZE 13 FIOS C/10 UND LIVIA</t>
        </is>
      </c>
      <c r="E116" s="11" t="n">
        <v>1</v>
      </c>
      <c r="F116" s="11" t="n">
        <v>368</v>
      </c>
      <c r="G116" s="11" t="n">
        <v>368</v>
      </c>
      <c r="H116" s="8" t="n">
        <v>0.58</v>
      </c>
      <c r="I116" s="8">
        <f>G116*H116</f>
        <v/>
      </c>
      <c r="J116" s="8">
        <f>H116/E116</f>
        <v/>
      </c>
      <c r="K116" s="8" t="n">
        <v>0.58</v>
      </c>
      <c r="L116" s="8" t="n">
        <v>0.1</v>
      </c>
      <c r="M116" s="12">
        <f>J116/K116-1</f>
        <v/>
      </c>
      <c r="N116" s="7" t="inlineStr">
        <is>
          <t>OK (≤ últ. compra)</t>
        </is>
      </c>
      <c r="O116" s="7" t="inlineStr"/>
    </row>
    <row r="117">
      <c r="A117" s="7" t="n">
        <v>92041</v>
      </c>
      <c r="B117" s="7" t="inlineStr">
        <is>
          <t>1197</t>
        </is>
      </c>
      <c r="C117" s="10" t="inlineStr">
        <is>
          <t>7898100241279</t>
        </is>
      </c>
      <c r="D117" s="7" t="inlineStr">
        <is>
          <t>CONAZOL 20MG/G CREME BG 20G</t>
        </is>
      </c>
      <c r="E117" s="11" t="n">
        <v>1</v>
      </c>
      <c r="F117" s="11" t="n">
        <v>7</v>
      </c>
      <c r="G117" s="11" t="n">
        <v>7</v>
      </c>
      <c r="H117" s="8" t="n">
        <v>4.3</v>
      </c>
      <c r="I117" s="8">
        <f>G117*H117</f>
        <v/>
      </c>
      <c r="J117" s="8">
        <f>H117/E117</f>
        <v/>
      </c>
      <c r="K117" s="8" t="n">
        <v>3.69</v>
      </c>
      <c r="L117" s="8" t="n">
        <v>3.69</v>
      </c>
      <c r="M117" s="12">
        <f>J117/K117-1</f>
        <v/>
      </c>
      <c r="N117" s="7" t="inlineStr">
        <is>
          <t>ACIMA +16.5%</t>
        </is>
      </c>
      <c r="O117" s="7" t="inlineStr"/>
    </row>
    <row r="118">
      <c r="A118" s="7" t="n">
        <v>620061</v>
      </c>
      <c r="B118" s="7" t="inlineStr">
        <is>
          <t>9825</t>
        </is>
      </c>
      <c r="C118" s="10" t="inlineStr">
        <is>
          <t>7898136150446</t>
        </is>
      </c>
      <c r="D118" s="7" t="inlineStr">
        <is>
          <t>CURATIVO ADESIVO NATHY TRANSPARENTE 10UN</t>
        </is>
      </c>
      <c r="E118" s="11" t="n">
        <v>1</v>
      </c>
      <c r="F118" s="11" t="n">
        <v>2</v>
      </c>
      <c r="G118" s="11" t="n">
        <v>2</v>
      </c>
      <c r="H118" s="8" t="n">
        <v>1.42</v>
      </c>
      <c r="I118" s="8">
        <f>G118*H118</f>
        <v/>
      </c>
      <c r="J118" s="8">
        <f>H118/E118</f>
        <v/>
      </c>
      <c r="K118" s="8" t="n">
        <v>1.91</v>
      </c>
      <c r="L118" s="8" t="n">
        <v>1.91</v>
      </c>
      <c r="M118" s="12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630671</v>
      </c>
      <c r="B119" s="7" t="inlineStr">
        <is>
          <t>3472</t>
        </is>
      </c>
      <c r="C119" s="10" t="inlineStr">
        <is>
          <t>7898108640746</t>
        </is>
      </c>
      <c r="D119" s="7" t="inlineStr">
        <is>
          <t>CURATIVO CICATRISAN KURA DODOI CX 20 UND</t>
        </is>
      </c>
      <c r="E119" s="11" t="n">
        <v>1</v>
      </c>
      <c r="F119" s="11" t="n">
        <v>4</v>
      </c>
      <c r="G119" s="11" t="n">
        <v>4</v>
      </c>
      <c r="H119" s="8" t="n">
        <v>5.42</v>
      </c>
      <c r="I119" s="8">
        <f>G119*H119</f>
        <v/>
      </c>
      <c r="J119" s="8">
        <f>H119/E119</f>
        <v/>
      </c>
      <c r="K119" s="8" t="n">
        <v>5.42</v>
      </c>
      <c r="L119" s="8" t="n">
        <v>5.42</v>
      </c>
      <c r="M119" s="12">
        <f>J119/K119-1</f>
        <v/>
      </c>
      <c r="N119" s="7" t="inlineStr">
        <is>
          <t>OK (≤ menor hist.)</t>
        </is>
      </c>
      <c r="O119" s="7" t="inlineStr"/>
    </row>
    <row r="120">
      <c r="A120" s="7" t="n">
        <v>3243</v>
      </c>
      <c r="B120" s="7" t="inlineStr">
        <is>
          <t>3468</t>
        </is>
      </c>
      <c r="C120" s="10" t="inlineStr">
        <is>
          <t>7898108640791</t>
        </is>
      </c>
      <c r="D120" s="7" t="inlineStr">
        <is>
          <t>CURATIVO HIDROCOLOIDE SANCARE C/24 UND</t>
        </is>
      </c>
      <c r="E120" s="11" t="n">
        <v>1</v>
      </c>
      <c r="F120" s="11" t="n">
        <v>5</v>
      </c>
      <c r="G120" s="11" t="n">
        <v>5</v>
      </c>
      <c r="H120" s="8" t="n">
        <v>17.17</v>
      </c>
      <c r="I120" s="8">
        <f>G120*H120</f>
        <v/>
      </c>
      <c r="J120" s="8">
        <f>H120/E120</f>
        <v/>
      </c>
      <c r="K120" s="8" t="n">
        <v>14.93</v>
      </c>
      <c r="L120" s="8" t="n">
        <v>14.93</v>
      </c>
      <c r="M120" s="12">
        <f>J120/K120-1</f>
        <v/>
      </c>
      <c r="N120" s="7" t="inlineStr">
        <is>
          <t>ACIMA +15.0%</t>
        </is>
      </c>
      <c r="O120" s="7" t="inlineStr"/>
    </row>
    <row r="121">
      <c r="A121" s="7" t="n">
        <v>656461</v>
      </c>
      <c r="B121" s="7" t="inlineStr">
        <is>
          <t>9828</t>
        </is>
      </c>
      <c r="C121" s="10" t="inlineStr">
        <is>
          <t>7898136150620</t>
        </is>
      </c>
      <c r="D121" s="7" t="inlineStr">
        <is>
          <t>CURATIVO NATHY C/35UN BEGE</t>
        </is>
      </c>
      <c r="E121" s="11" t="n">
        <v>1</v>
      </c>
      <c r="F121" s="11" t="n">
        <v>22</v>
      </c>
      <c r="G121" s="11" t="n">
        <v>22</v>
      </c>
      <c r="H121" s="8" t="n">
        <v>3.25</v>
      </c>
      <c r="I121" s="8">
        <f>G121*H121</f>
        <v/>
      </c>
      <c r="J121" s="8">
        <f>H121/E121</f>
        <v/>
      </c>
      <c r="K121" s="8" t="n">
        <v>3.25</v>
      </c>
      <c r="L121" s="8" t="n">
        <v>3.25</v>
      </c>
      <c r="M121" s="12">
        <f>J121/K121-1</f>
        <v/>
      </c>
      <c r="N121" s="7" t="inlineStr">
        <is>
          <t>OK (≤ menor hist.)</t>
        </is>
      </c>
      <c r="O121" s="7" t="inlineStr"/>
    </row>
    <row r="122">
      <c r="A122" s="7" t="n">
        <v>666411</v>
      </c>
      <c r="B122" s="7" t="inlineStr">
        <is>
          <t>10130</t>
        </is>
      </c>
      <c r="C122" s="10" t="inlineStr">
        <is>
          <t>7896862994372</t>
        </is>
      </c>
      <c r="D122" s="7" t="inlineStr">
        <is>
          <t>DAPAGLIFLOZINA 10MG COM REV CX 30 COMP</t>
        </is>
      </c>
      <c r="E122" s="11" t="n">
        <v>1</v>
      </c>
      <c r="F122" s="11" t="n">
        <v>2</v>
      </c>
      <c r="G122" s="11" t="n">
        <v>2</v>
      </c>
      <c r="H122" s="8" t="n">
        <v>44.99</v>
      </c>
      <c r="I122" s="8">
        <f>G122*H122</f>
        <v/>
      </c>
      <c r="J122" s="8">
        <f>H122/E122</f>
        <v/>
      </c>
      <c r="K122" s="8" t="n">
        <v>48.25</v>
      </c>
      <c r="L122" s="8" t="n">
        <v>48.25</v>
      </c>
      <c r="M122" s="12">
        <f>J122/K122-1</f>
        <v/>
      </c>
      <c r="N122" s="7" t="inlineStr">
        <is>
          <t>OK (≤ menor hist.)</t>
        </is>
      </c>
      <c r="O122" s="7" t="inlineStr"/>
    </row>
    <row r="123">
      <c r="A123" s="7" t="n">
        <v>201421</v>
      </c>
      <c r="B123" s="7" t="inlineStr">
        <is>
          <t>2444</t>
        </is>
      </c>
      <c r="C123" s="10" t="inlineStr">
        <is>
          <t>7895296277051</t>
        </is>
      </c>
      <c r="D123" s="7" t="inlineStr">
        <is>
          <t>DEFLAZACORTE 6MG CX 20 COMP</t>
        </is>
      </c>
      <c r="E123" s="11" t="n">
        <v>1</v>
      </c>
      <c r="F123" s="11" t="n">
        <v>1</v>
      </c>
      <c r="G123" s="11" t="n">
        <v>1</v>
      </c>
      <c r="H123" s="8" t="n">
        <v>36.78</v>
      </c>
      <c r="I123" s="8">
        <f>G123*H123</f>
        <v/>
      </c>
      <c r="J123" s="8">
        <f>H123/E123</f>
        <v/>
      </c>
      <c r="K123" s="8" t="n">
        <v>34.39</v>
      </c>
      <c r="L123" s="8" t="n">
        <v>34.39</v>
      </c>
      <c r="M123" s="12">
        <f>J123/K123-1</f>
        <v/>
      </c>
      <c r="N123" s="7" t="inlineStr">
        <is>
          <t>ACIMA +6.9%</t>
        </is>
      </c>
      <c r="O123" s="7" t="inlineStr"/>
    </row>
    <row r="124">
      <c r="A124" s="7" t="n">
        <v>354681</v>
      </c>
      <c r="B124" s="7" t="inlineStr">
        <is>
          <t>1363</t>
        </is>
      </c>
      <c r="C124" s="10" t="inlineStr">
        <is>
          <t>7893736010220</t>
        </is>
      </c>
      <c r="D124" s="7" t="inlineStr">
        <is>
          <t>DERMOBAN 20MG CREME DERM BG 15G</t>
        </is>
      </c>
      <c r="E124" s="11" t="n">
        <v>1</v>
      </c>
      <c r="F124" s="11" t="n">
        <v>10</v>
      </c>
      <c r="G124" s="11" t="n">
        <v>10</v>
      </c>
      <c r="H124" s="8" t="n">
        <v>25.99</v>
      </c>
      <c r="I124" s="8">
        <f>G124*H124</f>
        <v/>
      </c>
      <c r="J124" s="8">
        <f>H124/E124</f>
        <v/>
      </c>
      <c r="K124" s="8" t="n">
        <v>32.99</v>
      </c>
      <c r="L124" s="8" t="n">
        <v>25.01</v>
      </c>
      <c r="M124" s="12">
        <f>J124/K124-1</f>
        <v/>
      </c>
      <c r="N124" s="7" t="inlineStr">
        <is>
          <t>OK (≤ últ. compra)</t>
        </is>
      </c>
      <c r="O124" s="7" t="inlineStr"/>
    </row>
    <row r="125">
      <c r="A125" s="7" t="n">
        <v>821</v>
      </c>
      <c r="B125" s="7" t="inlineStr">
        <is>
          <t>380</t>
        </is>
      </c>
      <c r="C125" s="10" t="inlineStr">
        <is>
          <t>7893454100661</t>
        </is>
      </c>
      <c r="D125" s="7" t="inlineStr">
        <is>
          <t>DERMOSALIC 30G POM BG</t>
        </is>
      </c>
      <c r="E125" s="11" t="n">
        <v>1</v>
      </c>
      <c r="F125" s="11" t="n">
        <v>14</v>
      </c>
      <c r="G125" s="11" t="n">
        <v>14</v>
      </c>
      <c r="H125" s="8" t="n">
        <v>10.76</v>
      </c>
      <c r="I125" s="8">
        <f>G125*H125</f>
        <v/>
      </c>
      <c r="J125" s="8">
        <f>H125/E125</f>
        <v/>
      </c>
      <c r="K125" s="8" t="n">
        <v>10.36</v>
      </c>
      <c r="L125" s="8" t="n">
        <v>10.36</v>
      </c>
      <c r="M125" s="12">
        <f>J125/K125-1</f>
        <v/>
      </c>
      <c r="N125" s="7" t="inlineStr">
        <is>
          <t>ACIMA +3.9%</t>
        </is>
      </c>
      <c r="O125" s="7" t="inlineStr"/>
    </row>
    <row r="126">
      <c r="A126" s="7" t="n">
        <v>691501</v>
      </c>
      <c r="B126" s="7" t="inlineStr">
        <is>
          <t>6114</t>
        </is>
      </c>
      <c r="C126" s="10" t="inlineStr">
        <is>
          <t>7898593050716</t>
        </is>
      </c>
      <c r="D126" s="7" t="inlineStr">
        <is>
          <t>DERMUP COLAGENO VERISOL C/90 CPS</t>
        </is>
      </c>
      <c r="E126" s="11" t="n">
        <v>1</v>
      </c>
      <c r="F126" s="11" t="n">
        <v>1</v>
      </c>
      <c r="G126" s="11" t="n">
        <v>1</v>
      </c>
      <c r="H126" s="8" t="n">
        <v>42.53</v>
      </c>
      <c r="I126" s="8">
        <f>G126*H126</f>
        <v/>
      </c>
      <c r="J126" s="8">
        <f>H126/E126</f>
        <v/>
      </c>
      <c r="K126" s="8" t="n">
        <v>41.85</v>
      </c>
      <c r="L126" s="8" t="n">
        <v>41.85</v>
      </c>
      <c r="M126" s="12">
        <f>J126/K126-1</f>
        <v/>
      </c>
      <c r="N126" s="7" t="inlineStr">
        <is>
          <t>ACIMA +1.6%</t>
        </is>
      </c>
      <c r="O126" s="7" t="inlineStr"/>
    </row>
    <row r="127">
      <c r="A127" s="7" t="n">
        <v>573701</v>
      </c>
      <c r="B127" s="7" t="inlineStr">
        <is>
          <t>5772</t>
        </is>
      </c>
      <c r="C127" s="10" t="inlineStr">
        <is>
          <t>7898582290178</t>
        </is>
      </c>
      <c r="D127" s="7" t="inlineStr">
        <is>
          <t>DERSOL LOCAO OLEOSA 200ML</t>
        </is>
      </c>
      <c r="E127" s="11" t="n">
        <v>1</v>
      </c>
      <c r="F127" s="11" t="n">
        <v>5</v>
      </c>
      <c r="G127" s="11" t="n">
        <v>5</v>
      </c>
      <c r="H127" s="8" t="n">
        <v>11.41</v>
      </c>
      <c r="I127" s="8">
        <f>G127*H127</f>
        <v/>
      </c>
      <c r="J127" s="8">
        <f>H127/E127</f>
        <v/>
      </c>
      <c r="K127" s="8" t="n">
        <v>10.99</v>
      </c>
      <c r="L127" s="8" t="n">
        <v>10.99</v>
      </c>
      <c r="M127" s="12">
        <f>J127/K127-1</f>
        <v/>
      </c>
      <c r="N127" s="7" t="inlineStr">
        <is>
          <t>ACIMA +3.8%</t>
        </is>
      </c>
      <c r="O127" s="7" t="inlineStr"/>
    </row>
    <row r="128">
      <c r="A128" s="7" t="n">
        <v>668951</v>
      </c>
      <c r="B128" s="7" t="inlineStr">
        <is>
          <t>2447</t>
        </is>
      </c>
      <c r="C128" s="10" t="inlineStr">
        <is>
          <t>7896472520299</t>
        </is>
      </c>
      <c r="D128" s="7" t="inlineStr">
        <is>
          <t>DESLORATADINA 5MG CX 10 COMP REV</t>
        </is>
      </c>
      <c r="E128" s="11" t="n">
        <v>1</v>
      </c>
      <c r="F128" s="11" t="n">
        <v>25</v>
      </c>
      <c r="G128" s="11" t="n">
        <v>25</v>
      </c>
      <c r="H128" s="8" t="n">
        <v>4.83</v>
      </c>
      <c r="I128" s="8">
        <f>G128*H128</f>
        <v/>
      </c>
      <c r="J128" s="8">
        <f>H128/E128</f>
        <v/>
      </c>
      <c r="K128" s="8" t="n">
        <v>6.11</v>
      </c>
      <c r="L128" s="8" t="n">
        <v>5.7026</v>
      </c>
      <c r="M128" s="12">
        <f>J128/K128-1</f>
        <v/>
      </c>
      <c r="N128" s="7" t="inlineStr">
        <is>
          <t>OK (≤ menor hist.)</t>
        </is>
      </c>
      <c r="O128" s="7" t="inlineStr"/>
    </row>
    <row r="129">
      <c r="A129" s="7" t="n">
        <v>490121</v>
      </c>
      <c r="B129" s="7" t="inlineStr">
        <is>
          <t>5588</t>
        </is>
      </c>
      <c r="C129" s="10" t="inlineStr">
        <is>
          <t>7897917004008</t>
        </is>
      </c>
      <c r="D129" s="7" t="inlineStr">
        <is>
          <t>DICLOFENACO SODICO 50MG CX 20 COMP REV</t>
        </is>
      </c>
      <c r="E129" s="11" t="n">
        <v>1</v>
      </c>
      <c r="F129" s="11" t="n">
        <v>4</v>
      </c>
      <c r="G129" s="11" t="n">
        <v>4</v>
      </c>
      <c r="H129" s="8" t="n">
        <v>1.65</v>
      </c>
      <c r="I129" s="8">
        <f>G129*H129</f>
        <v/>
      </c>
      <c r="J129" s="8">
        <f>H129/E129</f>
        <v/>
      </c>
      <c r="K129" s="8" t="n">
        <v>1.65</v>
      </c>
      <c r="L129" s="8" t="n">
        <v>1.65</v>
      </c>
      <c r="M129" s="12">
        <f>J129/K129-1</f>
        <v/>
      </c>
      <c r="N129" s="7" t="inlineStr">
        <is>
          <t>OK (≤ menor hist.)</t>
        </is>
      </c>
      <c r="O129" s="7" t="inlineStr"/>
    </row>
    <row r="130">
      <c r="A130" s="7" t="n">
        <v>150061</v>
      </c>
      <c r="B130" s="7" t="inlineStr">
        <is>
          <t>4469</t>
        </is>
      </c>
      <c r="C130" s="10" t="inlineStr">
        <is>
          <t>7895296053044</t>
        </is>
      </c>
      <c r="D130" s="7" t="inlineStr">
        <is>
          <t>DICLORIDRATO DE HIDROXIZINA 25MG CX 30 COMP</t>
        </is>
      </c>
      <c r="E130" s="11" t="n">
        <v>1</v>
      </c>
      <c r="F130" s="11" t="n">
        <v>1</v>
      </c>
      <c r="G130" s="11" t="n">
        <v>1</v>
      </c>
      <c r="H130" s="8" t="n">
        <v>28.96</v>
      </c>
      <c r="I130" s="8">
        <f>G130*H130</f>
        <v/>
      </c>
      <c r="J130" s="8">
        <f>H130/E130</f>
        <v/>
      </c>
      <c r="K130" s="8" t="n">
        <v>26.56</v>
      </c>
      <c r="L130" s="8" t="n">
        <v>26.56</v>
      </c>
      <c r="M130" s="12">
        <f>J130/K130-1</f>
        <v/>
      </c>
      <c r="N130" s="7" t="inlineStr">
        <is>
          <t>ACIMA +9.0%</t>
        </is>
      </c>
      <c r="O130" s="7" t="inlineStr"/>
    </row>
    <row r="131">
      <c r="A131" s="7" t="n">
        <v>214</v>
      </c>
      <c r="B131" s="7" t="inlineStr">
        <is>
          <t>8507</t>
        </is>
      </c>
      <c r="C131" s="10" t="inlineStr">
        <is>
          <t>7898216367016</t>
        </is>
      </c>
      <c r="D131" s="7" t="inlineStr">
        <is>
          <t>DICLORIDRATO DE LEVOCETIRIZINA</t>
        </is>
      </c>
      <c r="E131" s="11" t="n">
        <v>1</v>
      </c>
      <c r="F131" s="11" t="n">
        <v>6</v>
      </c>
      <c r="G131" s="11" t="n">
        <v>6</v>
      </c>
      <c r="H131" s="8" t="n">
        <v>9.17</v>
      </c>
      <c r="I131" s="8">
        <f>G131*H131</f>
        <v/>
      </c>
      <c r="J131" s="8">
        <f>H131/E131</f>
        <v/>
      </c>
      <c r="K131" s="8" t="n">
        <v>8.48</v>
      </c>
      <c r="L131" s="8" t="n">
        <v>8.48</v>
      </c>
      <c r="M131" s="12">
        <f>J131/K131-1</f>
        <v/>
      </c>
      <c r="N131" s="7" t="inlineStr">
        <is>
          <t>ACIMA +8.1%</t>
        </is>
      </c>
      <c r="O131" s="7" t="inlineStr"/>
    </row>
    <row r="132">
      <c r="A132" s="7" t="n">
        <v>222121</v>
      </c>
      <c r="B132" s="7" t="inlineStr">
        <is>
          <t>1032</t>
        </is>
      </c>
      <c r="C132" s="10" t="inlineStr">
        <is>
          <t>7898166041004</t>
        </is>
      </c>
      <c r="D132" s="7" t="inlineStr">
        <is>
          <t>DIPIFARMA 500 MG/ML SOL INJ CX 100 AMP VD AMB X 2 ML (EMB HOSP)</t>
        </is>
      </c>
      <c r="E132" s="11" t="n">
        <v>1</v>
      </c>
      <c r="F132" s="11" t="n">
        <v>1</v>
      </c>
      <c r="G132" s="11" t="n">
        <v>1</v>
      </c>
      <c r="H132" s="8" t="n">
        <v>81</v>
      </c>
      <c r="I132" s="8">
        <f>G132*H132</f>
        <v/>
      </c>
      <c r="J132" s="8">
        <f>H132/E132</f>
        <v/>
      </c>
      <c r="K132" s="8" t="n">
        <v>2.56</v>
      </c>
      <c r="L132" s="8" t="n">
        <v>2.56</v>
      </c>
      <c r="M132" s="12">
        <f>J132/K132-1</f>
        <v/>
      </c>
      <c r="N132" s="7" t="inlineStr">
        <is>
          <t>ACIMA +3064.1%</t>
        </is>
      </c>
      <c r="O132" s="7" t="inlineStr">
        <is>
          <t>conferir emb.</t>
        </is>
      </c>
    </row>
    <row r="133">
      <c r="A133" s="7" t="n">
        <v>558021</v>
      </c>
      <c r="B133" s="7" t="inlineStr">
        <is>
          <t>3021</t>
        </is>
      </c>
      <c r="C133" s="10" t="inlineStr">
        <is>
          <t>00742832304719</t>
        </is>
      </c>
      <c r="D133" s="7" t="inlineStr">
        <is>
          <t>DIPIRONA 500MG CT 10CP</t>
        </is>
      </c>
      <c r="E133" s="11" t="n">
        <v>1</v>
      </c>
      <c r="F133" s="11" t="n">
        <v>1</v>
      </c>
      <c r="G133" s="11" t="n">
        <v>1</v>
      </c>
      <c r="H133" s="8" t="n">
        <v>17.91</v>
      </c>
      <c r="I133" s="8">
        <f>G133*H133</f>
        <v/>
      </c>
      <c r="J133" s="8">
        <f>H133/E133</f>
        <v/>
      </c>
      <c r="K133" s="8" t="n"/>
      <c r="L133" s="8" t="n"/>
      <c r="M133" s="12" t="n"/>
      <c r="N133" s="7" t="inlineStr">
        <is>
          <t>SEM HISTÓRICO</t>
        </is>
      </c>
      <c r="O133" s="7" t="inlineStr"/>
    </row>
    <row r="134">
      <c r="A134" s="7" t="n">
        <v>526021</v>
      </c>
      <c r="B134" s="7" t="inlineStr">
        <is>
          <t>8168</t>
        </is>
      </c>
      <c r="C134" s="10" t="inlineStr">
        <is>
          <t>7896523201054</t>
        </is>
      </c>
      <c r="D134" s="7" t="inlineStr">
        <is>
          <t>DOMPERIDONA 10MG CX 30 COMP</t>
        </is>
      </c>
      <c r="E134" s="11" t="n">
        <v>1</v>
      </c>
      <c r="F134" s="11" t="n">
        <v>23</v>
      </c>
      <c r="G134" s="11" t="n">
        <v>23</v>
      </c>
      <c r="H134" s="8" t="n">
        <v>3.23</v>
      </c>
      <c r="I134" s="8">
        <f>G134*H134</f>
        <v/>
      </c>
      <c r="J134" s="8">
        <f>H134/E134</f>
        <v/>
      </c>
      <c r="K134" s="8" t="n">
        <v>2.28</v>
      </c>
      <c r="L134" s="8" t="n">
        <v>2.19</v>
      </c>
      <c r="M134" s="12">
        <f>J134/K134-1</f>
        <v/>
      </c>
      <c r="N134" s="7" t="inlineStr">
        <is>
          <t>ACIMA +41.7%</t>
        </is>
      </c>
      <c r="O134" s="7" t="inlineStr"/>
    </row>
    <row r="135">
      <c r="A135" s="7" t="n">
        <v>13361</v>
      </c>
      <c r="B135" s="7" t="inlineStr">
        <is>
          <t>4788</t>
        </is>
      </c>
      <c r="C135" s="10" t="inlineStr">
        <is>
          <t>7898179710065</t>
        </is>
      </c>
      <c r="D135" s="7" t="inlineStr">
        <is>
          <t>DORMEC 100 MG C/10 (CARTELA)</t>
        </is>
      </c>
      <c r="E135" s="11" t="n">
        <v>20</v>
      </c>
      <c r="F135" s="11" t="n">
        <v>21</v>
      </c>
      <c r="G135" s="11" t="n">
        <v>2</v>
      </c>
      <c r="H135" s="8" t="n">
        <v>12.12</v>
      </c>
      <c r="I135" s="8">
        <f>G135*H135</f>
        <v/>
      </c>
      <c r="J135" s="8">
        <f>H135/E135</f>
        <v/>
      </c>
      <c r="K135" s="8" t="n">
        <v>0.5885</v>
      </c>
      <c r="L135" s="8" t="n">
        <v>0.5855</v>
      </c>
      <c r="M135" s="12">
        <f>J135/K135-1</f>
        <v/>
      </c>
      <c r="N135" s="7" t="inlineStr">
        <is>
          <t>ACIMA +3.0%</t>
        </is>
      </c>
      <c r="O135" s="7" t="inlineStr">
        <is>
          <t>1 emb = 20 un</t>
        </is>
      </c>
    </row>
    <row r="136">
      <c r="A136" s="7" t="n">
        <v>238761</v>
      </c>
      <c r="B136" s="7" t="inlineStr">
        <is>
          <t>2454</t>
        </is>
      </c>
      <c r="C136" s="10" t="inlineStr">
        <is>
          <t>7895296100038</t>
        </is>
      </c>
      <c r="D136" s="7" t="inlineStr">
        <is>
          <t>DROSPIRENONA+ETINILESTRADIOL 3+0,03MG CX 21 COMP REV</t>
        </is>
      </c>
      <c r="E136" s="11" t="n">
        <v>1</v>
      </c>
      <c r="F136" s="11" t="n">
        <v>11</v>
      </c>
      <c r="G136" s="11" t="n">
        <v>11</v>
      </c>
      <c r="H136" s="8" t="n">
        <v>10.44</v>
      </c>
      <c r="I136" s="8">
        <f>G136*H136</f>
        <v/>
      </c>
      <c r="J136" s="8">
        <f>H136/E136</f>
        <v/>
      </c>
      <c r="K136" s="8" t="n">
        <v>10.44</v>
      </c>
      <c r="L136" s="8" t="n">
        <v>8.948700000000001</v>
      </c>
      <c r="M136" s="12">
        <f>J136/K136-1</f>
        <v/>
      </c>
      <c r="N136" s="7" t="inlineStr">
        <is>
          <t>OK (≤ últ. compra)</t>
        </is>
      </c>
      <c r="O136" s="7" t="inlineStr"/>
    </row>
    <row r="137">
      <c r="A137" s="7" t="n">
        <v>393461</v>
      </c>
      <c r="B137" s="7" t="inlineStr">
        <is>
          <t>270</t>
        </is>
      </c>
      <c r="C137" s="10" t="inlineStr">
        <is>
          <t>7896023701436</t>
        </is>
      </c>
      <c r="D137" s="7" t="inlineStr">
        <is>
          <t>ELIXIR PAREGORICO 0,05ML/ML SOL OR FR GOT 30ML</t>
        </is>
      </c>
      <c r="E137" s="11" t="n">
        <v>1</v>
      </c>
      <c r="F137" s="11" t="n">
        <v>13</v>
      </c>
      <c r="G137" s="11" t="n">
        <v>13</v>
      </c>
      <c r="H137" s="8" t="n">
        <v>10.65</v>
      </c>
      <c r="I137" s="8">
        <f>G137*H137</f>
        <v/>
      </c>
      <c r="J137" s="8">
        <f>H137/E137</f>
        <v/>
      </c>
      <c r="K137" s="8" t="n">
        <v>10.65</v>
      </c>
      <c r="L137" s="8" t="n">
        <v>10.65</v>
      </c>
      <c r="M137" s="12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604941</v>
      </c>
      <c r="B138" s="7" t="inlineStr">
        <is>
          <t>6901</t>
        </is>
      </c>
      <c r="C138" s="10" t="inlineStr">
        <is>
          <t>7898687731996</t>
        </is>
      </c>
      <c r="D138" s="7" t="inlineStr">
        <is>
          <t>EQUALIV MELATONINA 0,21MG X120</t>
        </is>
      </c>
      <c r="E138" s="11" t="n">
        <v>1</v>
      </c>
      <c r="F138" s="11" t="n">
        <v>1</v>
      </c>
      <c r="G138" s="11" t="n">
        <v>1</v>
      </c>
      <c r="H138" s="8" t="n">
        <v>23.73</v>
      </c>
      <c r="I138" s="8">
        <f>G138*H138</f>
        <v/>
      </c>
      <c r="J138" s="8">
        <f>H138/E138</f>
        <v/>
      </c>
      <c r="K138" s="8" t="n">
        <v>18.9925</v>
      </c>
      <c r="L138" s="8" t="n">
        <v>18.9925</v>
      </c>
      <c r="M138" s="12">
        <f>J138/K138-1</f>
        <v/>
      </c>
      <c r="N138" s="7" t="inlineStr">
        <is>
          <t>ACIMA +24.9%</t>
        </is>
      </c>
      <c r="O138" s="7" t="inlineStr"/>
    </row>
    <row r="139">
      <c r="A139" s="7" t="n">
        <v>611991</v>
      </c>
      <c r="B139" s="7" t="inlineStr">
        <is>
          <t>6875</t>
        </is>
      </c>
      <c r="C139" s="10" t="inlineStr">
        <is>
          <t>7898157722707</t>
        </is>
      </c>
      <c r="D139" s="7" t="inlineStr">
        <is>
          <t>EQUIPO MACROGOTAS MOD L2 - M25</t>
        </is>
      </c>
      <c r="E139" s="11" t="n">
        <v>1</v>
      </c>
      <c r="F139" s="11" t="n">
        <v>5</v>
      </c>
      <c r="G139" s="11" t="n">
        <v>5</v>
      </c>
      <c r="H139" s="8" t="n">
        <v>0.9</v>
      </c>
      <c r="I139" s="8">
        <f>G139*H139</f>
        <v/>
      </c>
      <c r="J139" s="8">
        <f>H139/E139</f>
        <v/>
      </c>
      <c r="K139" s="8" t="n">
        <v>1.49</v>
      </c>
      <c r="L139" s="8" t="n">
        <v>1.49</v>
      </c>
      <c r="M139" s="12">
        <f>J139/K139-1</f>
        <v/>
      </c>
      <c r="N139" s="7" t="inlineStr">
        <is>
          <t>OK (≤ menor hist.)</t>
        </is>
      </c>
      <c r="O139" s="7" t="inlineStr"/>
    </row>
    <row r="140">
      <c r="A140" s="7" t="n">
        <v>234861</v>
      </c>
      <c r="B140" s="7" t="inlineStr">
        <is>
          <t>406</t>
        </is>
      </c>
      <c r="C140" s="10" t="inlineStr">
        <is>
          <t>7895296128124</t>
        </is>
      </c>
      <c r="D140" s="7" t="inlineStr">
        <is>
          <t>ESOP 20MG CX 28 COMP REV</t>
        </is>
      </c>
      <c r="E140" s="11" t="n">
        <v>1</v>
      </c>
      <c r="F140" s="11" t="n">
        <v>1</v>
      </c>
      <c r="G140" s="11" t="n">
        <v>1</v>
      </c>
      <c r="H140" s="8" t="n">
        <v>24.96</v>
      </c>
      <c r="I140" s="8">
        <f>G140*H140</f>
        <v/>
      </c>
      <c r="J140" s="8">
        <f>H140/E140</f>
        <v/>
      </c>
      <c r="K140" s="8" t="n">
        <v>21.71</v>
      </c>
      <c r="L140" s="8" t="n">
        <v>21.71</v>
      </c>
      <c r="M140" s="12">
        <f>J140/K140-1</f>
        <v/>
      </c>
      <c r="N140" s="7" t="inlineStr">
        <is>
          <t>ACIMA +15.0%</t>
        </is>
      </c>
      <c r="O140" s="7" t="inlineStr"/>
    </row>
    <row r="141">
      <c r="A141" s="7" t="n">
        <v>234881</v>
      </c>
      <c r="B141" s="7" t="inlineStr">
        <is>
          <t>1127</t>
        </is>
      </c>
      <c r="C141" s="10" t="inlineStr">
        <is>
          <t>7895296128162</t>
        </is>
      </c>
      <c r="D141" s="7" t="inlineStr">
        <is>
          <t>ESOP 40MG CX 28 COMP REV</t>
        </is>
      </c>
      <c r="E141" s="11" t="n">
        <v>1</v>
      </c>
      <c r="F141" s="11" t="n">
        <v>1</v>
      </c>
      <c r="G141" s="11" t="n">
        <v>1</v>
      </c>
      <c r="H141" s="8" t="n">
        <v>43.2</v>
      </c>
      <c r="I141" s="8">
        <f>G141*H141</f>
        <v/>
      </c>
      <c r="J141" s="8">
        <f>H141/E141</f>
        <v/>
      </c>
      <c r="K141" s="8" t="n">
        <v>41.75</v>
      </c>
      <c r="L141" s="8" t="n">
        <v>41.75</v>
      </c>
      <c r="M141" s="12">
        <f>J141/K141-1</f>
        <v/>
      </c>
      <c r="N141" s="7" t="inlineStr">
        <is>
          <t>ACIMA +3.5%</t>
        </is>
      </c>
      <c r="O141" s="7" t="inlineStr"/>
    </row>
    <row r="142">
      <c r="A142" s="7" t="n">
        <v>613791</v>
      </c>
      <c r="B142" s="7" t="inlineStr">
        <is>
          <t>232</t>
        </is>
      </c>
      <c r="C142" s="10" t="inlineStr">
        <is>
          <t>7896544900073</t>
        </is>
      </c>
      <c r="D142" s="7" t="inlineStr">
        <is>
          <t>ESPARAD IMP MISSNER 1,2CMX4,5M</t>
        </is>
      </c>
      <c r="E142" s="11" t="n">
        <v>1</v>
      </c>
      <c r="F142" s="11" t="n">
        <v>2</v>
      </c>
      <c r="G142" s="11" t="n">
        <v>2</v>
      </c>
      <c r="H142" s="8" t="n">
        <v>2.83</v>
      </c>
      <c r="I142" s="8">
        <f>G142*H142</f>
        <v/>
      </c>
      <c r="J142" s="8">
        <f>H142/E142</f>
        <v/>
      </c>
      <c r="K142" s="8" t="n">
        <v>2.83</v>
      </c>
      <c r="L142" s="8" t="n">
        <v>2.83</v>
      </c>
      <c r="M142" s="12">
        <f>J142/K142-1</f>
        <v/>
      </c>
      <c r="N142" s="7" t="inlineStr">
        <is>
          <t>OK (≤ menor hist.)</t>
        </is>
      </c>
      <c r="O142" s="7" t="inlineStr"/>
    </row>
    <row r="143">
      <c r="A143" s="7" t="n">
        <v>540961</v>
      </c>
      <c r="B143" s="7" t="inlineStr">
        <is>
          <t>229</t>
        </is>
      </c>
      <c r="C143" s="10" t="inlineStr">
        <is>
          <t>7896544910102</t>
        </is>
      </c>
      <c r="D143" s="7" t="inlineStr">
        <is>
          <t>ESPARADRAPO BRANCO 10 X 4,5</t>
        </is>
      </c>
      <c r="E143" s="11" t="n">
        <v>1</v>
      </c>
      <c r="F143" s="11" t="n">
        <v>13</v>
      </c>
      <c r="G143" s="11" t="n">
        <v>13</v>
      </c>
      <c r="H143" s="8" t="n">
        <v>12.33</v>
      </c>
      <c r="I143" s="8">
        <f>G143*H143</f>
        <v/>
      </c>
      <c r="J143" s="8">
        <f>H143/E143</f>
        <v/>
      </c>
      <c r="K143" s="8" t="n">
        <v>12.32</v>
      </c>
      <c r="L143" s="8" t="n">
        <v>12.32</v>
      </c>
      <c r="M143" s="12">
        <f>J143/K143-1</f>
        <v/>
      </c>
      <c r="N143" s="7" t="inlineStr">
        <is>
          <t>ACIMA +0.1%</t>
        </is>
      </c>
      <c r="O143" s="7" t="inlineStr"/>
    </row>
    <row r="144">
      <c r="A144" s="7" t="n">
        <v>541301</v>
      </c>
      <c r="B144" s="7" t="inlineStr">
        <is>
          <t>231</t>
        </is>
      </c>
      <c r="C144" s="10" t="inlineStr">
        <is>
          <t>7896544925014</t>
        </is>
      </c>
      <c r="D144" s="7" t="inlineStr">
        <is>
          <t>ESPARADRAPO IMP BRANCO 2,5CM X 0,90MTS UND QTD. 14.00 UN</t>
        </is>
      </c>
      <c r="E144" s="11" t="n">
        <v>1</v>
      </c>
      <c r="F144" s="11" t="n">
        <v>17</v>
      </c>
      <c r="G144" s="11" t="n">
        <v>17</v>
      </c>
      <c r="H144" s="8" t="n">
        <v>2.15</v>
      </c>
      <c r="I144" s="8">
        <f>G144*H144</f>
        <v/>
      </c>
      <c r="J144" s="8">
        <f>H144/E144</f>
        <v/>
      </c>
      <c r="K144" s="8" t="n">
        <v>2.15</v>
      </c>
      <c r="L144" s="8" t="n">
        <v>2.15</v>
      </c>
      <c r="M144" s="12">
        <f>J144/K144-1</f>
        <v/>
      </c>
      <c r="N144" s="7" t="inlineStr">
        <is>
          <t>OK (≤ menor hist.)</t>
        </is>
      </c>
      <c r="O144" s="7" t="inlineStr"/>
    </row>
    <row r="145">
      <c r="A145" s="7" t="n">
        <v>541421</v>
      </c>
      <c r="B145" s="7" t="inlineStr">
        <is>
          <t>230</t>
        </is>
      </c>
      <c r="C145" s="10" t="inlineStr">
        <is>
          <t>7896544925458</t>
        </is>
      </c>
      <c r="D145" s="7" t="inlineStr">
        <is>
          <t>ESPARADRAPO IMP BRANCO 2,5CM X 4,5MTS UND QTD. 10.00 UN</t>
        </is>
      </c>
      <c r="E145" s="11" t="n">
        <v>1</v>
      </c>
      <c r="F145" s="11" t="n">
        <v>41</v>
      </c>
      <c r="G145" s="11" t="n">
        <v>41</v>
      </c>
      <c r="H145" s="8" t="n">
        <v>3.71</v>
      </c>
      <c r="I145" s="8">
        <f>G145*H145</f>
        <v/>
      </c>
      <c r="J145" s="8">
        <f>H145/E145</f>
        <v/>
      </c>
      <c r="K145" s="8" t="n">
        <v>3.71</v>
      </c>
      <c r="L145" s="8" t="n">
        <v>3.71</v>
      </c>
      <c r="M145" s="12">
        <f>J145/K145-1</f>
        <v/>
      </c>
      <c r="N145" s="7" t="inlineStr">
        <is>
          <t>OK (≤ menor hist.)</t>
        </is>
      </c>
      <c r="O145" s="7" t="inlineStr"/>
    </row>
    <row r="146">
      <c r="A146" s="7" t="n">
        <v>552501</v>
      </c>
      <c r="B146" s="7" t="inlineStr">
        <is>
          <t>1049</t>
        </is>
      </c>
      <c r="C146" s="10" t="inlineStr">
        <is>
          <t>7896544910058</t>
        </is>
      </c>
      <c r="D146" s="7" t="inlineStr">
        <is>
          <t>ESPARADRAPO IMPERM. BRANCO 5CMX4,5M</t>
        </is>
      </c>
      <c r="E146" s="11" t="n">
        <v>1</v>
      </c>
      <c r="F146" s="11" t="n">
        <v>14</v>
      </c>
      <c r="G146" s="11" t="n">
        <v>14</v>
      </c>
      <c r="H146" s="8" t="n">
        <v>5.98</v>
      </c>
      <c r="I146" s="8">
        <f>G146*H146</f>
        <v/>
      </c>
      <c r="J146" s="8">
        <f>H146/E146</f>
        <v/>
      </c>
      <c r="K146" s="8" t="n">
        <v>5.98</v>
      </c>
      <c r="L146" s="8" t="n">
        <v>5.97</v>
      </c>
      <c r="M146" s="12">
        <f>J146/K146-1</f>
        <v/>
      </c>
      <c r="N146" s="7" t="inlineStr">
        <is>
          <t>OK (≤ últ. compra)</t>
        </is>
      </c>
      <c r="O146" s="7" t="inlineStr"/>
    </row>
    <row r="147">
      <c r="A147" s="7" t="n">
        <v>631171</v>
      </c>
      <c r="B147" s="7" t="inlineStr">
        <is>
          <t>8601</t>
        </is>
      </c>
      <c r="C147" s="10" t="inlineStr">
        <is>
          <t>7898687733990</t>
        </is>
      </c>
      <c r="D147" s="7" t="inlineStr">
        <is>
          <t>ETODOLACO 500MG CX 14 COMP REV</t>
        </is>
      </c>
      <c r="E147" s="11" t="n">
        <v>1</v>
      </c>
      <c r="F147" s="11" t="n">
        <v>13</v>
      </c>
      <c r="G147" s="11" t="n">
        <v>13</v>
      </c>
      <c r="H147" s="8" t="n">
        <v>19.83</v>
      </c>
      <c r="I147" s="8">
        <f>G147*H147</f>
        <v/>
      </c>
      <c r="J147" s="8">
        <f>H147/E147</f>
        <v/>
      </c>
      <c r="K147" s="8" t="n">
        <v>16.3492</v>
      </c>
      <c r="L147" s="8" t="n">
        <v>16.3492</v>
      </c>
      <c r="M147" s="12">
        <f>J147/K147-1</f>
        <v/>
      </c>
      <c r="N147" s="7" t="inlineStr">
        <is>
          <t>ACIMA +21.3%</t>
        </is>
      </c>
      <c r="O147" s="7" t="inlineStr"/>
    </row>
    <row r="148">
      <c r="A148" s="7" t="n">
        <v>607431</v>
      </c>
      <c r="B148" s="7" t="inlineStr">
        <is>
          <t>9066</t>
        </is>
      </c>
      <c r="C148" s="10" t="inlineStr">
        <is>
          <t>7897732607897</t>
        </is>
      </c>
      <c r="D148" s="7" t="inlineStr">
        <is>
          <t>EXTRATO DE PROPOLIS VERDE 30ML</t>
        </is>
      </c>
      <c r="E148" s="11" t="n">
        <v>1</v>
      </c>
      <c r="F148" s="11" t="n">
        <v>6</v>
      </c>
      <c r="G148" s="11" t="n">
        <v>6</v>
      </c>
      <c r="H148" s="8" t="n">
        <v>9.76</v>
      </c>
      <c r="I148" s="8">
        <f>G148*H148</f>
        <v/>
      </c>
      <c r="J148" s="8">
        <f>H148/E148</f>
        <v/>
      </c>
      <c r="K148" s="8" t="n">
        <v>9.51</v>
      </c>
      <c r="L148" s="8" t="n">
        <v>9.51</v>
      </c>
      <c r="M148" s="12">
        <f>J148/K148-1</f>
        <v/>
      </c>
      <c r="N148" s="7" t="inlineStr">
        <is>
          <t>ACIMA +2.6%</t>
        </is>
      </c>
      <c r="O148" s="7" t="inlineStr"/>
    </row>
    <row r="149">
      <c r="A149" s="7" t="n">
        <v>660351</v>
      </c>
      <c r="B149" s="7" t="inlineStr">
        <is>
          <t>9616</t>
        </is>
      </c>
      <c r="C149" s="10" t="inlineStr">
        <is>
          <t>7896472521845</t>
        </is>
      </c>
      <c r="D149" s="7" t="inlineStr">
        <is>
          <t>EZETIMIBA 10MG 30 CPR</t>
        </is>
      </c>
      <c r="E149" s="11" t="n">
        <v>1</v>
      </c>
      <c r="F149" s="11" t="n">
        <v>6</v>
      </c>
      <c r="G149" s="11" t="n">
        <v>6</v>
      </c>
      <c r="H149" s="8" t="n">
        <v>16.73</v>
      </c>
      <c r="I149" s="8">
        <f>G149*H149</f>
        <v/>
      </c>
      <c r="J149" s="8">
        <f>H149/E149</f>
        <v/>
      </c>
      <c r="K149" s="8" t="n">
        <v>15.99</v>
      </c>
      <c r="L149" s="8" t="n">
        <v>15.99</v>
      </c>
      <c r="M149" s="12">
        <f>J149/K149-1</f>
        <v/>
      </c>
      <c r="N149" s="7" t="inlineStr">
        <is>
          <t>ACIMA +4.6%</t>
        </is>
      </c>
      <c r="O149" s="7" t="inlineStr"/>
    </row>
    <row r="150">
      <c r="A150" s="7" t="n">
        <v>243061</v>
      </c>
      <c r="B150" s="7" t="inlineStr">
        <is>
          <t>3308</t>
        </is>
      </c>
      <c r="C150" s="10" t="inlineStr">
        <is>
          <t>7898569762674</t>
        </is>
      </c>
      <c r="D150" s="7" t="inlineStr">
        <is>
          <t>EZETIMIBA 10MG CX 30 COMP REV</t>
        </is>
      </c>
      <c r="E150" s="11" t="n">
        <v>1</v>
      </c>
      <c r="F150" s="11" t="n">
        <v>14</v>
      </c>
      <c r="G150" s="11" t="n">
        <v>14</v>
      </c>
      <c r="H150" s="8" t="n">
        <v>16.45</v>
      </c>
      <c r="I150" s="8">
        <f>G150*H150</f>
        <v/>
      </c>
      <c r="J150" s="8">
        <f>H150/E150</f>
        <v/>
      </c>
      <c r="K150" s="8" t="n">
        <v>15.58</v>
      </c>
      <c r="L150" s="8" t="n">
        <v>13.1</v>
      </c>
      <c r="M150" s="12">
        <f>J150/K150-1</f>
        <v/>
      </c>
      <c r="N150" s="7" t="inlineStr">
        <is>
          <t>ACIMA +5.6%</t>
        </is>
      </c>
      <c r="O150" s="7" t="inlineStr"/>
    </row>
    <row r="151">
      <c r="A151" s="7" t="n">
        <v>21941</v>
      </c>
      <c r="B151" s="7" t="inlineStr">
        <is>
          <t>1172</t>
        </is>
      </c>
      <c r="C151" s="10" t="inlineStr">
        <is>
          <t>7898166040328</t>
        </is>
      </c>
      <c r="D151" s="7" t="inlineStr">
        <is>
          <t>FARMACE -AGUA PARA INJECAO 1 ML/ML SOL INJ CX 200 AMP PLAS TRANS X 10 ML</t>
        </is>
      </c>
      <c r="E151" s="11" t="n">
        <v>1</v>
      </c>
      <c r="F151" s="11" t="n">
        <v>1</v>
      </c>
      <c r="G151" s="11" t="n">
        <v>1</v>
      </c>
      <c r="H151" s="8" t="n">
        <v>0.32</v>
      </c>
      <c r="I151" s="8">
        <f>G151*H151</f>
        <v/>
      </c>
      <c r="J151" s="8">
        <f>H151/E151</f>
        <v/>
      </c>
      <c r="K151" s="8" t="n">
        <v>0.45</v>
      </c>
      <c r="L151" s="8" t="n">
        <v>0.45</v>
      </c>
      <c r="M151" s="12">
        <f>J151/K151-1</f>
        <v/>
      </c>
      <c r="N151" s="7" t="inlineStr">
        <is>
          <t>OK (≤ menor hist.)</t>
        </is>
      </c>
      <c r="O151" s="7" t="inlineStr"/>
    </row>
    <row r="152">
      <c r="A152" s="7" t="n">
        <v>613831</v>
      </c>
      <c r="B152" s="7" t="inlineStr">
        <is>
          <t>4011</t>
        </is>
      </c>
      <c r="C152" s="10" t="inlineStr">
        <is>
          <t>7896902234093</t>
        </is>
      </c>
      <c r="D152" s="7" t="inlineStr">
        <is>
          <t>FARMAIODINE PVPI 10% 100ML</t>
        </is>
      </c>
      <c r="E152" s="11" t="n">
        <v>1</v>
      </c>
      <c r="F152" s="11" t="n">
        <v>2</v>
      </c>
      <c r="G152" s="11" t="n">
        <v>2</v>
      </c>
      <c r="H152" s="8" t="n">
        <v>7.42</v>
      </c>
      <c r="I152" s="8">
        <f>G152*H152</f>
        <v/>
      </c>
      <c r="J152" s="8">
        <f>H152/E152</f>
        <v/>
      </c>
      <c r="K152" s="8" t="n">
        <v>7.09</v>
      </c>
      <c r="L152" s="8" t="n">
        <v>7.09</v>
      </c>
      <c r="M152" s="12">
        <f>J152/K152-1</f>
        <v/>
      </c>
      <c r="N152" s="7" t="inlineStr">
        <is>
          <t>ACIMA +4.7%</t>
        </is>
      </c>
      <c r="O152" s="7" t="inlineStr"/>
    </row>
    <row r="153">
      <c r="A153" s="7" t="n">
        <v>591221</v>
      </c>
      <c r="B153" s="7" t="inlineStr">
        <is>
          <t>7313</t>
        </is>
      </c>
      <c r="C153" s="10" t="inlineStr">
        <is>
          <t>7898216362172</t>
        </is>
      </c>
      <c r="D153" s="7" t="inlineStr">
        <is>
          <t>FARMOXICAM 20MG CX 10 CAP</t>
        </is>
      </c>
      <c r="E153" s="11" t="n">
        <v>1</v>
      </c>
      <c r="F153" s="11" t="n">
        <v>4</v>
      </c>
      <c r="G153" s="11" t="n">
        <v>4</v>
      </c>
      <c r="H153" s="8" t="n">
        <v>4.4</v>
      </c>
      <c r="I153" s="8">
        <f>G153*H153</f>
        <v/>
      </c>
      <c r="J153" s="8">
        <f>H153/E153</f>
        <v/>
      </c>
      <c r="K153" s="8" t="n">
        <v>3.52</v>
      </c>
      <c r="L153" s="8" t="n">
        <v>3.52</v>
      </c>
      <c r="M153" s="12">
        <f>J153/K153-1</f>
        <v/>
      </c>
      <c r="N153" s="7" t="inlineStr">
        <is>
          <t>ACIMA +25.0%</t>
        </is>
      </c>
      <c r="O153" s="7" t="inlineStr"/>
    </row>
    <row r="154">
      <c r="A154" s="7" t="n">
        <v>626071</v>
      </c>
      <c r="B154" s="7" t="inlineStr">
        <is>
          <t>3141</t>
        </is>
      </c>
      <c r="C154" s="10" t="inlineStr">
        <is>
          <t>7896023756849</t>
        </is>
      </c>
      <c r="D154" s="7" t="inlineStr">
        <is>
          <t>FIGATIL 10ML FLACONETE</t>
        </is>
      </c>
      <c r="E154" s="11" t="n">
        <v>48</v>
      </c>
      <c r="F154" s="11" t="n">
        <v>1</v>
      </c>
      <c r="G154" s="11" t="n">
        <v>1</v>
      </c>
      <c r="H154" s="8" t="n">
        <v>108.31</v>
      </c>
      <c r="I154" s="8">
        <f>G154*H154</f>
        <v/>
      </c>
      <c r="J154" s="8">
        <f>H154/E154</f>
        <v/>
      </c>
      <c r="K154" s="8" t="n">
        <v>2.4223</v>
      </c>
      <c r="L154" s="8" t="n">
        <v>1.1388</v>
      </c>
      <c r="M154" s="12">
        <f>J154/K154-1</f>
        <v/>
      </c>
      <c r="N154" s="7" t="inlineStr">
        <is>
          <t>OK (≤ últ. compra)</t>
        </is>
      </c>
      <c r="O154" s="7" t="inlineStr">
        <is>
          <t>1 emb = 48 un</t>
        </is>
      </c>
    </row>
    <row r="155">
      <c r="A155" s="7" t="n">
        <v>532361</v>
      </c>
      <c r="B155" s="7" t="inlineStr">
        <is>
          <t>1045</t>
        </is>
      </c>
      <c r="C155" s="10" t="inlineStr">
        <is>
          <t>7896544900011</t>
        </is>
      </c>
      <c r="D155" s="7" t="inlineStr">
        <is>
          <t>FITA CIRUGICA MICRO 1,2X4,5 MISSNER</t>
        </is>
      </c>
      <c r="E155" s="11" t="n">
        <v>1</v>
      </c>
      <c r="F155" s="11" t="n">
        <v>41</v>
      </c>
      <c r="G155" s="11" t="n">
        <v>41</v>
      </c>
      <c r="H155" s="8" t="n">
        <v>2.23</v>
      </c>
      <c r="I155" s="8">
        <f>G155*H155</f>
        <v/>
      </c>
      <c r="J155" s="8">
        <f>H155/E155</f>
        <v/>
      </c>
      <c r="K155" s="8" t="n">
        <v>2.23</v>
      </c>
      <c r="L155" s="8" t="n">
        <v>2.23</v>
      </c>
      <c r="M155" s="12">
        <f>J155/K155-1</f>
        <v/>
      </c>
      <c r="N155" s="7" t="inlineStr">
        <is>
          <t>OK (≤ menor hist.)</t>
        </is>
      </c>
      <c r="O155" s="7" t="inlineStr"/>
    </row>
    <row r="156">
      <c r="A156" s="7" t="n">
        <v>532401</v>
      </c>
      <c r="B156" s="7" t="inlineStr">
        <is>
          <t>1047</t>
        </is>
      </c>
      <c r="C156" s="10" t="inlineStr">
        <is>
          <t>7896544900097</t>
        </is>
      </c>
      <c r="D156" s="7" t="inlineStr">
        <is>
          <t>FITA CIRURGICA MICROPOROSA MISSNER 2,5CM X 4,5M</t>
        </is>
      </c>
      <c r="E156" s="11" t="n">
        <v>1</v>
      </c>
      <c r="F156" s="11" t="n">
        <v>95</v>
      </c>
      <c r="G156" s="11" t="n">
        <v>95</v>
      </c>
      <c r="H156" s="8" t="n">
        <v>3.14</v>
      </c>
      <c r="I156" s="8">
        <f>G156*H156</f>
        <v/>
      </c>
      <c r="J156" s="8">
        <f>H156/E156</f>
        <v/>
      </c>
      <c r="K156" s="8" t="n">
        <v>3.14</v>
      </c>
      <c r="L156" s="8" t="n">
        <v>3.14</v>
      </c>
      <c r="M156" s="12">
        <f>J156/K156-1</f>
        <v/>
      </c>
      <c r="N156" s="7" t="inlineStr">
        <is>
          <t>OK (≤ menor hist.)</t>
        </is>
      </c>
      <c r="O156" s="7" t="inlineStr"/>
    </row>
    <row r="157">
      <c r="A157" s="7" t="n">
        <v>606871</v>
      </c>
      <c r="B157" s="7" t="inlineStr">
        <is>
          <t>7377</t>
        </is>
      </c>
      <c r="C157" s="10" t="inlineStr">
        <is>
          <t>7899838831992</t>
        </is>
      </c>
      <c r="D157" s="7" t="inlineStr">
        <is>
          <t>FITA DE KINESIO 5CM X 5M BEGE</t>
        </is>
      </c>
      <c r="E157" s="11" t="n">
        <v>1</v>
      </c>
      <c r="F157" s="11" t="n">
        <v>1</v>
      </c>
      <c r="G157" s="11" t="n">
        <v>1</v>
      </c>
      <c r="H157" s="8" t="n">
        <v>20.48</v>
      </c>
      <c r="I157" s="8">
        <f>G157*H157</f>
        <v/>
      </c>
      <c r="J157" s="8">
        <f>H157/E157</f>
        <v/>
      </c>
      <c r="K157" s="8" t="n">
        <v>20.48</v>
      </c>
      <c r="L157" s="8" t="n">
        <v>20.48</v>
      </c>
      <c r="M157" s="12">
        <f>J157/K157-1</f>
        <v/>
      </c>
      <c r="N157" s="7" t="inlineStr">
        <is>
          <t>OK (≤ menor hist.)</t>
        </is>
      </c>
      <c r="O157" s="7" t="inlineStr"/>
    </row>
    <row r="158">
      <c r="A158" s="7" t="n">
        <v>616141</v>
      </c>
      <c r="B158" s="7" t="inlineStr">
        <is>
          <t>7308</t>
        </is>
      </c>
      <c r="C158" s="10" t="inlineStr">
        <is>
          <t>7899838832012</t>
        </is>
      </c>
      <c r="D158" s="7" t="inlineStr">
        <is>
          <t>FITA DE KINESIO 5CM X 5M VERMELHA</t>
        </is>
      </c>
      <c r="E158" s="11" t="n">
        <v>1</v>
      </c>
      <c r="F158" s="11" t="n">
        <v>1</v>
      </c>
      <c r="G158" s="11" t="n">
        <v>1</v>
      </c>
      <c r="H158" s="8" t="n">
        <v>19.89</v>
      </c>
      <c r="I158" s="8">
        <f>G158*H158</f>
        <v/>
      </c>
      <c r="J158" s="8">
        <f>H158/E158</f>
        <v/>
      </c>
      <c r="K158" s="8" t="n">
        <v>18.69</v>
      </c>
      <c r="L158" s="8" t="n">
        <v>18.69</v>
      </c>
      <c r="M158" s="12">
        <f>J158/K158-1</f>
        <v/>
      </c>
      <c r="N158" s="7" t="inlineStr">
        <is>
          <t>ACIMA +6.4%</t>
        </is>
      </c>
      <c r="O158" s="7" t="inlineStr"/>
    </row>
    <row r="159">
      <c r="A159" s="7" t="n">
        <v>591031</v>
      </c>
      <c r="B159" s="7" t="inlineStr">
        <is>
          <t>7428</t>
        </is>
      </c>
      <c r="C159" s="10" t="inlineStr">
        <is>
          <t>7899838832005</t>
        </is>
      </c>
      <c r="D159" s="7" t="inlineStr">
        <is>
          <t>FITA KINESIO ROLO 5CMX5M AZUL HC042</t>
        </is>
      </c>
      <c r="E159" s="11" t="n">
        <v>1</v>
      </c>
      <c r="F159" s="11" t="n">
        <v>2</v>
      </c>
      <c r="G159" s="11" t="n">
        <v>2</v>
      </c>
      <c r="H159" s="8" t="n">
        <v>20.43</v>
      </c>
      <c r="I159" s="8">
        <f>G159*H159</f>
        <v/>
      </c>
      <c r="J159" s="8">
        <f>H159/E159</f>
        <v/>
      </c>
      <c r="K159" s="8" t="n">
        <v>20.43</v>
      </c>
      <c r="L159" s="8" t="n">
        <v>19.65</v>
      </c>
      <c r="M159" s="12">
        <f>J159/K159-1</f>
        <v/>
      </c>
      <c r="N159" s="7" t="inlineStr">
        <is>
          <t>OK (≤ últ. compra)</t>
        </is>
      </c>
      <c r="O159" s="7" t="inlineStr"/>
    </row>
    <row r="160">
      <c r="A160" s="7" t="n">
        <v>594901</v>
      </c>
      <c r="B160" s="7" t="inlineStr">
        <is>
          <t>7307</t>
        </is>
      </c>
      <c r="C160" s="10" t="inlineStr">
        <is>
          <t>7899838831985</t>
        </is>
      </c>
      <c r="D160" s="7" t="inlineStr">
        <is>
          <t>FITA KINESIO ROLO 5CMX5M PRETA HC040</t>
        </is>
      </c>
      <c r="E160" s="11" t="n">
        <v>1</v>
      </c>
      <c r="F160" s="11" t="n">
        <v>1</v>
      </c>
      <c r="G160" s="11" t="n">
        <v>1</v>
      </c>
      <c r="H160" s="8" t="n">
        <v>20.48</v>
      </c>
      <c r="I160" s="8">
        <f>G160*H160</f>
        <v/>
      </c>
      <c r="J160" s="8">
        <f>H160/E160</f>
        <v/>
      </c>
      <c r="K160" s="8" t="n">
        <v>23.3</v>
      </c>
      <c r="L160" s="8" t="n">
        <v>23.3</v>
      </c>
      <c r="M160" s="12">
        <f>J160/K160-1</f>
        <v/>
      </c>
      <c r="N160" s="7" t="inlineStr">
        <is>
          <t>OK (≤ menor hist.)</t>
        </is>
      </c>
      <c r="O160" s="7" t="inlineStr"/>
    </row>
    <row r="161">
      <c r="A161" s="7" t="n">
        <v>547461</v>
      </c>
      <c r="B161" s="7" t="inlineStr">
        <is>
          <t>1046</t>
        </is>
      </c>
      <c r="C161" s="10" t="inlineStr">
        <is>
          <t>7896544900103</t>
        </is>
      </c>
      <c r="D161" s="7" t="inlineStr">
        <is>
          <t>FITA MICROPORO BRANCO 2,5CM X 0,90MTS</t>
        </is>
      </c>
      <c r="E161" s="11" t="n">
        <v>1</v>
      </c>
      <c r="F161" s="11" t="n">
        <v>28</v>
      </c>
      <c r="G161" s="11" t="n">
        <v>28</v>
      </c>
      <c r="H161" s="8" t="n">
        <v>1.86</v>
      </c>
      <c r="I161" s="8">
        <f>G161*H161</f>
        <v/>
      </c>
      <c r="J161" s="8">
        <f>H161/E161</f>
        <v/>
      </c>
      <c r="K161" s="8" t="n">
        <v>1.86</v>
      </c>
      <c r="L161" s="8" t="n">
        <v>1.86</v>
      </c>
      <c r="M161" s="12">
        <f>J161/K161-1</f>
        <v/>
      </c>
      <c r="N161" s="7" t="inlineStr">
        <is>
          <t>OK (≤ menor hist.)</t>
        </is>
      </c>
      <c r="O161" s="7" t="inlineStr"/>
    </row>
    <row r="162">
      <c r="A162" s="7" t="n">
        <v>541021</v>
      </c>
      <c r="B162" s="7" t="inlineStr">
        <is>
          <t>1048</t>
        </is>
      </c>
      <c r="C162" s="10" t="inlineStr">
        <is>
          <t>7896544900158</t>
        </is>
      </c>
      <c r="D162" s="7" t="inlineStr">
        <is>
          <t>FITA MICROPOROSA BRANCO 10 X 4,5</t>
        </is>
      </c>
      <c r="E162" s="11" t="n">
        <v>1</v>
      </c>
      <c r="F162" s="11" t="n">
        <v>4</v>
      </c>
      <c r="G162" s="11" t="n">
        <v>4</v>
      </c>
      <c r="H162" s="8" t="n">
        <v>8.1</v>
      </c>
      <c r="I162" s="8">
        <f>G162*H162</f>
        <v/>
      </c>
      <c r="J162" s="8">
        <f>H162/E162</f>
        <v/>
      </c>
      <c r="K162" s="8" t="n">
        <v>8.1</v>
      </c>
      <c r="L162" s="8" t="n">
        <v>8.1</v>
      </c>
      <c r="M162" s="12">
        <f>J162/K162-1</f>
        <v/>
      </c>
      <c r="N162" s="7" t="inlineStr">
        <is>
          <t>OK (≤ menor hist.)</t>
        </is>
      </c>
      <c r="O162" s="7" t="inlineStr"/>
    </row>
    <row r="163">
      <c r="A163" s="7" t="n">
        <v>541381</v>
      </c>
      <c r="B163" s="7" t="inlineStr">
        <is>
          <t>942</t>
        </is>
      </c>
      <c r="C163" s="10" t="inlineStr">
        <is>
          <t>7896544900165</t>
        </is>
      </c>
      <c r="D163" s="7" t="inlineStr">
        <is>
          <t>FITA MICROPOROSA BRANCO 5,0CM X 4,5MTS UND QTD. 4.00 UN</t>
        </is>
      </c>
      <c r="E163" s="11" t="n">
        <v>1</v>
      </c>
      <c r="F163" s="11" t="n">
        <v>33</v>
      </c>
      <c r="G163" s="11" t="n">
        <v>33</v>
      </c>
      <c r="H163" s="8" t="n">
        <v>5.02</v>
      </c>
      <c r="I163" s="8">
        <f>G163*H163</f>
        <v/>
      </c>
      <c r="J163" s="8">
        <f>H163/E163</f>
        <v/>
      </c>
      <c r="K163" s="8" t="n">
        <v>5.02</v>
      </c>
      <c r="L163" s="8" t="n">
        <v>5.02</v>
      </c>
      <c r="M163" s="12">
        <f>J163/K163-1</f>
        <v/>
      </c>
      <c r="N163" s="7" t="inlineStr">
        <is>
          <t>OK (≤ menor hist.)</t>
        </is>
      </c>
      <c r="O163" s="7" t="inlineStr"/>
    </row>
    <row r="164">
      <c r="A164" s="7" t="n">
        <v>606861</v>
      </c>
      <c r="B164" s="7" t="inlineStr">
        <is>
          <t>4781</t>
        </is>
      </c>
      <c r="C164" s="10" t="inlineStr">
        <is>
          <t>7894164005239</t>
        </is>
      </c>
      <c r="D164" s="7" t="inlineStr">
        <is>
          <t>FLEXENEMA 130ML (ARL)</t>
        </is>
      </c>
      <c r="E164" s="11" t="n">
        <v>1</v>
      </c>
      <c r="F164" s="11" t="n">
        <v>3</v>
      </c>
      <c r="G164" s="11" t="n">
        <v>3</v>
      </c>
      <c r="H164" s="8" t="n">
        <v>14.17</v>
      </c>
      <c r="I164" s="8">
        <f>G164*H164</f>
        <v/>
      </c>
      <c r="J164" s="8">
        <f>H164/E164</f>
        <v/>
      </c>
      <c r="K164" s="8" t="n">
        <v>13.49</v>
      </c>
      <c r="L164" s="8" t="n">
        <v>13.49</v>
      </c>
      <c r="M164" s="12">
        <f>J164/K164-1</f>
        <v/>
      </c>
      <c r="N164" s="7" t="inlineStr">
        <is>
          <t>ACIMA +5.0%</t>
        </is>
      </c>
      <c r="O164" s="7" t="inlineStr"/>
    </row>
    <row r="165">
      <c r="A165" s="7" t="n">
        <v>550941</v>
      </c>
      <c r="B165" s="7" t="inlineStr">
        <is>
          <t>2233</t>
        </is>
      </c>
      <c r="C165" s="10" t="inlineStr">
        <is>
          <t>7894488000101</t>
        </is>
      </c>
      <c r="D165" s="7" t="inlineStr">
        <is>
          <t>FLOCONETES SEGUROS E ABSORVENTES 75UN</t>
        </is>
      </c>
      <c r="E165" s="11" t="n">
        <v>1</v>
      </c>
      <c r="F165" s="11" t="n">
        <v>2</v>
      </c>
      <c r="G165" s="11" t="n">
        <v>2</v>
      </c>
      <c r="H165" s="8" t="n">
        <v>1.35</v>
      </c>
      <c r="I165" s="8">
        <f>G165*H165</f>
        <v/>
      </c>
      <c r="J165" s="8">
        <f>H165/E165</f>
        <v/>
      </c>
      <c r="K165" s="8" t="n">
        <v>1.35</v>
      </c>
      <c r="L165" s="8" t="n">
        <v>1.35</v>
      </c>
      <c r="M165" s="12">
        <f>J165/K165-1</f>
        <v/>
      </c>
      <c r="N165" s="7" t="inlineStr">
        <is>
          <t>OK (≤ menor hist.)</t>
        </is>
      </c>
      <c r="O165" s="7" t="inlineStr"/>
    </row>
    <row r="166">
      <c r="A166" s="7" t="n">
        <v>660241</v>
      </c>
      <c r="B166" s="7" t="inlineStr">
        <is>
          <t>7829</t>
        </is>
      </c>
      <c r="C166" s="10" t="inlineStr">
        <is>
          <t>7896862993665</t>
        </is>
      </c>
      <c r="D166" s="7" t="inlineStr">
        <is>
          <t>GASTROGEL TABS MENTA (CARTELA)</t>
        </is>
      </c>
      <c r="E166" s="11" t="n">
        <v>1</v>
      </c>
      <c r="F166" s="11" t="n">
        <v>4</v>
      </c>
      <c r="G166" s="11" t="n">
        <v>4</v>
      </c>
      <c r="H166" s="8" t="n">
        <v>8.529999999999999</v>
      </c>
      <c r="I166" s="8">
        <f>G166*H166</f>
        <v/>
      </c>
      <c r="J166" s="8">
        <f>H166/E166</f>
        <v/>
      </c>
      <c r="K166" s="8" t="n">
        <v>7.99</v>
      </c>
      <c r="L166" s="8" t="n">
        <v>7.99</v>
      </c>
      <c r="M166" s="12">
        <f>J166/K166-1</f>
        <v/>
      </c>
      <c r="N166" s="7" t="inlineStr">
        <is>
          <t>ACIMA +6.8%</t>
        </is>
      </c>
      <c r="O166" s="7" t="inlineStr"/>
    </row>
    <row r="167">
      <c r="A167" s="7" t="n">
        <v>592591</v>
      </c>
      <c r="B167" s="7" t="inlineStr">
        <is>
          <t>1982</t>
        </is>
      </c>
      <c r="C167" s="10" t="inlineStr">
        <is>
          <t>7898556850049</t>
        </is>
      </c>
      <c r="D167" s="7" t="inlineStr">
        <is>
          <t>GEL INTIMO LUBRIF MENTA 50G RILEX</t>
        </is>
      </c>
      <c r="E167" s="11" t="n">
        <v>1</v>
      </c>
      <c r="F167" s="11" t="n">
        <v>2</v>
      </c>
      <c r="G167" s="11" t="n">
        <v>2</v>
      </c>
      <c r="H167" s="8" t="n">
        <v>7.05</v>
      </c>
      <c r="I167" s="8">
        <f>G167*H167</f>
        <v/>
      </c>
      <c r="J167" s="8">
        <f>H167/E167</f>
        <v/>
      </c>
      <c r="K167" s="8" t="n">
        <v>6.25</v>
      </c>
      <c r="L167" s="8" t="n">
        <v>6.25</v>
      </c>
      <c r="M167" s="12">
        <f>J167/K167-1</f>
        <v/>
      </c>
      <c r="N167" s="7" t="inlineStr">
        <is>
          <t>ACIMA +12.8%</t>
        </is>
      </c>
      <c r="O167" s="7" t="inlineStr"/>
    </row>
    <row r="168">
      <c r="A168" s="7" t="n">
        <v>557181</v>
      </c>
      <c r="B168" s="7" t="inlineStr">
        <is>
          <t>5498</t>
        </is>
      </c>
      <c r="C168" s="10" t="inlineStr">
        <is>
          <t>7898556850506</t>
        </is>
      </c>
      <c r="D168" s="7" t="inlineStr">
        <is>
          <t>GEL INTIMO LUBRIF. MORANGO 100G TOY RILE</t>
        </is>
      </c>
      <c r="E168" s="11" t="n">
        <v>1</v>
      </c>
      <c r="F168" s="11" t="n">
        <v>2</v>
      </c>
      <c r="G168" s="11" t="n">
        <v>2</v>
      </c>
      <c r="H168" s="8" t="n">
        <v>15.36</v>
      </c>
      <c r="I168" s="8">
        <f>G168*H168</f>
        <v/>
      </c>
      <c r="J168" s="8">
        <f>H168/E168</f>
        <v/>
      </c>
      <c r="K168" s="8" t="n">
        <v>13.54</v>
      </c>
      <c r="L168" s="8" t="n">
        <v>13.54</v>
      </c>
      <c r="M168" s="12">
        <f>J168/K168-1</f>
        <v/>
      </c>
      <c r="N168" s="7" t="inlineStr">
        <is>
          <t>ACIMA +13.4%</t>
        </is>
      </c>
      <c r="O168" s="7" t="inlineStr"/>
    </row>
    <row r="169">
      <c r="A169" s="7" t="n">
        <v>630481</v>
      </c>
      <c r="B169" s="7" t="inlineStr">
        <is>
          <t>9931</t>
        </is>
      </c>
      <c r="C169" s="10" t="inlineStr">
        <is>
          <t>7898556851084</t>
        </is>
      </c>
      <c r="D169" s="7" t="inlineStr">
        <is>
          <t>GEL INTIMO LUBRIF.TRADICIONAL 200G RILEX</t>
        </is>
      </c>
      <c r="E169" s="11" t="n">
        <v>1</v>
      </c>
      <c r="F169" s="11" t="n">
        <v>1</v>
      </c>
      <c r="G169" s="11" t="n">
        <v>1</v>
      </c>
      <c r="H169" s="8" t="n">
        <v>23.26</v>
      </c>
      <c r="I169" s="8">
        <f>G169*H169</f>
        <v/>
      </c>
      <c r="J169" s="8">
        <f>H169/E169</f>
        <v/>
      </c>
      <c r="K169" s="8" t="n">
        <v>24.89</v>
      </c>
      <c r="L169" s="8" t="n">
        <v>24.89</v>
      </c>
      <c r="M169" s="12">
        <f>J169/K169-1</f>
        <v/>
      </c>
      <c r="N169" s="7" t="inlineStr">
        <is>
          <t>OK (≤ menor hist.)</t>
        </is>
      </c>
      <c r="O169" s="7" t="inlineStr"/>
    </row>
    <row r="170">
      <c r="A170" s="7" t="n">
        <v>584681</v>
      </c>
      <c r="B170" s="7" t="inlineStr">
        <is>
          <t>1983</t>
        </is>
      </c>
      <c r="C170" s="10" t="inlineStr">
        <is>
          <t>7898556850025</t>
        </is>
      </c>
      <c r="D170" s="7" t="inlineStr">
        <is>
          <t>GEL LUBRIFICANTE RILEX MORANGO 50G</t>
        </is>
      </c>
      <c r="E170" s="11" t="n">
        <v>1</v>
      </c>
      <c r="F170" s="11" t="n">
        <v>2</v>
      </c>
      <c r="G170" s="11" t="n">
        <v>2</v>
      </c>
      <c r="H170" s="8" t="n">
        <v>7.07</v>
      </c>
      <c r="I170" s="8">
        <f>G170*H170</f>
        <v/>
      </c>
      <c r="J170" s="8">
        <f>H170/E170</f>
        <v/>
      </c>
      <c r="K170" s="8" t="n">
        <v>6.25</v>
      </c>
      <c r="L170" s="8" t="n">
        <v>6.25</v>
      </c>
      <c r="M170" s="12">
        <f>J170/K170-1</f>
        <v/>
      </c>
      <c r="N170" s="7" t="inlineStr">
        <is>
          <t>ACIMA +13.1%</t>
        </is>
      </c>
      <c r="O170" s="7" t="inlineStr"/>
    </row>
    <row r="171">
      <c r="A171" s="7" t="n">
        <v>584661</v>
      </c>
      <c r="B171" s="7" t="inlineStr">
        <is>
          <t>1951</t>
        </is>
      </c>
      <c r="C171" s="10" t="inlineStr">
        <is>
          <t>7898903991951</t>
        </is>
      </c>
      <c r="D171" s="7" t="inlineStr">
        <is>
          <t>GEL LUBRIFICANTE RILEX TRADIOCIONAL 50G</t>
        </is>
      </c>
      <c r="E171" s="11" t="n">
        <v>1</v>
      </c>
      <c r="F171" s="11" t="n">
        <v>1</v>
      </c>
      <c r="G171" s="11" t="n">
        <v>1</v>
      </c>
      <c r="H171" s="8" t="n">
        <v>6.64</v>
      </c>
      <c r="I171" s="8">
        <f>G171*H171</f>
        <v/>
      </c>
      <c r="J171" s="8">
        <f>H171/E171</f>
        <v/>
      </c>
      <c r="K171" s="8" t="n">
        <v>6.57</v>
      </c>
      <c r="L171" s="8" t="n">
        <v>6.57</v>
      </c>
      <c r="M171" s="12">
        <f>J171/K171-1</f>
        <v/>
      </c>
      <c r="N171" s="7" t="inlineStr">
        <is>
          <t>ACIMA +1.1%</t>
        </is>
      </c>
      <c r="O171" s="7" t="inlineStr"/>
    </row>
    <row r="172">
      <c r="A172" s="7" t="n">
        <v>691301</v>
      </c>
      <c r="B172" s="7" t="inlineStr">
        <is>
          <t>10354</t>
        </is>
      </c>
      <c r="C172" s="10" t="inlineStr">
        <is>
          <t>7898741951353</t>
        </is>
      </c>
      <c r="D172" s="7" t="inlineStr">
        <is>
          <t>GEL MASSAGEADOR BLUE ICE 240G</t>
        </is>
      </c>
      <c r="E172" s="11" t="n">
        <v>1</v>
      </c>
      <c r="F172" s="11" t="n">
        <v>1</v>
      </c>
      <c r="G172" s="11" t="n">
        <v>1</v>
      </c>
      <c r="H172" s="8" t="n">
        <v>6.15</v>
      </c>
      <c r="I172" s="8">
        <f>G172*H172</f>
        <v/>
      </c>
      <c r="J172" s="8">
        <f>H172/E172</f>
        <v/>
      </c>
      <c r="K172" s="8" t="n">
        <v>6.15</v>
      </c>
      <c r="L172" s="8" t="n">
        <v>6.15</v>
      </c>
      <c r="M172" s="12">
        <f>J172/K172-1</f>
        <v/>
      </c>
      <c r="N172" s="7" t="inlineStr">
        <is>
          <t>OK (≤ menor hist.)</t>
        </is>
      </c>
      <c r="O172" s="7" t="inlineStr"/>
    </row>
    <row r="173">
      <c r="A173" s="7" t="n">
        <v>691801</v>
      </c>
      <c r="B173" s="7" t="inlineStr">
        <is>
          <t>7193</t>
        </is>
      </c>
      <c r="C173" s="10" t="inlineStr">
        <is>
          <t>7898936049612</t>
        </is>
      </c>
      <c r="D173" s="7" t="inlineStr">
        <is>
          <t>GEL MASSAGEM 17 ERVAS 250G POTE</t>
        </is>
      </c>
      <c r="E173" s="11" t="n">
        <v>1</v>
      </c>
      <c r="F173" s="11" t="n">
        <v>1</v>
      </c>
      <c r="G173" s="11" t="n">
        <v>1</v>
      </c>
      <c r="H173" s="8" t="n">
        <v>4.19</v>
      </c>
      <c r="I173" s="8">
        <f>G173*H173</f>
        <v/>
      </c>
      <c r="J173" s="8">
        <f>H173/E173</f>
        <v/>
      </c>
      <c r="K173" s="8" t="n">
        <v>4.19</v>
      </c>
      <c r="L173" s="8" t="n">
        <v>4.19</v>
      </c>
      <c r="M173" s="12">
        <f>J173/K173-1</f>
        <v/>
      </c>
      <c r="N173" s="7" t="inlineStr">
        <is>
          <t>OK (≤ menor hist.)</t>
        </is>
      </c>
      <c r="O173" s="7" t="inlineStr"/>
    </row>
    <row r="174">
      <c r="A174" s="7" t="n">
        <v>691601</v>
      </c>
      <c r="B174" s="7" t="inlineStr">
        <is>
          <t>9398</t>
        </is>
      </c>
      <c r="C174" s="10" t="inlineStr">
        <is>
          <t>7898936049704</t>
        </is>
      </c>
      <c r="D174" s="7" t="inlineStr">
        <is>
          <t>GEL MASSAGEM ARNICA E COPAIBA 250G POTE</t>
        </is>
      </c>
      <c r="E174" s="11" t="n">
        <v>1</v>
      </c>
      <c r="F174" s="11" t="n">
        <v>10</v>
      </c>
      <c r="G174" s="11" t="n">
        <v>10</v>
      </c>
      <c r="H174" s="8" t="n">
        <v>3.67</v>
      </c>
      <c r="I174" s="8">
        <f>G174*H174</f>
        <v/>
      </c>
      <c r="J174" s="8">
        <f>H174/E174</f>
        <v/>
      </c>
      <c r="K174" s="8" t="n">
        <v>3.67</v>
      </c>
      <c r="L174" s="8" t="n">
        <v>3.67</v>
      </c>
      <c r="M174" s="12">
        <f>J174/K174-1</f>
        <v/>
      </c>
      <c r="N174" s="7" t="inlineStr">
        <is>
          <t>OK (≤ menor hist.)</t>
        </is>
      </c>
      <c r="O174" s="7" t="inlineStr"/>
    </row>
    <row r="175">
      <c r="A175" s="7" t="n">
        <v>627931</v>
      </c>
      <c r="B175" s="7" t="inlineStr">
        <is>
          <t>8354</t>
        </is>
      </c>
      <c r="C175" s="10" t="inlineStr">
        <is>
          <t>7898741950288</t>
        </is>
      </c>
      <c r="D175" s="7" t="inlineStr">
        <is>
          <t>GEL MASSAGEM COPAIBA 190G FRASCO</t>
        </is>
      </c>
      <c r="E175" s="11" t="n">
        <v>1</v>
      </c>
      <c r="F175" s="11" t="n">
        <v>2</v>
      </c>
      <c r="G175" s="11" t="n">
        <v>2</v>
      </c>
      <c r="H175" s="8" t="n">
        <v>4.36</v>
      </c>
      <c r="I175" s="8">
        <f>G175*H175</f>
        <v/>
      </c>
      <c r="J175" s="8">
        <f>H175/E175</f>
        <v/>
      </c>
      <c r="K175" s="8" t="n">
        <v>4.36</v>
      </c>
      <c r="L175" s="8" t="n">
        <v>4.36</v>
      </c>
      <c r="M175" s="12">
        <f>J175/K175-1</f>
        <v/>
      </c>
      <c r="N175" s="7" t="inlineStr">
        <is>
          <t>OK (≤ menor hist.)</t>
        </is>
      </c>
      <c r="O175" s="7" t="inlineStr"/>
    </row>
    <row r="176">
      <c r="A176" s="7" t="n">
        <v>627901</v>
      </c>
      <c r="B176" s="7" t="inlineStr">
        <is>
          <t>7190</t>
        </is>
      </c>
      <c r="C176" s="10" t="inlineStr">
        <is>
          <t>7898936049506</t>
        </is>
      </c>
      <c r="D176" s="7" t="inlineStr">
        <is>
          <t>GEL MASSAGEM EXTRA FORTE ANDIROBA 200G</t>
        </is>
      </c>
      <c r="E176" s="11" t="n">
        <v>1</v>
      </c>
      <c r="F176" s="11" t="n">
        <v>2</v>
      </c>
      <c r="G176" s="11" t="n">
        <v>2</v>
      </c>
      <c r="H176" s="8" t="n">
        <v>4.39</v>
      </c>
      <c r="I176" s="8">
        <f>G176*H176</f>
        <v/>
      </c>
      <c r="J176" s="8">
        <f>H176/E176</f>
        <v/>
      </c>
      <c r="K176" s="8" t="n">
        <v>4.41</v>
      </c>
      <c r="L176" s="8" t="n">
        <v>4.41</v>
      </c>
      <c r="M176" s="12">
        <f>J176/K176-1</f>
        <v/>
      </c>
      <c r="N176" s="7" t="inlineStr">
        <is>
          <t>OK (≤ menor hist.)</t>
        </is>
      </c>
      <c r="O176" s="7" t="inlineStr"/>
    </row>
    <row r="177">
      <c r="A177" s="7" t="n">
        <v>627921</v>
      </c>
      <c r="B177" s="7" t="inlineStr">
        <is>
          <t>7192</t>
        </is>
      </c>
      <c r="C177" s="10" t="inlineStr">
        <is>
          <t>7898936049278</t>
        </is>
      </c>
      <c r="D177" s="7" t="inlineStr">
        <is>
          <t>GEL MASSAGEM TUBARAO BRANCO 250G POTE</t>
        </is>
      </c>
      <c r="E177" s="11" t="n">
        <v>1</v>
      </c>
      <c r="F177" s="11" t="n">
        <v>5</v>
      </c>
      <c r="G177" s="11" t="n">
        <v>5</v>
      </c>
      <c r="H177" s="8" t="n">
        <v>3.7</v>
      </c>
      <c r="I177" s="8">
        <f>G177*H177</f>
        <v/>
      </c>
      <c r="J177" s="8">
        <f>H177/E177</f>
        <v/>
      </c>
      <c r="K177" s="8" t="n">
        <v>3.7</v>
      </c>
      <c r="L177" s="8" t="n">
        <v>3.7</v>
      </c>
      <c r="M177" s="12">
        <f>J177/K177-1</f>
        <v/>
      </c>
      <c r="N177" s="7" t="inlineStr">
        <is>
          <t>OK (≤ menor hist.)</t>
        </is>
      </c>
      <c r="O177" s="7" t="inlineStr"/>
    </row>
    <row r="178">
      <c r="A178" s="7" t="n">
        <v>610041</v>
      </c>
      <c r="B178" s="7" t="inlineStr">
        <is>
          <t>7509</t>
        </is>
      </c>
      <c r="C178" s="10" t="inlineStr">
        <is>
          <t>7898719040195</t>
        </is>
      </c>
      <c r="D178" s="7" t="inlineStr">
        <is>
          <t>GELOFLAN BALSAMO AEROSSOL 120ML</t>
        </is>
      </c>
      <c r="E178" s="11" t="n">
        <v>1</v>
      </c>
      <c r="F178" s="11" t="n">
        <v>3</v>
      </c>
      <c r="G178" s="11" t="n">
        <v>3</v>
      </c>
      <c r="H178" s="8" t="n">
        <v>12.1</v>
      </c>
      <c r="I178" s="8">
        <f>G178*H178</f>
        <v/>
      </c>
      <c r="J178" s="8">
        <f>H178/E178</f>
        <v/>
      </c>
      <c r="K178" s="8" t="n">
        <v>12.59</v>
      </c>
      <c r="L178" s="8" t="n">
        <v>12.1</v>
      </c>
      <c r="M178" s="12">
        <f>J178/K178-1</f>
        <v/>
      </c>
      <c r="N178" s="7" t="inlineStr">
        <is>
          <t>OK (≤ menor hist.)</t>
        </is>
      </c>
      <c r="O178" s="7" t="inlineStr"/>
    </row>
    <row r="179">
      <c r="A179" s="7" t="n">
        <v>324</v>
      </c>
      <c r="B179" s="7" t="inlineStr">
        <is>
          <t>8419</t>
        </is>
      </c>
      <c r="C179" s="10" t="inlineStr">
        <is>
          <t>7896920305225</t>
        </is>
      </c>
      <c r="D179" s="7" t="inlineStr">
        <is>
          <t>GEROFOR TESTO C/60 CAPS</t>
        </is>
      </c>
      <c r="E179" s="11" t="n">
        <v>1</v>
      </c>
      <c r="F179" s="11" t="n">
        <v>1</v>
      </c>
      <c r="G179" s="11" t="n">
        <v>1</v>
      </c>
      <c r="H179" s="8" t="n">
        <v>42.612902</v>
      </c>
      <c r="I179" s="8">
        <f>G179*H179</f>
        <v/>
      </c>
      <c r="J179" s="8">
        <f>H179/E179</f>
        <v/>
      </c>
      <c r="K179" s="8" t="n">
        <v>37.48</v>
      </c>
      <c r="L179" s="8" t="n">
        <v>37.48</v>
      </c>
      <c r="M179" s="12">
        <f>J179/K179-1</f>
        <v/>
      </c>
      <c r="N179" s="7" t="inlineStr">
        <is>
          <t>ACIMA +13.7%</t>
        </is>
      </c>
      <c r="O179" s="7" t="inlineStr"/>
    </row>
    <row r="180">
      <c r="A180" s="7" t="n">
        <v>599261</v>
      </c>
      <c r="B180" s="7" t="inlineStr">
        <is>
          <t>3877</t>
        </is>
      </c>
      <c r="C180" s="10" t="inlineStr">
        <is>
          <t>7899620911840</t>
        </is>
      </c>
      <c r="D180" s="7" t="inlineStr">
        <is>
          <t>GLICENIX (N.S.) 0,91G CX 6 GLICEROL LACTENTE</t>
        </is>
      </c>
      <c r="E180" s="11" t="n">
        <v>1</v>
      </c>
      <c r="F180" s="11" t="n">
        <v>4</v>
      </c>
      <c r="G180" s="11" t="n">
        <v>4</v>
      </c>
      <c r="H180" s="8" t="n">
        <v>5.94</v>
      </c>
      <c r="I180" s="8">
        <f>G180*H180</f>
        <v/>
      </c>
      <c r="J180" s="8">
        <f>H180/E180</f>
        <v/>
      </c>
      <c r="K180" s="8" t="n">
        <v>5.79</v>
      </c>
      <c r="L180" s="8" t="n">
        <v>5.79</v>
      </c>
      <c r="M180" s="12">
        <f>J180/K180-1</f>
        <v/>
      </c>
      <c r="N180" s="7" t="inlineStr">
        <is>
          <t>ACIMA +2.6%</t>
        </is>
      </c>
      <c r="O180" s="7" t="inlineStr"/>
    </row>
    <row r="181">
      <c r="A181" s="7" t="n">
        <v>601411</v>
      </c>
      <c r="B181" s="7" t="inlineStr">
        <is>
          <t>3448</t>
        </is>
      </c>
      <c r="C181" s="10" t="inlineStr">
        <is>
          <t>7899620911833</t>
        </is>
      </c>
      <c r="D181" s="7" t="inlineStr">
        <is>
          <t>GLICENIX (N.S.) 1,37G CX 6 GLICEROL PED</t>
        </is>
      </c>
      <c r="E181" s="11" t="n">
        <v>1</v>
      </c>
      <c r="F181" s="11" t="n">
        <v>5</v>
      </c>
      <c r="G181" s="11" t="n">
        <v>5</v>
      </c>
      <c r="H181" s="8" t="n">
        <v>6.05</v>
      </c>
      <c r="I181" s="8">
        <f>G181*H181</f>
        <v/>
      </c>
      <c r="J181" s="8">
        <f>H181/E181</f>
        <v/>
      </c>
      <c r="K181" s="8" t="n">
        <v>5.68</v>
      </c>
      <c r="L181" s="8" t="n">
        <v>5.68</v>
      </c>
      <c r="M181" s="12">
        <f>J181/K181-1</f>
        <v/>
      </c>
      <c r="N181" s="7" t="inlineStr">
        <is>
          <t>ACIMA +6.5%</t>
        </is>
      </c>
      <c r="O181" s="7" t="inlineStr"/>
    </row>
    <row r="182">
      <c r="A182" s="7" t="n">
        <v>584761</v>
      </c>
      <c r="B182" s="7" t="inlineStr">
        <is>
          <t>5424</t>
        </is>
      </c>
      <c r="C182" s="10" t="inlineStr">
        <is>
          <t>7896902217614</t>
        </is>
      </c>
      <c r="D182" s="7" t="inlineStr">
        <is>
          <t>GLICERINA PURA 100ML</t>
        </is>
      </c>
      <c r="E182" s="11" t="n">
        <v>1</v>
      </c>
      <c r="F182" s="11" t="n">
        <v>6</v>
      </c>
      <c r="G182" s="11" t="n">
        <v>6</v>
      </c>
      <c r="H182" s="8" t="n">
        <v>6.76</v>
      </c>
      <c r="I182" s="8">
        <f>G182*H182</f>
        <v/>
      </c>
      <c r="J182" s="8">
        <f>H182/E182</f>
        <v/>
      </c>
      <c r="K182" s="8" t="n">
        <v>6.04</v>
      </c>
      <c r="L182" s="8" t="n">
        <v>5.85</v>
      </c>
      <c r="M182" s="12">
        <f>J182/K182-1</f>
        <v/>
      </c>
      <c r="N182" s="7" t="inlineStr">
        <is>
          <t>ACIMA +11.9%</t>
        </is>
      </c>
      <c r="O182" s="7" t="inlineStr"/>
    </row>
    <row r="183">
      <c r="A183" s="7" t="n">
        <v>531401</v>
      </c>
      <c r="B183" s="7" t="inlineStr">
        <is>
          <t>1541</t>
        </is>
      </c>
      <c r="C183" s="10" t="inlineStr">
        <is>
          <t>7898216360604</t>
        </is>
      </c>
      <c r="D183" s="7" t="inlineStr">
        <is>
          <t>GLICLAZIDA 30MG CX 30 COMP LIB PROL</t>
        </is>
      </c>
      <c r="E183" s="11" t="n">
        <v>1</v>
      </c>
      <c r="F183" s="11" t="n">
        <v>7</v>
      </c>
      <c r="G183" s="11" t="n">
        <v>7</v>
      </c>
      <c r="H183" s="8" t="n">
        <v>9.67</v>
      </c>
      <c r="I183" s="8">
        <f>G183*H183</f>
        <v/>
      </c>
      <c r="J183" s="8">
        <f>H183/E183</f>
        <v/>
      </c>
      <c r="K183" s="8" t="n">
        <v>8.300000000000001</v>
      </c>
      <c r="L183" s="8" t="n">
        <v>8.300000000000001</v>
      </c>
      <c r="M183" s="12">
        <f>J183/K183-1</f>
        <v/>
      </c>
      <c r="N183" s="7" t="inlineStr">
        <is>
          <t>ACIMA +16.5%</t>
        </is>
      </c>
      <c r="O183" s="7" t="inlineStr"/>
    </row>
    <row r="184">
      <c r="A184" s="7" t="n">
        <v>532961</v>
      </c>
      <c r="B184" s="7" t="inlineStr">
        <is>
          <t>1253</t>
        </is>
      </c>
      <c r="C184" s="10" t="inlineStr">
        <is>
          <t>7898100243587</t>
        </is>
      </c>
      <c r="D184" s="7" t="inlineStr">
        <is>
          <t>GRIPALCE 400MG+4MG+4MG CARTELA C/10 CP</t>
        </is>
      </c>
      <c r="E184" s="11" t="n">
        <v>20</v>
      </c>
      <c r="F184" s="11" t="n">
        <v>18</v>
      </c>
      <c r="G184" s="11" t="n">
        <v>1</v>
      </c>
      <c r="H184" s="8" t="n">
        <v>44.97</v>
      </c>
      <c r="I184" s="8">
        <f>G184*H184</f>
        <v/>
      </c>
      <c r="J184" s="8">
        <f>H184/E184</f>
        <v/>
      </c>
      <c r="K184" s="8" t="n">
        <v>1.9845</v>
      </c>
      <c r="L184" s="8" t="n">
        <v>1.85</v>
      </c>
      <c r="M184" s="12">
        <f>J184/K184-1</f>
        <v/>
      </c>
      <c r="N184" s="7" t="inlineStr">
        <is>
          <t>ACIMA +13.3%</t>
        </is>
      </c>
      <c r="O184" s="7" t="inlineStr">
        <is>
          <t>1 emb = 20 un</t>
        </is>
      </c>
    </row>
    <row r="185">
      <c r="A185" s="7" t="n">
        <v>330261</v>
      </c>
      <c r="B185" s="7" t="inlineStr">
        <is>
          <t>6660</t>
        </is>
      </c>
      <c r="C185" s="10" t="inlineStr">
        <is>
          <t>7898100244430</t>
        </is>
      </c>
      <c r="D185" s="7" t="inlineStr">
        <is>
          <t>GRIPALCE CX 20BL X 5 COMP</t>
        </is>
      </c>
      <c r="E185" s="11" t="n">
        <v>20</v>
      </c>
      <c r="F185" s="11" t="n">
        <v>107</v>
      </c>
      <c r="G185" s="11" t="n">
        <v>6</v>
      </c>
      <c r="H185" s="8" t="n">
        <v>26.99</v>
      </c>
      <c r="I185" s="8">
        <f>G185*H185</f>
        <v/>
      </c>
      <c r="J185" s="8">
        <f>H185/E185</f>
        <v/>
      </c>
      <c r="K185" s="8" t="n">
        <v>1.0425</v>
      </c>
      <c r="L185" s="8" t="n">
        <v>1.0425</v>
      </c>
      <c r="M185" s="12">
        <f>J185/K185-1</f>
        <v/>
      </c>
      <c r="N185" s="7" t="inlineStr">
        <is>
          <t>ACIMA +29.4%</t>
        </is>
      </c>
      <c r="O185" s="7" t="inlineStr">
        <is>
          <t>1 emb = 20 un</t>
        </is>
      </c>
    </row>
    <row r="186">
      <c r="A186" s="7" t="n">
        <v>648351</v>
      </c>
      <c r="B186" s="7" t="inlineStr">
        <is>
          <t>1067</t>
        </is>
      </c>
      <c r="C186" s="10" t="inlineStr">
        <is>
          <t>7898108640623</t>
        </is>
      </c>
      <c r="D186" s="7" t="inlineStr">
        <is>
          <t>HASTES FLEX SANCARE 75UN</t>
        </is>
      </c>
      <c r="E186" s="11" t="n">
        <v>1</v>
      </c>
      <c r="F186" s="11" t="n">
        <v>1</v>
      </c>
      <c r="G186" s="11" t="n">
        <v>1</v>
      </c>
      <c r="H186" s="8" t="n">
        <v>1.78</v>
      </c>
      <c r="I186" s="8">
        <f>G186*H186</f>
        <v/>
      </c>
      <c r="J186" s="8">
        <f>H186/E186</f>
        <v/>
      </c>
      <c r="K186" s="8" t="n">
        <v>1.8442</v>
      </c>
      <c r="L186" s="8" t="n">
        <v>1.8442</v>
      </c>
      <c r="M186" s="12">
        <f>J186/K186-1</f>
        <v/>
      </c>
      <c r="N186" s="7" t="inlineStr">
        <is>
          <t>OK (≤ menor hist.)</t>
        </is>
      </c>
      <c r="O186" s="7" t="inlineStr"/>
    </row>
    <row r="187">
      <c r="A187" s="7" t="n">
        <v>531481</v>
      </c>
      <c r="B187" s="7" t="inlineStr">
        <is>
          <t>5565</t>
        </is>
      </c>
      <c r="C187" s="10" t="inlineStr">
        <is>
          <t>7894164005420</t>
        </is>
      </c>
      <c r="D187" s="7" t="inlineStr">
        <is>
          <t>HIDRALI 500ML LARANJA AIRELA</t>
        </is>
      </c>
      <c r="E187" s="11" t="n">
        <v>1</v>
      </c>
      <c r="F187" s="11" t="n">
        <v>7</v>
      </c>
      <c r="G187" s="11" t="n">
        <v>7</v>
      </c>
      <c r="H187" s="8" t="n">
        <v>8.359999999999999</v>
      </c>
      <c r="I187" s="8">
        <f>G187*H187</f>
        <v/>
      </c>
      <c r="J187" s="8">
        <f>H187/E187</f>
        <v/>
      </c>
      <c r="K187" s="8" t="n">
        <v>8.300000000000001</v>
      </c>
      <c r="L187" s="8" t="n">
        <v>7.97</v>
      </c>
      <c r="M187" s="12">
        <f>J187/K187-1</f>
        <v/>
      </c>
      <c r="N187" s="7" t="inlineStr">
        <is>
          <t>ACIMA +0.7%</t>
        </is>
      </c>
      <c r="O187" s="7" t="inlineStr"/>
    </row>
    <row r="188">
      <c r="A188" s="7" t="n">
        <v>531501</v>
      </c>
      <c r="B188" s="7" t="inlineStr">
        <is>
          <t>5688</t>
        </is>
      </c>
      <c r="C188" s="10" t="inlineStr">
        <is>
          <t>7894164005406</t>
        </is>
      </c>
      <c r="D188" s="7" t="inlineStr">
        <is>
          <t>HIDRALI 500ML UVA ROXA AIRELA</t>
        </is>
      </c>
      <c r="E188" s="11" t="n">
        <v>1</v>
      </c>
      <c r="F188" s="11" t="n">
        <v>2</v>
      </c>
      <c r="G188" s="11" t="n">
        <v>2</v>
      </c>
      <c r="H188" s="8" t="n">
        <v>8.359999999999999</v>
      </c>
      <c r="I188" s="8">
        <f>G188*H188</f>
        <v/>
      </c>
      <c r="J188" s="8">
        <f>H188/E188</f>
        <v/>
      </c>
      <c r="K188" s="8" t="n">
        <v>8.300000000000001</v>
      </c>
      <c r="L188" s="8" t="n">
        <v>7.97</v>
      </c>
      <c r="M188" s="12">
        <f>J188/K188-1</f>
        <v/>
      </c>
      <c r="N188" s="7" t="inlineStr">
        <is>
          <t>ACIMA +0.7%</t>
        </is>
      </c>
      <c r="O188" s="7" t="inlineStr"/>
    </row>
    <row r="189">
      <c r="A189" s="7" t="n">
        <v>604151</v>
      </c>
      <c r="B189" s="7" t="inlineStr">
        <is>
          <t>7783</t>
        </is>
      </c>
      <c r="C189" s="10" t="inlineStr">
        <is>
          <t>7894164009473</t>
        </is>
      </c>
      <c r="D189" s="7" t="inlineStr">
        <is>
          <t>HIDRALI PO 28,29G  ENVELOPE CX COM 4 (GUARANÁ)</t>
        </is>
      </c>
      <c r="E189" s="11" t="n">
        <v>1</v>
      </c>
      <c r="F189" s="11" t="n">
        <v>9</v>
      </c>
      <c r="G189" s="11" t="n">
        <v>9</v>
      </c>
      <c r="H189" s="8" t="n">
        <v>8.94</v>
      </c>
      <c r="I189" s="8">
        <f>G189*H189</f>
        <v/>
      </c>
      <c r="J189" s="8">
        <f>H189/E189</f>
        <v/>
      </c>
      <c r="K189" s="8" t="n">
        <v>8.94</v>
      </c>
      <c r="L189" s="8" t="n">
        <v>8.890000000000001</v>
      </c>
      <c r="M189" s="12">
        <f>J189/K189-1</f>
        <v/>
      </c>
      <c r="N189" s="7" t="inlineStr">
        <is>
          <t>OK (≤ últ. compra)</t>
        </is>
      </c>
      <c r="O189" s="7" t="inlineStr"/>
    </row>
    <row r="190">
      <c r="A190" s="7" t="n">
        <v>602561</v>
      </c>
      <c r="B190" s="7" t="inlineStr">
        <is>
          <t>7708</t>
        </is>
      </c>
      <c r="C190" s="10" t="inlineStr">
        <is>
          <t>7894164009466</t>
        </is>
      </c>
      <c r="D190" s="7" t="inlineStr">
        <is>
          <t>HIDRALI PO 28,29G 4ENV LARANJA SOL</t>
        </is>
      </c>
      <c r="E190" s="11" t="n">
        <v>1</v>
      </c>
      <c r="F190" s="11" t="n">
        <v>8</v>
      </c>
      <c r="G190" s="11" t="n">
        <v>8</v>
      </c>
      <c r="H190" s="8" t="n">
        <v>8.94</v>
      </c>
      <c r="I190" s="8">
        <f>G190*H190</f>
        <v/>
      </c>
      <c r="J190" s="8">
        <f>H190/E190</f>
        <v/>
      </c>
      <c r="K190" s="8" t="n">
        <v>8.6</v>
      </c>
      <c r="L190" s="8" t="n">
        <v>8.6</v>
      </c>
      <c r="M190" s="12">
        <f>J190/K190-1</f>
        <v/>
      </c>
      <c r="N190" s="7" t="inlineStr">
        <is>
          <t>ACIMA +4.0%</t>
        </is>
      </c>
      <c r="O190" s="7" t="inlineStr"/>
    </row>
    <row r="191">
      <c r="A191" s="7" t="n">
        <v>604091</v>
      </c>
      <c r="B191" s="7" t="inlineStr">
        <is>
          <t>7693</t>
        </is>
      </c>
      <c r="C191" s="10" t="inlineStr">
        <is>
          <t>7894164009510</t>
        </is>
      </c>
      <c r="D191" s="7" t="inlineStr">
        <is>
          <t>HIDRALI PO NATURAL  UND</t>
        </is>
      </c>
      <c r="E191" s="11" t="n">
        <v>1</v>
      </c>
      <c r="F191" s="11" t="n">
        <v>2</v>
      </c>
      <c r="G191" s="11" t="n">
        <v>2</v>
      </c>
      <c r="H191" s="8" t="n">
        <v>8.94</v>
      </c>
      <c r="I191" s="8">
        <f>G191*H191</f>
        <v/>
      </c>
      <c r="J191" s="8">
        <f>H191/E191</f>
        <v/>
      </c>
      <c r="K191" s="8" t="n">
        <v>8.890000000000001</v>
      </c>
      <c r="L191" s="8" t="n">
        <v>8.890000000000001</v>
      </c>
      <c r="M191" s="12">
        <f>J191/K191-1</f>
        <v/>
      </c>
      <c r="N191" s="7" t="inlineStr">
        <is>
          <t>ACIMA +0.6%</t>
        </is>
      </c>
      <c r="O191" s="7" t="inlineStr"/>
    </row>
    <row r="192">
      <c r="A192" s="7" t="n">
        <v>558881</v>
      </c>
      <c r="B192" s="7" t="inlineStr">
        <is>
          <t>313</t>
        </is>
      </c>
      <c r="C192" s="10" t="inlineStr">
        <is>
          <t>7898133137358</t>
        </is>
      </c>
      <c r="D192" s="7" t="inlineStr">
        <is>
          <t>HIDRAPLEX PO 27,9G ENVELOPE  FRACIONADO  UVA EN</t>
        </is>
      </c>
      <c r="E192" s="11" t="n">
        <v>1</v>
      </c>
      <c r="F192" s="11" t="n">
        <v>2</v>
      </c>
      <c r="G192" s="11" t="n">
        <v>2</v>
      </c>
      <c r="H192" s="8" t="n">
        <v>11.41</v>
      </c>
      <c r="I192" s="8">
        <f>G192*H192</f>
        <v/>
      </c>
      <c r="J192" s="8">
        <f>H192/E192</f>
        <v/>
      </c>
      <c r="K192" s="8" t="n">
        <v>2.475</v>
      </c>
      <c r="L192" s="8" t="n">
        <v>2.475</v>
      </c>
      <c r="M192" s="12">
        <f>J192/K192-1</f>
        <v/>
      </c>
      <c r="N192" s="7" t="inlineStr">
        <is>
          <t>ACIMA +361.0%</t>
        </is>
      </c>
      <c r="O192" s="7" t="inlineStr">
        <is>
          <t>conferir emb.</t>
        </is>
      </c>
    </row>
    <row r="193">
      <c r="A193" s="7" t="n">
        <v>531541</v>
      </c>
      <c r="B193" s="7" t="inlineStr">
        <is>
          <t>6293</t>
        </is>
      </c>
      <c r="C193" s="10" t="inlineStr">
        <is>
          <t>7894164006755</t>
        </is>
      </c>
      <c r="D193" s="7" t="inlineStr">
        <is>
          <t>HIDROXIDO ALUMINIO SAB HORTELA 100ML</t>
        </is>
      </c>
      <c r="E193" s="11" t="n">
        <v>1</v>
      </c>
      <c r="F193" s="11" t="n">
        <v>53</v>
      </c>
      <c r="G193" s="11" t="n">
        <v>53</v>
      </c>
      <c r="H193" s="8" t="n">
        <v>6.08</v>
      </c>
      <c r="I193" s="8">
        <f>G193*H193</f>
        <v/>
      </c>
      <c r="J193" s="8">
        <f>H193/E193</f>
        <v/>
      </c>
      <c r="K193" s="8" t="n">
        <v>5.28</v>
      </c>
      <c r="L193" s="8" t="n">
        <v>4.65</v>
      </c>
      <c r="M193" s="12">
        <f>J193/K193-1</f>
        <v/>
      </c>
      <c r="N193" s="7" t="inlineStr">
        <is>
          <t>ACIMA +15.2%</t>
        </is>
      </c>
      <c r="O193" s="7" t="inlineStr"/>
    </row>
    <row r="194">
      <c r="A194" s="7" t="n">
        <v>531561</v>
      </c>
      <c r="B194" s="7" t="inlineStr">
        <is>
          <t>6167</t>
        </is>
      </c>
      <c r="C194" s="10" t="inlineStr">
        <is>
          <t>7894164006762</t>
        </is>
      </c>
      <c r="D194" s="7" t="inlineStr">
        <is>
          <t>HIDROXIDO ALUMINIO SAB HORTELA 150ML</t>
        </is>
      </c>
      <c r="E194" s="11" t="n">
        <v>1</v>
      </c>
      <c r="F194" s="11" t="n">
        <v>4</v>
      </c>
      <c r="G194" s="11" t="n">
        <v>4</v>
      </c>
      <c r="H194" s="8" t="n">
        <v>7.25</v>
      </c>
      <c r="I194" s="8">
        <f>G194*H194</f>
        <v/>
      </c>
      <c r="J194" s="8">
        <f>H194/E194</f>
        <v/>
      </c>
      <c r="K194" s="8" t="n">
        <v>7.25</v>
      </c>
      <c r="L194" s="8" t="n">
        <v>7.25</v>
      </c>
      <c r="M194" s="12">
        <f>J194/K194-1</f>
        <v/>
      </c>
      <c r="N194" s="7" t="inlineStr">
        <is>
          <t>OK (≤ menor hist.)</t>
        </is>
      </c>
      <c r="O194" s="7" t="inlineStr"/>
    </row>
    <row r="195">
      <c r="A195" s="7" t="n">
        <v>359601</v>
      </c>
      <c r="B195" s="7" t="inlineStr">
        <is>
          <t>578</t>
        </is>
      </c>
      <c r="C195" s="10" t="inlineStr">
        <is>
          <t>7898122911587</t>
        </is>
      </c>
      <c r="D195" s="7" t="inlineStr">
        <is>
          <t>HYPLEX B SOL INJ IM CX 100 AMP VD AMB X 2 ML</t>
        </is>
      </c>
      <c r="E195" s="11" t="n">
        <v>1</v>
      </c>
      <c r="F195" s="11" t="n">
        <v>1</v>
      </c>
      <c r="G195" s="11" t="n">
        <v>1</v>
      </c>
      <c r="H195" s="8" t="n">
        <v>126.14</v>
      </c>
      <c r="I195" s="8">
        <f>G195*H195</f>
        <v/>
      </c>
      <c r="J195" s="8">
        <f>H195/E195</f>
        <v/>
      </c>
      <c r="K195" s="8" t="n">
        <v>1.4052</v>
      </c>
      <c r="L195" s="8" t="n">
        <v>1.4052</v>
      </c>
      <c r="M195" s="12">
        <f>J195/K195-1</f>
        <v/>
      </c>
      <c r="N195" s="7" t="inlineStr">
        <is>
          <t>ACIMA +8876.7%</t>
        </is>
      </c>
      <c r="O195" s="7" t="inlineStr">
        <is>
          <t>conferir emb.</t>
        </is>
      </c>
    </row>
    <row r="196">
      <c r="A196" s="7" t="n">
        <v>627841</v>
      </c>
      <c r="B196" s="7" t="inlineStr">
        <is>
          <t>379</t>
        </is>
      </c>
      <c r="C196" s="10" t="inlineStr">
        <is>
          <t>7897344301527</t>
        </is>
      </c>
      <c r="D196" s="7" t="inlineStr">
        <is>
          <t>ICE GEL 250G POTE</t>
        </is>
      </c>
      <c r="E196" s="11" t="n">
        <v>1</v>
      </c>
      <c r="F196" s="11" t="n">
        <v>5</v>
      </c>
      <c r="G196" s="11" t="n">
        <v>5</v>
      </c>
      <c r="H196" s="8" t="n">
        <v>8.1</v>
      </c>
      <c r="I196" s="8">
        <f>G196*H196</f>
        <v/>
      </c>
      <c r="J196" s="8">
        <f>H196/E196</f>
        <v/>
      </c>
      <c r="K196" s="8" t="n">
        <v>8.1</v>
      </c>
      <c r="L196" s="8" t="n">
        <v>8.1</v>
      </c>
      <c r="M196" s="12">
        <f>J196/K196-1</f>
        <v/>
      </c>
      <c r="N196" s="7" t="inlineStr">
        <is>
          <t>OK (≤ menor hist.)</t>
        </is>
      </c>
      <c r="O196" s="7" t="inlineStr"/>
    </row>
    <row r="197">
      <c r="A197" s="7" t="n">
        <v>153041</v>
      </c>
      <c r="B197" s="7" t="inlineStr">
        <is>
          <t>3581</t>
        </is>
      </c>
      <c r="C197" s="10" t="inlineStr">
        <is>
          <t>7898060132297</t>
        </is>
      </c>
      <c r="D197" s="7" t="inlineStr">
        <is>
          <t>INTESTIN 2MG CX 12 COMP</t>
        </is>
      </c>
      <c r="E197" s="11" t="n">
        <v>1</v>
      </c>
      <c r="F197" s="11" t="n">
        <v>2</v>
      </c>
      <c r="G197" s="11" t="n">
        <v>2</v>
      </c>
      <c r="H197" s="8" t="n">
        <v>2.08</v>
      </c>
      <c r="I197" s="8">
        <f>G197*H197</f>
        <v/>
      </c>
      <c r="J197" s="8">
        <f>H197/E197</f>
        <v/>
      </c>
      <c r="K197" s="8" t="n">
        <v>2.02</v>
      </c>
      <c r="L197" s="8" t="n">
        <v>2.02</v>
      </c>
      <c r="M197" s="12">
        <f>J197/K197-1</f>
        <v/>
      </c>
      <c r="N197" s="7" t="inlineStr">
        <is>
          <t>ACIMA +3.0%</t>
        </is>
      </c>
      <c r="O197" s="7" t="inlineStr"/>
    </row>
    <row r="198">
      <c r="A198" s="7" t="n">
        <v>630321</v>
      </c>
      <c r="B198" s="7" t="inlineStr">
        <is>
          <t>8401</t>
        </is>
      </c>
      <c r="C198" s="10" t="inlineStr">
        <is>
          <t>7898687735918</t>
        </is>
      </c>
      <c r="D198" s="7" t="inlineStr">
        <is>
          <t>IROSE  NITAZOXANIDA 20MG/ML PO SUS OR FR 100ML+SER DOS</t>
        </is>
      </c>
      <c r="E198" s="11" t="n">
        <v>1</v>
      </c>
      <c r="F198" s="11" t="n">
        <v>11</v>
      </c>
      <c r="G198" s="11" t="n">
        <v>11</v>
      </c>
      <c r="H198" s="8" t="n">
        <v>15.46</v>
      </c>
      <c r="I198" s="8">
        <f>G198*H198</f>
        <v/>
      </c>
      <c r="J198" s="8">
        <f>H198/E198</f>
        <v/>
      </c>
      <c r="K198" s="8" t="n">
        <v>14.56</v>
      </c>
      <c r="L198" s="8" t="n">
        <v>14.56</v>
      </c>
      <c r="M198" s="12">
        <f>J198/K198-1</f>
        <v/>
      </c>
      <c r="N198" s="7" t="inlineStr">
        <is>
          <t>ACIMA +6.2%</t>
        </is>
      </c>
      <c r="O198" s="7" t="inlineStr"/>
    </row>
    <row r="199">
      <c r="A199" s="7" t="n">
        <v>630311</v>
      </c>
      <c r="B199" s="7" t="inlineStr">
        <is>
          <t>8406</t>
        </is>
      </c>
      <c r="C199" s="10" t="inlineStr">
        <is>
          <t>7898687735901</t>
        </is>
      </c>
      <c r="D199" s="7" t="inlineStr">
        <is>
          <t>IROSE  NITAZOXANIDA 20MG/ML PO SUS OR FR 45ML+SER DOS</t>
        </is>
      </c>
      <c r="E199" s="11" t="n">
        <v>1</v>
      </c>
      <c r="F199" s="11" t="n">
        <v>7</v>
      </c>
      <c r="G199" s="11" t="n">
        <v>7</v>
      </c>
      <c r="H199" s="8" t="n">
        <v>7.85</v>
      </c>
      <c r="I199" s="8">
        <f>G199*H199</f>
        <v/>
      </c>
      <c r="J199" s="8">
        <f>H199/E199</f>
        <v/>
      </c>
      <c r="K199" s="8" t="n">
        <v>7.32</v>
      </c>
      <c r="L199" s="8" t="n">
        <v>7.32</v>
      </c>
      <c r="M199" s="12">
        <f>J199/K199-1</f>
        <v/>
      </c>
      <c r="N199" s="7" t="inlineStr">
        <is>
          <t>ACIMA +7.2%</t>
        </is>
      </c>
      <c r="O199" s="7" t="inlineStr"/>
    </row>
    <row r="200">
      <c r="A200" s="7" t="n">
        <v>305921</v>
      </c>
      <c r="B200" s="7" t="inlineStr">
        <is>
          <t>6646</t>
        </is>
      </c>
      <c r="C200" s="10" t="inlineStr">
        <is>
          <t>7895296043069</t>
        </is>
      </c>
      <c r="D200" s="7" t="inlineStr">
        <is>
          <t>ISOTRETINOINA 20MG CX 30 CAP</t>
        </is>
      </c>
      <c r="E200" s="11" t="n">
        <v>1</v>
      </c>
      <c r="F200" s="11" t="n">
        <v>1</v>
      </c>
      <c r="G200" s="11" t="n">
        <v>1</v>
      </c>
      <c r="H200" s="8" t="n">
        <v>36.93</v>
      </c>
      <c r="I200" s="8">
        <f>G200*H200</f>
        <v/>
      </c>
      <c r="J200" s="8">
        <f>H200/E200</f>
        <v/>
      </c>
      <c r="K200" s="8" t="n">
        <v>31.09</v>
      </c>
      <c r="L200" s="8" t="n">
        <v>31.09</v>
      </c>
      <c r="M200" s="12">
        <f>J200/K200-1</f>
        <v/>
      </c>
      <c r="N200" s="7" t="inlineStr">
        <is>
          <t>ACIMA +18.8%</t>
        </is>
      </c>
      <c r="O200" s="7" t="inlineStr"/>
    </row>
    <row r="201">
      <c r="A201" s="7" t="n">
        <v>553601</v>
      </c>
      <c r="B201" s="7" t="inlineStr">
        <is>
          <t>3745</t>
        </is>
      </c>
      <c r="C201" s="10" t="inlineStr">
        <is>
          <t>7896523207834</t>
        </is>
      </c>
      <c r="D201" s="7" t="inlineStr">
        <is>
          <t>K-MED GEL BG 25 G</t>
        </is>
      </c>
      <c r="E201" s="11" t="n">
        <v>1</v>
      </c>
      <c r="F201" s="11" t="n">
        <v>13</v>
      </c>
      <c r="G201" s="11" t="n">
        <v>13</v>
      </c>
      <c r="H201" s="8" t="n">
        <v>5.67</v>
      </c>
      <c r="I201" s="8">
        <f>G201*H201</f>
        <v/>
      </c>
      <c r="J201" s="8">
        <f>H201/E201</f>
        <v/>
      </c>
      <c r="K201" s="8" t="n">
        <v>6.59</v>
      </c>
      <c r="L201" s="8" t="n">
        <v>2.99</v>
      </c>
      <c r="M201" s="12">
        <f>J201/K201-1</f>
        <v/>
      </c>
      <c r="N201" s="7" t="inlineStr">
        <is>
          <t>OK (≤ últ. compra)</t>
        </is>
      </c>
      <c r="O201" s="7" t="inlineStr"/>
    </row>
    <row r="202">
      <c r="A202" s="7" t="n">
        <v>14103</v>
      </c>
      <c r="B202" s="7" t="inlineStr">
        <is>
          <t>4377</t>
        </is>
      </c>
      <c r="C202" s="10" t="inlineStr">
        <is>
          <t>7899620913202</t>
        </is>
      </c>
      <c r="D202" s="7" t="inlineStr">
        <is>
          <t>KALOSTOP (N.S.) 0,20+0,15ML/ML SOL FR 10ML</t>
        </is>
      </c>
      <c r="E202" s="11" t="n">
        <v>1</v>
      </c>
      <c r="F202" s="11" t="n">
        <v>1</v>
      </c>
      <c r="G202" s="11" t="n">
        <v>1</v>
      </c>
      <c r="H202" s="8" t="n">
        <v>8.73</v>
      </c>
      <c r="I202" s="8">
        <f>G202*H202</f>
        <v/>
      </c>
      <c r="J202" s="8">
        <f>H202/E202</f>
        <v/>
      </c>
      <c r="K202" s="8" t="n">
        <v>8.41</v>
      </c>
      <c r="L202" s="8" t="n">
        <v>8.359999999999999</v>
      </c>
      <c r="M202" s="12">
        <f>J202/K202-1</f>
        <v/>
      </c>
      <c r="N202" s="7" t="inlineStr">
        <is>
          <t>ACIMA +3.8%</t>
        </is>
      </c>
      <c r="O202" s="7" t="inlineStr"/>
    </row>
    <row r="203">
      <c r="A203" s="7" t="n">
        <v>3583</v>
      </c>
      <c r="B203" s="7" t="inlineStr">
        <is>
          <t>8512</t>
        </is>
      </c>
      <c r="C203" s="10" t="inlineStr">
        <is>
          <t>7898953484311</t>
        </is>
      </c>
      <c r="D203" s="7" t="inlineStr">
        <is>
          <t>KIT PARA COLETA DE URINA C/1 TUBO</t>
        </is>
      </c>
      <c r="E203" s="11" t="n">
        <v>1</v>
      </c>
      <c r="F203" s="11" t="n">
        <v>8</v>
      </c>
      <c r="G203" s="11" t="n">
        <v>8</v>
      </c>
      <c r="H203" s="8" t="n">
        <v>1.03</v>
      </c>
      <c r="I203" s="8">
        <f>G203*H203</f>
        <v/>
      </c>
      <c r="J203" s="8">
        <f>H203/E203</f>
        <v/>
      </c>
      <c r="K203" s="8" t="n">
        <v>0.89</v>
      </c>
      <c r="L203" s="8" t="n">
        <v>0.89</v>
      </c>
      <c r="M203" s="12">
        <f>J203/K203-1</f>
        <v/>
      </c>
      <c r="N203" s="7" t="inlineStr">
        <is>
          <t>ACIMA +15.7%</t>
        </is>
      </c>
      <c r="O203" s="7" t="inlineStr"/>
    </row>
    <row r="204">
      <c r="A204" s="7" t="n">
        <v>152141</v>
      </c>
      <c r="B204" s="7" t="inlineStr">
        <is>
          <t>42</t>
        </is>
      </c>
      <c r="C204" s="10" t="inlineStr">
        <is>
          <t>7898216361403</t>
        </is>
      </c>
      <c r="D204" s="7" t="inlineStr">
        <is>
          <t>LABCAINA 50MG POM DERM BG 25G</t>
        </is>
      </c>
      <c r="E204" s="11" t="n">
        <v>1</v>
      </c>
      <c r="F204" s="11" t="n">
        <v>3</v>
      </c>
      <c r="G204" s="11" t="n">
        <v>3</v>
      </c>
      <c r="H204" s="8" t="n">
        <v>8.82</v>
      </c>
      <c r="I204" s="8">
        <f>G204*H204</f>
        <v/>
      </c>
      <c r="J204" s="8">
        <f>H204/E204</f>
        <v/>
      </c>
      <c r="K204" s="8" t="n">
        <v>7.21</v>
      </c>
      <c r="L204" s="8" t="n">
        <v>7.21</v>
      </c>
      <c r="M204" s="12">
        <f>J204/K204-1</f>
        <v/>
      </c>
      <c r="N204" s="7" t="inlineStr">
        <is>
          <t>ACIMA +22.3%</t>
        </is>
      </c>
      <c r="O204" s="7" t="inlineStr"/>
    </row>
    <row r="205">
      <c r="A205" s="7" t="n">
        <v>3203</v>
      </c>
      <c r="B205" s="7" t="inlineStr">
        <is>
          <t>8602</t>
        </is>
      </c>
      <c r="C205" s="10" t="inlineStr">
        <is>
          <t>7898953484304</t>
        </is>
      </c>
      <c r="D205" s="7" t="inlineStr">
        <is>
          <t>LAVADOR NASAL COM FRASCO 300ML C/2 BICOS</t>
        </is>
      </c>
      <c r="E205" s="11" t="n">
        <v>1</v>
      </c>
      <c r="F205" s="11" t="n">
        <v>2</v>
      </c>
      <c r="G205" s="11" t="n">
        <v>2</v>
      </c>
      <c r="H205" s="8" t="n">
        <v>11.49</v>
      </c>
      <c r="I205" s="8">
        <f>G205*H205</f>
        <v/>
      </c>
      <c r="J205" s="8">
        <f>H205/E205</f>
        <v/>
      </c>
      <c r="K205" s="8" t="n">
        <v>11.49</v>
      </c>
      <c r="L205" s="8" t="n">
        <v>11.49</v>
      </c>
      <c r="M205" s="12">
        <f>J205/K205-1</f>
        <v/>
      </c>
      <c r="N205" s="7" t="inlineStr">
        <is>
          <t>OK (≤ menor hist.)</t>
        </is>
      </c>
      <c r="O205" s="7" t="inlineStr"/>
    </row>
    <row r="206">
      <c r="A206" s="7" t="n">
        <v>546081</v>
      </c>
      <c r="B206" s="7" t="inlineStr">
        <is>
          <t>2228</t>
        </is>
      </c>
      <c r="C206" s="10" t="inlineStr">
        <is>
          <t>7897947612358</t>
        </is>
      </c>
      <c r="D206" s="7" t="inlineStr">
        <is>
          <t>LAVITAN MEMORIA 60CP</t>
        </is>
      </c>
      <c r="E206" s="11" t="n">
        <v>1</v>
      </c>
      <c r="F206" s="11" t="n">
        <v>7</v>
      </c>
      <c r="G206" s="11" t="n">
        <v>7</v>
      </c>
      <c r="H206" s="8" t="n">
        <v>14.85</v>
      </c>
      <c r="I206" s="8">
        <f>G206*H206</f>
        <v/>
      </c>
      <c r="J206" s="8">
        <f>H206/E206</f>
        <v/>
      </c>
      <c r="K206" s="8" t="n">
        <v>21.27</v>
      </c>
      <c r="L206" s="8" t="n">
        <v>21.27</v>
      </c>
      <c r="M206" s="12">
        <f>J206/K206-1</f>
        <v/>
      </c>
      <c r="N206" s="7" t="inlineStr">
        <is>
          <t>OK (≤ menor hist.)</t>
        </is>
      </c>
      <c r="O206" s="7" t="inlineStr"/>
    </row>
    <row r="207">
      <c r="A207" s="7" t="n">
        <v>546481</v>
      </c>
      <c r="B207" s="7" t="inlineStr">
        <is>
          <t>6961</t>
        </is>
      </c>
      <c r="C207" s="10" t="inlineStr">
        <is>
          <t>7897947600928</t>
        </is>
      </c>
      <c r="D207" s="7" t="inlineStr">
        <is>
          <t>LAVITAN VIT 50+ 60CP</t>
        </is>
      </c>
      <c r="E207" s="11" t="n">
        <v>1</v>
      </c>
      <c r="F207" s="11" t="n">
        <v>11</v>
      </c>
      <c r="G207" s="11" t="n">
        <v>11</v>
      </c>
      <c r="H207" s="8" t="n">
        <v>14.85</v>
      </c>
      <c r="I207" s="8">
        <f>G207*H207</f>
        <v/>
      </c>
      <c r="J207" s="8">
        <f>H207/E207</f>
        <v/>
      </c>
      <c r="K207" s="8" t="n">
        <v>14.85</v>
      </c>
      <c r="L207" s="8" t="n">
        <v>14.85</v>
      </c>
      <c r="M207" s="12">
        <f>J207/K207-1</f>
        <v/>
      </c>
      <c r="N207" s="7" t="inlineStr">
        <is>
          <t>OK (≤ menor hist.)</t>
        </is>
      </c>
      <c r="O207" s="7" t="inlineStr"/>
    </row>
    <row r="208">
      <c r="A208" s="7" t="n">
        <v>550901</v>
      </c>
      <c r="B208" s="7" t="inlineStr">
        <is>
          <t>660</t>
        </is>
      </c>
      <c r="C208" s="10" t="inlineStr">
        <is>
          <t>7897947606517</t>
        </is>
      </c>
      <c r="D208" s="7" t="inlineStr">
        <is>
          <t>LAVITAN VIT AZ ORIGINAL COMP REV FR C/60</t>
        </is>
      </c>
      <c r="E208" s="11" t="n">
        <v>1</v>
      </c>
      <c r="F208" s="11" t="n">
        <v>19</v>
      </c>
      <c r="G208" s="11" t="n">
        <v>19</v>
      </c>
      <c r="H208" s="8" t="n">
        <v>14.85</v>
      </c>
      <c r="I208" s="8">
        <f>G208*H208</f>
        <v/>
      </c>
      <c r="J208" s="8">
        <f>H208/E208</f>
        <v/>
      </c>
      <c r="K208" s="8" t="n">
        <v>9.99</v>
      </c>
      <c r="L208" s="8" t="n">
        <v>9.99</v>
      </c>
      <c r="M208" s="12">
        <f>J208/K208-1</f>
        <v/>
      </c>
      <c r="N208" s="7" t="inlineStr">
        <is>
          <t>ACIMA +48.6%</t>
        </is>
      </c>
      <c r="O208" s="7" t="inlineStr"/>
    </row>
    <row r="209">
      <c r="A209" s="7" t="n">
        <v>556981</v>
      </c>
      <c r="B209" s="7" t="inlineStr">
        <is>
          <t>2944</t>
        </is>
      </c>
      <c r="C209" s="10" t="inlineStr">
        <is>
          <t>7897947607996</t>
        </is>
      </c>
      <c r="D209" s="7" t="inlineStr">
        <is>
          <t>LAVITAN VIT CABELOS E UNHAS 30CP</t>
        </is>
      </c>
      <c r="E209" s="11" t="n">
        <v>1</v>
      </c>
      <c r="F209" s="11" t="n">
        <v>8</v>
      </c>
      <c r="G209" s="11" t="n">
        <v>8</v>
      </c>
      <c r="H209" s="8" t="n">
        <v>12.62</v>
      </c>
      <c r="I209" s="8">
        <f>G209*H209</f>
        <v/>
      </c>
      <c r="J209" s="8">
        <f>H209/E209</f>
        <v/>
      </c>
      <c r="K209" s="8" t="n">
        <v>8.99</v>
      </c>
      <c r="L209" s="8" t="n">
        <v>6.99</v>
      </c>
      <c r="M209" s="12">
        <f>J209/K209-1</f>
        <v/>
      </c>
      <c r="N209" s="7" t="inlineStr">
        <is>
          <t>ACIMA +40.4%</t>
        </is>
      </c>
      <c r="O209" s="7" t="inlineStr"/>
    </row>
    <row r="210">
      <c r="A210" s="7" t="n">
        <v>553661</v>
      </c>
      <c r="B210" s="7" t="inlineStr">
        <is>
          <t>716</t>
        </is>
      </c>
      <c r="C210" s="10" t="inlineStr">
        <is>
          <t>7897947614673</t>
        </is>
      </c>
      <c r="D210" s="7" t="inlineStr">
        <is>
          <t>LAVITAN VIT INF SOL OR FR 240ML TUT FRUT</t>
        </is>
      </c>
      <c r="E210" s="11" t="n">
        <v>1</v>
      </c>
      <c r="F210" s="11" t="n">
        <v>2</v>
      </c>
      <c r="G210" s="11" t="n">
        <v>2</v>
      </c>
      <c r="H210" s="8" t="n">
        <v>13.85</v>
      </c>
      <c r="I210" s="8">
        <f>G210*H210</f>
        <v/>
      </c>
      <c r="J210" s="8">
        <f>H210/E210</f>
        <v/>
      </c>
      <c r="K210" s="8" t="n">
        <v>10.99</v>
      </c>
      <c r="L210" s="8" t="n">
        <v>8.99</v>
      </c>
      <c r="M210" s="12">
        <f>J210/K210-1</f>
        <v/>
      </c>
      <c r="N210" s="7" t="inlineStr">
        <is>
          <t>ACIMA +26.0%</t>
        </is>
      </c>
      <c r="O210" s="7" t="inlineStr"/>
    </row>
    <row r="211">
      <c r="A211" s="7" t="n">
        <v>627791</v>
      </c>
      <c r="B211" s="7" t="inlineStr">
        <is>
          <t>8628</t>
        </is>
      </c>
      <c r="C211" s="10" t="inlineStr">
        <is>
          <t>7897947617605</t>
        </is>
      </c>
      <c r="D211" s="7" t="inlineStr">
        <is>
          <t>LAVITAN ZMA PERFORMANCE COMP 2 BL X 15</t>
        </is>
      </c>
      <c r="E211" s="11" t="n">
        <v>1</v>
      </c>
      <c r="F211" s="11" t="n">
        <v>10</v>
      </c>
      <c r="G211" s="11" t="n">
        <v>10</v>
      </c>
      <c r="H211" s="8" t="n">
        <v>13.5</v>
      </c>
      <c r="I211" s="8">
        <f>G211*H211</f>
        <v/>
      </c>
      <c r="J211" s="8">
        <f>H211/E211</f>
        <v/>
      </c>
      <c r="K211" s="8" t="n">
        <v>18.36</v>
      </c>
      <c r="L211" s="8" t="n">
        <v>16.39</v>
      </c>
      <c r="M211" s="12">
        <f>J211/K211-1</f>
        <v/>
      </c>
      <c r="N211" s="7" t="inlineStr">
        <is>
          <t>OK (≤ menor hist.)</t>
        </is>
      </c>
      <c r="O211" s="7" t="inlineStr"/>
    </row>
    <row r="212">
      <c r="A212" s="7" t="n">
        <v>560241</v>
      </c>
      <c r="B212" s="7" t="inlineStr">
        <is>
          <t>7046</t>
        </is>
      </c>
      <c r="C212" s="10" t="inlineStr">
        <is>
          <t>7894164008209</t>
        </is>
      </c>
      <c r="D212" s="7" t="inlineStr">
        <is>
          <t>LEFLORA 6 CAP</t>
        </is>
      </c>
      <c r="E212" s="11" t="n">
        <v>1</v>
      </c>
      <c r="F212" s="11" t="n">
        <v>1</v>
      </c>
      <c r="G212" s="11" t="n">
        <v>1</v>
      </c>
      <c r="H212" s="8" t="n">
        <v>10.52</v>
      </c>
      <c r="I212" s="8">
        <f>G212*H212</f>
        <v/>
      </c>
      <c r="J212" s="8">
        <f>H212/E212</f>
        <v/>
      </c>
      <c r="K212" s="8" t="n">
        <v>10.42</v>
      </c>
      <c r="L212" s="8" t="n">
        <v>10.03</v>
      </c>
      <c r="M212" s="12">
        <f>J212/K212-1</f>
        <v/>
      </c>
      <c r="N212" s="7" t="inlineStr">
        <is>
          <t>ACIMA +1.0%</t>
        </is>
      </c>
      <c r="O212" s="7" t="inlineStr"/>
    </row>
    <row r="213">
      <c r="A213" s="7" t="n">
        <v>4083</v>
      </c>
      <c r="B213" s="7" t="inlineStr">
        <is>
          <t>8859</t>
        </is>
      </c>
      <c r="C213" s="10" t="inlineStr">
        <is>
          <t>7898575780754</t>
        </is>
      </c>
      <c r="D213" s="7" t="inlineStr">
        <is>
          <t>LEITE DE MAGNESIA 100ML HORTELA</t>
        </is>
      </c>
      <c r="E213" s="11" t="n">
        <v>1</v>
      </c>
      <c r="F213" s="11" t="n">
        <v>6</v>
      </c>
      <c r="G213" s="11" t="n">
        <v>6</v>
      </c>
      <c r="H213" s="8" t="n">
        <v>1.99</v>
      </c>
      <c r="I213" s="8">
        <f>G213*H213</f>
        <v/>
      </c>
      <c r="J213" s="8">
        <f>H213/E213</f>
        <v/>
      </c>
      <c r="K213" s="8" t="n">
        <v>3.54</v>
      </c>
      <c r="L213" s="8" t="n">
        <v>3.54</v>
      </c>
      <c r="M213" s="12">
        <f>J213/K213-1</f>
        <v/>
      </c>
      <c r="N213" s="7" t="inlineStr">
        <is>
          <t>OK (≤ menor hist.)</t>
        </is>
      </c>
      <c r="O213" s="7" t="inlineStr"/>
    </row>
    <row r="214">
      <c r="A214" s="7" t="n">
        <v>556441</v>
      </c>
      <c r="B214" s="7" t="inlineStr">
        <is>
          <t>7076</t>
        </is>
      </c>
      <c r="C214" s="10" t="inlineStr">
        <is>
          <t>7897732607323</t>
        </is>
      </c>
      <c r="D214" s="7" t="inlineStr">
        <is>
          <t>LEITE DE MAGNESIA 100ML TRADICIONAL</t>
        </is>
      </c>
      <c r="E214" s="11" t="n">
        <v>1</v>
      </c>
      <c r="F214" s="11" t="n">
        <v>5</v>
      </c>
      <c r="G214" s="11" t="n">
        <v>5</v>
      </c>
      <c r="H214" s="8" t="n">
        <v>4.65</v>
      </c>
      <c r="I214" s="8">
        <f>G214*H214</f>
        <v/>
      </c>
      <c r="J214" s="8">
        <f>H214/E214</f>
        <v/>
      </c>
      <c r="K214" s="8" t="n">
        <v>4.12</v>
      </c>
      <c r="L214" s="8" t="n">
        <v>4.12</v>
      </c>
      <c r="M214" s="12">
        <f>J214/K214-1</f>
        <v/>
      </c>
      <c r="N214" s="7" t="inlineStr">
        <is>
          <t>ACIMA +12.9%</t>
        </is>
      </c>
      <c r="O214" s="7" t="inlineStr"/>
    </row>
    <row r="215">
      <c r="A215" s="7" t="n">
        <v>646631</v>
      </c>
      <c r="B215" s="7" t="inlineStr">
        <is>
          <t>7615</t>
        </is>
      </c>
      <c r="C215" s="10" t="inlineStr">
        <is>
          <t>7898031310211</t>
        </is>
      </c>
      <c r="D215" s="7" t="inlineStr">
        <is>
          <t>LEITE DE MAGNESIA 120ML TRADICIONAL</t>
        </is>
      </c>
      <c r="E215" s="11" t="n">
        <v>1</v>
      </c>
      <c r="F215" s="11" t="n">
        <v>2</v>
      </c>
      <c r="G215" s="11" t="n">
        <v>2</v>
      </c>
      <c r="H215" s="8" t="n">
        <v>5</v>
      </c>
      <c r="I215" s="8">
        <f>G215*H215</f>
        <v/>
      </c>
      <c r="J215" s="8">
        <f>H215/E215</f>
        <v/>
      </c>
      <c r="K215" s="8" t="n">
        <v>5.01</v>
      </c>
      <c r="L215" s="8" t="n">
        <v>5.01</v>
      </c>
      <c r="M215" s="12">
        <f>J215/K215-1</f>
        <v/>
      </c>
      <c r="N215" s="7" t="inlineStr">
        <is>
          <t>OK (≤ menor hist.)</t>
        </is>
      </c>
      <c r="O215" s="7" t="inlineStr"/>
    </row>
    <row r="216">
      <c r="A216" s="7" t="n">
        <v>651461</v>
      </c>
      <c r="B216" s="7" t="inlineStr">
        <is>
          <t>8917</t>
        </is>
      </c>
      <c r="C216" s="10" t="inlineStr">
        <is>
          <t>7898179711314</t>
        </is>
      </c>
      <c r="D216" s="7" t="inlineStr">
        <is>
          <t>LEITE DE MAGNESIA GASTRIMEC 100ML TRADIC</t>
        </is>
      </c>
      <c r="E216" s="11" t="n">
        <v>1</v>
      </c>
      <c r="F216" s="11" t="n">
        <v>11</v>
      </c>
      <c r="G216" s="11" t="n">
        <v>11</v>
      </c>
      <c r="H216" s="8" t="n">
        <v>4.58</v>
      </c>
      <c r="I216" s="8">
        <f>G216*H216</f>
        <v/>
      </c>
      <c r="J216" s="8">
        <f>H216/E216</f>
        <v/>
      </c>
      <c r="K216" s="8" t="n">
        <v>4.5</v>
      </c>
      <c r="L216" s="8" t="n">
        <v>4.5</v>
      </c>
      <c r="M216" s="12">
        <f>J216/K216-1</f>
        <v/>
      </c>
      <c r="N216" s="7" t="inlineStr">
        <is>
          <t>ACIMA +1.8%</t>
        </is>
      </c>
      <c r="O216" s="7" t="inlineStr"/>
    </row>
    <row r="217">
      <c r="A217" s="7" t="n">
        <v>55801</v>
      </c>
      <c r="B217" s="7" t="inlineStr">
        <is>
          <t>2610</t>
        </is>
      </c>
      <c r="C217" s="10" t="inlineStr">
        <is>
          <t>7898060133904</t>
        </is>
      </c>
      <c r="D217" s="7" t="inlineStr">
        <is>
          <t>LERGIDRIN 0,4+0,05MG/ML XPE FR X 120ML+CM</t>
        </is>
      </c>
      <c r="E217" s="11" t="n">
        <v>1</v>
      </c>
      <c r="F217" s="11" t="n">
        <v>4</v>
      </c>
      <c r="G217" s="11" t="n">
        <v>4</v>
      </c>
      <c r="H217" s="8" t="n">
        <v>4.5</v>
      </c>
      <c r="I217" s="8">
        <f>G217*H217</f>
        <v/>
      </c>
      <c r="J217" s="8">
        <f>H217/E217</f>
        <v/>
      </c>
      <c r="K217" s="8" t="n">
        <v>4.31</v>
      </c>
      <c r="L217" s="8" t="n">
        <v>4.31</v>
      </c>
      <c r="M217" s="12">
        <f>J217/K217-1</f>
        <v/>
      </c>
      <c r="N217" s="7" t="inlineStr">
        <is>
          <t>ACIMA +4.4%</t>
        </is>
      </c>
      <c r="O217" s="7" t="inlineStr"/>
    </row>
    <row r="218">
      <c r="A218" s="7" t="n">
        <v>151761</v>
      </c>
      <c r="B218" s="7" t="inlineStr">
        <is>
          <t>385</t>
        </is>
      </c>
      <c r="C218" s="10" t="inlineStr">
        <is>
          <t>7893454100555</t>
        </is>
      </c>
      <c r="D218" s="7" t="inlineStr">
        <is>
          <t>LIDIAL 50MG/G POM BG 25G</t>
        </is>
      </c>
      <c r="E218" s="11" t="n">
        <v>1</v>
      </c>
      <c r="F218" s="11" t="n">
        <v>3</v>
      </c>
      <c r="G218" s="11" t="n">
        <v>3</v>
      </c>
      <c r="H218" s="8" t="n">
        <v>6.95</v>
      </c>
      <c r="I218" s="8">
        <f>G218*H218</f>
        <v/>
      </c>
      <c r="J218" s="8">
        <f>H218/E218</f>
        <v/>
      </c>
      <c r="K218" s="8" t="n">
        <v>6.73</v>
      </c>
      <c r="L218" s="8" t="n">
        <v>6.73</v>
      </c>
      <c r="M218" s="12">
        <f>J218/K218-1</f>
        <v/>
      </c>
      <c r="N218" s="7" t="inlineStr">
        <is>
          <t>ACIMA +3.3%</t>
        </is>
      </c>
      <c r="O218" s="7" t="inlineStr"/>
    </row>
    <row r="219">
      <c r="A219" s="7" t="n">
        <v>616271</v>
      </c>
      <c r="B219" s="7" t="inlineStr">
        <is>
          <t>7932</t>
        </is>
      </c>
      <c r="C219" s="10" t="inlineStr">
        <is>
          <t>7894164010301</t>
        </is>
      </c>
      <c r="D219" s="7" t="inlineStr">
        <is>
          <t>LORATADINA 1MG/ML 100ML XPE UN</t>
        </is>
      </c>
      <c r="E219" s="11" t="n">
        <v>1</v>
      </c>
      <c r="F219" s="11" t="n">
        <v>4</v>
      </c>
      <c r="G219" s="11" t="n">
        <v>4</v>
      </c>
      <c r="H219" s="8" t="n">
        <v>5.93</v>
      </c>
      <c r="I219" s="8">
        <f>G219*H219</f>
        <v/>
      </c>
      <c r="J219" s="8">
        <f>H219/E219</f>
        <v/>
      </c>
      <c r="K219" s="8" t="n">
        <v>5.65</v>
      </c>
      <c r="L219" s="8" t="n">
        <v>5.65</v>
      </c>
      <c r="M219" s="12">
        <f>J219/K219-1</f>
        <v/>
      </c>
      <c r="N219" s="7" t="inlineStr">
        <is>
          <t>ACIMA +5.0%</t>
        </is>
      </c>
      <c r="O219" s="7" t="inlineStr"/>
    </row>
    <row r="220">
      <c r="A220" s="7" t="n">
        <v>324761</v>
      </c>
      <c r="B220" s="7" t="inlineStr">
        <is>
          <t>931</t>
        </is>
      </c>
      <c r="C220" s="10" t="inlineStr">
        <is>
          <t>7896523202822</t>
        </is>
      </c>
      <c r="D220" s="7" t="inlineStr">
        <is>
          <t>LORATAMED 10MG CX 12 COMP</t>
        </is>
      </c>
      <c r="E220" s="11" t="n">
        <v>1</v>
      </c>
      <c r="F220" s="11" t="n">
        <v>42</v>
      </c>
      <c r="G220" s="11" t="n">
        <v>42</v>
      </c>
      <c r="H220" s="8" t="n">
        <v>1.76</v>
      </c>
      <c r="I220" s="8">
        <f>G220*H220</f>
        <v/>
      </c>
      <c r="J220" s="8">
        <f>H220/E220</f>
        <v/>
      </c>
      <c r="K220" s="8" t="n">
        <v>1.69</v>
      </c>
      <c r="L220" s="8" t="n">
        <v>1.49</v>
      </c>
      <c r="M220" s="12">
        <f>J220/K220-1</f>
        <v/>
      </c>
      <c r="N220" s="7" t="inlineStr">
        <is>
          <t>ACIMA +4.1%</t>
        </is>
      </c>
      <c r="O220" s="7" t="inlineStr"/>
    </row>
    <row r="221">
      <c r="A221" s="7" t="n">
        <v>668941</v>
      </c>
      <c r="B221" s="7" t="inlineStr">
        <is>
          <t>7927</t>
        </is>
      </c>
      <c r="C221" s="10" t="inlineStr">
        <is>
          <t>7896004785769</t>
        </is>
      </c>
      <c r="D221" s="7" t="inlineStr">
        <is>
          <t>LOZEPREL 40MG CX 28 CAP</t>
        </is>
      </c>
      <c r="E221" s="11" t="n">
        <v>1</v>
      </c>
      <c r="F221" s="11" t="n">
        <v>9</v>
      </c>
      <c r="G221" s="11" t="n">
        <v>9</v>
      </c>
      <c r="H221" s="8" t="n">
        <v>9.07</v>
      </c>
      <c r="I221" s="8">
        <f>G221*H221</f>
        <v/>
      </c>
      <c r="J221" s="8">
        <f>H221/E221</f>
        <v/>
      </c>
      <c r="K221" s="8" t="n">
        <v>9.9</v>
      </c>
      <c r="L221" s="8" t="n">
        <v>9.9</v>
      </c>
      <c r="M221" s="12">
        <f>J221/K221-1</f>
        <v/>
      </c>
      <c r="N221" s="7" t="inlineStr">
        <is>
          <t>OK (≤ menor hist.)</t>
        </is>
      </c>
      <c r="O221" s="7" t="inlineStr"/>
    </row>
    <row r="222">
      <c r="A222" s="7" t="n">
        <v>558921</v>
      </c>
      <c r="B222" s="7" t="inlineStr">
        <is>
          <t>5499</t>
        </is>
      </c>
      <c r="C222" s="10" t="inlineStr">
        <is>
          <t>7898556850513</t>
        </is>
      </c>
      <c r="D222" s="7" t="inlineStr">
        <is>
          <t>LUBRIFICANTE GEL RILEX MENTA 100G</t>
        </is>
      </c>
      <c r="E222" s="11" t="n">
        <v>1</v>
      </c>
      <c r="F222" s="11" t="n">
        <v>1</v>
      </c>
      <c r="G222" s="11" t="n">
        <v>1</v>
      </c>
      <c r="H222" s="8" t="n">
        <v>15.34</v>
      </c>
      <c r="I222" s="8">
        <f>G222*H222</f>
        <v/>
      </c>
      <c r="J222" s="8">
        <f>H222/E222</f>
        <v/>
      </c>
      <c r="K222" s="8" t="n">
        <v>15.27</v>
      </c>
      <c r="L222" s="8" t="n">
        <v>15.27</v>
      </c>
      <c r="M222" s="12">
        <f>J222/K222-1</f>
        <v/>
      </c>
      <c r="N222" s="7" t="inlineStr">
        <is>
          <t>ACIMA +0.5%</t>
        </is>
      </c>
      <c r="O222" s="7" t="inlineStr"/>
    </row>
    <row r="223">
      <c r="A223" s="7" t="n">
        <v>557121</v>
      </c>
      <c r="B223" s="7" t="inlineStr">
        <is>
          <t>5469</t>
        </is>
      </c>
      <c r="C223" s="10" t="inlineStr">
        <is>
          <t>7896523200026</t>
        </is>
      </c>
      <c r="D223" s="7" t="inlineStr">
        <is>
          <t>LUBRIFIK LUBRIFICANTE INTIMO GEL BG 50G</t>
        </is>
      </c>
      <c r="E223" s="11" t="n">
        <v>1</v>
      </c>
      <c r="F223" s="11" t="n">
        <v>17</v>
      </c>
      <c r="G223" s="11" t="n">
        <v>17</v>
      </c>
      <c r="H223" s="8" t="n">
        <v>4.32</v>
      </c>
      <c r="I223" s="8">
        <f>G223*H223</f>
        <v/>
      </c>
      <c r="J223" s="8">
        <f>H223/E223</f>
        <v/>
      </c>
      <c r="K223" s="8" t="n">
        <v>4.32</v>
      </c>
      <c r="L223" s="8" t="n">
        <v>4.32</v>
      </c>
      <c r="M223" s="12">
        <f>J223/K223-1</f>
        <v/>
      </c>
      <c r="N223" s="7" t="inlineStr">
        <is>
          <t>OK (≤ menor hist.)</t>
        </is>
      </c>
      <c r="O223" s="7" t="inlineStr"/>
    </row>
    <row r="224">
      <c r="A224" s="7" t="n">
        <v>4143</v>
      </c>
      <c r="B224" s="7" t="inlineStr">
        <is>
          <t>9434</t>
        </is>
      </c>
      <c r="C224" s="10" t="inlineStr">
        <is>
          <t>7898947170176</t>
        </is>
      </c>
      <c r="D224" s="7" t="inlineStr">
        <is>
          <t>LUVA CIRURGICA 7,0 ESTERIL COM PO</t>
        </is>
      </c>
      <c r="E224" s="11" t="n">
        <v>1</v>
      </c>
      <c r="F224" s="11" t="n">
        <v>2</v>
      </c>
      <c r="G224" s="11" t="n">
        <v>2</v>
      </c>
      <c r="H224" s="8" t="n">
        <v>1.76</v>
      </c>
      <c r="I224" s="8">
        <f>G224*H224</f>
        <v/>
      </c>
      <c r="J224" s="8">
        <f>H224/E224</f>
        <v/>
      </c>
      <c r="K224" s="8" t="n">
        <v>1.76</v>
      </c>
      <c r="L224" s="8" t="n">
        <v>1.76</v>
      </c>
      <c r="M224" s="12">
        <f>J224/K224-1</f>
        <v/>
      </c>
      <c r="N224" s="7" t="inlineStr">
        <is>
          <t>OK (≤ menor hist.)</t>
        </is>
      </c>
      <c r="O224" s="7" t="inlineStr"/>
    </row>
    <row r="225">
      <c r="A225" s="7" t="n">
        <v>4153</v>
      </c>
      <c r="B225" s="7" t="inlineStr">
        <is>
          <t>9437</t>
        </is>
      </c>
      <c r="C225" s="10" t="inlineStr">
        <is>
          <t>7898947170190</t>
        </is>
      </c>
      <c r="D225" s="7" t="inlineStr">
        <is>
          <t>LUVA CIRURGICA 8,0 ESTERIL COM PO</t>
        </is>
      </c>
      <c r="E225" s="11" t="n">
        <v>1</v>
      </c>
      <c r="F225" s="11" t="n">
        <v>2</v>
      </c>
      <c r="G225" s="11" t="n">
        <v>2</v>
      </c>
      <c r="H225" s="8" t="n">
        <v>1.74</v>
      </c>
      <c r="I225" s="8">
        <f>G225*H225</f>
        <v/>
      </c>
      <c r="J225" s="8">
        <f>H225/E225</f>
        <v/>
      </c>
      <c r="K225" s="8" t="n">
        <v>1.74</v>
      </c>
      <c r="L225" s="8" t="n">
        <v>1.74</v>
      </c>
      <c r="M225" s="12">
        <f>J225/K225-1</f>
        <v/>
      </c>
      <c r="N225" s="7" t="inlineStr">
        <is>
          <t>OK (≤ menor hist.)</t>
        </is>
      </c>
      <c r="O225" s="7" t="inlineStr"/>
    </row>
    <row r="226">
      <c r="A226" s="7" t="n">
        <v>675981</v>
      </c>
      <c r="B226" s="7" t="inlineStr">
        <is>
          <t>9414</t>
        </is>
      </c>
      <c r="C226" s="10" t="inlineStr">
        <is>
          <t>7898947170619</t>
        </is>
      </c>
      <c r="D226" s="7" t="inlineStr">
        <is>
          <t>LUVA LATEX MEDIX PROFI C/PO TAM PP C/100 UN</t>
        </is>
      </c>
      <c r="E226" s="11" t="n">
        <v>1</v>
      </c>
      <c r="F226" s="11" t="n">
        <v>2</v>
      </c>
      <c r="G226" s="11" t="n">
        <v>2</v>
      </c>
      <c r="H226" s="8" t="n">
        <v>26.33</v>
      </c>
      <c r="I226" s="8">
        <f>G226*H226</f>
        <v/>
      </c>
      <c r="J226" s="8">
        <f>H226/E226</f>
        <v/>
      </c>
      <c r="K226" s="8" t="n">
        <v>19.9</v>
      </c>
      <c r="L226" s="8" t="n">
        <v>19.9</v>
      </c>
      <c r="M226" s="12">
        <f>J226/K226-1</f>
        <v/>
      </c>
      <c r="N226" s="7" t="inlineStr">
        <is>
          <t>ACIMA +32.3%</t>
        </is>
      </c>
      <c r="O226" s="7" t="inlineStr"/>
    </row>
    <row r="227">
      <c r="A227" s="7" t="n">
        <v>612321</v>
      </c>
      <c r="B227" s="7" t="inlineStr">
        <is>
          <t>5310</t>
        </is>
      </c>
      <c r="C227" s="10" t="inlineStr">
        <is>
          <t>7894164005734</t>
        </is>
      </c>
      <c r="D227" s="7" t="inlineStr">
        <is>
          <t>MAGMILK HORTELA 80MG/ML 100ML (HIDROXIDO</t>
        </is>
      </c>
      <c r="E227" s="11" t="n">
        <v>1</v>
      </c>
      <c r="F227" s="11" t="n">
        <v>3</v>
      </c>
      <c r="G227" s="11" t="n">
        <v>3</v>
      </c>
      <c r="H227" s="8" t="n">
        <v>4.85</v>
      </c>
      <c r="I227" s="8">
        <f>G227*H227</f>
        <v/>
      </c>
      <c r="J227" s="8">
        <f>H227/E227</f>
        <v/>
      </c>
      <c r="K227" s="8" t="n">
        <v>4.14</v>
      </c>
      <c r="L227" s="8" t="n">
        <v>4.14</v>
      </c>
      <c r="M227" s="12">
        <f>J227/K227-1</f>
        <v/>
      </c>
      <c r="N227" s="7" t="inlineStr">
        <is>
          <t>ACIMA +17.1%</t>
        </is>
      </c>
      <c r="O227" s="7" t="inlineStr"/>
    </row>
    <row r="228">
      <c r="A228" s="7" t="n">
        <v>542681</v>
      </c>
      <c r="B228" s="7" t="inlineStr">
        <is>
          <t>5409</t>
        </is>
      </c>
      <c r="C228" s="10" t="inlineStr">
        <is>
          <t>7894164005727</t>
        </is>
      </c>
      <c r="D228" s="7" t="inlineStr">
        <is>
          <t>MAGMILK TRADICIONAL 80MG/ML 100ML(ARL)</t>
        </is>
      </c>
      <c r="E228" s="11" t="n">
        <v>1</v>
      </c>
      <c r="F228" s="11" t="n">
        <v>11</v>
      </c>
      <c r="G228" s="11" t="n">
        <v>11</v>
      </c>
      <c r="H228" s="8" t="n">
        <v>4.71</v>
      </c>
      <c r="I228" s="8">
        <f>G228*H228</f>
        <v/>
      </c>
      <c r="J228" s="8">
        <f>H228/E228</f>
        <v/>
      </c>
      <c r="K228" s="8" t="n">
        <v>4.71</v>
      </c>
      <c r="L228" s="8" t="n">
        <v>4.71</v>
      </c>
      <c r="M228" s="12">
        <f>J228/K228-1</f>
        <v/>
      </c>
      <c r="N228" s="7" t="inlineStr">
        <is>
          <t>OK (≤ menor hist.)</t>
        </is>
      </c>
      <c r="O228" s="7" t="inlineStr"/>
    </row>
    <row r="229">
      <c r="A229" s="7" t="n">
        <v>591291</v>
      </c>
      <c r="B229" s="7" t="inlineStr">
        <is>
          <t>7719</t>
        </is>
      </c>
      <c r="C229" s="10" t="inlineStr">
        <is>
          <t>7898048699651</t>
        </is>
      </c>
      <c r="D229" s="7" t="inlineStr">
        <is>
          <t>MAGNESIO DIMALATO 60CP</t>
        </is>
      </c>
      <c r="E229" s="11" t="n">
        <v>1</v>
      </c>
      <c r="F229" s="11" t="n">
        <v>8</v>
      </c>
      <c r="G229" s="11" t="n">
        <v>8</v>
      </c>
      <c r="H229" s="8" t="n">
        <v>15.98</v>
      </c>
      <c r="I229" s="8">
        <f>G229*H229</f>
        <v/>
      </c>
      <c r="J229" s="8">
        <f>H229/E229</f>
        <v/>
      </c>
      <c r="K229" s="8" t="n">
        <v>15.98</v>
      </c>
      <c r="L229" s="8" t="n">
        <v>13.84</v>
      </c>
      <c r="M229" s="12">
        <f>J229/K229-1</f>
        <v/>
      </c>
      <c r="N229" s="7" t="inlineStr">
        <is>
          <t>OK (≤ últ. compra)</t>
        </is>
      </c>
      <c r="O229" s="7" t="inlineStr"/>
    </row>
    <row r="230">
      <c r="A230" s="7" t="n">
        <v>56761</v>
      </c>
      <c r="B230" s="7" t="inlineStr">
        <is>
          <t>409</t>
        </is>
      </c>
      <c r="C230" s="10" t="inlineStr">
        <is>
          <t>7898060132075</t>
        </is>
      </c>
      <c r="D230" s="7" t="inlineStr">
        <is>
          <t>MAL DEXCLORFENIRAMINA+BETAMETASONA 0,4+0,05MG XPE FR 120ML+CM</t>
        </is>
      </c>
      <c r="E230" s="11" t="n">
        <v>1</v>
      </c>
      <c r="F230" s="11" t="n">
        <v>20</v>
      </c>
      <c r="G230" s="11" t="n">
        <v>20</v>
      </c>
      <c r="H230" s="8" t="n">
        <v>4.68</v>
      </c>
      <c r="I230" s="8">
        <f>G230*H230</f>
        <v/>
      </c>
      <c r="J230" s="8">
        <f>H230/E230</f>
        <v/>
      </c>
      <c r="K230" s="8" t="n">
        <v>5.1</v>
      </c>
      <c r="L230" s="8" t="n">
        <v>5.1</v>
      </c>
      <c r="M230" s="12">
        <f>J230/K230-1</f>
        <v/>
      </c>
      <c r="N230" s="7" t="inlineStr">
        <is>
          <t>OK (≤ menor hist.)</t>
        </is>
      </c>
      <c r="O230" s="7" t="inlineStr"/>
    </row>
    <row r="231">
      <c r="A231" s="7" t="n">
        <v>512501</v>
      </c>
      <c r="B231" s="7" t="inlineStr">
        <is>
          <t>4401</t>
        </is>
      </c>
      <c r="C231" s="10" t="inlineStr">
        <is>
          <t>7896523210773</t>
        </is>
      </c>
      <c r="D231" s="7" t="inlineStr">
        <is>
          <t>MALEATO DE ENALAPRIL 20MG CX 30 COMP</t>
        </is>
      </c>
      <c r="E231" s="11" t="n">
        <v>1</v>
      </c>
      <c r="F231" s="11" t="n">
        <v>26</v>
      </c>
      <c r="G231" s="11" t="n">
        <v>26</v>
      </c>
      <c r="H231" s="8" t="n">
        <v>2.86</v>
      </c>
      <c r="I231" s="8">
        <f>G231*H231</f>
        <v/>
      </c>
      <c r="J231" s="8">
        <f>H231/E231</f>
        <v/>
      </c>
      <c r="K231" s="8" t="n">
        <v>2.35</v>
      </c>
      <c r="L231" s="8" t="n">
        <v>2.23</v>
      </c>
      <c r="M231" s="12">
        <f>J231/K231-1</f>
        <v/>
      </c>
      <c r="N231" s="7" t="inlineStr">
        <is>
          <t>ACIMA +21.7%</t>
        </is>
      </c>
      <c r="O231" s="7" t="inlineStr"/>
    </row>
    <row r="232">
      <c r="A232" s="7" t="n">
        <v>336001</v>
      </c>
      <c r="B232" s="7" t="inlineStr">
        <is>
          <t>3307</t>
        </is>
      </c>
      <c r="C232" s="10" t="inlineStr">
        <is>
          <t>7898945030212</t>
        </is>
      </c>
      <c r="D232" s="7" t="inlineStr">
        <is>
          <t>MALEATO DE TRIMEBUTINA 200MG CX 30 COMP</t>
        </is>
      </c>
      <c r="E232" s="11" t="n">
        <v>1</v>
      </c>
      <c r="F232" s="11" t="n">
        <v>1</v>
      </c>
      <c r="G232" s="11" t="n">
        <v>1</v>
      </c>
      <c r="H232" s="8" t="n">
        <v>35.44</v>
      </c>
      <c r="I232" s="8">
        <f>G232*H232</f>
        <v/>
      </c>
      <c r="J232" s="8">
        <f>H232/E232</f>
        <v/>
      </c>
      <c r="K232" s="8" t="n">
        <v>33.8</v>
      </c>
      <c r="L232" s="8" t="n">
        <v>31.95</v>
      </c>
      <c r="M232" s="12">
        <f>J232/K232-1</f>
        <v/>
      </c>
      <c r="N232" s="7" t="inlineStr">
        <is>
          <t>ACIMA +4.9%</t>
        </is>
      </c>
      <c r="O232" s="7" t="inlineStr"/>
    </row>
    <row r="233">
      <c r="A233" s="7" t="n">
        <v>346381</v>
      </c>
      <c r="B233" s="7" t="inlineStr">
        <is>
          <t>4558</t>
        </is>
      </c>
      <c r="C233" s="10" t="inlineStr">
        <is>
          <t>7895296445085</t>
        </is>
      </c>
      <c r="D233" s="7" t="inlineStr">
        <is>
          <t>MEFLAGIN 400MG 2BL X 10 COMP REV</t>
        </is>
      </c>
      <c r="E233" s="11" t="n">
        <v>1</v>
      </c>
      <c r="F233" s="11" t="n">
        <v>1</v>
      </c>
      <c r="G233" s="11" t="n">
        <v>1</v>
      </c>
      <c r="H233" s="8" t="n">
        <v>7.35</v>
      </c>
      <c r="I233" s="8">
        <f>G233*H233</f>
        <v/>
      </c>
      <c r="J233" s="8">
        <f>H233/E233</f>
        <v/>
      </c>
      <c r="K233" s="8" t="n">
        <v>7.08</v>
      </c>
      <c r="L233" s="8" t="n">
        <v>7.08</v>
      </c>
      <c r="M233" s="12">
        <f>J233/K233-1</f>
        <v/>
      </c>
      <c r="N233" s="7" t="inlineStr">
        <is>
          <t>ACIMA +3.8%</t>
        </is>
      </c>
      <c r="O233" s="7" t="inlineStr"/>
    </row>
    <row r="234">
      <c r="A234" s="7" t="n">
        <v>602931</v>
      </c>
      <c r="B234" s="7" t="inlineStr">
        <is>
          <t>819</t>
        </is>
      </c>
      <c r="C234" s="10" t="inlineStr">
        <is>
          <t>7896148500136</t>
        </is>
      </c>
      <c r="D234" s="7" t="inlineStr">
        <is>
          <t>MEL CP EXTRATO PROPOLIS 35ML (FIT)</t>
        </is>
      </c>
      <c r="E234" s="11" t="n">
        <v>1</v>
      </c>
      <c r="F234" s="11" t="n">
        <v>3</v>
      </c>
      <c r="G234" s="11" t="n">
        <v>3</v>
      </c>
      <c r="H234" s="8" t="n">
        <v>12.76</v>
      </c>
      <c r="I234" s="8">
        <f>G234*H234</f>
        <v/>
      </c>
      <c r="J234" s="8">
        <f>H234/E234</f>
        <v/>
      </c>
      <c r="K234" s="8" t="n">
        <v>11.47</v>
      </c>
      <c r="L234" s="8" t="n">
        <v>11.47</v>
      </c>
      <c r="M234" s="12">
        <f>J234/K234-1</f>
        <v/>
      </c>
      <c r="N234" s="7" t="inlineStr">
        <is>
          <t>ACIMA +11.2%</t>
        </is>
      </c>
      <c r="O234" s="7" t="inlineStr"/>
    </row>
    <row r="235">
      <c r="A235" s="7" t="n">
        <v>665751</v>
      </c>
      <c r="B235" s="7" t="inlineStr">
        <is>
          <t>8926</t>
        </is>
      </c>
      <c r="C235" s="10" t="inlineStr">
        <is>
          <t>7896148500600</t>
        </is>
      </c>
      <c r="D235" s="7" t="inlineStr">
        <is>
          <t>MEL DE ABELHA 200G BISNAGA FITOBEL</t>
        </is>
      </c>
      <c r="E235" s="11" t="n">
        <v>1</v>
      </c>
      <c r="F235" s="11" t="n">
        <v>2</v>
      </c>
      <c r="G235" s="11" t="n">
        <v>2</v>
      </c>
      <c r="H235" s="8" t="n">
        <v>10.61</v>
      </c>
      <c r="I235" s="8">
        <f>G235*H235</f>
        <v/>
      </c>
      <c r="J235" s="8">
        <f>H235/E235</f>
        <v/>
      </c>
      <c r="K235" s="8" t="n">
        <v>10.54</v>
      </c>
      <c r="L235" s="8" t="n">
        <v>9.43</v>
      </c>
      <c r="M235" s="12">
        <f>J235/K235-1</f>
        <v/>
      </c>
      <c r="N235" s="7" t="inlineStr">
        <is>
          <t>ACIMA +0.7%</t>
        </is>
      </c>
      <c r="O235" s="7" t="inlineStr"/>
    </row>
    <row r="236">
      <c r="A236" s="7" t="n">
        <v>569961</v>
      </c>
      <c r="B236" s="7" t="inlineStr">
        <is>
          <t>1775</t>
        </is>
      </c>
      <c r="C236" s="10" t="inlineStr">
        <is>
          <t>7896148500709</t>
        </is>
      </c>
      <c r="D236" s="7" t="inlineStr">
        <is>
          <t>MEL DE ABELHA 70G</t>
        </is>
      </c>
      <c r="E236" s="11" t="n">
        <v>1</v>
      </c>
      <c r="F236" s="11" t="n">
        <v>1</v>
      </c>
      <c r="G236" s="11" t="n">
        <v>1</v>
      </c>
      <c r="H236" s="8" t="n">
        <v>7.52</v>
      </c>
      <c r="I236" s="8">
        <f>G236*H236</f>
        <v/>
      </c>
      <c r="J236" s="8">
        <f>H236/E236</f>
        <v/>
      </c>
      <c r="K236" s="8" t="n">
        <v>6.75</v>
      </c>
      <c r="L236" s="8" t="n">
        <v>6.75</v>
      </c>
      <c r="M236" s="12">
        <f>J236/K236-1</f>
        <v/>
      </c>
      <c r="N236" s="7" t="inlineStr">
        <is>
          <t>ACIMA +11.4%</t>
        </is>
      </c>
      <c r="O236" s="7" t="inlineStr"/>
    </row>
    <row r="237">
      <c r="A237" s="7" t="n">
        <v>673191</v>
      </c>
      <c r="B237" s="7" t="inlineStr">
        <is>
          <t>3388</t>
        </is>
      </c>
      <c r="C237" s="10" t="inlineStr">
        <is>
          <t>7896023752513</t>
        </is>
      </c>
      <c r="D237" s="7" t="inlineStr">
        <is>
          <t>MELAGRIAO SPRAY - MENTA - 30ML-DEMAIS PROD</t>
        </is>
      </c>
      <c r="E237" s="11" t="n">
        <v>1</v>
      </c>
      <c r="F237" s="11" t="n">
        <v>3</v>
      </c>
      <c r="G237" s="11" t="n">
        <v>3</v>
      </c>
      <c r="H237" s="8" t="n">
        <v>14.78</v>
      </c>
      <c r="I237" s="8">
        <f>G237*H237</f>
        <v/>
      </c>
      <c r="J237" s="8">
        <f>H237/E237</f>
        <v/>
      </c>
      <c r="K237" s="8" t="n">
        <v>16.5517</v>
      </c>
      <c r="L237" s="8" t="n">
        <v>13.14</v>
      </c>
      <c r="M237" s="12">
        <f>J237/K237-1</f>
        <v/>
      </c>
      <c r="N237" s="7" t="inlineStr">
        <is>
          <t>OK (≤ últ. compra)</t>
        </is>
      </c>
      <c r="O237" s="7" t="inlineStr"/>
    </row>
    <row r="238">
      <c r="A238" s="7" t="n">
        <v>3223</v>
      </c>
      <c r="B238" s="7" t="inlineStr">
        <is>
          <t>4729</t>
        </is>
      </c>
      <c r="C238" s="10" t="inlineStr">
        <is>
          <t>7896023708626</t>
        </is>
      </c>
      <c r="D238" s="7" t="inlineStr">
        <is>
          <t>MELAGRIAO SPRAY 30ML EXTRA FORTE</t>
        </is>
      </c>
      <c r="E238" s="11" t="n">
        <v>1</v>
      </c>
      <c r="F238" s="11" t="n">
        <v>2</v>
      </c>
      <c r="G238" s="11" t="n">
        <v>2</v>
      </c>
      <c r="H238" s="8" t="n">
        <v>13.22</v>
      </c>
      <c r="I238" s="8">
        <f>G238*H238</f>
        <v/>
      </c>
      <c r="J238" s="8">
        <f>H238/E238</f>
        <v/>
      </c>
      <c r="K238" s="8" t="n">
        <v>21.72</v>
      </c>
      <c r="L238" s="8" t="n">
        <v>18.02</v>
      </c>
      <c r="M238" s="12">
        <f>J238/K238-1</f>
        <v/>
      </c>
      <c r="N238" s="7" t="inlineStr">
        <is>
          <t>OK (≤ menor hist.)</t>
        </is>
      </c>
      <c r="O238" s="7" t="inlineStr"/>
    </row>
    <row r="239">
      <c r="A239" s="7" t="n">
        <v>548221</v>
      </c>
      <c r="B239" s="7" t="inlineStr">
        <is>
          <t>625</t>
        </is>
      </c>
      <c r="C239" s="10" t="inlineStr">
        <is>
          <t>7896023719899</t>
        </is>
      </c>
      <c r="D239" s="7" t="inlineStr">
        <is>
          <t>MELAGRIÃO EXPECTORANTE CATARINENSE 150ML</t>
        </is>
      </c>
      <c r="E239" s="11" t="n">
        <v>1</v>
      </c>
      <c r="F239" s="11" t="n">
        <v>3</v>
      </c>
      <c r="G239" s="11" t="n">
        <v>3</v>
      </c>
      <c r="H239" s="8" t="n">
        <v>15.82</v>
      </c>
      <c r="I239" s="8">
        <f>G239*H239</f>
        <v/>
      </c>
      <c r="J239" s="8">
        <f>H239/E239</f>
        <v/>
      </c>
      <c r="K239" s="8" t="n">
        <v>35.31</v>
      </c>
      <c r="L239" s="8" t="n">
        <v>14.77</v>
      </c>
      <c r="M239" s="12">
        <f>J239/K239-1</f>
        <v/>
      </c>
      <c r="N239" s="7" t="inlineStr">
        <is>
          <t>OK (≤ últ. compra)</t>
        </is>
      </c>
      <c r="O239" s="7" t="inlineStr">
        <is>
          <t>conferir emb.</t>
        </is>
      </c>
    </row>
    <row r="240">
      <c r="A240" s="7" t="n">
        <v>3573</v>
      </c>
      <c r="B240" s="7" t="inlineStr">
        <is>
          <t>6951</t>
        </is>
      </c>
      <c r="C240" s="10" t="inlineStr">
        <is>
          <t>7894164008551</t>
        </is>
      </c>
      <c r="D240" s="7" t="inlineStr">
        <is>
          <t>MELATONINA 210MCG 20ML GTS</t>
        </is>
      </c>
      <c r="E240" s="11" t="n">
        <v>1</v>
      </c>
      <c r="F240" s="11" t="n">
        <v>6</v>
      </c>
      <c r="G240" s="11" t="n">
        <v>6</v>
      </c>
      <c r="H240" s="8" t="n">
        <v>10.65</v>
      </c>
      <c r="I240" s="8">
        <f>G240*H240</f>
        <v/>
      </c>
      <c r="J240" s="8">
        <f>H240/E240</f>
        <v/>
      </c>
      <c r="K240" s="8" t="n">
        <v>10.65</v>
      </c>
      <c r="L240" s="8" t="n">
        <v>8.57</v>
      </c>
      <c r="M240" s="12">
        <f>J240/K240-1</f>
        <v/>
      </c>
      <c r="N240" s="7" t="inlineStr">
        <is>
          <t>OK (≤ últ. compra)</t>
        </is>
      </c>
      <c r="O240" s="7" t="inlineStr"/>
    </row>
    <row r="241">
      <c r="A241" s="7" t="n">
        <v>639011</v>
      </c>
      <c r="B241" s="7" t="inlineStr">
        <is>
          <t>8820</t>
        </is>
      </c>
      <c r="C241" s="10" t="inlineStr">
        <is>
          <t>7894164011483</t>
        </is>
      </c>
      <c r="D241" s="7" t="inlineStr">
        <is>
          <t>METIOCURE 10MG 45ML SPRAY</t>
        </is>
      </c>
      <c r="E241" s="11" t="n">
        <v>1</v>
      </c>
      <c r="F241" s="11" t="n">
        <v>1</v>
      </c>
      <c r="G241" s="11" t="n">
        <v>1</v>
      </c>
      <c r="H241" s="8" t="n">
        <v>8.26</v>
      </c>
      <c r="I241" s="8">
        <f>G241*H241</f>
        <v/>
      </c>
      <c r="J241" s="8">
        <f>H241/E241</f>
        <v/>
      </c>
      <c r="K241" s="8" t="n">
        <v>8.26</v>
      </c>
      <c r="L241" s="8" t="n">
        <v>7.88</v>
      </c>
      <c r="M241" s="12">
        <f>J241/K241-1</f>
        <v/>
      </c>
      <c r="N241" s="7" t="inlineStr">
        <is>
          <t>OK (≤ últ. compra)</t>
        </is>
      </c>
      <c r="O241" s="7" t="inlineStr"/>
    </row>
    <row r="242">
      <c r="A242" s="7" t="n">
        <v>605891</v>
      </c>
      <c r="B242" s="7" t="inlineStr">
        <is>
          <t>201</t>
        </is>
      </c>
      <c r="C242" s="10" t="inlineStr">
        <is>
          <t>7897917004589</t>
        </is>
      </c>
      <c r="D242" s="7" t="inlineStr">
        <is>
          <t>MICOSBEL 50MG 30G POMADA</t>
        </is>
      </c>
      <c r="E242" s="11" t="n">
        <v>1</v>
      </c>
      <c r="F242" s="11" t="n">
        <v>3</v>
      </c>
      <c r="G242" s="11" t="n">
        <v>3</v>
      </c>
      <c r="H242" s="8" t="n">
        <v>10.3</v>
      </c>
      <c r="I242" s="8">
        <f>G242*H242</f>
        <v/>
      </c>
      <c r="J242" s="8">
        <f>H242/E242</f>
        <v/>
      </c>
      <c r="K242" s="8" t="n">
        <v>10.3</v>
      </c>
      <c r="L242" s="8" t="n">
        <v>10.3</v>
      </c>
      <c r="M242" s="12">
        <f>J242/K242-1</f>
        <v/>
      </c>
      <c r="N242" s="7" t="inlineStr">
        <is>
          <t>OK (≤ menor hist.)</t>
        </is>
      </c>
      <c r="O242" s="7" t="inlineStr"/>
    </row>
    <row r="243">
      <c r="A243" s="7" t="n">
        <v>621241</v>
      </c>
      <c r="B243" s="7" t="inlineStr">
        <is>
          <t>5739</t>
        </is>
      </c>
      <c r="C243" s="10" t="inlineStr">
        <is>
          <t>7896920304334</t>
        </is>
      </c>
      <c r="D243" s="7" t="inlineStr">
        <is>
          <t>MILMUNE CONCENTRADO 120ML</t>
        </is>
      </c>
      <c r="E243" s="11" t="n">
        <v>1</v>
      </c>
      <c r="F243" s="11" t="n">
        <v>4</v>
      </c>
      <c r="G243" s="11" t="n">
        <v>4</v>
      </c>
      <c r="H243" s="8" t="n">
        <v>26.484262</v>
      </c>
      <c r="I243" s="8">
        <f>G243*H243</f>
        <v/>
      </c>
      <c r="J243" s="8">
        <f>H243/E243</f>
        <v/>
      </c>
      <c r="K243" s="8" t="n">
        <v>21.33</v>
      </c>
      <c r="L243" s="8" t="n">
        <v>21.33</v>
      </c>
      <c r="M243" s="12">
        <f>J243/K243-1</f>
        <v/>
      </c>
      <c r="N243" s="7" t="inlineStr">
        <is>
          <t>ACIMA +24.2%</t>
        </is>
      </c>
      <c r="O243" s="7" t="inlineStr"/>
    </row>
    <row r="244">
      <c r="A244" s="7" t="n">
        <v>557961</v>
      </c>
      <c r="B244" s="7" t="inlineStr">
        <is>
          <t>5738</t>
        </is>
      </c>
      <c r="C244" s="10" t="inlineStr">
        <is>
          <t>7896920304037</t>
        </is>
      </c>
      <c r="D244" s="7" t="inlineStr">
        <is>
          <t>MILMUNE CONCENTRADO 30CP</t>
        </is>
      </c>
      <c r="E244" s="11" t="n">
        <v>1</v>
      </c>
      <c r="F244" s="11" t="n">
        <v>6</v>
      </c>
      <c r="G244" s="11" t="n">
        <v>6</v>
      </c>
      <c r="H244" s="8" t="n">
        <v>42.609678</v>
      </c>
      <c r="I244" s="8">
        <f>G244*H244</f>
        <v/>
      </c>
      <c r="J244" s="8">
        <f>H244/E244</f>
        <v/>
      </c>
      <c r="K244" s="8" t="n">
        <v>37.65</v>
      </c>
      <c r="L244" s="8" t="n">
        <v>34.22</v>
      </c>
      <c r="M244" s="12">
        <f>J244/K244-1</f>
        <v/>
      </c>
      <c r="N244" s="7" t="inlineStr">
        <is>
          <t>ACIMA +13.2%</t>
        </is>
      </c>
      <c r="O244" s="7" t="inlineStr"/>
    </row>
    <row r="245">
      <c r="A245" s="7" t="n">
        <v>531621</v>
      </c>
      <c r="B245" s="7" t="inlineStr">
        <is>
          <t>1584</t>
        </is>
      </c>
      <c r="C245" s="10" t="inlineStr">
        <is>
          <t>7896472501694</t>
        </is>
      </c>
      <c r="D245" s="7" t="inlineStr">
        <is>
          <t>MULTISORO INFANTIL 30ML</t>
        </is>
      </c>
      <c r="E245" s="11" t="n">
        <v>1</v>
      </c>
      <c r="F245" s="11" t="n">
        <v>3</v>
      </c>
      <c r="G245" s="11" t="n">
        <v>3</v>
      </c>
      <c r="H245" s="8" t="n">
        <v>2.9</v>
      </c>
      <c r="I245" s="8">
        <f>G245*H245</f>
        <v/>
      </c>
      <c r="J245" s="8">
        <f>H245/E245</f>
        <v/>
      </c>
      <c r="K245" s="8" t="n">
        <v>2.53</v>
      </c>
      <c r="L245" s="8" t="n">
        <v>2.53</v>
      </c>
      <c r="M245" s="12">
        <f>J245/K245-1</f>
        <v/>
      </c>
      <c r="N245" s="7" t="inlineStr">
        <is>
          <t>ACIMA +14.6%</t>
        </is>
      </c>
      <c r="O245" s="7" t="inlineStr"/>
    </row>
    <row r="246">
      <c r="A246" s="7" t="n">
        <v>651901</v>
      </c>
      <c r="B246" s="7" t="inlineStr">
        <is>
          <t>222</t>
        </is>
      </c>
      <c r="C246" s="10" t="inlineStr">
        <is>
          <t>7898108640050</t>
        </is>
      </c>
      <c r="D246" s="7" t="inlineStr">
        <is>
          <t>N COMPRESSA GAZES 11FIOS ESTER 5UND   SANF %DN:0.00</t>
        </is>
      </c>
      <c r="E246" s="11" t="n">
        <v>1</v>
      </c>
      <c r="F246" s="11" t="n">
        <v>1</v>
      </c>
      <c r="G246" s="11" t="n">
        <v>1</v>
      </c>
      <c r="H246" s="8" t="n">
        <v>1.03</v>
      </c>
      <c r="I246" s="8">
        <f>G246*H246</f>
        <v/>
      </c>
      <c r="J246" s="8">
        <f>H246/E246</f>
        <v/>
      </c>
      <c r="K246" s="8" t="n">
        <v>0.92</v>
      </c>
      <c r="L246" s="8" t="n">
        <v>0.92</v>
      </c>
      <c r="M246" s="12">
        <f>J246/K246-1</f>
        <v/>
      </c>
      <c r="N246" s="7" t="inlineStr">
        <is>
          <t>ACIMA +12.0%</t>
        </is>
      </c>
      <c r="O246" s="7" t="inlineStr"/>
    </row>
    <row r="247">
      <c r="A247" s="7" t="n">
        <v>556401</v>
      </c>
      <c r="B247" s="7" t="inlineStr">
        <is>
          <t>4046</t>
        </is>
      </c>
      <c r="C247" s="10" t="inlineStr">
        <is>
          <t>7896677704890</t>
        </is>
      </c>
      <c r="D247" s="7" t="inlineStr">
        <is>
          <t>NERVOCALM 250MG CX 20 COMP</t>
        </is>
      </c>
      <c r="E247" s="11" t="n">
        <v>1</v>
      </c>
      <c r="F247" s="11" t="n">
        <v>5</v>
      </c>
      <c r="G247" s="11" t="n">
        <v>5</v>
      </c>
      <c r="H247" s="8" t="n">
        <v>30.46</v>
      </c>
      <c r="I247" s="8">
        <f>G247*H247</f>
        <v/>
      </c>
      <c r="J247" s="8">
        <f>H247/E247</f>
        <v/>
      </c>
      <c r="K247" s="8" t="n">
        <v>31.33</v>
      </c>
      <c r="L247" s="8" t="n">
        <v>22.32</v>
      </c>
      <c r="M247" s="12">
        <f>J247/K247-1</f>
        <v/>
      </c>
      <c r="N247" s="7" t="inlineStr">
        <is>
          <t>OK (≤ últ. compra)</t>
        </is>
      </c>
      <c r="O247" s="7" t="inlineStr"/>
    </row>
    <row r="248">
      <c r="A248" s="7" t="n">
        <v>485261</v>
      </c>
      <c r="B248" s="7" t="inlineStr">
        <is>
          <t>3819</t>
        </is>
      </c>
      <c r="C248" s="10" t="inlineStr">
        <is>
          <t>7899620915039</t>
        </is>
      </c>
      <c r="D248" s="7" t="inlineStr">
        <is>
          <t>NIMESULIDA 100MG CX 12 COMP</t>
        </is>
      </c>
      <c r="E248" s="11" t="n">
        <v>1</v>
      </c>
      <c r="F248" s="11" t="n">
        <v>11</v>
      </c>
      <c r="G248" s="11" t="n">
        <v>11</v>
      </c>
      <c r="H248" s="8" t="n">
        <v>1.37</v>
      </c>
      <c r="I248" s="8">
        <f>G248*H248</f>
        <v/>
      </c>
      <c r="J248" s="8">
        <f>H248/E248</f>
        <v/>
      </c>
      <c r="K248" s="8" t="n">
        <v>1.1</v>
      </c>
      <c r="L248" s="8" t="n">
        <v>1.1</v>
      </c>
      <c r="M248" s="12">
        <f>J248/K248-1</f>
        <v/>
      </c>
      <c r="N248" s="7" t="inlineStr">
        <is>
          <t>ACIMA +24.5%</t>
        </is>
      </c>
      <c r="O248" s="7" t="inlineStr"/>
    </row>
    <row r="249">
      <c r="A249" s="7" t="n">
        <v>613381</v>
      </c>
      <c r="B249" s="7" t="inlineStr">
        <is>
          <t>8166</t>
        </is>
      </c>
      <c r="C249" s="10" t="inlineStr">
        <is>
          <t>7898687730487</t>
        </is>
      </c>
      <c r="D249" s="7" t="inlineStr">
        <is>
          <t>NITAZOXANIDA 20MG/ML PO SUS OR FR 100ML+SER DOS</t>
        </is>
      </c>
      <c r="E249" s="11" t="n">
        <v>1</v>
      </c>
      <c r="F249" s="11" t="n">
        <v>7</v>
      </c>
      <c r="G249" s="11" t="n">
        <v>7</v>
      </c>
      <c r="H249" s="8" t="n">
        <v>15.42</v>
      </c>
      <c r="I249" s="8">
        <f>G249*H249</f>
        <v/>
      </c>
      <c r="J249" s="8">
        <f>H249/E249</f>
        <v/>
      </c>
      <c r="K249" s="8" t="n">
        <v>12.23</v>
      </c>
      <c r="L249" s="8" t="n">
        <v>12.23</v>
      </c>
      <c r="M249" s="12">
        <f>J249/K249-1</f>
        <v/>
      </c>
      <c r="N249" s="7" t="inlineStr">
        <is>
          <t>ACIMA +26.1%</t>
        </is>
      </c>
      <c r="O249" s="7" t="inlineStr"/>
    </row>
    <row r="250">
      <c r="A250" s="7" t="n">
        <v>610201</v>
      </c>
      <c r="B250" s="7" t="inlineStr">
        <is>
          <t>8165</t>
        </is>
      </c>
      <c r="C250" s="10" t="inlineStr">
        <is>
          <t>7898687730470</t>
        </is>
      </c>
      <c r="D250" s="7" t="inlineStr">
        <is>
          <t>NITAZOXANIDA 20MG/ML PO SUS OR FR 45ML+SER DOS</t>
        </is>
      </c>
      <c r="E250" s="11" t="n">
        <v>1</v>
      </c>
      <c r="F250" s="11" t="n">
        <v>11</v>
      </c>
      <c r="G250" s="11" t="n">
        <v>11</v>
      </c>
      <c r="H250" s="8" t="n">
        <v>7.82</v>
      </c>
      <c r="I250" s="8">
        <f>G250*H250</f>
        <v/>
      </c>
      <c r="J250" s="8">
        <f>H250/E250</f>
        <v/>
      </c>
      <c r="K250" s="8" t="n">
        <v>6.62</v>
      </c>
      <c r="L250" s="8" t="n">
        <v>6.62</v>
      </c>
      <c r="M250" s="12">
        <f>J250/K250-1</f>
        <v/>
      </c>
      <c r="N250" s="7" t="inlineStr">
        <is>
          <t>ACIMA +18.1%</t>
        </is>
      </c>
      <c r="O250" s="7" t="inlineStr"/>
    </row>
    <row r="251">
      <c r="A251" s="7" t="n">
        <v>363861</v>
      </c>
      <c r="B251" s="7" t="inlineStr">
        <is>
          <t>3309</t>
        </is>
      </c>
      <c r="C251" s="10" t="inlineStr">
        <is>
          <t>7898569764517</t>
        </is>
      </c>
      <c r="D251" s="7" t="inlineStr">
        <is>
          <t>NITAZOXANIDA 500MG CX 6 COMP REV</t>
        </is>
      </c>
      <c r="E251" s="11" t="n">
        <v>1</v>
      </c>
      <c r="F251" s="11" t="n">
        <v>5</v>
      </c>
      <c r="G251" s="11" t="n">
        <v>5</v>
      </c>
      <c r="H251" s="8" t="n">
        <v>14.89</v>
      </c>
      <c r="I251" s="8">
        <f>G251*H251</f>
        <v/>
      </c>
      <c r="J251" s="8">
        <f>H251/E251</f>
        <v/>
      </c>
      <c r="K251" s="8" t="n">
        <v>12.98</v>
      </c>
      <c r="L251" s="8" t="n">
        <v>12.98</v>
      </c>
      <c r="M251" s="12">
        <f>J251/K251-1</f>
        <v/>
      </c>
      <c r="N251" s="7" t="inlineStr">
        <is>
          <t>ACIMA +14.7%</t>
        </is>
      </c>
      <c r="O251" s="7" t="inlineStr"/>
    </row>
    <row r="252">
      <c r="A252" s="7" t="n">
        <v>3503</v>
      </c>
      <c r="B252" s="7" t="inlineStr">
        <is>
          <t>2629</t>
        </is>
      </c>
      <c r="C252" s="10" t="inlineStr">
        <is>
          <t>7897344300933</t>
        </is>
      </c>
      <c r="D252" s="7" t="inlineStr">
        <is>
          <t>OLEO DE ANDIROBA 30ML</t>
        </is>
      </c>
      <c r="E252" s="11" t="n">
        <v>1</v>
      </c>
      <c r="F252" s="11" t="n">
        <v>2</v>
      </c>
      <c r="G252" s="11" t="n">
        <v>2</v>
      </c>
      <c r="H252" s="8" t="n">
        <v>7.59</v>
      </c>
      <c r="I252" s="8">
        <f>G252*H252</f>
        <v/>
      </c>
      <c r="J252" s="8">
        <f>H252/E252</f>
        <v/>
      </c>
      <c r="K252" s="8" t="n">
        <v>7.59</v>
      </c>
      <c r="L252" s="8" t="n">
        <v>7.59</v>
      </c>
      <c r="M252" s="12">
        <f>J252/K252-1</f>
        <v/>
      </c>
      <c r="N252" s="7" t="inlineStr">
        <is>
          <t>OK (≤ menor hist.)</t>
        </is>
      </c>
      <c r="O252" s="7" t="inlineStr"/>
    </row>
    <row r="253">
      <c r="A253" s="7" t="n">
        <v>565841</v>
      </c>
      <c r="B253" s="7" t="inlineStr">
        <is>
          <t>3</t>
        </is>
      </c>
      <c r="C253" s="10" t="inlineStr">
        <is>
          <t>7898031313335</t>
        </is>
      </c>
      <c r="D253" s="7" t="inlineStr">
        <is>
          <t>OLEO DE COPAIBA 30ML</t>
        </is>
      </c>
      <c r="E253" s="11" t="n">
        <v>1</v>
      </c>
      <c r="F253" s="11" t="n">
        <v>3</v>
      </c>
      <c r="G253" s="11" t="n">
        <v>3</v>
      </c>
      <c r="H253" s="8" t="n">
        <v>7.16</v>
      </c>
      <c r="I253" s="8">
        <f>G253*H253</f>
        <v/>
      </c>
      <c r="J253" s="8">
        <f>H253/E253</f>
        <v/>
      </c>
      <c r="K253" s="8" t="n">
        <v>7.16</v>
      </c>
      <c r="L253" s="8" t="n">
        <v>7.16</v>
      </c>
      <c r="M253" s="12">
        <f>J253/K253-1</f>
        <v/>
      </c>
      <c r="N253" s="7" t="inlineStr">
        <is>
          <t>OK (≤ menor hist.)</t>
        </is>
      </c>
      <c r="O253" s="7" t="inlineStr"/>
    </row>
    <row r="254">
      <c r="A254" s="7" t="n">
        <v>4983</v>
      </c>
      <c r="B254" s="7" t="inlineStr">
        <is>
          <t>9599</t>
        </is>
      </c>
      <c r="C254" s="10" t="inlineStr">
        <is>
          <t>7896544927704</t>
        </is>
      </c>
      <c r="D254" s="7" t="inlineStr">
        <is>
          <t>OLEO DE GIRASSOL DERMA PROTECT 100ML</t>
        </is>
      </c>
      <c r="E254" s="11" t="n">
        <v>1</v>
      </c>
      <c r="F254" s="11" t="n">
        <v>12</v>
      </c>
      <c r="G254" s="11" t="n">
        <v>12</v>
      </c>
      <c r="H254" s="8" t="n">
        <v>3.6</v>
      </c>
      <c r="I254" s="8">
        <f>G254*H254</f>
        <v/>
      </c>
      <c r="J254" s="8">
        <f>H254/E254</f>
        <v/>
      </c>
      <c r="K254" s="8" t="n">
        <v>3.61</v>
      </c>
      <c r="L254" s="8" t="n">
        <v>3.61</v>
      </c>
      <c r="M254" s="12">
        <f>J254/K254-1</f>
        <v/>
      </c>
      <c r="N254" s="7" t="inlineStr">
        <is>
          <t>OK (≤ menor hist.)</t>
        </is>
      </c>
      <c r="O254" s="7" t="inlineStr"/>
    </row>
    <row r="255">
      <c r="A255" s="7" t="n">
        <v>5053</v>
      </c>
      <c r="B255" s="7" t="inlineStr">
        <is>
          <t>9598</t>
        </is>
      </c>
      <c r="C255" s="10" t="inlineStr">
        <is>
          <t>7896544927698</t>
        </is>
      </c>
      <c r="D255" s="7" t="inlineStr">
        <is>
          <t>OLEO DE GIRASSOL DERMA PROTECT 200ML</t>
        </is>
      </c>
      <c r="E255" s="11" t="n">
        <v>1</v>
      </c>
      <c r="F255" s="11" t="n">
        <v>7</v>
      </c>
      <c r="G255" s="11" t="n">
        <v>7</v>
      </c>
      <c r="H255" s="8" t="n">
        <v>5.79</v>
      </c>
      <c r="I255" s="8">
        <f>G255*H255</f>
        <v/>
      </c>
      <c r="J255" s="8">
        <f>H255/E255</f>
        <v/>
      </c>
      <c r="K255" s="8" t="n">
        <v>5.45</v>
      </c>
      <c r="L255" s="8" t="n">
        <v>5.45</v>
      </c>
      <c r="M255" s="12">
        <f>J255/K255-1</f>
        <v/>
      </c>
      <c r="N255" s="7" t="inlineStr">
        <is>
          <t>ACIMA +6.2%</t>
        </is>
      </c>
      <c r="O255" s="7" t="inlineStr"/>
    </row>
    <row r="256">
      <c r="A256" s="7" t="n">
        <v>605901</v>
      </c>
      <c r="B256" s="7" t="inlineStr">
        <is>
          <t>7508</t>
        </is>
      </c>
      <c r="C256" s="10" t="inlineStr">
        <is>
          <t>7898719040157</t>
        </is>
      </c>
      <c r="D256" s="7" t="inlineStr">
        <is>
          <t>OLEO DE GIRASSOL DERSIN 100ML</t>
        </is>
      </c>
      <c r="E256" s="11" t="n">
        <v>1</v>
      </c>
      <c r="F256" s="11" t="n">
        <v>22</v>
      </c>
      <c r="G256" s="11" t="n">
        <v>22</v>
      </c>
      <c r="H256" s="8" t="n">
        <v>5.3</v>
      </c>
      <c r="I256" s="8">
        <f>G256*H256</f>
        <v/>
      </c>
      <c r="J256" s="8">
        <f>H256/E256</f>
        <v/>
      </c>
      <c r="K256" s="8" t="n">
        <v>5.22</v>
      </c>
      <c r="L256" s="8" t="n">
        <v>5.22</v>
      </c>
      <c r="M256" s="12">
        <f>J256/K256-1</f>
        <v/>
      </c>
      <c r="N256" s="7" t="inlineStr">
        <is>
          <t>ACIMA +1.5%</t>
        </is>
      </c>
      <c r="O256" s="7" t="inlineStr"/>
    </row>
    <row r="257">
      <c r="A257" s="7" t="n">
        <v>613861</v>
      </c>
      <c r="B257" s="7" t="inlineStr">
        <is>
          <t>7541</t>
        </is>
      </c>
      <c r="C257" s="10" t="inlineStr">
        <is>
          <t>7898719040164</t>
        </is>
      </c>
      <c r="D257" s="7" t="inlineStr">
        <is>
          <t>OLEO DE GIRASSOL DERSIN 200ML</t>
        </is>
      </c>
      <c r="E257" s="11" t="n">
        <v>1</v>
      </c>
      <c r="F257" s="11" t="n">
        <v>4</v>
      </c>
      <c r="G257" s="11" t="n">
        <v>4</v>
      </c>
      <c r="H257" s="8" t="n">
        <v>8.67</v>
      </c>
      <c r="I257" s="8">
        <f>G257*H257</f>
        <v/>
      </c>
      <c r="J257" s="8">
        <f>H257/E257</f>
        <v/>
      </c>
      <c r="K257" s="8" t="n">
        <v>8.67</v>
      </c>
      <c r="L257" s="8" t="n">
        <v>8.67</v>
      </c>
      <c r="M257" s="12">
        <f>J257/K257-1</f>
        <v/>
      </c>
      <c r="N257" s="7" t="inlineStr">
        <is>
          <t>OK (≤ menor hist.)</t>
        </is>
      </c>
      <c r="O257" s="7" t="inlineStr"/>
    </row>
    <row r="258">
      <c r="A258" s="7" t="n">
        <v>37703</v>
      </c>
      <c r="B258" s="7" t="inlineStr">
        <is>
          <t>2959</t>
        </is>
      </c>
      <c r="C258" s="10" t="inlineStr">
        <is>
          <t>7898582292639</t>
        </is>
      </c>
      <c r="D258" s="7" t="inlineStr">
        <is>
          <t>OLEO DE GIRASSOL DERSOL 100ML</t>
        </is>
      </c>
      <c r="E258" s="11" t="n">
        <v>1</v>
      </c>
      <c r="F258" s="11" t="n">
        <v>9</v>
      </c>
      <c r="G258" s="11" t="n">
        <v>9</v>
      </c>
      <c r="H258" s="8" t="n">
        <v>6.89</v>
      </c>
      <c r="I258" s="8">
        <f>G258*H258</f>
        <v/>
      </c>
      <c r="J258" s="8">
        <f>H258/E258</f>
        <v/>
      </c>
      <c r="K258" s="8" t="n">
        <v>5.66</v>
      </c>
      <c r="L258" s="8" t="n">
        <v>5.66</v>
      </c>
      <c r="M258" s="12">
        <f>J258/K258-1</f>
        <v/>
      </c>
      <c r="N258" s="7" t="inlineStr">
        <is>
          <t>ACIMA +21.7%</t>
        </is>
      </c>
      <c r="O258" s="7" t="inlineStr"/>
    </row>
    <row r="259">
      <c r="A259" s="7" t="n">
        <v>375941</v>
      </c>
      <c r="B259" s="7" t="inlineStr">
        <is>
          <t>5994</t>
        </is>
      </c>
      <c r="C259" s="10" t="inlineStr">
        <is>
          <t>7898569763015</t>
        </is>
      </c>
      <c r="D259" s="7" t="inlineStr">
        <is>
          <t>OLMESARTANA MEDOXOMILA 20MG CX 30 COMP REV</t>
        </is>
      </c>
      <c r="E259" s="11" t="n">
        <v>1</v>
      </c>
      <c r="F259" s="11" t="n">
        <v>3</v>
      </c>
      <c r="G259" s="11" t="n">
        <v>3</v>
      </c>
      <c r="H259" s="8" t="n">
        <v>14.45</v>
      </c>
      <c r="I259" s="8">
        <f>G259*H259</f>
        <v/>
      </c>
      <c r="J259" s="8">
        <f>H259/E259</f>
        <v/>
      </c>
      <c r="K259" s="8" t="n">
        <v>11.77</v>
      </c>
      <c r="L259" s="8" t="n">
        <v>9.99</v>
      </c>
      <c r="M259" s="12">
        <f>J259/K259-1</f>
        <v/>
      </c>
      <c r="N259" s="7" t="inlineStr">
        <is>
          <t>ACIMA +22.8%</t>
        </is>
      </c>
      <c r="O259" s="7" t="inlineStr"/>
    </row>
    <row r="260">
      <c r="A260" s="7" t="n">
        <v>376061</v>
      </c>
      <c r="B260" s="7" t="inlineStr">
        <is>
          <t>6036</t>
        </is>
      </c>
      <c r="C260" s="10" t="inlineStr">
        <is>
          <t>7898569763077</t>
        </is>
      </c>
      <c r="D260" s="7" t="inlineStr">
        <is>
          <t>OLMESARTANA MEDOXOMILA 40MG CX 30 COMP REV</t>
        </is>
      </c>
      <c r="E260" s="11" t="n">
        <v>1</v>
      </c>
      <c r="F260" s="11" t="n">
        <v>13</v>
      </c>
      <c r="G260" s="11" t="n">
        <v>13</v>
      </c>
      <c r="H260" s="8" t="n">
        <v>21.08</v>
      </c>
      <c r="I260" s="8">
        <f>G260*H260</f>
        <v/>
      </c>
      <c r="J260" s="8">
        <f>H260/E260</f>
        <v/>
      </c>
      <c r="K260" s="8" t="n">
        <v>17.13</v>
      </c>
      <c r="L260" s="8" t="n">
        <v>14.57</v>
      </c>
      <c r="M260" s="12">
        <f>J260/K260-1</f>
        <v/>
      </c>
      <c r="N260" s="7" t="inlineStr">
        <is>
          <t>ACIMA +23.1%</t>
        </is>
      </c>
      <c r="O260" s="7" t="inlineStr"/>
    </row>
    <row r="261">
      <c r="A261" s="7" t="n">
        <v>627711</v>
      </c>
      <c r="B261" s="7" t="inlineStr">
        <is>
          <t>3381</t>
        </is>
      </c>
      <c r="C261" s="10" t="inlineStr">
        <is>
          <t>7896023799983</t>
        </is>
      </c>
      <c r="D261" s="7" t="inlineStr">
        <is>
          <t>OMEGA 3 1000MG 60CAP</t>
        </is>
      </c>
      <c r="E261" s="11" t="n">
        <v>1</v>
      </c>
      <c r="F261" s="11" t="n">
        <v>13</v>
      </c>
      <c r="G261" s="11" t="n">
        <v>13</v>
      </c>
      <c r="H261" s="8" t="n">
        <v>37.44</v>
      </c>
      <c r="I261" s="8">
        <f>G261*H261</f>
        <v/>
      </c>
      <c r="J261" s="8">
        <f>H261/E261</f>
        <v/>
      </c>
      <c r="K261" s="8" t="n">
        <v>32.02</v>
      </c>
      <c r="L261" s="8" t="n">
        <v>27.45</v>
      </c>
      <c r="M261" s="12">
        <f>J261/K261-1</f>
        <v/>
      </c>
      <c r="N261" s="7" t="inlineStr">
        <is>
          <t>ACIMA +16.9%</t>
        </is>
      </c>
      <c r="O261" s="7" t="inlineStr"/>
    </row>
    <row r="262">
      <c r="A262" s="7" t="n">
        <v>653701</v>
      </c>
      <c r="B262" s="7" t="inlineStr">
        <is>
          <t>5186</t>
        </is>
      </c>
      <c r="C262" s="10" t="inlineStr">
        <is>
          <t>7898639690999</t>
        </is>
      </c>
      <c r="D262" s="7" t="inlineStr">
        <is>
          <t>OXIMETRO DE DEDO LED OXILED1</t>
        </is>
      </c>
      <c r="E262" s="11" t="n">
        <v>1</v>
      </c>
      <c r="F262" s="11" t="n">
        <v>1</v>
      </c>
      <c r="G262" s="11" t="n">
        <v>1</v>
      </c>
      <c r="H262" s="8" t="n">
        <v>78.61</v>
      </c>
      <c r="I262" s="8">
        <f>G262*H262</f>
        <v/>
      </c>
      <c r="J262" s="8">
        <f>H262/E262</f>
        <v/>
      </c>
      <c r="K262" s="8" t="n">
        <v>72.55</v>
      </c>
      <c r="L262" s="8" t="n">
        <v>71.25</v>
      </c>
      <c r="M262" s="12">
        <f>J262/K262-1</f>
        <v/>
      </c>
      <c r="N262" s="7" t="inlineStr">
        <is>
          <t>ACIMA +8.4%</t>
        </is>
      </c>
      <c r="O262" s="7" t="inlineStr"/>
    </row>
    <row r="263">
      <c r="A263" s="7" t="n">
        <v>531661</v>
      </c>
      <c r="B263" s="7" t="inlineStr">
        <is>
          <t>153</t>
        </is>
      </c>
      <c r="C263" s="10" t="inlineStr">
        <is>
          <t>7898031310709</t>
        </is>
      </c>
      <c r="D263" s="7" t="inlineStr">
        <is>
          <t>PASTA D AGUA 100G</t>
        </is>
      </c>
      <c r="E263" s="11" t="n">
        <v>1</v>
      </c>
      <c r="F263" s="11" t="n">
        <v>12</v>
      </c>
      <c r="G263" s="11" t="n">
        <v>12</v>
      </c>
      <c r="H263" s="8" t="n">
        <v>6.28</v>
      </c>
      <c r="I263" s="8">
        <f>G263*H263</f>
        <v/>
      </c>
      <c r="J263" s="8">
        <f>H263/E263</f>
        <v/>
      </c>
      <c r="K263" s="8" t="n">
        <v>6.28</v>
      </c>
      <c r="L263" s="8" t="n">
        <v>6.13</v>
      </c>
      <c r="M263" s="12">
        <f>J263/K263-1</f>
        <v/>
      </c>
      <c r="N263" s="7" t="inlineStr">
        <is>
          <t>OK (≤ últ. compra)</t>
        </is>
      </c>
      <c r="O263" s="7" t="inlineStr"/>
    </row>
    <row r="264">
      <c r="A264" s="7" t="n">
        <v>4063</v>
      </c>
      <c r="B264" s="7" t="inlineStr">
        <is>
          <t>7284</t>
        </is>
      </c>
      <c r="C264" s="10" t="inlineStr">
        <is>
          <t>7898031311102</t>
        </is>
      </c>
      <c r="D264" s="7" t="inlineStr">
        <is>
          <t>PASTA DAGUA SIMPLES 90G BISNAGA</t>
        </is>
      </c>
      <c r="E264" s="11" t="n">
        <v>1</v>
      </c>
      <c r="F264" s="11" t="n">
        <v>3</v>
      </c>
      <c r="G264" s="11" t="n">
        <v>3</v>
      </c>
      <c r="H264" s="8" t="n">
        <v>7.74</v>
      </c>
      <c r="I264" s="8">
        <f>G264*H264</f>
        <v/>
      </c>
      <c r="J264" s="8">
        <f>H264/E264</f>
        <v/>
      </c>
      <c r="K264" s="8" t="n">
        <v>7.74</v>
      </c>
      <c r="L264" s="8" t="n">
        <v>7.57</v>
      </c>
      <c r="M264" s="12">
        <f>J264/K264-1</f>
        <v/>
      </c>
      <c r="N264" s="7" t="inlineStr">
        <is>
          <t>OK (≤ últ. compra)</t>
        </is>
      </c>
      <c r="O264" s="7" t="inlineStr"/>
    </row>
    <row r="265">
      <c r="A265" s="7" t="n">
        <v>662241</v>
      </c>
      <c r="B265" s="7" t="inlineStr">
        <is>
          <t>6841</t>
        </is>
      </c>
      <c r="C265" s="10" t="inlineStr">
        <is>
          <t>7898719041048</t>
        </is>
      </c>
      <c r="D265" s="7" t="inlineStr">
        <is>
          <t>PEDRA HUME 35ML SPRAY</t>
        </is>
      </c>
      <c r="E265" s="11" t="n">
        <v>1</v>
      </c>
      <c r="F265" s="11" t="n">
        <v>2</v>
      </c>
      <c r="G265" s="11" t="n">
        <v>2</v>
      </c>
      <c r="H265" s="8" t="n">
        <v>6.59</v>
      </c>
      <c r="I265" s="8">
        <f>G265*H265</f>
        <v/>
      </c>
      <c r="J265" s="8">
        <f>H265/E265</f>
        <v/>
      </c>
      <c r="K265" s="8" t="n">
        <v>6.59</v>
      </c>
      <c r="L265" s="8" t="n">
        <v>6.59</v>
      </c>
      <c r="M265" s="12">
        <f>J265/K265-1</f>
        <v/>
      </c>
      <c r="N265" s="7" t="inlineStr">
        <is>
          <t>OK (≤ menor hist.)</t>
        </is>
      </c>
      <c r="O265" s="7" t="inlineStr"/>
    </row>
    <row r="266">
      <c r="A266" s="7" t="n">
        <v>644681</v>
      </c>
      <c r="B266" s="7" t="inlineStr">
        <is>
          <t>5382</t>
        </is>
      </c>
      <c r="C266" s="10" t="inlineStr">
        <is>
          <t>7898031310891</t>
        </is>
      </c>
      <c r="D266" s="7" t="inlineStr">
        <is>
          <t>PEDRA HUME SOLUCAO SPRAY 30ML</t>
        </is>
      </c>
      <c r="E266" s="11" t="n">
        <v>1</v>
      </c>
      <c r="F266" s="11" t="n">
        <v>4</v>
      </c>
      <c r="G266" s="11" t="n">
        <v>4</v>
      </c>
      <c r="H266" s="8" t="n">
        <v>5.45</v>
      </c>
      <c r="I266" s="8">
        <f>G266*H266</f>
        <v/>
      </c>
      <c r="J266" s="8">
        <f>H266/E266</f>
        <v/>
      </c>
      <c r="K266" s="8" t="n">
        <v>5.45</v>
      </c>
      <c r="L266" s="8" t="n">
        <v>5.45</v>
      </c>
      <c r="M266" s="12">
        <f>J266/K266-1</f>
        <v/>
      </c>
      <c r="N266" s="7" t="inlineStr">
        <is>
          <t>OK (≤ menor hist.)</t>
        </is>
      </c>
      <c r="O266" s="7" t="inlineStr"/>
    </row>
    <row r="267">
      <c r="A267" s="7" t="n">
        <v>639911</v>
      </c>
      <c r="B267" s="7" t="inlineStr">
        <is>
          <t>8454</t>
        </is>
      </c>
      <c r="C267" s="10" t="inlineStr">
        <is>
          <t>7898953484410</t>
        </is>
      </c>
      <c r="D267" s="7" t="inlineStr">
        <is>
          <t>PENTE FINO TIRA PIOLHO 1 UN ROSA</t>
        </is>
      </c>
      <c r="E267" s="11" t="n">
        <v>1</v>
      </c>
      <c r="F267" s="11" t="n">
        <v>5</v>
      </c>
      <c r="G267" s="11" t="n">
        <v>5</v>
      </c>
      <c r="H267" s="8" t="n">
        <v>11.84</v>
      </c>
      <c r="I267" s="8">
        <f>G267*H267</f>
        <v/>
      </c>
      <c r="J267" s="8">
        <f>H267/E267</f>
        <v/>
      </c>
      <c r="K267" s="8" t="n">
        <v>11.84</v>
      </c>
      <c r="L267" s="8" t="n">
        <v>11.84</v>
      </c>
      <c r="M267" s="12">
        <f>J267/K267-1</f>
        <v/>
      </c>
      <c r="N267" s="7" t="inlineStr">
        <is>
          <t>OK (≤ menor hist.)</t>
        </is>
      </c>
      <c r="O267" s="7" t="inlineStr"/>
    </row>
    <row r="268">
      <c r="A268" s="7" t="n">
        <v>3563</v>
      </c>
      <c r="B268" s="7" t="inlineStr">
        <is>
          <t>6735</t>
        </is>
      </c>
      <c r="C268" s="10" t="inlineStr">
        <is>
          <t>7898719040539</t>
        </is>
      </c>
      <c r="D268" s="7" t="inlineStr">
        <is>
          <t>PERIOASSEPT 250ML MENTA COM ALCOOL</t>
        </is>
      </c>
      <c r="E268" s="11" t="n">
        <v>1</v>
      </c>
      <c r="F268" s="11" t="n">
        <v>1</v>
      </c>
      <c r="G268" s="11" t="n">
        <v>1</v>
      </c>
      <c r="H268" s="8" t="n">
        <v>12.95</v>
      </c>
      <c r="I268" s="8">
        <f>G268*H268</f>
        <v/>
      </c>
      <c r="J268" s="8">
        <f>H268/E268</f>
        <v/>
      </c>
      <c r="K268" s="8" t="n">
        <v>11.99</v>
      </c>
      <c r="L268" s="8" t="n">
        <v>11.99</v>
      </c>
      <c r="M268" s="12">
        <f>J268/K268-1</f>
        <v/>
      </c>
      <c r="N268" s="7" t="inlineStr">
        <is>
          <t>ACIMA +8.0%</t>
        </is>
      </c>
      <c r="O268" s="7" t="inlineStr"/>
    </row>
    <row r="269">
      <c r="A269" s="7" t="n">
        <v>547801</v>
      </c>
      <c r="B269" s="7" t="inlineStr">
        <is>
          <t>3806</t>
        </is>
      </c>
      <c r="C269" s="10" t="inlineStr">
        <is>
          <t>7899620913059</t>
        </is>
      </c>
      <c r="D269" s="7" t="inlineStr">
        <is>
          <t>PERIODENT SOLUCAO BUCAL 250 ML</t>
        </is>
      </c>
      <c r="E269" s="11" t="n">
        <v>1</v>
      </c>
      <c r="F269" s="11" t="n">
        <v>2</v>
      </c>
      <c r="G269" s="11" t="n">
        <v>2</v>
      </c>
      <c r="H269" s="8" t="n">
        <v>10.79</v>
      </c>
      <c r="I269" s="8">
        <f>G269*H269</f>
        <v/>
      </c>
      <c r="J269" s="8">
        <f>H269/E269</f>
        <v/>
      </c>
      <c r="K269" s="8" t="n">
        <v>10.79</v>
      </c>
      <c r="L269" s="8" t="n">
        <v>10.79</v>
      </c>
      <c r="M269" s="12">
        <f>J269/K269-1</f>
        <v/>
      </c>
      <c r="N269" s="7" t="inlineStr">
        <is>
          <t>OK (≤ menor hist.)</t>
        </is>
      </c>
      <c r="O269" s="7" t="inlineStr"/>
    </row>
    <row r="270">
      <c r="A270" s="7" t="n">
        <v>487921</v>
      </c>
      <c r="B270" s="7" t="inlineStr">
        <is>
          <t>115</t>
        </is>
      </c>
      <c r="C270" s="10" t="inlineStr">
        <is>
          <t>7898100244485</t>
        </is>
      </c>
      <c r="D270" s="7" t="inlineStr">
        <is>
          <t>PETIVIT BC XPE FR 240ML</t>
        </is>
      </c>
      <c r="E270" s="11" t="n">
        <v>1</v>
      </c>
      <c r="F270" s="11" t="n">
        <v>33</v>
      </c>
      <c r="G270" s="11" t="n">
        <v>33</v>
      </c>
      <c r="H270" s="8" t="n">
        <v>8.800000000000001</v>
      </c>
      <c r="I270" s="8">
        <f>G270*H270</f>
        <v/>
      </c>
      <c r="J270" s="8">
        <f>H270/E270</f>
        <v/>
      </c>
      <c r="K270" s="8" t="n">
        <v>6.99</v>
      </c>
      <c r="L270" s="8" t="n">
        <v>6.99</v>
      </c>
      <c r="M270" s="12">
        <f>J270/K270-1</f>
        <v/>
      </c>
      <c r="N270" s="7" t="inlineStr">
        <is>
          <t>ACIMA +25.9%</t>
        </is>
      </c>
      <c r="O270" s="7" t="inlineStr"/>
    </row>
    <row r="271">
      <c r="A271" s="7" t="n">
        <v>274781</v>
      </c>
      <c r="B271" s="7" t="inlineStr">
        <is>
          <t>119</t>
        </is>
      </c>
      <c r="C271" s="10" t="inlineStr">
        <is>
          <t>7898100243112</t>
        </is>
      </c>
      <c r="D271" s="7" t="inlineStr">
        <is>
          <t>PHITOSS 7MG/ML XPE FR 100ML PET</t>
        </is>
      </c>
      <c r="E271" s="11" t="n">
        <v>1</v>
      </c>
      <c r="F271" s="11" t="n">
        <v>22</v>
      </c>
      <c r="G271" s="11" t="n">
        <v>22</v>
      </c>
      <c r="H271" s="8" t="n">
        <v>6.61</v>
      </c>
      <c r="I271" s="8">
        <f>G271*H271</f>
        <v/>
      </c>
      <c r="J271" s="8">
        <f>H271/E271</f>
        <v/>
      </c>
      <c r="K271" s="8" t="n">
        <v>5.49</v>
      </c>
      <c r="L271" s="8" t="n">
        <v>5.49</v>
      </c>
      <c r="M271" s="12">
        <f>J271/K271-1</f>
        <v/>
      </c>
      <c r="N271" s="7" t="inlineStr">
        <is>
          <t>ACIMA +20.4%</t>
        </is>
      </c>
      <c r="O271" s="7" t="inlineStr"/>
    </row>
    <row r="272">
      <c r="A272" s="7" t="n">
        <v>565861</v>
      </c>
      <c r="B272" s="7" t="inlineStr">
        <is>
          <t>7371</t>
        </is>
      </c>
      <c r="C272" s="10" t="inlineStr">
        <is>
          <t>7898100244669</t>
        </is>
      </c>
      <c r="D272" s="7" t="inlineStr">
        <is>
          <t>PHITOSS KIDS 7MG/ML XPE 100ML</t>
        </is>
      </c>
      <c r="E272" s="11" t="n">
        <v>1</v>
      </c>
      <c r="F272" s="11" t="n">
        <v>1</v>
      </c>
      <c r="G272" s="11" t="n">
        <v>1</v>
      </c>
      <c r="H272" s="8" t="n">
        <v>6.96</v>
      </c>
      <c r="I272" s="8">
        <f>G272*H272</f>
        <v/>
      </c>
      <c r="J272" s="8">
        <f>H272/E272</f>
        <v/>
      </c>
      <c r="K272" s="8" t="n">
        <v>5.66</v>
      </c>
      <c r="L272" s="8" t="n">
        <v>5.66</v>
      </c>
      <c r="M272" s="12">
        <f>J272/K272-1</f>
        <v/>
      </c>
      <c r="N272" s="7" t="inlineStr">
        <is>
          <t>ACIMA +23.0%</t>
        </is>
      </c>
      <c r="O272" s="7" t="inlineStr"/>
    </row>
    <row r="273">
      <c r="A273" s="7" t="n">
        <v>404881</v>
      </c>
      <c r="B273" s="7" t="inlineStr">
        <is>
          <t>5539</t>
        </is>
      </c>
      <c r="C273" s="10" t="inlineStr">
        <is>
          <t>7898216362189</t>
        </is>
      </c>
      <c r="D273" s="7" t="inlineStr">
        <is>
          <t>PIROXICAM 20MG CX 10 CAP</t>
        </is>
      </c>
      <c r="E273" s="11" t="n">
        <v>1</v>
      </c>
      <c r="F273" s="11" t="n">
        <v>6</v>
      </c>
      <c r="G273" s="11" t="n">
        <v>6</v>
      </c>
      <c r="H273" s="8" t="n">
        <v>4.38</v>
      </c>
      <c r="I273" s="8">
        <f>G273*H273</f>
        <v/>
      </c>
      <c r="J273" s="8">
        <f>H273/E273</f>
        <v/>
      </c>
      <c r="K273" s="8" t="n">
        <v>4.15</v>
      </c>
      <c r="L273" s="8" t="n">
        <v>4.15</v>
      </c>
      <c r="M273" s="12">
        <f>J273/K273-1</f>
        <v/>
      </c>
      <c r="N273" s="7" t="inlineStr">
        <is>
          <t>ACIMA +5.5%</t>
        </is>
      </c>
      <c r="O273" s="7" t="inlineStr"/>
    </row>
    <row r="274">
      <c r="A274" s="7" t="n">
        <v>5703</v>
      </c>
      <c r="B274" s="7" t="inlineStr">
        <is>
          <t>9657</t>
        </is>
      </c>
      <c r="C274" s="10" t="inlineStr">
        <is>
          <t>609963917563</t>
        </is>
      </c>
      <c r="D274" s="7" t="inlineStr">
        <is>
          <t>POLIVITAMINICO AZ C/60 CPS</t>
        </is>
      </c>
      <c r="E274" s="11" t="n">
        <v>1</v>
      </c>
      <c r="F274" s="11" t="n">
        <v>1</v>
      </c>
      <c r="G274" s="11" t="n">
        <v>1</v>
      </c>
      <c r="H274" s="8" t="n">
        <v>12.62</v>
      </c>
      <c r="I274" s="8">
        <f>G274*H274</f>
        <v/>
      </c>
      <c r="J274" s="8">
        <f>H274/E274</f>
        <v/>
      </c>
      <c r="K274" s="8" t="n"/>
      <c r="L274" s="8" t="n"/>
      <c r="M274" s="12" t="n"/>
      <c r="N274" s="7" t="inlineStr">
        <is>
          <t>SEM HISTÓRICO</t>
        </is>
      </c>
      <c r="O274" s="7" t="inlineStr"/>
    </row>
    <row r="275">
      <c r="A275" s="7" t="n">
        <v>588931</v>
      </c>
      <c r="B275" s="7" t="inlineStr">
        <is>
          <t>1212</t>
        </is>
      </c>
      <c r="C275" s="10" t="inlineStr">
        <is>
          <t>7897146600583</t>
        </is>
      </c>
      <c r="D275" s="7" t="inlineStr">
        <is>
          <t>PRANFIGALDO 10ML ABACAXI UN (FLACONETE)</t>
        </is>
      </c>
      <c r="E275" s="11" t="n">
        <v>60</v>
      </c>
      <c r="F275" s="11" t="n">
        <v>2</v>
      </c>
      <c r="G275" s="11" t="n">
        <v>1</v>
      </c>
      <c r="H275" s="8" t="n">
        <v>24.29</v>
      </c>
      <c r="I275" s="8">
        <f>G275*H275</f>
        <v/>
      </c>
      <c r="J275" s="8">
        <f>H275/E275</f>
        <v/>
      </c>
      <c r="K275" s="8" t="n">
        <v>0.4048</v>
      </c>
      <c r="L275" s="8" t="n">
        <v>0.4048</v>
      </c>
      <c r="M275" s="12">
        <f>J275/K275-1</f>
        <v/>
      </c>
      <c r="N275" s="7" t="inlineStr">
        <is>
          <t>OK (≤ menor hist.)</t>
        </is>
      </c>
      <c r="O275" s="7" t="inlineStr">
        <is>
          <t>1 emb = 60 un</t>
        </is>
      </c>
    </row>
    <row r="276">
      <c r="A276" s="7" t="n">
        <v>543501</v>
      </c>
      <c r="B276" s="7" t="inlineStr">
        <is>
          <t>794</t>
        </is>
      </c>
      <c r="C276" s="10" t="inlineStr">
        <is>
          <t>7897146600040</t>
        </is>
      </c>
      <c r="D276" s="7" t="inlineStr">
        <is>
          <t>PRANFIGALDO BOLDO 10ML(FLACONETES)</t>
        </is>
      </c>
      <c r="E276" s="11" t="n">
        <v>60</v>
      </c>
      <c r="F276" s="11" t="n">
        <v>4</v>
      </c>
      <c r="G276" s="11" t="n">
        <v>1</v>
      </c>
      <c r="H276" s="8" t="n">
        <v>33.75</v>
      </c>
      <c r="I276" s="8">
        <f>G276*H276</f>
        <v/>
      </c>
      <c r="J276" s="8">
        <f>H276/E276</f>
        <v/>
      </c>
      <c r="K276" s="8" t="n">
        <v>0.5625</v>
      </c>
      <c r="L276" s="8" t="n">
        <v>0.5367</v>
      </c>
      <c r="M276" s="12">
        <f>J276/K276-1</f>
        <v/>
      </c>
      <c r="N276" s="7" t="inlineStr">
        <is>
          <t>OK (≤ últ. compra)</t>
        </is>
      </c>
      <c r="O276" s="7" t="inlineStr">
        <is>
          <t>1 emb = 60 un</t>
        </is>
      </c>
    </row>
    <row r="277">
      <c r="A277" s="7" t="n">
        <v>407941</v>
      </c>
      <c r="B277" s="7" t="inlineStr">
        <is>
          <t>5042</t>
        </is>
      </c>
      <c r="C277" s="10" t="inlineStr">
        <is>
          <t>7898569765439</t>
        </is>
      </c>
      <c r="D277" s="7" t="inlineStr">
        <is>
          <t>PREDNISOLONA 20MG CX 10 COMP</t>
        </is>
      </c>
      <c r="E277" s="11" t="n">
        <v>1</v>
      </c>
      <c r="F277" s="11" t="n">
        <v>1</v>
      </c>
      <c r="G277" s="11" t="n">
        <v>1</v>
      </c>
      <c r="H277" s="8" t="n">
        <v>8.93</v>
      </c>
      <c r="I277" s="8">
        <f>G277*H277</f>
        <v/>
      </c>
      <c r="J277" s="8">
        <f>H277/E277</f>
        <v/>
      </c>
      <c r="K277" s="8" t="n">
        <v>6.82</v>
      </c>
      <c r="L277" s="8" t="n">
        <v>6.82</v>
      </c>
      <c r="M277" s="12">
        <f>J277/K277-1</f>
        <v/>
      </c>
      <c r="N277" s="7" t="inlineStr">
        <is>
          <t>ACIMA +30.9%</t>
        </is>
      </c>
      <c r="O277" s="7" t="inlineStr"/>
    </row>
    <row r="278">
      <c r="A278" s="7" t="n">
        <v>408041</v>
      </c>
      <c r="B278" s="7" t="inlineStr">
        <is>
          <t>5051</t>
        </is>
      </c>
      <c r="C278" s="10" t="inlineStr">
        <is>
          <t>7898569765514</t>
        </is>
      </c>
      <c r="D278" s="7" t="inlineStr">
        <is>
          <t>PREDNISOLONA 40MG CX 7 COMP</t>
        </is>
      </c>
      <c r="E278" s="11" t="n">
        <v>1</v>
      </c>
      <c r="F278" s="11" t="n">
        <v>6</v>
      </c>
      <c r="G278" s="11" t="n">
        <v>6</v>
      </c>
      <c r="H278" s="8" t="n">
        <v>10.67</v>
      </c>
      <c r="I278" s="8">
        <f>G278*H278</f>
        <v/>
      </c>
      <c r="J278" s="8">
        <f>H278/E278</f>
        <v/>
      </c>
      <c r="K278" s="8" t="n">
        <v>9.75</v>
      </c>
      <c r="L278" s="8" t="n">
        <v>9.75</v>
      </c>
      <c r="M278" s="12">
        <f>J278/K278-1</f>
        <v/>
      </c>
      <c r="N278" s="7" t="inlineStr">
        <is>
          <t>ACIMA +9.4%</t>
        </is>
      </c>
      <c r="O278" s="7" t="inlineStr"/>
    </row>
    <row r="279">
      <c r="A279" s="7" t="n">
        <v>483381</v>
      </c>
      <c r="B279" s="7" t="inlineStr">
        <is>
          <t>7290</t>
        </is>
      </c>
      <c r="C279" s="10" t="inlineStr">
        <is>
          <t>7899620912144</t>
        </is>
      </c>
      <c r="D279" s="7" t="inlineStr">
        <is>
          <t>PREDNISONA 20MG CX 20 COMP</t>
        </is>
      </c>
      <c r="E279" s="11" t="n">
        <v>1</v>
      </c>
      <c r="F279" s="11" t="n">
        <v>1</v>
      </c>
      <c r="G279" s="11" t="n">
        <v>1</v>
      </c>
      <c r="H279" s="8" t="n">
        <v>7.02</v>
      </c>
      <c r="I279" s="8">
        <f>G279*H279</f>
        <v/>
      </c>
      <c r="J279" s="8">
        <f>H279/E279</f>
        <v/>
      </c>
      <c r="K279" s="8" t="n">
        <v>6.97</v>
      </c>
      <c r="L279" s="8" t="n">
        <v>6.69</v>
      </c>
      <c r="M279" s="12">
        <f>J279/K279-1</f>
        <v/>
      </c>
      <c r="N279" s="7" t="inlineStr">
        <is>
          <t>ACIMA +0.7%</t>
        </is>
      </c>
      <c r="O279" s="7" t="inlineStr"/>
    </row>
    <row r="280">
      <c r="A280" s="7" t="n">
        <v>409221</v>
      </c>
      <c r="B280" s="7" t="inlineStr">
        <is>
          <t>2440</t>
        </is>
      </c>
      <c r="C280" s="10" t="inlineStr">
        <is>
          <t>7895296286022</t>
        </is>
      </c>
      <c r="D280" s="7" t="inlineStr">
        <is>
          <t>PREDNISONA 5MG CX 20 COMP</t>
        </is>
      </c>
      <c r="E280" s="11" t="n">
        <v>1</v>
      </c>
      <c r="F280" s="11" t="n">
        <v>2</v>
      </c>
      <c r="G280" s="11" t="n">
        <v>2</v>
      </c>
      <c r="H280" s="8" t="n">
        <v>4.52</v>
      </c>
      <c r="I280" s="8">
        <f>G280*H280</f>
        <v/>
      </c>
      <c r="J280" s="8">
        <f>H280/E280</f>
        <v/>
      </c>
      <c r="K280" s="8" t="n">
        <v>4.28</v>
      </c>
      <c r="L280" s="8" t="n">
        <v>4.28</v>
      </c>
      <c r="M280" s="12">
        <f>J280/K280-1</f>
        <v/>
      </c>
      <c r="N280" s="7" t="inlineStr">
        <is>
          <t>ACIMA +5.6%</t>
        </is>
      </c>
      <c r="O280" s="7" t="inlineStr"/>
    </row>
    <row r="281">
      <c r="A281" s="7" t="n">
        <v>550201</v>
      </c>
      <c r="B281" s="7" t="inlineStr">
        <is>
          <t>4713</t>
        </is>
      </c>
      <c r="C281" s="10" t="inlineStr">
        <is>
          <t>7898556850254</t>
        </is>
      </c>
      <c r="D281" s="7" t="inlineStr">
        <is>
          <t>PRES RILEX HOT 3UN</t>
        </is>
      </c>
      <c r="E281" s="11" t="n">
        <v>1</v>
      </c>
      <c r="F281" s="11" t="n">
        <v>2</v>
      </c>
      <c r="G281" s="11" t="n">
        <v>2</v>
      </c>
      <c r="H281" s="8" t="n">
        <v>5.3</v>
      </c>
      <c r="I281" s="8">
        <f>G281*H281</f>
        <v/>
      </c>
      <c r="J281" s="8">
        <f>H281/E281</f>
        <v/>
      </c>
      <c r="K281" s="8" t="n">
        <v>5.07</v>
      </c>
      <c r="L281" s="8" t="n">
        <v>4.85</v>
      </c>
      <c r="M281" s="12">
        <f>J281/K281-1</f>
        <v/>
      </c>
      <c r="N281" s="7" t="inlineStr">
        <is>
          <t>ACIMA +4.5%</t>
        </is>
      </c>
      <c r="O281" s="7" t="inlineStr"/>
    </row>
    <row r="282">
      <c r="A282" s="7" t="n">
        <v>550161</v>
      </c>
      <c r="B282" s="7" t="inlineStr">
        <is>
          <t>4711</t>
        </is>
      </c>
      <c r="C282" s="10" t="inlineStr">
        <is>
          <t>7898556850209</t>
        </is>
      </c>
      <c r="D282" s="7" t="inlineStr">
        <is>
          <t>PRES RILEX TEXTURIZADO 3UN</t>
        </is>
      </c>
      <c r="E282" s="11" t="n">
        <v>1</v>
      </c>
      <c r="F282" s="11" t="n">
        <v>1</v>
      </c>
      <c r="G282" s="11" t="n">
        <v>1</v>
      </c>
      <c r="H282" s="8" t="n">
        <v>4.73</v>
      </c>
      <c r="I282" s="8">
        <f>G282*H282</f>
        <v/>
      </c>
      <c r="J282" s="8">
        <f>H282/E282</f>
        <v/>
      </c>
      <c r="K282" s="8" t="n">
        <v>4.56</v>
      </c>
      <c r="L282" s="8" t="n">
        <v>4.55</v>
      </c>
      <c r="M282" s="12">
        <f>J282/K282-1</f>
        <v/>
      </c>
      <c r="N282" s="7" t="inlineStr">
        <is>
          <t>ACIMA +3.7%</t>
        </is>
      </c>
      <c r="O282" s="7" t="inlineStr"/>
    </row>
    <row r="283">
      <c r="A283" s="7" t="n">
        <v>584461</v>
      </c>
      <c r="B283" s="7" t="inlineStr">
        <is>
          <t>5736</t>
        </is>
      </c>
      <c r="C283" s="10" t="inlineStr">
        <is>
          <t>7898556850452</t>
        </is>
      </c>
      <c r="D283" s="7" t="inlineStr">
        <is>
          <t>PRESERVATIVO RILEX LEITE CONDENSADO 3UN</t>
        </is>
      </c>
      <c r="E283" s="11" t="n">
        <v>1</v>
      </c>
      <c r="F283" s="11" t="n">
        <v>4</v>
      </c>
      <c r="G283" s="11" t="n">
        <v>4</v>
      </c>
      <c r="H283" s="8" t="n">
        <v>2.33</v>
      </c>
      <c r="I283" s="8">
        <f>G283*H283</f>
        <v/>
      </c>
      <c r="J283" s="8">
        <f>H283/E283</f>
        <v/>
      </c>
      <c r="K283" s="8" t="n">
        <v>2.22</v>
      </c>
      <c r="L283" s="8" t="n">
        <v>2.22</v>
      </c>
      <c r="M283" s="12">
        <f>J283/K283-1</f>
        <v/>
      </c>
      <c r="N283" s="7" t="inlineStr">
        <is>
          <t>ACIMA +5.0%</t>
        </is>
      </c>
      <c r="O283" s="7" t="inlineStr"/>
    </row>
    <row r="284">
      <c r="A284" s="7" t="n">
        <v>532801</v>
      </c>
      <c r="B284" s="7" t="inlineStr">
        <is>
          <t>879</t>
        </is>
      </c>
      <c r="C284" s="10" t="inlineStr">
        <is>
          <t>7898903991487</t>
        </is>
      </c>
      <c r="D284" s="7" t="inlineStr">
        <is>
          <t>PRESERVATIVO RILEX LUBRIFICADO C/3</t>
        </is>
      </c>
      <c r="E284" s="11" t="n">
        <v>1</v>
      </c>
      <c r="F284" s="11" t="n">
        <v>3</v>
      </c>
      <c r="G284" s="11" t="n">
        <v>3</v>
      </c>
      <c r="H284" s="8" t="n">
        <v>2.17</v>
      </c>
      <c r="I284" s="8">
        <f>G284*H284</f>
        <v/>
      </c>
      <c r="J284" s="8">
        <f>H284/E284</f>
        <v/>
      </c>
      <c r="K284" s="8" t="n">
        <v>2.11</v>
      </c>
      <c r="L284" s="8" t="n">
        <v>2.09</v>
      </c>
      <c r="M284" s="12">
        <f>J284/K284-1</f>
        <v/>
      </c>
      <c r="N284" s="7" t="inlineStr">
        <is>
          <t>ACIMA +2.8%</t>
        </is>
      </c>
      <c r="O284" s="7" t="inlineStr"/>
    </row>
    <row r="285">
      <c r="A285" s="7" t="n">
        <v>532821</v>
      </c>
      <c r="B285" s="7" t="inlineStr">
        <is>
          <t>882</t>
        </is>
      </c>
      <c r="C285" s="10" t="inlineStr">
        <is>
          <t>7898903991517</t>
        </is>
      </c>
      <c r="D285" s="7" t="inlineStr">
        <is>
          <t>PRESERVATIVO RILEX MORANGO C/3</t>
        </is>
      </c>
      <c r="E285" s="11" t="n">
        <v>1</v>
      </c>
      <c r="F285" s="11" t="n">
        <v>1</v>
      </c>
      <c r="G285" s="11" t="n">
        <v>1</v>
      </c>
      <c r="H285" s="8" t="n">
        <v>2.21</v>
      </c>
      <c r="I285" s="8">
        <f>G285*H285</f>
        <v/>
      </c>
      <c r="J285" s="8">
        <f>H285/E285</f>
        <v/>
      </c>
      <c r="K285" s="8" t="n">
        <v>2.14</v>
      </c>
      <c r="L285" s="8" t="n">
        <v>2.13</v>
      </c>
      <c r="M285" s="12">
        <f>J285/K285-1</f>
        <v/>
      </c>
      <c r="N285" s="7" t="inlineStr">
        <is>
          <t>ACIMA +3.3%</t>
        </is>
      </c>
      <c r="O285" s="7" t="inlineStr"/>
    </row>
    <row r="286">
      <c r="A286" s="7" t="n">
        <v>532781</v>
      </c>
      <c r="B286" s="7" t="inlineStr">
        <is>
          <t>877</t>
        </is>
      </c>
      <c r="C286" s="10" t="inlineStr">
        <is>
          <t>7898556850193</t>
        </is>
      </c>
      <c r="D286" s="7" t="inlineStr">
        <is>
          <t>PRESERVATIVO RILEX SENSITIVE C/3</t>
        </is>
      </c>
      <c r="E286" s="11" t="n">
        <v>1</v>
      </c>
      <c r="F286" s="11" t="n">
        <v>5</v>
      </c>
      <c r="G286" s="11" t="n">
        <v>5</v>
      </c>
      <c r="H286" s="8" t="n">
        <v>4.55</v>
      </c>
      <c r="I286" s="8">
        <f>G286*H286</f>
        <v/>
      </c>
      <c r="J286" s="8">
        <f>H286/E286</f>
        <v/>
      </c>
      <c r="K286" s="8" t="n">
        <v>4.38</v>
      </c>
      <c r="L286" s="8" t="n">
        <v>4.37</v>
      </c>
      <c r="M286" s="12">
        <f>J286/K286-1</f>
        <v/>
      </c>
      <c r="N286" s="7" t="inlineStr">
        <is>
          <t>ACIMA +3.9%</t>
        </is>
      </c>
      <c r="O286" s="7" t="inlineStr"/>
    </row>
    <row r="287">
      <c r="A287" s="7" t="n">
        <v>414621</v>
      </c>
      <c r="B287" s="7" t="inlineStr">
        <is>
          <t>2461</t>
        </is>
      </c>
      <c r="C287" s="10" t="inlineStr">
        <is>
          <t>7895296210324</t>
        </is>
      </c>
      <c r="D287" s="7" t="inlineStr">
        <is>
          <t>PROPIONATO DE CLOBETASOL 0,5MG/G CREME DERM BG 30G</t>
        </is>
      </c>
      <c r="E287" s="11" t="n">
        <v>1</v>
      </c>
      <c r="F287" s="11" t="n">
        <v>7</v>
      </c>
      <c r="G287" s="11" t="n">
        <v>7</v>
      </c>
      <c r="H287" s="8" t="n">
        <v>6.92</v>
      </c>
      <c r="I287" s="8">
        <f>G287*H287</f>
        <v/>
      </c>
      <c r="J287" s="8">
        <f>H287/E287</f>
        <v/>
      </c>
      <c r="K287" s="8" t="n">
        <v>6.19</v>
      </c>
      <c r="L287" s="8" t="n">
        <v>6.19</v>
      </c>
      <c r="M287" s="12">
        <f>J287/K287-1</f>
        <v/>
      </c>
      <c r="N287" s="7" t="inlineStr">
        <is>
          <t>ACIMA +11.8%</t>
        </is>
      </c>
      <c r="O287" s="7" t="inlineStr"/>
    </row>
    <row r="288">
      <c r="A288" s="7" t="n">
        <v>201921</v>
      </c>
      <c r="B288" s="7" t="inlineStr">
        <is>
          <t>1567</t>
        </is>
      </c>
      <c r="C288" s="10" t="inlineStr">
        <is>
          <t>7896472500253</t>
        </is>
      </c>
      <c r="D288" s="7" t="inlineStr">
        <is>
          <t>PV - DELTALAB 0,2MG LOCAO FR 100ML</t>
        </is>
      </c>
      <c r="E288" s="11" t="n">
        <v>1</v>
      </c>
      <c r="F288" s="11" t="n">
        <v>1</v>
      </c>
      <c r="G288" s="11" t="n">
        <v>1</v>
      </c>
      <c r="H288" s="8" t="n">
        <v>6.88</v>
      </c>
      <c r="I288" s="8">
        <f>G288*H288</f>
        <v/>
      </c>
      <c r="J288" s="8">
        <f>H288/E288</f>
        <v/>
      </c>
      <c r="K288" s="8" t="n">
        <v>5.6</v>
      </c>
      <c r="L288" s="8" t="n">
        <v>5.6</v>
      </c>
      <c r="M288" s="12">
        <f>J288/K288-1</f>
        <v/>
      </c>
      <c r="N288" s="7" t="inlineStr">
        <is>
          <t>ACIMA +22.9%</t>
        </is>
      </c>
      <c r="O288" s="7" t="inlineStr"/>
    </row>
    <row r="289">
      <c r="A289" s="7" t="n">
        <v>68841</v>
      </c>
      <c r="B289" s="7" t="inlineStr">
        <is>
          <t>4578</t>
        </is>
      </c>
      <c r="C289" s="10" t="inlineStr">
        <is>
          <t>7896004765709</t>
        </is>
      </c>
      <c r="D289" s="7" t="inlineStr">
        <is>
          <t>PV - INALIDE 64MPV - CG SUS SPR NAS FR 120 ACION</t>
        </is>
      </c>
      <c r="E289" s="11" t="n">
        <v>1</v>
      </c>
      <c r="F289" s="11" t="n">
        <v>2</v>
      </c>
      <c r="G289" s="11" t="n">
        <v>2</v>
      </c>
      <c r="H289" s="8" t="n">
        <v>20.33</v>
      </c>
      <c r="I289" s="8">
        <f>G289*H289</f>
        <v/>
      </c>
      <c r="J289" s="8">
        <f>H289/E289</f>
        <v/>
      </c>
      <c r="K289" s="8" t="n">
        <v>23.98</v>
      </c>
      <c r="L289" s="8" t="n">
        <v>23.98</v>
      </c>
      <c r="M289" s="12">
        <f>J289/K289-1</f>
        <v/>
      </c>
      <c r="N289" s="7" t="inlineStr">
        <is>
          <t>OK (≤ menor hist.)</t>
        </is>
      </c>
      <c r="O289" s="7" t="inlineStr"/>
    </row>
    <row r="290">
      <c r="A290" s="7" t="n">
        <v>660341</v>
      </c>
      <c r="B290" s="7" t="inlineStr">
        <is>
          <t>10727</t>
        </is>
      </c>
      <c r="C290" s="10" t="inlineStr">
        <is>
          <t>7891058005658</t>
        </is>
      </c>
      <c r="D290" s="7" t="inlineStr">
        <is>
          <t>PV - PREDNISONA 5MG CX 20 COMP</t>
        </is>
      </c>
      <c r="E290" s="11" t="n">
        <v>1</v>
      </c>
      <c r="F290" s="11" t="n">
        <v>13</v>
      </c>
      <c r="G290" s="11" t="n">
        <v>13</v>
      </c>
      <c r="H290" s="8" t="n">
        <v>4.14</v>
      </c>
      <c r="I290" s="8">
        <f>G290*H290</f>
        <v/>
      </c>
      <c r="J290" s="8">
        <f>H290/E290</f>
        <v/>
      </c>
      <c r="K290" s="8" t="n">
        <v>3.468</v>
      </c>
      <c r="L290" s="8" t="n">
        <v>2.967</v>
      </c>
      <c r="M290" s="12">
        <f>J290/K290-1</f>
        <v/>
      </c>
      <c r="N290" s="7" t="inlineStr">
        <is>
          <t>ACIMA +19.4%</t>
        </is>
      </c>
      <c r="O290" s="7" t="inlineStr"/>
    </row>
    <row r="291">
      <c r="A291" s="7" t="n">
        <v>1353</v>
      </c>
      <c r="B291" s="7" t="inlineStr">
        <is>
          <t>8774</t>
        </is>
      </c>
      <c r="C291" s="10" t="inlineStr">
        <is>
          <t>7898714761477</t>
        </is>
      </c>
      <c r="D291" s="7" t="inlineStr">
        <is>
          <t>PV K2+D3 CAPS REV X 30</t>
        </is>
      </c>
      <c r="E291" s="11" t="n">
        <v>1</v>
      </c>
      <c r="F291" s="11" t="n">
        <v>1</v>
      </c>
      <c r="G291" s="11" t="n">
        <v>1</v>
      </c>
      <c r="H291" s="8" t="n">
        <v>20.61</v>
      </c>
      <c r="I291" s="8">
        <f>G291*H291</f>
        <v/>
      </c>
      <c r="J291" s="8">
        <f>H291/E291</f>
        <v/>
      </c>
      <c r="K291" s="8" t="n">
        <v>41.8867</v>
      </c>
      <c r="L291" s="8" t="n">
        <v>41.8867</v>
      </c>
      <c r="M291" s="12">
        <f>J291/K291-1</f>
        <v/>
      </c>
      <c r="N291" s="7" t="inlineStr">
        <is>
          <t>OK (≤ menor hist.)</t>
        </is>
      </c>
      <c r="O291" s="7" t="inlineStr">
        <is>
          <t>conferir emb.</t>
        </is>
      </c>
    </row>
    <row r="292">
      <c r="A292" s="7" t="n">
        <v>622411</v>
      </c>
      <c r="B292" s="7" t="inlineStr">
        <is>
          <t>7803</t>
        </is>
      </c>
      <c r="C292" s="10" t="inlineStr">
        <is>
          <t>7898582291854</t>
        </is>
      </c>
      <c r="D292" s="7" t="inlineStr">
        <is>
          <t>QUEIMADOL POMADA 30G</t>
        </is>
      </c>
      <c r="E292" s="11" t="n">
        <v>1</v>
      </c>
      <c r="F292" s="11" t="n">
        <v>3</v>
      </c>
      <c r="G292" s="11" t="n">
        <v>3</v>
      </c>
      <c r="H292" s="8" t="n">
        <v>12.34</v>
      </c>
      <c r="I292" s="8">
        <f>G292*H292</f>
        <v/>
      </c>
      <c r="J292" s="8">
        <f>H292/E292</f>
        <v/>
      </c>
      <c r="K292" s="8" t="n">
        <v>11.52</v>
      </c>
      <c r="L292" s="8" t="n">
        <v>11.52</v>
      </c>
      <c r="M292" s="12">
        <f>J292/K292-1</f>
        <v/>
      </c>
      <c r="N292" s="7" t="inlineStr">
        <is>
          <t>ACIMA +7.1%</t>
        </is>
      </c>
      <c r="O292" s="7" t="inlineStr"/>
    </row>
    <row r="293">
      <c r="A293" s="7" t="n">
        <v>5603</v>
      </c>
      <c r="B293" s="7" t="inlineStr">
        <is>
          <t>9721</t>
        </is>
      </c>
      <c r="C293" s="10" t="inlineStr">
        <is>
          <t>7898767761684</t>
        </is>
      </c>
      <c r="D293" s="7" t="inlineStr">
        <is>
          <t>REHIDRAX PO C/04 ENVE AGUA DE COCO</t>
        </is>
      </c>
      <c r="E293" s="11" t="n">
        <v>1</v>
      </c>
      <c r="F293" s="11" t="n">
        <v>1</v>
      </c>
      <c r="G293" s="11" t="n">
        <v>1</v>
      </c>
      <c r="H293" s="8" t="n">
        <v>8.76</v>
      </c>
      <c r="I293" s="8">
        <f>G293*H293</f>
        <v/>
      </c>
      <c r="J293" s="8">
        <f>H293/E293</f>
        <v/>
      </c>
      <c r="K293" s="8" t="n">
        <v>8.07</v>
      </c>
      <c r="L293" s="8" t="n">
        <v>8.07</v>
      </c>
      <c r="M293" s="12">
        <f>J293/K293-1</f>
        <v/>
      </c>
      <c r="N293" s="7" t="inlineStr">
        <is>
          <t>ACIMA +8.6%</t>
        </is>
      </c>
      <c r="O293" s="7" t="inlineStr"/>
    </row>
    <row r="294">
      <c r="A294" s="7" t="n">
        <v>5903</v>
      </c>
      <c r="B294" s="7" t="inlineStr">
        <is>
          <t>9719</t>
        </is>
      </c>
      <c r="C294" s="10" t="inlineStr">
        <is>
          <t>7898767761707</t>
        </is>
      </c>
      <c r="D294" s="7" t="inlineStr">
        <is>
          <t>REHIDRAX PO C/04 ENVE LARANJA</t>
        </is>
      </c>
      <c r="E294" s="11" t="n">
        <v>1</v>
      </c>
      <c r="F294" s="11" t="n">
        <v>1</v>
      </c>
      <c r="G294" s="11" t="n">
        <v>1</v>
      </c>
      <c r="H294" s="8" t="n">
        <v>8.76</v>
      </c>
      <c r="I294" s="8">
        <f>G294*H294</f>
        <v/>
      </c>
      <c r="J294" s="8">
        <f>H294/E294</f>
        <v/>
      </c>
      <c r="K294" s="8" t="n">
        <v>8.07</v>
      </c>
      <c r="L294" s="8" t="n">
        <v>8.07</v>
      </c>
      <c r="M294" s="12">
        <f>J294/K294-1</f>
        <v/>
      </c>
      <c r="N294" s="7" t="inlineStr">
        <is>
          <t>ACIMA +8.6%</t>
        </is>
      </c>
      <c r="O294" s="7" t="inlineStr"/>
    </row>
    <row r="295">
      <c r="A295" s="7" t="n">
        <v>2193</v>
      </c>
      <c r="B295" s="7" t="inlineStr">
        <is>
          <t>4212</t>
        </is>
      </c>
      <c r="C295" s="10" t="inlineStr">
        <is>
          <t>7896902212497</t>
        </is>
      </c>
      <c r="D295" s="7" t="inlineStr">
        <is>
          <t>REPELENTE BABY FARMAX MOSKITOFF 100ML</t>
        </is>
      </c>
      <c r="E295" s="11" t="n">
        <v>1</v>
      </c>
      <c r="F295" s="11" t="n">
        <v>1</v>
      </c>
      <c r="G295" s="11" t="n">
        <v>1</v>
      </c>
      <c r="H295" s="8" t="n">
        <v>16.97</v>
      </c>
      <c r="I295" s="8">
        <f>G295*H295</f>
        <v/>
      </c>
      <c r="J295" s="8">
        <f>H295/E295</f>
        <v/>
      </c>
      <c r="K295" s="8" t="n">
        <v>20.39</v>
      </c>
      <c r="L295" s="8" t="n">
        <v>20.39</v>
      </c>
      <c r="M295" s="12">
        <f>J295/K295-1</f>
        <v/>
      </c>
      <c r="N295" s="7" t="inlineStr">
        <is>
          <t>OK (≤ menor hist.)</t>
        </is>
      </c>
      <c r="O295" s="7" t="inlineStr"/>
    </row>
    <row r="296">
      <c r="A296" s="7" t="n">
        <v>4701</v>
      </c>
      <c r="B296" s="7" t="inlineStr">
        <is>
          <t>1702</t>
        </is>
      </c>
      <c r="C296" s="10" t="inlineStr">
        <is>
          <t>7896004703954</t>
        </is>
      </c>
      <c r="D296" s="7" t="inlineStr">
        <is>
          <t>REPOPIL 35 2+0,035MG CX 21 COMP REV</t>
        </is>
      </c>
      <c r="E296" s="11" t="n">
        <v>1</v>
      </c>
      <c r="F296" s="11" t="n">
        <v>8</v>
      </c>
      <c r="G296" s="11" t="n">
        <v>8</v>
      </c>
      <c r="H296" s="8" t="n">
        <v>9.41</v>
      </c>
      <c r="I296" s="8">
        <f>G296*H296</f>
        <v/>
      </c>
      <c r="J296" s="8">
        <f>H296/E296</f>
        <v/>
      </c>
      <c r="K296" s="8" t="n">
        <v>8.869999999999999</v>
      </c>
      <c r="L296" s="8" t="n">
        <v>8.869999999999999</v>
      </c>
      <c r="M296" s="12">
        <f>J296/K296-1</f>
        <v/>
      </c>
      <c r="N296" s="7" t="inlineStr">
        <is>
          <t>ACIMA +6.1%</t>
        </is>
      </c>
      <c r="O296" s="7" t="inlineStr"/>
    </row>
    <row r="297">
      <c r="A297" s="7" t="n">
        <v>419001</v>
      </c>
      <c r="B297" s="7" t="inlineStr">
        <is>
          <t>4865</t>
        </is>
      </c>
      <c r="C297" s="10" t="inlineStr">
        <is>
          <t>7898569763916</t>
        </is>
      </c>
      <c r="D297" s="7" t="inlineStr">
        <is>
          <t>RISEDRONATO SODICO 150MG CX 1 COMP REV</t>
        </is>
      </c>
      <c r="E297" s="11" t="n">
        <v>1</v>
      </c>
      <c r="F297" s="11" t="n">
        <v>1</v>
      </c>
      <c r="G297" s="11" t="n">
        <v>1</v>
      </c>
      <c r="H297" s="8" t="n">
        <v>9.99</v>
      </c>
      <c r="I297" s="8">
        <f>G297*H297</f>
        <v/>
      </c>
      <c r="J297" s="8">
        <f>H297/E297</f>
        <v/>
      </c>
      <c r="K297" s="8" t="n">
        <v>18.43</v>
      </c>
      <c r="L297" s="8" t="n">
        <v>13.5</v>
      </c>
      <c r="M297" s="12">
        <f>J297/K297-1</f>
        <v/>
      </c>
      <c r="N297" s="7" t="inlineStr">
        <is>
          <t>OK (≤ menor hist.)</t>
        </is>
      </c>
      <c r="O297" s="7" t="inlineStr"/>
    </row>
    <row r="298">
      <c r="A298" s="7" t="n">
        <v>428101</v>
      </c>
      <c r="B298" s="7" t="inlineStr">
        <is>
          <t>4863</t>
        </is>
      </c>
      <c r="C298" s="10" t="inlineStr">
        <is>
          <t>7898569760458</t>
        </is>
      </c>
      <c r="D298" s="7" t="inlineStr">
        <is>
          <t>ROSUVASTATINA CALCICA 10MG CX 30 COMP REV</t>
        </is>
      </c>
      <c r="E298" s="11" t="n">
        <v>1</v>
      </c>
      <c r="F298" s="11" t="n">
        <v>1</v>
      </c>
      <c r="G298" s="11" t="n">
        <v>1</v>
      </c>
      <c r="H298" s="8" t="n">
        <v>7.3</v>
      </c>
      <c r="I298" s="8">
        <f>G298*H298</f>
        <v/>
      </c>
      <c r="J298" s="8">
        <f>H298/E298</f>
        <v/>
      </c>
      <c r="K298" s="8" t="n">
        <v>3.89</v>
      </c>
      <c r="L298" s="8" t="n">
        <v>3.89</v>
      </c>
      <c r="M298" s="12">
        <f>J298/K298-1</f>
        <v/>
      </c>
      <c r="N298" s="7" t="inlineStr">
        <is>
          <t>ACIMA +87.7%</t>
        </is>
      </c>
      <c r="O298" s="7" t="inlineStr"/>
    </row>
    <row r="299">
      <c r="A299" s="7" t="n">
        <v>428181</v>
      </c>
      <c r="B299" s="7" t="inlineStr">
        <is>
          <t>4862</t>
        </is>
      </c>
      <c r="C299" s="10" t="inlineStr">
        <is>
          <t>7898569760496</t>
        </is>
      </c>
      <c r="D299" s="7" t="inlineStr">
        <is>
          <t>ROSUVASTATINA CALCICA 20MG CX 30 COMP REV</t>
        </is>
      </c>
      <c r="E299" s="11" t="n">
        <v>1</v>
      </c>
      <c r="F299" s="11" t="n">
        <v>5</v>
      </c>
      <c r="G299" s="11" t="n">
        <v>5</v>
      </c>
      <c r="H299" s="8" t="n">
        <v>14.15</v>
      </c>
      <c r="I299" s="8">
        <f>G299*H299</f>
        <v/>
      </c>
      <c r="J299" s="8">
        <f>H299/E299</f>
        <v/>
      </c>
      <c r="K299" s="8" t="n">
        <v>6.83</v>
      </c>
      <c r="L299" s="8" t="n">
        <v>6.83</v>
      </c>
      <c r="M299" s="12">
        <f>J299/K299-1</f>
        <v/>
      </c>
      <c r="N299" s="7" t="inlineStr">
        <is>
          <t>ACIMA +107.2%</t>
        </is>
      </c>
      <c r="O299" s="7" t="inlineStr">
        <is>
          <t>conferir emb.</t>
        </is>
      </c>
    </row>
    <row r="300">
      <c r="A300" s="7" t="n">
        <v>667251</v>
      </c>
      <c r="B300" s="7" t="inlineStr">
        <is>
          <t>8084</t>
        </is>
      </c>
      <c r="C300" s="10" t="inlineStr">
        <is>
          <t>7898216366088</t>
        </is>
      </c>
      <c r="D300" s="7" t="inlineStr">
        <is>
          <t>ROSUVASTATINA CALCICA 5MG CX 30 COMP REV</t>
        </is>
      </c>
      <c r="E300" s="11" t="n">
        <v>1</v>
      </c>
      <c r="F300" s="11" t="n">
        <v>2</v>
      </c>
      <c r="G300" s="11" t="n">
        <v>2</v>
      </c>
      <c r="H300" s="8" t="n">
        <v>6.13</v>
      </c>
      <c r="I300" s="8">
        <f>G300*H300</f>
        <v/>
      </c>
      <c r="J300" s="8">
        <f>H300/E300</f>
        <v/>
      </c>
      <c r="K300" s="8" t="n">
        <v>5.9</v>
      </c>
      <c r="L300" s="8" t="n">
        <v>5.9</v>
      </c>
      <c r="M300" s="12">
        <f>J300/K300-1</f>
        <v/>
      </c>
      <c r="N300" s="7" t="inlineStr">
        <is>
          <t>ACIMA +3.9%</t>
        </is>
      </c>
      <c r="O300" s="7" t="inlineStr"/>
    </row>
    <row r="301">
      <c r="A301" s="7" t="n">
        <v>234</v>
      </c>
      <c r="B301" s="7" t="inlineStr">
        <is>
          <t>528</t>
        </is>
      </c>
      <c r="C301" s="10" t="inlineStr">
        <is>
          <t>7898277711421</t>
        </is>
      </c>
      <c r="D301" s="7" t="inlineStr">
        <is>
          <t>SAB DE COCO BARRA 100G</t>
        </is>
      </c>
      <c r="E301" s="11" t="n">
        <v>1</v>
      </c>
      <c r="F301" s="11" t="n">
        <v>1</v>
      </c>
      <c r="G301" s="11" t="n">
        <v>1</v>
      </c>
      <c r="H301" s="8" t="n">
        <v>5.74</v>
      </c>
      <c r="I301" s="8">
        <f>G301*H301</f>
        <v/>
      </c>
      <c r="J301" s="8">
        <f>H301/E301</f>
        <v/>
      </c>
      <c r="K301" s="8" t="n"/>
      <c r="L301" s="8" t="n"/>
      <c r="M301" s="12" t="n"/>
      <c r="N301" s="7" t="inlineStr">
        <is>
          <t>SEM HISTÓRICO</t>
        </is>
      </c>
      <c r="O301" s="7" t="inlineStr"/>
    </row>
    <row r="302">
      <c r="A302" s="7" t="n">
        <v>674361</v>
      </c>
      <c r="B302" s="7" t="inlineStr">
        <is>
          <t>7213</t>
        </is>
      </c>
      <c r="C302" s="10" t="inlineStr">
        <is>
          <t>7898936049049</t>
        </is>
      </c>
      <c r="D302" s="7" t="inlineStr">
        <is>
          <t>SABONETE INTIMO 17 ERVAS 210ML</t>
        </is>
      </c>
      <c r="E302" s="11" t="n">
        <v>1</v>
      </c>
      <c r="F302" s="11" t="n">
        <v>7</v>
      </c>
      <c r="G302" s="11" t="n">
        <v>7</v>
      </c>
      <c r="H302" s="8" t="n">
        <v>3.33</v>
      </c>
      <c r="I302" s="8">
        <f>G302*H302</f>
        <v/>
      </c>
      <c r="J302" s="8">
        <f>H302/E302</f>
        <v/>
      </c>
      <c r="K302" s="8" t="n">
        <v>3.35</v>
      </c>
      <c r="L302" s="8" t="n">
        <v>3.35</v>
      </c>
      <c r="M302" s="12">
        <f>J302/K302-1</f>
        <v/>
      </c>
      <c r="N302" s="7" t="inlineStr">
        <is>
          <t>OK (≤ menor hist.)</t>
        </is>
      </c>
      <c r="O302" s="7" t="inlineStr"/>
    </row>
    <row r="303">
      <c r="A303" s="7" t="n">
        <v>1503</v>
      </c>
      <c r="B303" s="7" t="inlineStr">
        <is>
          <t>7206</t>
        </is>
      </c>
      <c r="C303" s="10" t="inlineStr">
        <is>
          <t>7898936049735</t>
        </is>
      </c>
      <c r="D303" s="7" t="inlineStr">
        <is>
          <t>SABONETE INTIMO BARBATIMAO AROEIRA 210ML</t>
        </is>
      </c>
      <c r="E303" s="11" t="n">
        <v>1</v>
      </c>
      <c r="F303" s="11" t="n">
        <v>3</v>
      </c>
      <c r="G303" s="11" t="n">
        <v>3</v>
      </c>
      <c r="H303" s="8" t="n">
        <v>3.36</v>
      </c>
      <c r="I303" s="8">
        <f>G303*H303</f>
        <v/>
      </c>
      <c r="J303" s="8">
        <f>H303/E303</f>
        <v/>
      </c>
      <c r="K303" s="8" t="n">
        <v>3.38</v>
      </c>
      <c r="L303" s="8" t="n">
        <v>3.38</v>
      </c>
      <c r="M303" s="12">
        <f>J303/K303-1</f>
        <v/>
      </c>
      <c r="N303" s="7" t="inlineStr">
        <is>
          <t>OK (≤ menor hist.)</t>
        </is>
      </c>
      <c r="O303" s="7" t="inlineStr"/>
    </row>
    <row r="304">
      <c r="A304" s="7" t="n">
        <v>531721</v>
      </c>
      <c r="B304" s="7" t="inlineStr">
        <is>
          <t>157</t>
        </is>
      </c>
      <c r="C304" s="10" t="inlineStr">
        <is>
          <t>7898031311324</t>
        </is>
      </c>
      <c r="D304" s="7" t="inlineStr">
        <is>
          <t>SAL AMARGO 30G</t>
        </is>
      </c>
      <c r="E304" s="11" t="n">
        <v>1</v>
      </c>
      <c r="F304" s="11" t="n">
        <v>5</v>
      </c>
      <c r="G304" s="11" t="n">
        <v>5</v>
      </c>
      <c r="H304" s="8" t="n">
        <v>2.36</v>
      </c>
      <c r="I304" s="8">
        <f>G304*H304</f>
        <v/>
      </c>
      <c r="J304" s="8">
        <f>H304/E304</f>
        <v/>
      </c>
      <c r="K304" s="8" t="n">
        <v>2.49</v>
      </c>
      <c r="L304" s="8" t="n">
        <v>2.23</v>
      </c>
      <c r="M304" s="12">
        <f>J304/K304-1</f>
        <v/>
      </c>
      <c r="N304" s="7" t="inlineStr">
        <is>
          <t>OK (≤ últ. compra)</t>
        </is>
      </c>
      <c r="O304" s="7" t="inlineStr"/>
    </row>
    <row r="305">
      <c r="A305" s="7" t="n">
        <v>431481</v>
      </c>
      <c r="B305" s="7" t="inlineStr">
        <is>
          <t>1502</t>
        </is>
      </c>
      <c r="C305" s="10" t="inlineStr">
        <is>
          <t>7899620911857</t>
        </is>
      </c>
      <c r="D305" s="7" t="inlineStr">
        <is>
          <t>SECNIDAZOL 1000MG CX 2 COMP</t>
        </is>
      </c>
      <c r="E305" s="11" t="n">
        <v>1</v>
      </c>
      <c r="F305" s="11" t="n">
        <v>54</v>
      </c>
      <c r="G305" s="11" t="n">
        <v>54</v>
      </c>
      <c r="H305" s="8" t="n">
        <v>2.67</v>
      </c>
      <c r="I305" s="8">
        <f>G305*H305</f>
        <v/>
      </c>
      <c r="J305" s="8">
        <f>H305/E305</f>
        <v/>
      </c>
      <c r="K305" s="8" t="n">
        <v>2.65</v>
      </c>
      <c r="L305" s="8" t="n">
        <v>2.16</v>
      </c>
      <c r="M305" s="12">
        <f>J305/K305-1</f>
        <v/>
      </c>
      <c r="N305" s="7" t="inlineStr">
        <is>
          <t>ACIMA +0.8%</t>
        </is>
      </c>
      <c r="O305" s="7" t="inlineStr"/>
    </row>
    <row r="306">
      <c r="A306" s="7" t="n">
        <v>432121</v>
      </c>
      <c r="B306" s="7" t="inlineStr">
        <is>
          <t>253</t>
        </is>
      </c>
      <c r="C306" s="10" t="inlineStr">
        <is>
          <t>7898060138220</t>
        </is>
      </c>
      <c r="D306" s="7" t="inlineStr">
        <is>
          <t>SECNIMAX 1000MG CX 2 COMP</t>
        </is>
      </c>
      <c r="E306" s="11" t="n">
        <v>1</v>
      </c>
      <c r="F306" s="11" t="n">
        <v>134</v>
      </c>
      <c r="G306" s="11" t="n">
        <v>134</v>
      </c>
      <c r="H306" s="8" t="n">
        <v>2.61</v>
      </c>
      <c r="I306" s="8">
        <f>G306*H306</f>
        <v/>
      </c>
      <c r="J306" s="8">
        <f>H306/E306</f>
        <v/>
      </c>
      <c r="K306" s="8" t="n">
        <v>2.49</v>
      </c>
      <c r="L306" s="8" t="n">
        <v>2.39</v>
      </c>
      <c r="M306" s="12">
        <f>J306/K306-1</f>
        <v/>
      </c>
      <c r="N306" s="7" t="inlineStr">
        <is>
          <t>ACIMA +4.8%</t>
        </is>
      </c>
      <c r="O306" s="7" t="inlineStr"/>
    </row>
    <row r="307">
      <c r="A307" s="7" t="n">
        <v>671301</v>
      </c>
      <c r="B307" s="7" t="inlineStr">
        <is>
          <t>8808</t>
        </is>
      </c>
      <c r="C307" s="10" t="inlineStr">
        <is>
          <t>7898652375736</t>
        </is>
      </c>
      <c r="D307" s="7" t="inlineStr">
        <is>
          <t>SERINGA 20ML LL AGULHA 0,7X25</t>
        </is>
      </c>
      <c r="E307" s="11" t="n">
        <v>1</v>
      </c>
      <c r="F307" s="11" t="n">
        <v>24</v>
      </c>
      <c r="G307" s="11" t="n">
        <v>24</v>
      </c>
      <c r="H307" s="8" t="n">
        <v>0.89</v>
      </c>
      <c r="I307" s="8">
        <f>G307*H307</f>
        <v/>
      </c>
      <c r="J307" s="8">
        <f>H307/E307</f>
        <v/>
      </c>
      <c r="K307" s="8" t="n">
        <v>0.59</v>
      </c>
      <c r="L307" s="8" t="n">
        <v>0.59</v>
      </c>
      <c r="M307" s="12">
        <f>J307/K307-1</f>
        <v/>
      </c>
      <c r="N307" s="7" t="inlineStr">
        <is>
          <t>ACIMA +50.8%</t>
        </is>
      </c>
      <c r="O307" s="7" t="inlineStr"/>
    </row>
    <row r="308">
      <c r="A308" s="7" t="n">
        <v>639041</v>
      </c>
      <c r="B308" s="7" t="inlineStr">
        <is>
          <t>7222</t>
        </is>
      </c>
      <c r="C308" s="10" t="inlineStr">
        <is>
          <t>7898259496001</t>
        </is>
      </c>
      <c r="D308" s="7" t="inlineStr">
        <is>
          <t>SERINGA 20ML LL AGULHA 0,7X25</t>
        </is>
      </c>
      <c r="E308" s="11" t="n">
        <v>1</v>
      </c>
      <c r="F308" s="11" t="n">
        <v>76</v>
      </c>
      <c r="G308" s="11" t="n">
        <v>76</v>
      </c>
      <c r="H308" s="8" t="n">
        <v>0.57</v>
      </c>
      <c r="I308" s="8">
        <f>G308*H308</f>
        <v/>
      </c>
      <c r="J308" s="8">
        <f>H308/E308</f>
        <v/>
      </c>
      <c r="K308" s="8" t="n">
        <v>0.64</v>
      </c>
      <c r="L308" s="8" t="n">
        <v>0.64</v>
      </c>
      <c r="M308" s="12">
        <f>J308/K308-1</f>
        <v/>
      </c>
      <c r="N308" s="7" t="inlineStr">
        <is>
          <t>OK (≤ menor hist.)</t>
        </is>
      </c>
      <c r="O308" s="7" t="inlineStr"/>
    </row>
    <row r="309">
      <c r="A309" s="7" t="n">
        <v>538261</v>
      </c>
      <c r="B309" s="7" t="inlineStr">
        <is>
          <t>5157</t>
        </is>
      </c>
      <c r="C309" s="10" t="inlineStr">
        <is>
          <t>7894164005611</t>
        </is>
      </c>
      <c r="D309" s="7" t="inlineStr">
        <is>
          <t>SILUSGEL SUS 100ML</t>
        </is>
      </c>
      <c r="E309" s="11" t="n">
        <v>1</v>
      </c>
      <c r="F309" s="11" t="n">
        <v>4</v>
      </c>
      <c r="G309" s="11" t="n">
        <v>4</v>
      </c>
      <c r="H309" s="8" t="n">
        <v>7.98</v>
      </c>
      <c r="I309" s="8">
        <f>G309*H309</f>
        <v/>
      </c>
      <c r="J309" s="8">
        <f>H309/E309</f>
        <v/>
      </c>
      <c r="K309" s="8" t="n">
        <v>7.68</v>
      </c>
      <c r="L309" s="8" t="n">
        <v>7.63</v>
      </c>
      <c r="M309" s="12">
        <f>J309/K309-1</f>
        <v/>
      </c>
      <c r="N309" s="7" t="inlineStr">
        <is>
          <t>ACIMA +3.9%</t>
        </is>
      </c>
      <c r="O309" s="7" t="inlineStr"/>
    </row>
    <row r="310">
      <c r="A310" s="7" t="n">
        <v>619851</v>
      </c>
      <c r="B310" s="7" t="inlineStr">
        <is>
          <t>3550</t>
        </is>
      </c>
      <c r="C310" s="10" t="inlineStr">
        <is>
          <t>7899620912441</t>
        </is>
      </c>
      <c r="D310" s="7" t="inlineStr">
        <is>
          <t>SIMETICONA (N.S.) 40MG CX 20 COMP</t>
        </is>
      </c>
      <c r="E310" s="11" t="n">
        <v>1</v>
      </c>
      <c r="F310" s="11" t="n">
        <v>16</v>
      </c>
      <c r="G310" s="11" t="n">
        <v>16</v>
      </c>
      <c r="H310" s="8" t="n">
        <v>2.97</v>
      </c>
      <c r="I310" s="8">
        <f>G310*H310</f>
        <v/>
      </c>
      <c r="J310" s="8">
        <f>H310/E310</f>
        <v/>
      </c>
      <c r="K310" s="8" t="n">
        <v>2.97</v>
      </c>
      <c r="L310" s="8" t="n">
        <v>2.97</v>
      </c>
      <c r="M310" s="12">
        <f>J310/K310-1</f>
        <v/>
      </c>
      <c r="N310" s="7" t="inlineStr">
        <is>
          <t>OK (≤ menor hist.)</t>
        </is>
      </c>
      <c r="O310" s="7" t="inlineStr"/>
    </row>
    <row r="311">
      <c r="A311" s="7" t="n">
        <v>436201</v>
      </c>
      <c r="B311" s="7" t="inlineStr">
        <is>
          <t>3671</t>
        </is>
      </c>
      <c r="C311" s="10" t="inlineStr">
        <is>
          <t>7899620911079</t>
        </is>
      </c>
      <c r="D311" s="7" t="inlineStr">
        <is>
          <t>SINVASTATINA 40MG CX 30 COMP REV</t>
        </is>
      </c>
      <c r="E311" s="11" t="n">
        <v>1</v>
      </c>
      <c r="F311" s="11" t="n">
        <v>3</v>
      </c>
      <c r="G311" s="11" t="n">
        <v>3</v>
      </c>
      <c r="H311" s="8" t="n">
        <v>6.13</v>
      </c>
      <c r="I311" s="8">
        <f>G311*H311</f>
        <v/>
      </c>
      <c r="J311" s="8">
        <f>H311/E311</f>
        <v/>
      </c>
      <c r="K311" s="8" t="n">
        <v>5.79</v>
      </c>
      <c r="L311" s="8" t="n">
        <v>5.79</v>
      </c>
      <c r="M311" s="12">
        <f>J311/K311-1</f>
        <v/>
      </c>
      <c r="N311" s="7" t="inlineStr">
        <is>
          <t>ACIMA +5.9%</t>
        </is>
      </c>
      <c r="O311" s="7" t="inlineStr"/>
    </row>
    <row r="312">
      <c r="A312" s="7" t="n">
        <v>588661</v>
      </c>
      <c r="B312" s="7" t="inlineStr">
        <is>
          <t>7576</t>
        </is>
      </c>
      <c r="C312" s="10" t="inlineStr">
        <is>
          <t>7898031310594</t>
        </is>
      </c>
      <c r="D312" s="7" t="inlineStr">
        <is>
          <t>SOLUCAO FISIOLOGICA 0,9% 250ML UN</t>
        </is>
      </c>
      <c r="E312" s="11" t="n">
        <v>1</v>
      </c>
      <c r="F312" s="11" t="n">
        <v>4</v>
      </c>
      <c r="G312" s="11" t="n">
        <v>4</v>
      </c>
      <c r="H312" s="8" t="n">
        <v>3.585</v>
      </c>
      <c r="I312" s="8">
        <f>G312*H312</f>
        <v/>
      </c>
      <c r="J312" s="8">
        <f>H312/E312</f>
        <v/>
      </c>
      <c r="K312" s="8" t="n">
        <v>3.09</v>
      </c>
      <c r="L312" s="8" t="n">
        <v>3.09</v>
      </c>
      <c r="M312" s="12">
        <f>J312/K312-1</f>
        <v/>
      </c>
      <c r="N312" s="7" t="inlineStr">
        <is>
          <t>ACIMA +16.0%</t>
        </is>
      </c>
      <c r="O312" s="7" t="inlineStr"/>
    </row>
    <row r="313">
      <c r="A313" s="7" t="n">
        <v>558381</v>
      </c>
      <c r="B313" s="7" t="inlineStr">
        <is>
          <t>321</t>
        </is>
      </c>
      <c r="C313" s="10" t="inlineStr">
        <is>
          <t>7896902212152</t>
        </is>
      </c>
      <c r="D313" s="7" t="inlineStr">
        <is>
          <t>SOLUCAO SORIMAX 100 ML</t>
        </is>
      </c>
      <c r="E313" s="11" t="n">
        <v>1</v>
      </c>
      <c r="F313" s="11" t="n">
        <v>50</v>
      </c>
      <c r="G313" s="11" t="n">
        <v>50</v>
      </c>
      <c r="H313" s="8" t="n">
        <v>2.72</v>
      </c>
      <c r="I313" s="8">
        <f>G313*H313</f>
        <v/>
      </c>
      <c r="J313" s="8">
        <f>H313/E313</f>
        <v/>
      </c>
      <c r="K313" s="8" t="n">
        <v>2.69</v>
      </c>
      <c r="L313" s="8" t="n">
        <v>2.69</v>
      </c>
      <c r="M313" s="12">
        <f>J313/K313-1</f>
        <v/>
      </c>
      <c r="N313" s="7" t="inlineStr">
        <is>
          <t>ACIMA +1.1%</t>
        </is>
      </c>
      <c r="O313" s="7" t="inlineStr"/>
    </row>
    <row r="314">
      <c r="A314" s="7" t="n">
        <v>614021</v>
      </c>
      <c r="B314" s="7" t="inlineStr">
        <is>
          <t>8240</t>
        </is>
      </c>
      <c r="C314" s="10" t="inlineStr">
        <is>
          <t>7897732608146</t>
        </is>
      </c>
      <c r="D314" s="7" t="inlineStr">
        <is>
          <t>SORALYT 450ML SABOR MORANGO</t>
        </is>
      </c>
      <c r="E314" s="11" t="n">
        <v>1</v>
      </c>
      <c r="F314" s="11" t="n">
        <v>7</v>
      </c>
      <c r="G314" s="11" t="n">
        <v>7</v>
      </c>
      <c r="H314" s="8" t="n">
        <v>6.67</v>
      </c>
      <c r="I314" s="8">
        <f>G314*H314</f>
        <v/>
      </c>
      <c r="J314" s="8">
        <f>H314/E314</f>
        <v/>
      </c>
      <c r="K314" s="8" t="n">
        <v>6.55</v>
      </c>
      <c r="L314" s="8" t="n">
        <v>6.55</v>
      </c>
      <c r="M314" s="12">
        <f>J314/K314-1</f>
        <v/>
      </c>
      <c r="N314" s="7" t="inlineStr">
        <is>
          <t>ACIMA +1.8%</t>
        </is>
      </c>
      <c r="O314" s="7" t="inlineStr"/>
    </row>
    <row r="315">
      <c r="A315" s="7" t="n">
        <v>531861</v>
      </c>
      <c r="B315" s="7" t="inlineStr">
        <is>
          <t>809</t>
        </is>
      </c>
      <c r="C315" s="10" t="inlineStr">
        <is>
          <t>7898031310389</t>
        </is>
      </c>
      <c r="D315" s="7" t="inlineStr">
        <is>
          <t>SORO FISIOLOGICO 9% 100ML</t>
        </is>
      </c>
      <c r="E315" s="11" t="n">
        <v>1</v>
      </c>
      <c r="F315" s="11" t="n">
        <v>103</v>
      </c>
      <c r="G315" s="11" t="n">
        <v>103</v>
      </c>
      <c r="H315" s="8" t="n">
        <v>2.28</v>
      </c>
      <c r="I315" s="8">
        <f>G315*H315</f>
        <v/>
      </c>
      <c r="J315" s="8">
        <f>H315/E315</f>
        <v/>
      </c>
      <c r="K315" s="8" t="n">
        <v>2.27</v>
      </c>
      <c r="L315" s="8" t="n">
        <v>2.0228</v>
      </c>
      <c r="M315" s="12">
        <f>J315/K315-1</f>
        <v/>
      </c>
      <c r="N315" s="7" t="inlineStr">
        <is>
          <t>ACIMA +0.4%</t>
        </is>
      </c>
      <c r="O315" s="7" t="inlineStr"/>
    </row>
    <row r="316">
      <c r="A316" s="7" t="n">
        <v>616441</v>
      </c>
      <c r="B316" s="7" t="inlineStr">
        <is>
          <t>10045</t>
        </is>
      </c>
      <c r="C316" s="10" t="inlineStr">
        <is>
          <t>7896523201542</t>
        </is>
      </c>
      <c r="D316" s="7" t="inlineStr">
        <is>
          <t>SUCCINATO METOPROLOL 100MG CX 30 COMP REV</t>
        </is>
      </c>
      <c r="E316" s="11" t="n">
        <v>1</v>
      </c>
      <c r="F316" s="11" t="n">
        <v>1</v>
      </c>
      <c r="G316" s="11" t="n">
        <v>1</v>
      </c>
      <c r="H316" s="8" t="n">
        <v>0.01</v>
      </c>
      <c r="I316" s="8">
        <f>G316*H316</f>
        <v/>
      </c>
      <c r="J316" s="8">
        <f>H316/E316</f>
        <v/>
      </c>
      <c r="K316" s="8" t="n">
        <v>18.99</v>
      </c>
      <c r="L316" s="8" t="n">
        <v>17.03</v>
      </c>
      <c r="M316" s="12">
        <f>J316/K316-1</f>
        <v/>
      </c>
      <c r="N316" s="7" t="inlineStr">
        <is>
          <t>OK (≤ menor hist.)</t>
        </is>
      </c>
      <c r="O316" s="7" t="inlineStr">
        <is>
          <t>conferir emb.</t>
        </is>
      </c>
    </row>
    <row r="317">
      <c r="A317" s="7" t="n">
        <v>691001</v>
      </c>
      <c r="B317" s="7" t="inlineStr">
        <is>
          <t>8698</t>
        </is>
      </c>
      <c r="C317" s="10" t="inlineStr">
        <is>
          <t>7898575780792</t>
        </is>
      </c>
      <c r="D317" s="7" t="inlineStr">
        <is>
          <t>SULFATO FERROSO 125MG 120ML SUS..</t>
        </is>
      </c>
      <c r="E317" s="11" t="n">
        <v>1</v>
      </c>
      <c r="F317" s="11" t="n">
        <v>9</v>
      </c>
      <c r="G317" s="11" t="n">
        <v>9</v>
      </c>
      <c r="H317" s="8" t="n">
        <v>4.04</v>
      </c>
      <c r="I317" s="8">
        <f>G317*H317</f>
        <v/>
      </c>
      <c r="J317" s="8">
        <f>H317/E317</f>
        <v/>
      </c>
      <c r="K317" s="8" t="n">
        <v>4.04</v>
      </c>
      <c r="L317" s="8" t="n">
        <v>4.04</v>
      </c>
      <c r="M317" s="12">
        <f>J317/K317-1</f>
        <v/>
      </c>
      <c r="N317" s="7" t="inlineStr">
        <is>
          <t>OK (≤ menor hist.)</t>
        </is>
      </c>
      <c r="O317" s="7" t="inlineStr"/>
    </row>
    <row r="318">
      <c r="A318" s="7" t="n">
        <v>3593</v>
      </c>
      <c r="B318" s="7" t="inlineStr">
        <is>
          <t>8743</t>
        </is>
      </c>
      <c r="C318" s="10" t="inlineStr">
        <is>
          <t>7898575780808</t>
        </is>
      </c>
      <c r="D318" s="7" t="inlineStr">
        <is>
          <t>SULFATO FERROSO 125MG 30ML GTS</t>
        </is>
      </c>
      <c r="E318" s="11" t="n">
        <v>1</v>
      </c>
      <c r="F318" s="11" t="n">
        <v>3</v>
      </c>
      <c r="G318" s="11" t="n">
        <v>3</v>
      </c>
      <c r="H318" s="8" t="n">
        <v>2.69</v>
      </c>
      <c r="I318" s="8">
        <f>G318*H318</f>
        <v/>
      </c>
      <c r="J318" s="8">
        <f>H318/E318</f>
        <v/>
      </c>
      <c r="K318" s="8" t="n">
        <v>2.69</v>
      </c>
      <c r="L318" s="8" t="n">
        <v>2.69</v>
      </c>
      <c r="M318" s="12">
        <f>J318/K318-1</f>
        <v/>
      </c>
      <c r="N318" s="7" t="inlineStr">
        <is>
          <t>OK (≤ menor hist.)</t>
        </is>
      </c>
      <c r="O318" s="7" t="inlineStr"/>
    </row>
    <row r="319">
      <c r="A319" s="7" t="n">
        <v>548381</v>
      </c>
      <c r="B319" s="7" t="inlineStr">
        <is>
          <t>1422</t>
        </is>
      </c>
      <c r="C319" s="10" t="inlineStr">
        <is>
          <t>7897146600255</t>
        </is>
      </c>
      <c r="D319" s="7" t="inlineStr">
        <is>
          <t>SULFATO FERROSO 200MG C/50 CPR</t>
        </is>
      </c>
      <c r="E319" s="11" t="n">
        <v>1</v>
      </c>
      <c r="F319" s="11" t="n">
        <v>7</v>
      </c>
      <c r="G319" s="11" t="n">
        <v>7</v>
      </c>
      <c r="H319" s="8" t="n">
        <v>4.37</v>
      </c>
      <c r="I319" s="8">
        <f>G319*H319</f>
        <v/>
      </c>
      <c r="J319" s="8">
        <f>H319/E319</f>
        <v/>
      </c>
      <c r="K319" s="8" t="n">
        <v>4.37</v>
      </c>
      <c r="L319" s="8" t="n">
        <v>4.37</v>
      </c>
      <c r="M319" s="12">
        <f>J319/K319-1</f>
        <v/>
      </c>
      <c r="N319" s="7" t="inlineStr">
        <is>
          <t>OK (≤ menor hist.)</t>
        </is>
      </c>
      <c r="O319" s="7" t="inlineStr"/>
    </row>
    <row r="320">
      <c r="A320" s="7" t="n">
        <v>612291</v>
      </c>
      <c r="B320" s="7" t="inlineStr">
        <is>
          <t>4795</t>
        </is>
      </c>
      <c r="C320" s="10" t="inlineStr">
        <is>
          <t>7894164005802</t>
        </is>
      </c>
      <c r="D320" s="7" t="inlineStr">
        <is>
          <t>SULFERMAX GTS 30ML (SULFATO FERROSO)</t>
        </is>
      </c>
      <c r="E320" s="11" t="n">
        <v>1</v>
      </c>
      <c r="F320" s="11" t="n">
        <v>3</v>
      </c>
      <c r="G320" s="11" t="n">
        <v>3</v>
      </c>
      <c r="H320" s="8" t="n">
        <v>3.29</v>
      </c>
      <c r="I320" s="8">
        <f>G320*H320</f>
        <v/>
      </c>
      <c r="J320" s="8">
        <f>H320/E320</f>
        <v/>
      </c>
      <c r="K320" s="8" t="n">
        <v>3.17</v>
      </c>
      <c r="L320" s="8" t="n">
        <v>3.08</v>
      </c>
      <c r="M320" s="12">
        <f>J320/K320-1</f>
        <v/>
      </c>
      <c r="N320" s="7" t="inlineStr">
        <is>
          <t>ACIMA +3.8%</t>
        </is>
      </c>
      <c r="O320" s="7" t="inlineStr"/>
    </row>
    <row r="321">
      <c r="A321" s="7" t="n">
        <v>457261</v>
      </c>
      <c r="B321" s="7" t="inlineStr">
        <is>
          <t>3901</t>
        </is>
      </c>
      <c r="C321" s="10" t="inlineStr">
        <is>
          <t>7895296240031</t>
        </is>
      </c>
      <c r="D321" s="7" t="inlineStr">
        <is>
          <t>TADALAFILA 5MG CX 2BL X 15 COMP REV</t>
        </is>
      </c>
      <c r="E321" s="11" t="n">
        <v>1</v>
      </c>
      <c r="F321" s="11" t="n">
        <v>2</v>
      </c>
      <c r="G321" s="11" t="n">
        <v>2</v>
      </c>
      <c r="H321" s="8" t="n">
        <v>3.74</v>
      </c>
      <c r="I321" s="8">
        <f>G321*H321</f>
        <v/>
      </c>
      <c r="J321" s="8">
        <f>H321/E321</f>
        <v/>
      </c>
      <c r="K321" s="8" t="n">
        <v>3.74</v>
      </c>
      <c r="L321" s="8" t="n">
        <v>3.74</v>
      </c>
      <c r="M321" s="12">
        <f>J321/K321-1</f>
        <v/>
      </c>
      <c r="N321" s="7" t="inlineStr">
        <is>
          <t>OK (≤ menor hist.)</t>
        </is>
      </c>
      <c r="O321" s="7" t="inlineStr"/>
    </row>
    <row r="322">
      <c r="A322" s="7" t="n">
        <v>201</v>
      </c>
      <c r="B322" s="7" t="inlineStr">
        <is>
          <t>1442</t>
        </is>
      </c>
      <c r="C322" s="10" t="inlineStr">
        <is>
          <t>7893454100678</t>
        </is>
      </c>
      <c r="D322" s="7" t="inlineStr">
        <is>
          <t>TANDENE 125+50+300+30MG CX 15 COMP</t>
        </is>
      </c>
      <c r="E322" s="11" t="n">
        <v>1</v>
      </c>
      <c r="F322" s="11" t="n">
        <v>26</v>
      </c>
      <c r="G322" s="11" t="n">
        <v>26</v>
      </c>
      <c r="H322" s="8" t="n">
        <v>4.26</v>
      </c>
      <c r="I322" s="8">
        <f>G322*H322</f>
        <v/>
      </c>
      <c r="J322" s="8">
        <f>H322/E322</f>
        <v/>
      </c>
      <c r="K322" s="8" t="n">
        <v>3.91</v>
      </c>
      <c r="L322" s="8" t="n">
        <v>3.77</v>
      </c>
      <c r="M322" s="12">
        <f>J322/K322-1</f>
        <v/>
      </c>
      <c r="N322" s="7" t="inlineStr">
        <is>
          <t>ACIMA +9.0%</t>
        </is>
      </c>
      <c r="O322" s="7" t="inlineStr"/>
    </row>
    <row r="323">
      <c r="A323" s="7" t="n">
        <v>82461</v>
      </c>
      <c r="B323" s="7" t="inlineStr">
        <is>
          <t>383</t>
        </is>
      </c>
      <c r="C323" s="10" t="inlineStr">
        <is>
          <t>7893454100685</t>
        </is>
      </c>
      <c r="D323" s="7" t="inlineStr">
        <is>
          <t>TANDENE 125+50+300+30MG CX 30 COMP</t>
        </is>
      </c>
      <c r="E323" s="11" t="n">
        <v>1</v>
      </c>
      <c r="F323" s="11" t="n">
        <v>6</v>
      </c>
      <c r="G323" s="11" t="n">
        <v>6</v>
      </c>
      <c r="H323" s="8" t="n">
        <v>8.68</v>
      </c>
      <c r="I323" s="8">
        <f>G323*H323</f>
        <v/>
      </c>
      <c r="J323" s="8">
        <f>H323/E323</f>
        <v/>
      </c>
      <c r="K323" s="8" t="n">
        <v>7.95</v>
      </c>
      <c r="L323" s="8" t="n">
        <v>7.95</v>
      </c>
      <c r="M323" s="12">
        <f>J323/K323-1</f>
        <v/>
      </c>
      <c r="N323" s="7" t="inlineStr">
        <is>
          <t>ACIMA +9.2%</t>
        </is>
      </c>
      <c r="O323" s="7" t="inlineStr"/>
    </row>
    <row r="324">
      <c r="A324" s="7" t="n">
        <v>460261</v>
      </c>
      <c r="B324" s="7" t="inlineStr">
        <is>
          <t>6983</t>
        </is>
      </c>
      <c r="C324" s="10" t="inlineStr">
        <is>
          <t>7898569762858</t>
        </is>
      </c>
      <c r="D324" s="7" t="inlineStr">
        <is>
          <t>TELMISARTANA 80MG CX 30 COMP</t>
        </is>
      </c>
      <c r="E324" s="11" t="n">
        <v>1</v>
      </c>
      <c r="F324" s="11" t="n">
        <v>1</v>
      </c>
      <c r="G324" s="11" t="n">
        <v>1</v>
      </c>
      <c r="H324" s="8" t="n">
        <v>49.73</v>
      </c>
      <c r="I324" s="8">
        <f>G324*H324</f>
        <v/>
      </c>
      <c r="J324" s="8">
        <f>H324/E324</f>
        <v/>
      </c>
      <c r="K324" s="8" t="n">
        <v>41.255</v>
      </c>
      <c r="L324" s="8" t="n">
        <v>41.255</v>
      </c>
      <c r="M324" s="12">
        <f>J324/K324-1</f>
        <v/>
      </c>
      <c r="N324" s="7" t="inlineStr">
        <is>
          <t>ACIMA +20.5%</t>
        </is>
      </c>
      <c r="O324" s="7" t="inlineStr"/>
    </row>
    <row r="325">
      <c r="A325" s="7" t="n">
        <v>601291</v>
      </c>
      <c r="B325" s="7" t="inlineStr">
        <is>
          <t>4759</t>
        </is>
      </c>
      <c r="C325" s="10" t="inlineStr">
        <is>
          <t>7898301056955</t>
        </is>
      </c>
      <c r="D325" s="7" t="inlineStr">
        <is>
          <t>TERMOMETRO CLIN. DIG. AZUL G-TECH</t>
        </is>
      </c>
      <c r="E325" s="11" t="n">
        <v>1</v>
      </c>
      <c r="F325" s="11" t="n">
        <v>1</v>
      </c>
      <c r="G325" s="11" t="n">
        <v>1</v>
      </c>
      <c r="H325" s="8" t="n">
        <v>13.33</v>
      </c>
      <c r="I325" s="8">
        <f>G325*H325</f>
        <v/>
      </c>
      <c r="J325" s="8">
        <f>H325/E325</f>
        <v/>
      </c>
      <c r="K325" s="8" t="n">
        <v>12.56</v>
      </c>
      <c r="L325" s="8" t="n">
        <v>12.56</v>
      </c>
      <c r="M325" s="12">
        <f>J325/K325-1</f>
        <v/>
      </c>
      <c r="N325" s="7" t="inlineStr">
        <is>
          <t>ACIMA +6.1%</t>
        </is>
      </c>
      <c r="O325" s="7" t="inlineStr"/>
    </row>
    <row r="326">
      <c r="A326" s="7" t="n">
        <v>578801</v>
      </c>
      <c r="B326" s="7" t="inlineStr">
        <is>
          <t>4760</t>
        </is>
      </c>
      <c r="C326" s="10" t="inlineStr">
        <is>
          <t>7898301056986</t>
        </is>
      </c>
      <c r="D326" s="7" t="inlineStr">
        <is>
          <t>TERMOMETRO DIGITAL CLINICO TH150 LARANJA</t>
        </is>
      </c>
      <c r="E326" s="11" t="n">
        <v>1</v>
      </c>
      <c r="F326" s="11" t="n">
        <v>1</v>
      </c>
      <c r="G326" s="11" t="n">
        <v>1</v>
      </c>
      <c r="H326" s="8" t="n">
        <v>11.88</v>
      </c>
      <c r="I326" s="8">
        <f>G326*H326</f>
        <v/>
      </c>
      <c r="J326" s="8">
        <f>H326/E326</f>
        <v/>
      </c>
      <c r="K326" s="8" t="n">
        <v>12.59</v>
      </c>
      <c r="L326" s="8" t="n">
        <v>12.59</v>
      </c>
      <c r="M326" s="12">
        <f>J326/K326-1</f>
        <v/>
      </c>
      <c r="N326" s="7" t="inlineStr">
        <is>
          <t>OK (≤ menor hist.)</t>
        </is>
      </c>
      <c r="O326" s="7" t="inlineStr"/>
    </row>
    <row r="327">
      <c r="A327" s="7" t="n">
        <v>543341</v>
      </c>
      <c r="B327" s="7" t="inlineStr">
        <is>
          <t>4761</t>
        </is>
      </c>
      <c r="C327" s="10" t="inlineStr">
        <is>
          <t>7898301056979</t>
        </is>
      </c>
      <c r="D327" s="7" t="inlineStr">
        <is>
          <t>TERMOMETRO DIGITAL G-TECH ROSA UNIDADE</t>
        </is>
      </c>
      <c r="E327" s="11" t="n">
        <v>1</v>
      </c>
      <c r="F327" s="11" t="n">
        <v>1</v>
      </c>
      <c r="G327" s="11" t="n">
        <v>1</v>
      </c>
      <c r="H327" s="8" t="n">
        <v>13.33</v>
      </c>
      <c r="I327" s="8">
        <f>G327*H327</f>
        <v/>
      </c>
      <c r="J327" s="8">
        <f>H327/E327</f>
        <v/>
      </c>
      <c r="K327" s="8" t="n">
        <v>12.59</v>
      </c>
      <c r="L327" s="8" t="n">
        <v>12.59</v>
      </c>
      <c r="M327" s="12">
        <f>J327/K327-1</f>
        <v/>
      </c>
      <c r="N327" s="7" t="inlineStr">
        <is>
          <t>ACIMA +5.9%</t>
        </is>
      </c>
      <c r="O327" s="7" t="inlineStr"/>
    </row>
    <row r="328">
      <c r="A328" s="7" t="n">
        <v>543361</v>
      </c>
      <c r="B328" s="7" t="inlineStr">
        <is>
          <t>4762</t>
        </is>
      </c>
      <c r="C328" s="10" t="inlineStr">
        <is>
          <t>7898301056962</t>
        </is>
      </c>
      <c r="D328" s="7" t="inlineStr">
        <is>
          <t>TERMÔMETRO DIGITAL G-TECH COM PONTA RIGIDA THGTH150V - VERDE</t>
        </is>
      </c>
      <c r="E328" s="11" t="n">
        <v>1</v>
      </c>
      <c r="F328" s="11" t="n">
        <v>1</v>
      </c>
      <c r="G328" s="11" t="n">
        <v>1</v>
      </c>
      <c r="H328" s="8" t="n">
        <v>13.33</v>
      </c>
      <c r="I328" s="8">
        <f>G328*H328</f>
        <v/>
      </c>
      <c r="J328" s="8">
        <f>H328/E328</f>
        <v/>
      </c>
      <c r="K328" s="8" t="n">
        <v>12.59</v>
      </c>
      <c r="L328" s="8" t="n">
        <v>12.59</v>
      </c>
      <c r="M328" s="12">
        <f>J328/K328-1</f>
        <v/>
      </c>
      <c r="N328" s="7" t="inlineStr">
        <is>
          <t>ACIMA +5.9%</t>
        </is>
      </c>
      <c r="O328" s="7" t="inlineStr"/>
    </row>
    <row r="329">
      <c r="A329" s="7" t="n">
        <v>532641</v>
      </c>
      <c r="B329" s="7" t="inlineStr">
        <is>
          <t>271</t>
        </is>
      </c>
      <c r="C329" s="10" t="inlineStr">
        <is>
          <t>7898126050022</t>
        </is>
      </c>
      <c r="D329" s="7" t="inlineStr">
        <is>
          <t>TESTE CONFIRME C/01 UND</t>
        </is>
      </c>
      <c r="E329" s="11" t="n">
        <v>1</v>
      </c>
      <c r="F329" s="11" t="n">
        <v>4</v>
      </c>
      <c r="G329" s="11" t="n">
        <v>4</v>
      </c>
      <c r="H329" s="8" t="n">
        <v>1.69</v>
      </c>
      <c r="I329" s="8">
        <f>G329*H329</f>
        <v/>
      </c>
      <c r="J329" s="8">
        <f>H329/E329</f>
        <v/>
      </c>
      <c r="K329" s="8" t="n">
        <v>1.69</v>
      </c>
      <c r="L329" s="8" t="n">
        <v>1.69</v>
      </c>
      <c r="M329" s="12">
        <f>J329/K329-1</f>
        <v/>
      </c>
      <c r="N329" s="7" t="inlineStr">
        <is>
          <t>OK (≤ menor hist.)</t>
        </is>
      </c>
      <c r="O329" s="7" t="inlineStr"/>
    </row>
    <row r="330">
      <c r="A330" s="7" t="n">
        <v>591661</v>
      </c>
      <c r="B330" s="7" t="inlineStr">
        <is>
          <t>228</t>
        </is>
      </c>
      <c r="C330" s="10" t="inlineStr">
        <is>
          <t>7898108640609</t>
        </is>
      </c>
      <c r="D330" s="7" t="inlineStr">
        <is>
          <t>TESTE DE GRAVIDEZ CONFIRA</t>
        </is>
      </c>
      <c r="E330" s="11" t="n">
        <v>1</v>
      </c>
      <c r="F330" s="11" t="n">
        <v>22</v>
      </c>
      <c r="G330" s="11" t="n">
        <v>22</v>
      </c>
      <c r="H330" s="8" t="n">
        <v>1.28</v>
      </c>
      <c r="I330" s="8">
        <f>G330*H330</f>
        <v/>
      </c>
      <c r="J330" s="8">
        <f>H330/E330</f>
        <v/>
      </c>
      <c r="K330" s="8" t="n">
        <v>1.15</v>
      </c>
      <c r="L330" s="8" t="n">
        <v>1.15</v>
      </c>
      <c r="M330" s="12">
        <f>J330/K330-1</f>
        <v/>
      </c>
      <c r="N330" s="7" t="inlineStr">
        <is>
          <t>ACIMA +11.3%</t>
        </is>
      </c>
      <c r="O330" s="7" t="inlineStr"/>
    </row>
    <row r="331">
      <c r="A331" s="7" t="n">
        <v>588881</v>
      </c>
      <c r="B331" s="7" t="inlineStr">
        <is>
          <t>3232</t>
        </is>
      </c>
      <c r="C331" s="10" t="inlineStr">
        <is>
          <t>7898108611968</t>
        </is>
      </c>
      <c r="D331" s="7" t="inlineStr">
        <is>
          <t>TESTE DE GRAVIDEZ CONFIRA PRATIC CANETA</t>
        </is>
      </c>
      <c r="E331" s="11" t="n">
        <v>1</v>
      </c>
      <c r="F331" s="11" t="n">
        <v>8</v>
      </c>
      <c r="G331" s="11" t="n">
        <v>8</v>
      </c>
      <c r="H331" s="8" t="n">
        <v>5.57</v>
      </c>
      <c r="I331" s="8">
        <f>G331*H331</f>
        <v/>
      </c>
      <c r="J331" s="8">
        <f>H331/E331</f>
        <v/>
      </c>
      <c r="K331" s="8" t="n">
        <v>4.91</v>
      </c>
      <c r="L331" s="8" t="n">
        <v>4.91</v>
      </c>
      <c r="M331" s="12">
        <f>J331/K331-1</f>
        <v/>
      </c>
      <c r="N331" s="7" t="inlineStr">
        <is>
          <t>ACIMA +13.4%</t>
        </is>
      </c>
      <c r="O331" s="7" t="inlineStr"/>
    </row>
    <row r="332">
      <c r="A332" s="7" t="n">
        <v>532741</v>
      </c>
      <c r="B332" s="7" t="inlineStr">
        <is>
          <t>5792</t>
        </is>
      </c>
      <c r="C332" s="10" t="inlineStr">
        <is>
          <t>7898126050091</t>
        </is>
      </c>
      <c r="D332" s="7" t="inlineStr">
        <is>
          <t>TESTE DE GRAVIDEZ VERIFIK C/01 UND</t>
        </is>
      </c>
      <c r="E332" s="11" t="n">
        <v>1</v>
      </c>
      <c r="F332" s="11" t="n">
        <v>38</v>
      </c>
      <c r="G332" s="11" t="n">
        <v>38</v>
      </c>
      <c r="H332" s="8" t="n">
        <v>1.35</v>
      </c>
      <c r="I332" s="8">
        <f>G332*H332</f>
        <v/>
      </c>
      <c r="J332" s="8">
        <f>H332/E332</f>
        <v/>
      </c>
      <c r="K332" s="8" t="n">
        <v>1.17</v>
      </c>
      <c r="L332" s="8" t="n">
        <v>1.17</v>
      </c>
      <c r="M332" s="12">
        <f>J332/K332-1</f>
        <v/>
      </c>
      <c r="N332" s="7" t="inlineStr">
        <is>
          <t>ACIMA +15.4%</t>
        </is>
      </c>
      <c r="O332" s="7" t="inlineStr"/>
    </row>
    <row r="333">
      <c r="A333" s="7" t="n">
        <v>640411</v>
      </c>
      <c r="B333" s="7" t="inlineStr">
        <is>
          <t>7368</t>
        </is>
      </c>
      <c r="C333" s="10" t="inlineStr">
        <is>
          <t>7898126050220</t>
        </is>
      </c>
      <c r="D333" s="7" t="inlineStr">
        <is>
          <t>TESTE GRAVIDEZ CONFIRME SEMANAS TIRA C/1</t>
        </is>
      </c>
      <c r="E333" s="11" t="n">
        <v>1</v>
      </c>
      <c r="F333" s="11" t="n">
        <v>2</v>
      </c>
      <c r="G333" s="11" t="n">
        <v>2</v>
      </c>
      <c r="H333" s="8" t="n">
        <v>7.71</v>
      </c>
      <c r="I333" s="8">
        <f>G333*H333</f>
        <v/>
      </c>
      <c r="J333" s="8">
        <f>H333/E333</f>
        <v/>
      </c>
      <c r="K333" s="8" t="n">
        <v>10.85</v>
      </c>
      <c r="L333" s="8" t="n">
        <v>10.85</v>
      </c>
      <c r="M333" s="12">
        <f>J333/K333-1</f>
        <v/>
      </c>
      <c r="N333" s="7" t="inlineStr">
        <is>
          <t>OK (≤ menor hist.)</t>
        </is>
      </c>
      <c r="O333" s="7" t="inlineStr"/>
    </row>
    <row r="334">
      <c r="A334" s="7" t="n">
        <v>180141</v>
      </c>
      <c r="B334" s="7" t="inlineStr">
        <is>
          <t>1534</t>
        </is>
      </c>
      <c r="C334" s="10" t="inlineStr">
        <is>
          <t>7896862970031</t>
        </is>
      </c>
      <c r="D334" s="7" t="inlineStr">
        <is>
          <t>TETRAMED 500MG CART C/ 4CP</t>
        </is>
      </c>
      <c r="E334" s="11" t="n">
        <v>25</v>
      </c>
      <c r="F334" s="11" t="n">
        <v>1</v>
      </c>
      <c r="G334" s="11" t="n">
        <v>1</v>
      </c>
      <c r="H334" s="8" t="n">
        <v>41.62</v>
      </c>
      <c r="I334" s="8">
        <f>G334*H334</f>
        <v/>
      </c>
      <c r="J334" s="8">
        <f>H334/E334</f>
        <v/>
      </c>
      <c r="K334" s="8" t="n">
        <v>1.4796</v>
      </c>
      <c r="L334" s="8" t="n">
        <v>1.4796</v>
      </c>
      <c r="M334" s="12">
        <f>J334/K334-1</f>
        <v/>
      </c>
      <c r="N334" s="7" t="inlineStr">
        <is>
          <t>ACIMA +12.5%</t>
        </is>
      </c>
      <c r="O334" s="7" t="inlineStr">
        <is>
          <t>1 emb = 25 un</t>
        </is>
      </c>
    </row>
    <row r="335">
      <c r="A335" s="7" t="n">
        <v>568541</v>
      </c>
      <c r="B335" s="7" t="inlineStr">
        <is>
          <t>2886</t>
        </is>
      </c>
      <c r="C335" s="10" t="inlineStr">
        <is>
          <t>7896862970208</t>
        </is>
      </c>
      <c r="D335" s="7" t="inlineStr">
        <is>
          <t>TETRAMED 500MG CX100 CAP (10X10)</t>
        </is>
      </c>
      <c r="E335" s="11" t="n">
        <v>10</v>
      </c>
      <c r="F335" s="11" t="n">
        <v>1</v>
      </c>
      <c r="G335" s="11" t="n">
        <v>1</v>
      </c>
      <c r="H335" s="8" t="n">
        <v>43.72</v>
      </c>
      <c r="I335" s="8">
        <f>G335*H335</f>
        <v/>
      </c>
      <c r="J335" s="8">
        <f>H335/E335</f>
        <v/>
      </c>
      <c r="K335" s="8" t="n">
        <v>3.69</v>
      </c>
      <c r="L335" s="8" t="n">
        <v>3.69</v>
      </c>
      <c r="M335" s="12">
        <f>J335/K335-1</f>
        <v/>
      </c>
      <c r="N335" s="7" t="inlineStr">
        <is>
          <t>ACIMA +18.5%</t>
        </is>
      </c>
      <c r="O335" s="7" t="inlineStr">
        <is>
          <t>1 emb = 10 un</t>
        </is>
      </c>
    </row>
    <row r="336">
      <c r="A336" s="7" t="n">
        <v>461941</v>
      </c>
      <c r="B336" s="7" t="inlineStr">
        <is>
          <t>386</t>
        </is>
      </c>
      <c r="C336" s="10" t="inlineStr">
        <is>
          <t>7893454100715</t>
        </is>
      </c>
      <c r="D336" s="7" t="inlineStr">
        <is>
          <t>TIADOL 50MG/G POM DERM BG 20G</t>
        </is>
      </c>
      <c r="E336" s="11" t="n">
        <v>1</v>
      </c>
      <c r="F336" s="11" t="n">
        <v>3</v>
      </c>
      <c r="G336" s="11" t="n">
        <v>3</v>
      </c>
      <c r="H336" s="8" t="n">
        <v>13.89</v>
      </c>
      <c r="I336" s="8">
        <f>G336*H336</f>
        <v/>
      </c>
      <c r="J336" s="8">
        <f>H336/E336</f>
        <v/>
      </c>
      <c r="K336" s="8" t="n">
        <v>13.36</v>
      </c>
      <c r="L336" s="8" t="n">
        <v>13.36</v>
      </c>
      <c r="M336" s="12">
        <f>J336/K336-1</f>
        <v/>
      </c>
      <c r="N336" s="7" t="inlineStr">
        <is>
          <t>ACIMA +4.0%</t>
        </is>
      </c>
      <c r="O336" s="7" t="inlineStr"/>
    </row>
    <row r="337">
      <c r="A337" s="7" t="n">
        <v>462441</v>
      </c>
      <c r="B337" s="7" t="inlineStr">
        <is>
          <t>2435</t>
        </is>
      </c>
      <c r="C337" s="10" t="inlineStr">
        <is>
          <t>7895296132039</t>
        </is>
      </c>
      <c r="D337" s="7" t="inlineStr">
        <is>
          <t>TIBOLONA 2,5MG  CX 30 COMP</t>
        </is>
      </c>
      <c r="E337" s="11" t="n">
        <v>1</v>
      </c>
      <c r="F337" s="11" t="n">
        <v>3</v>
      </c>
      <c r="G337" s="11" t="n">
        <v>3</v>
      </c>
      <c r="H337" s="8" t="n">
        <v>25.17</v>
      </c>
      <c r="I337" s="8">
        <f>G337*H337</f>
        <v/>
      </c>
      <c r="J337" s="8">
        <f>H337/E337</f>
        <v/>
      </c>
      <c r="K337" s="8" t="n">
        <v>25.2</v>
      </c>
      <c r="L337" s="8" t="n">
        <v>24.21</v>
      </c>
      <c r="M337" s="12">
        <f>J337/K337-1</f>
        <v/>
      </c>
      <c r="N337" s="7" t="inlineStr">
        <is>
          <t>OK (≤ últ. compra)</t>
        </is>
      </c>
      <c r="O337" s="7" t="inlineStr"/>
    </row>
    <row r="338">
      <c r="A338" s="7" t="n">
        <v>540941</v>
      </c>
      <c r="B338" s="7" t="inlineStr">
        <is>
          <t>177</t>
        </is>
      </c>
      <c r="C338" s="10" t="inlineStr">
        <is>
          <t>7898031310952</t>
        </is>
      </c>
      <c r="D338" s="7" t="inlineStr">
        <is>
          <t>TINTURA DE ARNICA 30ML</t>
        </is>
      </c>
      <c r="E338" s="11" t="n">
        <v>1</v>
      </c>
      <c r="F338" s="11" t="n">
        <v>19</v>
      </c>
      <c r="G338" s="11" t="n">
        <v>19</v>
      </c>
      <c r="H338" s="8" t="n">
        <v>4.31</v>
      </c>
      <c r="I338" s="8">
        <f>G338*H338</f>
        <v/>
      </c>
      <c r="J338" s="8">
        <f>H338/E338</f>
        <v/>
      </c>
      <c r="K338" s="8" t="n">
        <v>4.31</v>
      </c>
      <c r="L338" s="8" t="n">
        <v>4.31</v>
      </c>
      <c r="M338" s="12">
        <f>J338/K338-1</f>
        <v/>
      </c>
      <c r="N338" s="7" t="inlineStr">
        <is>
          <t>OK (≤ menor hist.)</t>
        </is>
      </c>
      <c r="O338" s="7" t="inlineStr"/>
    </row>
    <row r="339">
      <c r="A339" s="7" t="n">
        <v>3153</v>
      </c>
      <c r="B339" s="7" t="inlineStr">
        <is>
          <t>4503</t>
        </is>
      </c>
      <c r="C339" s="10" t="inlineStr">
        <is>
          <t>7898301056757</t>
        </is>
      </c>
      <c r="D339" s="7" t="inlineStr">
        <is>
          <t>TIRA DE TESTE DE GLICOSE C/25 UND FREE 1</t>
        </is>
      </c>
      <c r="E339" s="11" t="n">
        <v>1</v>
      </c>
      <c r="F339" s="11" t="n">
        <v>5</v>
      </c>
      <c r="G339" s="11" t="n">
        <v>5</v>
      </c>
      <c r="H339" s="8" t="n">
        <v>51.3</v>
      </c>
      <c r="I339" s="8">
        <f>G339*H339</f>
        <v/>
      </c>
      <c r="J339" s="8">
        <f>H339/E339</f>
        <v/>
      </c>
      <c r="K339" s="8" t="n">
        <v>46.42</v>
      </c>
      <c r="L339" s="8" t="n">
        <v>43.95</v>
      </c>
      <c r="M339" s="12">
        <f>J339/K339-1</f>
        <v/>
      </c>
      <c r="N339" s="7" t="inlineStr">
        <is>
          <t>ACIMA +10.5%</t>
        </is>
      </c>
      <c r="O339" s="7" t="inlineStr"/>
    </row>
    <row r="340">
      <c r="A340" s="7" t="n">
        <v>3163</v>
      </c>
      <c r="B340" s="7" t="inlineStr">
        <is>
          <t>4504</t>
        </is>
      </c>
      <c r="C340" s="10" t="inlineStr">
        <is>
          <t>7898301056740</t>
        </is>
      </c>
      <c r="D340" s="7" t="inlineStr">
        <is>
          <t>TIRA DE TESTE DE GLICOSE C/50 UND FREE 1</t>
        </is>
      </c>
      <c r="E340" s="11" t="n">
        <v>1</v>
      </c>
      <c r="F340" s="11" t="n">
        <v>23</v>
      </c>
      <c r="G340" s="11" t="n">
        <v>23</v>
      </c>
      <c r="H340" s="8" t="n">
        <v>67.45999999999999</v>
      </c>
      <c r="I340" s="8">
        <f>G340*H340</f>
        <v/>
      </c>
      <c r="J340" s="8">
        <f>H340/E340</f>
        <v/>
      </c>
      <c r="K340" s="8" t="n">
        <v>51.625</v>
      </c>
      <c r="L340" s="8" t="n">
        <v>48.88</v>
      </c>
      <c r="M340" s="12">
        <f>J340/K340-1</f>
        <v/>
      </c>
      <c r="N340" s="7" t="inlineStr">
        <is>
          <t>ACIMA +30.7%</t>
        </is>
      </c>
      <c r="O340" s="7" t="inlineStr"/>
    </row>
    <row r="341">
      <c r="A341" s="7" t="n">
        <v>18001</v>
      </c>
      <c r="B341" s="7" t="inlineStr">
        <is>
          <t>1121</t>
        </is>
      </c>
      <c r="C341" s="10" t="inlineStr">
        <is>
          <t>7896004739083</t>
        </is>
      </c>
      <c r="D341" s="7" t="inlineStr">
        <is>
          <t>TREXACONT 250MG 1BL X 12 COMP</t>
        </is>
      </c>
      <c r="E341" s="11" t="n">
        <v>1</v>
      </c>
      <c r="F341" s="11" t="n">
        <v>1</v>
      </c>
      <c r="G341" s="11" t="n">
        <v>1</v>
      </c>
      <c r="H341" s="8" t="n">
        <v>35.81</v>
      </c>
      <c r="I341" s="8">
        <f>G341*H341</f>
        <v/>
      </c>
      <c r="J341" s="8">
        <f>H341/E341</f>
        <v/>
      </c>
      <c r="K341" s="8" t="n">
        <v>40.53</v>
      </c>
      <c r="L341" s="8" t="n">
        <v>40.53</v>
      </c>
      <c r="M341" s="12">
        <f>J341/K341-1</f>
        <v/>
      </c>
      <c r="N341" s="7" t="inlineStr">
        <is>
          <t>OK (≤ menor hist.)</t>
        </is>
      </c>
      <c r="O341" s="7" t="inlineStr"/>
    </row>
    <row r="342">
      <c r="A342" s="7" t="n">
        <v>39303</v>
      </c>
      <c r="B342" s="7" t="inlineStr">
        <is>
          <t>10612</t>
        </is>
      </c>
      <c r="C342" s="10" t="inlineStr">
        <is>
          <t>7896004821993</t>
        </is>
      </c>
      <c r="D342" s="7" t="inlineStr">
        <is>
          <t>TRIMETAZIDINA 35MG 30CPR</t>
        </is>
      </c>
      <c r="E342" s="11" t="n">
        <v>1</v>
      </c>
      <c r="F342" s="11" t="n">
        <v>8</v>
      </c>
      <c r="G342" s="11" t="n">
        <v>8</v>
      </c>
      <c r="H342" s="8" t="n">
        <v>22.59</v>
      </c>
      <c r="I342" s="8">
        <f>G342*H342</f>
        <v/>
      </c>
      <c r="J342" s="8">
        <f>H342/E342</f>
        <v/>
      </c>
      <c r="K342" s="8" t="n">
        <v>16.385</v>
      </c>
      <c r="L342" s="8" t="n">
        <v>16.385</v>
      </c>
      <c r="M342" s="12">
        <f>J342/K342-1</f>
        <v/>
      </c>
      <c r="N342" s="7" t="inlineStr">
        <is>
          <t>ACIMA +37.9%</t>
        </is>
      </c>
      <c r="O342" s="7" t="inlineStr"/>
    </row>
    <row r="343">
      <c r="A343" s="7" t="n">
        <v>563961</v>
      </c>
      <c r="B343" s="7" t="inlineStr">
        <is>
          <t>395</t>
        </is>
      </c>
      <c r="C343" s="10" t="inlineStr">
        <is>
          <t>7898100243945</t>
        </is>
      </c>
      <c r="D343" s="7" t="inlineStr">
        <is>
          <t>TYFLEN 500MG CARTELA COM 10CP</t>
        </is>
      </c>
      <c r="E343" s="11" t="n">
        <v>20</v>
      </c>
      <c r="F343" s="11" t="n">
        <v>1</v>
      </c>
      <c r="G343" s="11" t="n">
        <v>1</v>
      </c>
      <c r="H343" s="8" t="n">
        <v>29.55</v>
      </c>
      <c r="I343" s="8">
        <f>G343*H343</f>
        <v/>
      </c>
      <c r="J343" s="8">
        <f>H343/E343</f>
        <v/>
      </c>
      <c r="K343" s="8" t="n">
        <v>1.8355</v>
      </c>
      <c r="L343" s="8" t="n">
        <v>1.8355</v>
      </c>
      <c r="M343" s="12">
        <f>J343/K343-1</f>
        <v/>
      </c>
      <c r="N343" s="7" t="inlineStr">
        <is>
          <t>OK (≤ menor hist.)</t>
        </is>
      </c>
      <c r="O343" s="7" t="inlineStr">
        <is>
          <t>1 emb = 20 un</t>
        </is>
      </c>
    </row>
    <row r="344">
      <c r="A344" s="7" t="n">
        <v>565801</v>
      </c>
      <c r="B344" s="7" t="inlineStr">
        <is>
          <t>3126</t>
        </is>
      </c>
      <c r="C344" s="10" t="inlineStr">
        <is>
          <t>7898031310600</t>
        </is>
      </c>
      <c r="D344" s="7" t="inlineStr">
        <is>
          <t>UNISSEPT ALCOOL GEL ANTISSEPTICO 450G</t>
        </is>
      </c>
      <c r="E344" s="11" t="n">
        <v>1</v>
      </c>
      <c r="F344" s="11" t="n">
        <v>13</v>
      </c>
      <c r="G344" s="11" t="n">
        <v>13</v>
      </c>
      <c r="H344" s="8" t="n">
        <v>13.08</v>
      </c>
      <c r="I344" s="8">
        <f>G344*H344</f>
        <v/>
      </c>
      <c r="J344" s="8">
        <f>H344/E344</f>
        <v/>
      </c>
      <c r="K344" s="8" t="n">
        <v>13.08</v>
      </c>
      <c r="L344" s="8" t="n">
        <v>12.51</v>
      </c>
      <c r="M344" s="12">
        <f>J344/K344-1</f>
        <v/>
      </c>
      <c r="N344" s="7" t="inlineStr">
        <is>
          <t>OK (≤ últ. compra)</t>
        </is>
      </c>
      <c r="O344" s="7" t="inlineStr"/>
    </row>
    <row r="345">
      <c r="A345" s="7" t="n">
        <v>662781</v>
      </c>
      <c r="B345" s="7" t="inlineStr">
        <is>
          <t>3156</t>
        </is>
      </c>
      <c r="C345" s="10" t="inlineStr">
        <is>
          <t>7896472521784</t>
        </is>
      </c>
      <c r="D345" s="7" t="inlineStr">
        <is>
          <t>VALSARTANA 320MG 30 COM-NQ</t>
        </is>
      </c>
      <c r="E345" s="11" t="n">
        <v>1</v>
      </c>
      <c r="F345" s="11" t="n">
        <v>5</v>
      </c>
      <c r="G345" s="11" t="n">
        <v>5</v>
      </c>
      <c r="H345" s="8" t="n">
        <v>25.39</v>
      </c>
      <c r="I345" s="8">
        <f>G345*H345</f>
        <v/>
      </c>
      <c r="J345" s="8">
        <f>H345/E345</f>
        <v/>
      </c>
      <c r="K345" s="8" t="n">
        <v>25.39</v>
      </c>
      <c r="L345" s="8" t="n">
        <v>25.39</v>
      </c>
      <c r="M345" s="12">
        <f>J345/K345-1</f>
        <v/>
      </c>
      <c r="N345" s="7" t="inlineStr">
        <is>
          <t>OK (≤ menor hist.)</t>
        </is>
      </c>
      <c r="O345" s="7" t="inlineStr"/>
    </row>
    <row r="346">
      <c r="A346" s="7" t="n">
        <v>675881</v>
      </c>
      <c r="B346" s="7" t="inlineStr">
        <is>
          <t>1014</t>
        </is>
      </c>
      <c r="C346" s="10" t="inlineStr">
        <is>
          <t>7898031310990</t>
        </is>
      </c>
      <c r="D346" s="7" t="inlineStr">
        <is>
          <t>VASELINA LIQUIDA 100ML</t>
        </is>
      </c>
      <c r="E346" s="11" t="n">
        <v>1</v>
      </c>
      <c r="F346" s="11" t="n">
        <v>5</v>
      </c>
      <c r="G346" s="11" t="n">
        <v>5</v>
      </c>
      <c r="H346" s="8" t="n">
        <v>5.68</v>
      </c>
      <c r="I346" s="8">
        <f>G346*H346</f>
        <v/>
      </c>
      <c r="J346" s="8">
        <f>H346/E346</f>
        <v/>
      </c>
      <c r="K346" s="8" t="n">
        <v>5.29</v>
      </c>
      <c r="L346" s="8" t="n">
        <v>5.29</v>
      </c>
      <c r="M346" s="12">
        <f>J346/K346-1</f>
        <v/>
      </c>
      <c r="N346" s="7" t="inlineStr">
        <is>
          <t>ACIMA +7.4%</t>
        </is>
      </c>
      <c r="O346" s="7" t="inlineStr"/>
    </row>
    <row r="347">
      <c r="A347" s="7" t="n">
        <v>619911</v>
      </c>
      <c r="B347" s="7" t="inlineStr">
        <is>
          <t>7145</t>
        </is>
      </c>
      <c r="C347" s="10" t="inlineStr">
        <is>
          <t>7896902214828</t>
        </is>
      </c>
      <c r="D347" s="7" t="inlineStr">
        <is>
          <t>VASELINA LIQUIDA 100ML (VASEMAX)</t>
        </is>
      </c>
      <c r="E347" s="11" t="n">
        <v>1</v>
      </c>
      <c r="F347" s="11" t="n">
        <v>1</v>
      </c>
      <c r="G347" s="11" t="n">
        <v>1</v>
      </c>
      <c r="H347" s="8" t="n">
        <v>5.57</v>
      </c>
      <c r="I347" s="8">
        <f>G347*H347</f>
        <v/>
      </c>
      <c r="J347" s="8">
        <f>H347/E347</f>
        <v/>
      </c>
      <c r="K347" s="8" t="n">
        <v>4.36</v>
      </c>
      <c r="L347" s="8" t="n">
        <v>4.36</v>
      </c>
      <c r="M347" s="12">
        <f>J347/K347-1</f>
        <v/>
      </c>
      <c r="N347" s="7" t="inlineStr">
        <is>
          <t>ACIMA +27.8%</t>
        </is>
      </c>
      <c r="O347" s="7" t="inlineStr"/>
    </row>
    <row r="348">
      <c r="A348" s="7" t="n">
        <v>2973</v>
      </c>
      <c r="B348" s="7" t="inlineStr">
        <is>
          <t>163</t>
        </is>
      </c>
      <c r="C348" s="10" t="inlineStr">
        <is>
          <t>7898031313533</t>
        </is>
      </c>
      <c r="D348" s="7" t="inlineStr">
        <is>
          <t>VASELINA SOLIDA 20G BISNAGA</t>
        </is>
      </c>
      <c r="E348" s="11" t="n">
        <v>1</v>
      </c>
      <c r="F348" s="11" t="n">
        <v>12</v>
      </c>
      <c r="G348" s="11" t="n">
        <v>12</v>
      </c>
      <c r="H348" s="8" t="n">
        <v>5.26</v>
      </c>
      <c r="I348" s="8">
        <f>G348*H348</f>
        <v/>
      </c>
      <c r="J348" s="8">
        <f>H348/E348</f>
        <v/>
      </c>
      <c r="K348" s="8" t="n">
        <v>5.26</v>
      </c>
      <c r="L348" s="8" t="n">
        <v>5.06</v>
      </c>
      <c r="M348" s="12">
        <f>J348/K348-1</f>
        <v/>
      </c>
      <c r="N348" s="7" t="inlineStr">
        <is>
          <t>OK (≤ últ. compra)</t>
        </is>
      </c>
      <c r="O348" s="7" t="inlineStr"/>
    </row>
    <row r="349">
      <c r="A349" s="7" t="n">
        <v>604001</v>
      </c>
      <c r="B349" s="7" t="inlineStr">
        <is>
          <t>851</t>
        </is>
      </c>
      <c r="C349" s="10" t="inlineStr">
        <is>
          <t>7898031310495</t>
        </is>
      </c>
      <c r="D349" s="7" t="inlineStr">
        <is>
          <t>VASELINA SOLIDA 25G POTE (UNIPHAR)</t>
        </is>
      </c>
      <c r="E349" s="11" t="n">
        <v>1</v>
      </c>
      <c r="F349" s="11" t="n">
        <v>10</v>
      </c>
      <c r="G349" s="11" t="n">
        <v>10</v>
      </c>
      <c r="H349" s="8" t="n">
        <v>4.78</v>
      </c>
      <c r="I349" s="8">
        <f>G349*H349</f>
        <v/>
      </c>
      <c r="J349" s="8">
        <f>H349/E349</f>
        <v/>
      </c>
      <c r="K349" s="8" t="n">
        <v>4.48</v>
      </c>
      <c r="L349" s="8" t="n">
        <v>4.35</v>
      </c>
      <c r="M349" s="12">
        <f>J349/K349-1</f>
        <v/>
      </c>
      <c r="N349" s="7" t="inlineStr">
        <is>
          <t>ACIMA +6.7%</t>
        </is>
      </c>
      <c r="O349" s="7" t="inlineStr"/>
    </row>
    <row r="350">
      <c r="A350" s="7" t="n">
        <v>591211</v>
      </c>
      <c r="B350" s="7" t="inlineStr">
        <is>
          <t>7292</t>
        </is>
      </c>
      <c r="C350" s="10" t="inlineStr">
        <is>
          <t>7898241250031</t>
        </is>
      </c>
      <c r="D350" s="7" t="inlineStr">
        <is>
          <t>VELA SEBO DE HOLANDA</t>
        </is>
      </c>
      <c r="E350" s="11" t="n">
        <v>8</v>
      </c>
      <c r="F350" s="11" t="n">
        <v>3</v>
      </c>
      <c r="G350" s="11" t="n">
        <v>1</v>
      </c>
      <c r="H350" s="8" t="n">
        <v>3.99</v>
      </c>
      <c r="I350" s="8">
        <f>G350*H350</f>
        <v/>
      </c>
      <c r="J350" s="8">
        <f>H350/E350</f>
        <v/>
      </c>
      <c r="K350" s="8" t="n">
        <v>0.4988</v>
      </c>
      <c r="L350" s="8" t="n">
        <v>0.4988</v>
      </c>
      <c r="M350" s="12">
        <f>J350/K350-1</f>
        <v/>
      </c>
      <c r="N350" s="7" t="inlineStr">
        <is>
          <t>OK (≤ menor hist.)</t>
        </is>
      </c>
      <c r="O350" s="7" t="inlineStr">
        <is>
          <t>1 emb = 8 un</t>
        </is>
      </c>
    </row>
    <row r="351">
      <c r="A351" s="7" t="n">
        <v>461961</v>
      </c>
      <c r="B351" s="7" t="inlineStr">
        <is>
          <t>391</t>
        </is>
      </c>
      <c r="C351" s="10" t="inlineStr">
        <is>
          <t>7893454100708</t>
        </is>
      </c>
      <c r="D351" s="7" t="inlineStr">
        <is>
          <t>VENCIDO - TIADOL 50MG/G SAB SACO 65G</t>
        </is>
      </c>
      <c r="E351" s="11" t="n">
        <v>1</v>
      </c>
      <c r="F351" s="11" t="n">
        <v>1</v>
      </c>
      <c r="G351" s="11" t="n">
        <v>1</v>
      </c>
      <c r="H351" s="8" t="n">
        <v>18.94</v>
      </c>
      <c r="I351" s="8">
        <f>G351*H351</f>
        <v/>
      </c>
      <c r="J351" s="8">
        <f>H351/E351</f>
        <v/>
      </c>
      <c r="K351" s="8" t="n">
        <v>19.23</v>
      </c>
      <c r="L351" s="8" t="n">
        <v>19.23</v>
      </c>
      <c r="M351" s="12">
        <f>J351/K351-1</f>
        <v/>
      </c>
      <c r="N351" s="7" t="inlineStr">
        <is>
          <t>OK (≤ menor hist.)</t>
        </is>
      </c>
      <c r="O351" s="7" t="inlineStr"/>
    </row>
    <row r="352">
      <c r="A352" s="7" t="n">
        <v>193221</v>
      </c>
      <c r="B352" s="7" t="inlineStr">
        <is>
          <t>5014</t>
        </is>
      </c>
      <c r="C352" s="10" t="inlineStr">
        <is>
          <t>7898569765149</t>
        </is>
      </c>
      <c r="D352" s="7" t="inlineStr">
        <is>
          <t>VITAMINA D3 10000UI CX 30 CAP</t>
        </is>
      </c>
      <c r="E352" s="11" t="n">
        <v>1</v>
      </c>
      <c r="F352" s="11" t="n">
        <v>2</v>
      </c>
      <c r="G352" s="11" t="n">
        <v>2</v>
      </c>
      <c r="H352" s="8" t="n">
        <v>27.09</v>
      </c>
      <c r="I352" s="8">
        <f>G352*H352</f>
        <v/>
      </c>
      <c r="J352" s="8">
        <f>H352/E352</f>
        <v/>
      </c>
      <c r="K352" s="8" t="n">
        <v>21.98</v>
      </c>
      <c r="L352" s="8" t="n">
        <v>21.98</v>
      </c>
      <c r="M352" s="12">
        <f>J352/K352-1</f>
        <v/>
      </c>
      <c r="N352" s="7" t="inlineStr">
        <is>
          <t>ACIMA +23.2%</t>
        </is>
      </c>
      <c r="O352" s="7" t="inlineStr"/>
    </row>
    <row r="353">
      <c r="A353" s="7" t="n">
        <v>193181</v>
      </c>
      <c r="B353" s="7" t="inlineStr">
        <is>
          <t>10625</t>
        </is>
      </c>
      <c r="C353" s="10" t="inlineStr">
        <is>
          <t>7898569765125</t>
        </is>
      </c>
      <c r="D353" s="7" t="inlineStr">
        <is>
          <t>VITAMINA D3 10000UI CX 8 CAP</t>
        </is>
      </c>
      <c r="E353" s="11" t="n">
        <v>1</v>
      </c>
      <c r="F353" s="11" t="n">
        <v>1</v>
      </c>
      <c r="G353" s="11" t="n">
        <v>1</v>
      </c>
      <c r="H353" s="8" t="n">
        <v>17.54</v>
      </c>
      <c r="I353" s="8">
        <f>G353*H353</f>
        <v/>
      </c>
      <c r="J353" s="8">
        <f>H353/E353</f>
        <v/>
      </c>
      <c r="K353" s="8" t="n">
        <v>12.69</v>
      </c>
      <c r="L353" s="8" t="n">
        <v>12.69</v>
      </c>
      <c r="M353" s="12">
        <f>J353/K353-1</f>
        <v/>
      </c>
      <c r="N353" s="7" t="inlineStr">
        <is>
          <t>ACIMA +38.2%</t>
        </is>
      </c>
      <c r="O353" s="7" t="inlineStr"/>
    </row>
    <row r="354">
      <c r="A354" s="7" t="n">
        <v>653211</v>
      </c>
      <c r="B354" s="7" t="inlineStr">
        <is>
          <t>8544</t>
        </is>
      </c>
      <c r="C354" s="10" t="inlineStr">
        <is>
          <t>7898687734096</t>
        </is>
      </c>
      <c r="D354" s="7" t="inlineStr">
        <is>
          <t>VITAMINA D3 15000UI CX 10 CAP</t>
        </is>
      </c>
      <c r="E354" s="11" t="n">
        <v>1</v>
      </c>
      <c r="F354" s="11" t="n">
        <v>2</v>
      </c>
      <c r="G354" s="11" t="n">
        <v>2</v>
      </c>
      <c r="H354" s="8" t="n">
        <v>23.22</v>
      </c>
      <c r="I354" s="8">
        <f>G354*H354</f>
        <v/>
      </c>
      <c r="J354" s="8">
        <f>H354/E354</f>
        <v/>
      </c>
      <c r="K354" s="8" t="n">
        <v>19.58</v>
      </c>
      <c r="L354" s="8" t="n">
        <v>19.58</v>
      </c>
      <c r="M354" s="12">
        <f>J354/K354-1</f>
        <v/>
      </c>
      <c r="N354" s="7" t="inlineStr">
        <is>
          <t>ACIMA +18.6%</t>
        </is>
      </c>
      <c r="O354" s="7" t="inlineStr"/>
    </row>
    <row r="355">
      <c r="A355" s="7" t="n">
        <v>3063</v>
      </c>
      <c r="B355" s="7" t="inlineStr">
        <is>
          <t>8543</t>
        </is>
      </c>
      <c r="C355" s="10" t="inlineStr">
        <is>
          <t>7898687734089</t>
        </is>
      </c>
      <c r="D355" s="7" t="inlineStr">
        <is>
          <t>VITAMINA D3 15000UI CX 4 CAP</t>
        </is>
      </c>
      <c r="E355" s="11" t="n">
        <v>1</v>
      </c>
      <c r="F355" s="11" t="n">
        <v>4</v>
      </c>
      <c r="G355" s="11" t="n">
        <v>4</v>
      </c>
      <c r="H355" s="8" t="n">
        <v>13.39</v>
      </c>
      <c r="I355" s="8">
        <f>G355*H355</f>
        <v/>
      </c>
      <c r="J355" s="8">
        <f>H355/E355</f>
        <v/>
      </c>
      <c r="K355" s="8" t="n">
        <v>14.54</v>
      </c>
      <c r="L355" s="8" t="n">
        <v>10.73</v>
      </c>
      <c r="M355" s="12">
        <f>J355/K355-1</f>
        <v/>
      </c>
      <c r="N355" s="7" t="inlineStr">
        <is>
          <t>OK (≤ últ. compra)</t>
        </is>
      </c>
      <c r="O355" s="7" t="inlineStr"/>
    </row>
    <row r="356">
      <c r="A356" s="7" t="n">
        <v>193241</v>
      </c>
      <c r="B356" s="7" t="inlineStr">
        <is>
          <t>5016</t>
        </is>
      </c>
      <c r="C356" s="10" t="inlineStr">
        <is>
          <t>7898569765170</t>
        </is>
      </c>
      <c r="D356" s="7" t="inlineStr">
        <is>
          <t>VITAMINA D3 50000UI CX 4 CAP</t>
        </is>
      </c>
      <c r="E356" s="11" t="n">
        <v>1</v>
      </c>
      <c r="F356" s="11" t="n">
        <v>2</v>
      </c>
      <c r="G356" s="11" t="n">
        <v>2</v>
      </c>
      <c r="H356" s="8" t="n">
        <v>16.57</v>
      </c>
      <c r="I356" s="8">
        <f>G356*H356</f>
        <v/>
      </c>
      <c r="J356" s="8">
        <f>H356/E356</f>
        <v/>
      </c>
      <c r="K356" s="8" t="n">
        <v>13.95</v>
      </c>
      <c r="L356" s="8" t="n">
        <v>13.95</v>
      </c>
      <c r="M356" s="12">
        <f>J356/K356-1</f>
        <v/>
      </c>
      <c r="N356" s="7" t="inlineStr">
        <is>
          <t>ACIMA +18.8%</t>
        </is>
      </c>
      <c r="O356" s="7" t="inlineStr"/>
    </row>
    <row r="357">
      <c r="A357" s="7" t="n">
        <v>193001</v>
      </c>
      <c r="B357" s="7" t="inlineStr">
        <is>
          <t>5012</t>
        </is>
      </c>
      <c r="C357" s="10" t="inlineStr">
        <is>
          <t>7898569765019</t>
        </is>
      </c>
      <c r="D357" s="7" t="inlineStr">
        <is>
          <t>VITAMINA D3 5000UI CX 30 CAP</t>
        </is>
      </c>
      <c r="E357" s="11" t="n">
        <v>1</v>
      </c>
      <c r="F357" s="11" t="n">
        <v>1</v>
      </c>
      <c r="G357" s="11" t="n">
        <v>1</v>
      </c>
      <c r="H357" s="8" t="n">
        <v>16.03</v>
      </c>
      <c r="I357" s="8">
        <f>G357*H357</f>
        <v/>
      </c>
      <c r="J357" s="8">
        <f>H357/E357</f>
        <v/>
      </c>
      <c r="K357" s="8" t="n">
        <v>13.68</v>
      </c>
      <c r="L357" s="8" t="n">
        <v>13.68</v>
      </c>
      <c r="M357" s="12">
        <f>J357/K357-1</f>
        <v/>
      </c>
      <c r="N357" s="7" t="inlineStr">
        <is>
          <t>ACIMA +17.2%</t>
        </is>
      </c>
      <c r="O357" s="7" t="inlineStr"/>
    </row>
    <row r="358">
      <c r="A358" s="7" t="n">
        <v>532061</v>
      </c>
      <c r="B358" s="7" t="inlineStr">
        <is>
          <t>4798</t>
        </is>
      </c>
      <c r="C358" s="10" t="inlineStr">
        <is>
          <t>7894164006014</t>
        </is>
      </c>
      <c r="D358" s="7" t="inlineStr">
        <is>
          <t>VITAXON C TRIPLA ACAO EFERVECE CX C/ 10 CP</t>
        </is>
      </c>
      <c r="E358" s="11" t="n">
        <v>1</v>
      </c>
      <c r="F358" s="11" t="n">
        <v>62</v>
      </c>
      <c r="G358" s="11" t="n">
        <v>62</v>
      </c>
      <c r="H358" s="8" t="n">
        <v>5.39</v>
      </c>
      <c r="I358" s="8">
        <f>G358*H358</f>
        <v/>
      </c>
      <c r="J358" s="8">
        <f>H358/E358</f>
        <v/>
      </c>
      <c r="K358" s="8" t="n">
        <v>4.58</v>
      </c>
      <c r="L358" s="8" t="n">
        <v>4.58</v>
      </c>
      <c r="M358" s="12">
        <f>J358/K358-1</f>
        <v/>
      </c>
      <c r="N358" s="7" t="inlineStr">
        <is>
          <t>ACIMA +17.7%</t>
        </is>
      </c>
      <c r="O358" s="7" t="inlineStr"/>
    </row>
    <row r="359">
      <c r="A359" s="7" t="n">
        <v>4053</v>
      </c>
      <c r="B359" s="7" t="inlineStr">
        <is>
          <t>5175</t>
        </is>
      </c>
      <c r="C359" s="10" t="inlineStr">
        <is>
          <t>7894164007127</t>
        </is>
      </c>
      <c r="D359" s="7" t="inlineStr">
        <is>
          <t>VITAXON C TRIPLA ACAO IMUNO C/30 CPR.</t>
        </is>
      </c>
      <c r="E359" s="11" t="n">
        <v>1</v>
      </c>
      <c r="F359" s="11" t="n">
        <v>1</v>
      </c>
      <c r="G359" s="11" t="n">
        <v>1</v>
      </c>
      <c r="H359" s="8" t="n">
        <v>14.84</v>
      </c>
      <c r="I359" s="8">
        <f>G359*H359</f>
        <v/>
      </c>
      <c r="J359" s="8">
        <f>H359/E359</f>
        <v/>
      </c>
      <c r="K359" s="8" t="n">
        <v>14.84</v>
      </c>
      <c r="L359" s="8" t="n">
        <v>14.84</v>
      </c>
      <c r="M359" s="12">
        <f>J359/K359-1</f>
        <v/>
      </c>
      <c r="N359" s="7" t="inlineStr">
        <is>
          <t>OK (≤ menor hist.)</t>
        </is>
      </c>
      <c r="O359" s="7" t="inlineStr"/>
    </row>
    <row r="360">
      <c r="A360" s="7" t="n">
        <v>604081</v>
      </c>
      <c r="B360" s="7" t="inlineStr">
        <is>
          <t>5905</t>
        </is>
      </c>
      <c r="C360" s="10" t="inlineStr">
        <is>
          <t>7894164007134</t>
        </is>
      </c>
      <c r="D360" s="7" t="inlineStr">
        <is>
          <t>VITAXON C+ZINCO ACAO PROLONGADA 30CP</t>
        </is>
      </c>
      <c r="E360" s="11" t="n">
        <v>1</v>
      </c>
      <c r="F360" s="11" t="n">
        <v>1</v>
      </c>
      <c r="G360" s="11" t="n">
        <v>1</v>
      </c>
      <c r="H360" s="8" t="n">
        <v>11.73</v>
      </c>
      <c r="I360" s="8">
        <f>G360*H360</f>
        <v/>
      </c>
      <c r="J360" s="8">
        <f>H360/E360</f>
        <v/>
      </c>
      <c r="K360" s="8" t="n">
        <v>10.79</v>
      </c>
      <c r="L360" s="8" t="n">
        <v>10.79</v>
      </c>
      <c r="M360" s="12">
        <f>J360/K360-1</f>
        <v/>
      </c>
      <c r="N360" s="7" t="inlineStr">
        <is>
          <t>ACIMA +8.7%</t>
        </is>
      </c>
      <c r="O360" s="7" t="inlineStr"/>
    </row>
    <row r="361">
      <c r="A361" s="7" t="n">
        <v>121961</v>
      </c>
      <c r="B361" s="7" t="inlineStr">
        <is>
          <t>6402</t>
        </is>
      </c>
      <c r="C361" s="10" t="inlineStr">
        <is>
          <t>7896004774947</t>
        </is>
      </c>
      <c r="D361" s="7" t="inlineStr">
        <is>
          <t>VOLIG 8MG CX 10 COMP</t>
        </is>
      </c>
      <c r="E361" s="11" t="n">
        <v>1</v>
      </c>
      <c r="F361" s="11" t="n">
        <v>8</v>
      </c>
      <c r="G361" s="11" t="n">
        <v>8</v>
      </c>
      <c r="H361" s="8" t="n">
        <v>7.31</v>
      </c>
      <c r="I361" s="8">
        <f>G361*H361</f>
        <v/>
      </c>
      <c r="J361" s="8">
        <f>H361/E361</f>
        <v/>
      </c>
      <c r="K361" s="8" t="n">
        <v>7.29</v>
      </c>
      <c r="L361" s="8" t="n">
        <v>7.29</v>
      </c>
      <c r="M361" s="12">
        <f>J361/K361-1</f>
        <v/>
      </c>
      <c r="N361" s="7" t="inlineStr">
        <is>
          <t>ACIMA +0.3%</t>
        </is>
      </c>
      <c r="O361" s="7" t="inlineStr"/>
    </row>
    <row r="362">
      <c r="D362" s="5" t="inlineStr">
        <is>
          <t>TOTAL</t>
        </is>
      </c>
      <c r="I362" s="16">
        <f>SUM(I2:I361)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2026-09-08T19:38:30Z</dcterms:created>
  <dcterms:modified xsi:type="dcterms:W3CDTF">2026-09-08T19:38:34Z</dcterms:modified>
</cp:coreProperties>
</file>